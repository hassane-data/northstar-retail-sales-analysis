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ExcelBeginner\Data\"/>
    </mc:Choice>
  </mc:AlternateContent>
  <bookViews>
    <workbookView xWindow="0" yWindow="0" windowWidth="23040" windowHeight="10644" firstSheet="2" activeTab="10"/>
  </bookViews>
  <sheets>
    <sheet name="Project_Brief" sheetId="1" r:id="rId1"/>
    <sheet name="Cleaned_Data" sheetId="7" r:id="rId2"/>
    <sheet name="Raw_Sales" sheetId="2" r:id="rId3"/>
    <sheet name="Products" sheetId="3" r:id="rId4"/>
    <sheet name="Customers" sheetId="4" r:id="rId5"/>
    <sheet name="Monthly_Targets" sheetId="5" r:id="rId6"/>
    <sheet name="Data_Dictionary" sheetId="6" r:id="rId7"/>
    <sheet name="Feuil3" sheetId="9" r:id="rId8"/>
    <sheet name="Feuil1" sheetId="11" r:id="rId9"/>
    <sheet name="Analysis" sheetId="8" r:id="rId10"/>
    <sheet name="Dashboard" sheetId="10" r:id="rId11"/>
  </sheets>
  <definedNames>
    <definedName name="_xlnm._FilterDatabase" localSheetId="1" hidden="1">Cleaned_Data!$U$1:$W$735</definedName>
    <definedName name="Segment_Category">#N/A</definedName>
    <definedName name="Segment_Channel_Clean">#N/A</definedName>
    <definedName name="Segment_Region">#N/A</definedName>
  </definedNames>
  <calcPr calcId="152511"/>
  <pivotCaches>
    <pivotCache cacheId="1" r:id="rId12"/>
    <pivotCache cacheId="2"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6" i="10" l="1"/>
  <c r="G6" i="10"/>
  <c r="I5" i="8"/>
  <c r="J5" i="8" s="1"/>
  <c r="I6" i="8"/>
  <c r="J6" i="8" s="1"/>
  <c r="I7" i="8"/>
  <c r="J7" i="8" s="1"/>
  <c r="I8" i="8"/>
  <c r="J8" i="8" s="1"/>
  <c r="I9" i="8"/>
  <c r="J9" i="8" s="1"/>
  <c r="I10" i="8"/>
  <c r="J10" i="8" s="1"/>
  <c r="I11" i="8"/>
  <c r="J11" i="8" s="1"/>
  <c r="I12" i="8"/>
  <c r="J12" i="8" s="1"/>
  <c r="I13" i="8"/>
  <c r="J13" i="8" s="1"/>
  <c r="I14" i="8"/>
  <c r="J14" i="8" s="1"/>
  <c r="I15" i="8"/>
  <c r="J15" i="8" s="1"/>
  <c r="I4" i="8"/>
  <c r="J4" i="8" s="1"/>
  <c r="AL2" i="7"/>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L44" i="7"/>
  <c r="AL45" i="7"/>
  <c r="AL46" i="7"/>
  <c r="AL47" i="7"/>
  <c r="AL48" i="7"/>
  <c r="AL49" i="7"/>
  <c r="AL50" i="7"/>
  <c r="AL51" i="7"/>
  <c r="AL52" i="7"/>
  <c r="AL53" i="7"/>
  <c r="AL54" i="7"/>
  <c r="AL55" i="7"/>
  <c r="AL56" i="7"/>
  <c r="AL57" i="7"/>
  <c r="AL58" i="7"/>
  <c r="AL59" i="7"/>
  <c r="AL60" i="7"/>
  <c r="AL61" i="7"/>
  <c r="AL62"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L97" i="7"/>
  <c r="AL98" i="7"/>
  <c r="AL99" i="7"/>
  <c r="AL100" i="7"/>
  <c r="AL101" i="7"/>
  <c r="AL102" i="7"/>
  <c r="AL103" i="7"/>
  <c r="AL104" i="7"/>
  <c r="AL105" i="7"/>
  <c r="AL106" i="7"/>
  <c r="AL107" i="7"/>
  <c r="AL108" i="7"/>
  <c r="AL109" i="7"/>
  <c r="AL110" i="7"/>
  <c r="AL111" i="7"/>
  <c r="AL112" i="7"/>
  <c r="AL113" i="7"/>
  <c r="AL114" i="7"/>
  <c r="AL115" i="7"/>
  <c r="AL116" i="7"/>
  <c r="AL117" i="7"/>
  <c r="AL118" i="7"/>
  <c r="AL119" i="7"/>
  <c r="AL120" i="7"/>
  <c r="AL121" i="7"/>
  <c r="AL122" i="7"/>
  <c r="AL123" i="7"/>
  <c r="AL124" i="7"/>
  <c r="AL125" i="7"/>
  <c r="AL126" i="7"/>
  <c r="AL127" i="7"/>
  <c r="AL128" i="7"/>
  <c r="AL129" i="7"/>
  <c r="AL130" i="7"/>
  <c r="AL131" i="7"/>
  <c r="AL132" i="7"/>
  <c r="AL133" i="7"/>
  <c r="AL134" i="7"/>
  <c r="AL135" i="7"/>
  <c r="AL136" i="7"/>
  <c r="AL137" i="7"/>
  <c r="AL138" i="7"/>
  <c r="AL139" i="7"/>
  <c r="AL140" i="7"/>
  <c r="AL141" i="7"/>
  <c r="AL142" i="7"/>
  <c r="AL143" i="7"/>
  <c r="AL144" i="7"/>
  <c r="AL145" i="7"/>
  <c r="AL146" i="7"/>
  <c r="AL147" i="7"/>
  <c r="AL148" i="7"/>
  <c r="AL149" i="7"/>
  <c r="AL150" i="7"/>
  <c r="AL151" i="7"/>
  <c r="AL152" i="7"/>
  <c r="AL153" i="7"/>
  <c r="AL154" i="7"/>
  <c r="AL155" i="7"/>
  <c r="AL156" i="7"/>
  <c r="AL157" i="7"/>
  <c r="AL158" i="7"/>
  <c r="AL159" i="7"/>
  <c r="AL160" i="7"/>
  <c r="AL161" i="7"/>
  <c r="AL162" i="7"/>
  <c r="AL163" i="7"/>
  <c r="AL164" i="7"/>
  <c r="AL165" i="7"/>
  <c r="AL166" i="7"/>
  <c r="AL167" i="7"/>
  <c r="AL168" i="7"/>
  <c r="AL169" i="7"/>
  <c r="AL170" i="7"/>
  <c r="AL171" i="7"/>
  <c r="AL172" i="7"/>
  <c r="AL173" i="7"/>
  <c r="AL174" i="7"/>
  <c r="AL175" i="7"/>
  <c r="AL176" i="7"/>
  <c r="AL177" i="7"/>
  <c r="AL178" i="7"/>
  <c r="AL179" i="7"/>
  <c r="AL180" i="7"/>
  <c r="AL181" i="7"/>
  <c r="AL182" i="7"/>
  <c r="AL183" i="7"/>
  <c r="AL184" i="7"/>
  <c r="AL185" i="7"/>
  <c r="AL186" i="7"/>
  <c r="AL187" i="7"/>
  <c r="AL188" i="7"/>
  <c r="AL189" i="7"/>
  <c r="AL190" i="7"/>
  <c r="AL191" i="7"/>
  <c r="AL192" i="7"/>
  <c r="AL193" i="7"/>
  <c r="AL194" i="7"/>
  <c r="AL195" i="7"/>
  <c r="AL196" i="7"/>
  <c r="AL197" i="7"/>
  <c r="AL198" i="7"/>
  <c r="AL199" i="7"/>
  <c r="AL200" i="7"/>
  <c r="AL201" i="7"/>
  <c r="AL202" i="7"/>
  <c r="AL203" i="7"/>
  <c r="AL204" i="7"/>
  <c r="AL205" i="7"/>
  <c r="AL206" i="7"/>
  <c r="AL207" i="7"/>
  <c r="AL208" i="7"/>
  <c r="AL209" i="7"/>
  <c r="AL210" i="7"/>
  <c r="AL211" i="7"/>
  <c r="AL212" i="7"/>
  <c r="AL213" i="7"/>
  <c r="AL214" i="7"/>
  <c r="AL215" i="7"/>
  <c r="AL216" i="7"/>
  <c r="AL217" i="7"/>
  <c r="AL218" i="7"/>
  <c r="AL219" i="7"/>
  <c r="AL220" i="7"/>
  <c r="AL221" i="7"/>
  <c r="AL222" i="7"/>
  <c r="AL223" i="7"/>
  <c r="AL224" i="7"/>
  <c r="AL225" i="7"/>
  <c r="AL226" i="7"/>
  <c r="AL227" i="7"/>
  <c r="AL228" i="7"/>
  <c r="AL229" i="7"/>
  <c r="AL230" i="7"/>
  <c r="AL231" i="7"/>
  <c r="AL232" i="7"/>
  <c r="AL233" i="7"/>
  <c r="AL234" i="7"/>
  <c r="AL235" i="7"/>
  <c r="AL236" i="7"/>
  <c r="AL237" i="7"/>
  <c r="AL238" i="7"/>
  <c r="AL239" i="7"/>
  <c r="AL240" i="7"/>
  <c r="AL241" i="7"/>
  <c r="AL242" i="7"/>
  <c r="AL243" i="7"/>
  <c r="AL244" i="7"/>
  <c r="AL245" i="7"/>
  <c r="AL246" i="7"/>
  <c r="AL247" i="7"/>
  <c r="AL248" i="7"/>
  <c r="AL249" i="7"/>
  <c r="AL250" i="7"/>
  <c r="AL251" i="7"/>
  <c r="AL252" i="7"/>
  <c r="AL253" i="7"/>
  <c r="AL254" i="7"/>
  <c r="AL255" i="7"/>
  <c r="AL256" i="7"/>
  <c r="AL257" i="7"/>
  <c r="AL258" i="7"/>
  <c r="AL259" i="7"/>
  <c r="AL260" i="7"/>
  <c r="AL261" i="7"/>
  <c r="AL262" i="7"/>
  <c r="AL263" i="7"/>
  <c r="AL264" i="7"/>
  <c r="AL265" i="7"/>
  <c r="AL266" i="7"/>
  <c r="AL267" i="7"/>
  <c r="AL268" i="7"/>
  <c r="AL269" i="7"/>
  <c r="AL270" i="7"/>
  <c r="AL271" i="7"/>
  <c r="AL272" i="7"/>
  <c r="AL273" i="7"/>
  <c r="AL274" i="7"/>
  <c r="AL275" i="7"/>
  <c r="AL276" i="7"/>
  <c r="AL277" i="7"/>
  <c r="AL278" i="7"/>
  <c r="AL279" i="7"/>
  <c r="AL280" i="7"/>
  <c r="AL281" i="7"/>
  <c r="AL282" i="7"/>
  <c r="AL283" i="7"/>
  <c r="AL284" i="7"/>
  <c r="AL285" i="7"/>
  <c r="AL286" i="7"/>
  <c r="AL287" i="7"/>
  <c r="AL288" i="7"/>
  <c r="AL289" i="7"/>
  <c r="AL290" i="7"/>
  <c r="AL291" i="7"/>
  <c r="AL292" i="7"/>
  <c r="AL293" i="7"/>
  <c r="AL294" i="7"/>
  <c r="AL295" i="7"/>
  <c r="AL296" i="7"/>
  <c r="AL297" i="7"/>
  <c r="AL298" i="7"/>
  <c r="AL299" i="7"/>
  <c r="AL300" i="7"/>
  <c r="AL301" i="7"/>
  <c r="AL302" i="7"/>
  <c r="AL303" i="7"/>
  <c r="AL304" i="7"/>
  <c r="AL305" i="7"/>
  <c r="AL306" i="7"/>
  <c r="AL307" i="7"/>
  <c r="AL308" i="7"/>
  <c r="AL309" i="7"/>
  <c r="AL310" i="7"/>
  <c r="AL311" i="7"/>
  <c r="AL312" i="7"/>
  <c r="AL313" i="7"/>
  <c r="AL314" i="7"/>
  <c r="AL315" i="7"/>
  <c r="AL316" i="7"/>
  <c r="AL317" i="7"/>
  <c r="AL318" i="7"/>
  <c r="AL319" i="7"/>
  <c r="AL320" i="7"/>
  <c r="AL321" i="7"/>
  <c r="AL322" i="7"/>
  <c r="AL323" i="7"/>
  <c r="AL324" i="7"/>
  <c r="AL325" i="7"/>
  <c r="AL326" i="7"/>
  <c r="AL327" i="7"/>
  <c r="AL328" i="7"/>
  <c r="AL329" i="7"/>
  <c r="AL330" i="7"/>
  <c r="AL331" i="7"/>
  <c r="AL332" i="7"/>
  <c r="AL333" i="7"/>
  <c r="AL334" i="7"/>
  <c r="AL335" i="7"/>
  <c r="AL336" i="7"/>
  <c r="AL337" i="7"/>
  <c r="AL338" i="7"/>
  <c r="AL339" i="7"/>
  <c r="AL340" i="7"/>
  <c r="AL341" i="7"/>
  <c r="AL342" i="7"/>
  <c r="AL343" i="7"/>
  <c r="AL344" i="7"/>
  <c r="AL345" i="7"/>
  <c r="AL346" i="7"/>
  <c r="AL347" i="7"/>
  <c r="AL348" i="7"/>
  <c r="AL349" i="7"/>
  <c r="AL350" i="7"/>
  <c r="AL351" i="7"/>
  <c r="AL352" i="7"/>
  <c r="AL353" i="7"/>
  <c r="AL354" i="7"/>
  <c r="AL355" i="7"/>
  <c r="AL356" i="7"/>
  <c r="AL357" i="7"/>
  <c r="AL358" i="7"/>
  <c r="AL359" i="7"/>
  <c r="AL360" i="7"/>
  <c r="AL361" i="7"/>
  <c r="AL362" i="7"/>
  <c r="AL363" i="7"/>
  <c r="AL364" i="7"/>
  <c r="AL365" i="7"/>
  <c r="AL366" i="7"/>
  <c r="AL367" i="7"/>
  <c r="AL368" i="7"/>
  <c r="AL369" i="7"/>
  <c r="AL370" i="7"/>
  <c r="AL371" i="7"/>
  <c r="AL372" i="7"/>
  <c r="AL373" i="7"/>
  <c r="AL374" i="7"/>
  <c r="AL375" i="7"/>
  <c r="AL376" i="7"/>
  <c r="AL377" i="7"/>
  <c r="AL378" i="7"/>
  <c r="AL379" i="7"/>
  <c r="AL380" i="7"/>
  <c r="AL381" i="7"/>
  <c r="AL382" i="7"/>
  <c r="AL383" i="7"/>
  <c r="AL384" i="7"/>
  <c r="AL385" i="7"/>
  <c r="AL386" i="7"/>
  <c r="AL387" i="7"/>
  <c r="AL388" i="7"/>
  <c r="AL389" i="7"/>
  <c r="AL390" i="7"/>
  <c r="AL391" i="7"/>
  <c r="AL392" i="7"/>
  <c r="AL393" i="7"/>
  <c r="AL394" i="7"/>
  <c r="AL395" i="7"/>
  <c r="AL396" i="7"/>
  <c r="AL397" i="7"/>
  <c r="AL398" i="7"/>
  <c r="AL399" i="7"/>
  <c r="AL400" i="7"/>
  <c r="AL401" i="7"/>
  <c r="AL402" i="7"/>
  <c r="AL403" i="7"/>
  <c r="AL404" i="7"/>
  <c r="AL405" i="7"/>
  <c r="AL406" i="7"/>
  <c r="AL407" i="7"/>
  <c r="AL408" i="7"/>
  <c r="AL409" i="7"/>
  <c r="AL410" i="7"/>
  <c r="AL411" i="7"/>
  <c r="AL412" i="7"/>
  <c r="AL413" i="7"/>
  <c r="AL414" i="7"/>
  <c r="AL415" i="7"/>
  <c r="AL416" i="7"/>
  <c r="AL417" i="7"/>
  <c r="AL418" i="7"/>
  <c r="AL419" i="7"/>
  <c r="AL420" i="7"/>
  <c r="AL421" i="7"/>
  <c r="AL422" i="7"/>
  <c r="AL423" i="7"/>
  <c r="AL424" i="7"/>
  <c r="AL425" i="7"/>
  <c r="AL426" i="7"/>
  <c r="AL427" i="7"/>
  <c r="AL428" i="7"/>
  <c r="AL429" i="7"/>
  <c r="AL430" i="7"/>
  <c r="AL431" i="7"/>
  <c r="AL432" i="7"/>
  <c r="AL433" i="7"/>
  <c r="AL434" i="7"/>
  <c r="AL435" i="7"/>
  <c r="AL436" i="7"/>
  <c r="AL437" i="7"/>
  <c r="AL438" i="7"/>
  <c r="AL439" i="7"/>
  <c r="AL440" i="7"/>
  <c r="AL441" i="7"/>
  <c r="AL442" i="7"/>
  <c r="AL443" i="7"/>
  <c r="AL444" i="7"/>
  <c r="AL445" i="7"/>
  <c r="AL446" i="7"/>
  <c r="AL447" i="7"/>
  <c r="AL448" i="7"/>
  <c r="AL449" i="7"/>
  <c r="AL450" i="7"/>
  <c r="AL451" i="7"/>
  <c r="AL452" i="7"/>
  <c r="AL453" i="7"/>
  <c r="AL454" i="7"/>
  <c r="AL455" i="7"/>
  <c r="AL456" i="7"/>
  <c r="AL457" i="7"/>
  <c r="AL458" i="7"/>
  <c r="AL459" i="7"/>
  <c r="AL460" i="7"/>
  <c r="AL461" i="7"/>
  <c r="AL462" i="7"/>
  <c r="AL463" i="7"/>
  <c r="AL464" i="7"/>
  <c r="AL465" i="7"/>
  <c r="AL466" i="7"/>
  <c r="AL467" i="7"/>
  <c r="AL468" i="7"/>
  <c r="AL469" i="7"/>
  <c r="AL470" i="7"/>
  <c r="AL471" i="7"/>
  <c r="AL472" i="7"/>
  <c r="AL473" i="7"/>
  <c r="AL474" i="7"/>
  <c r="AL475" i="7"/>
  <c r="AL476" i="7"/>
  <c r="AL477" i="7"/>
  <c r="AL478" i="7"/>
  <c r="AL479" i="7"/>
  <c r="AL480" i="7"/>
  <c r="AL481" i="7"/>
  <c r="AL482" i="7"/>
  <c r="AL483" i="7"/>
  <c r="AL484" i="7"/>
  <c r="AL485" i="7"/>
  <c r="AL486" i="7"/>
  <c r="AL487" i="7"/>
  <c r="AL488" i="7"/>
  <c r="AL489" i="7"/>
  <c r="AL490" i="7"/>
  <c r="AL491" i="7"/>
  <c r="AL492" i="7"/>
  <c r="AL493" i="7"/>
  <c r="AL494" i="7"/>
  <c r="AL495" i="7"/>
  <c r="AL496" i="7"/>
  <c r="AL497" i="7"/>
  <c r="AL498" i="7"/>
  <c r="AL499" i="7"/>
  <c r="AL500" i="7"/>
  <c r="AL501" i="7"/>
  <c r="AL502" i="7"/>
  <c r="AL503" i="7"/>
  <c r="AL504" i="7"/>
  <c r="AL505" i="7"/>
  <c r="AL506" i="7"/>
  <c r="AL507" i="7"/>
  <c r="AL508" i="7"/>
  <c r="AL509" i="7"/>
  <c r="AL510" i="7"/>
  <c r="AL511" i="7"/>
  <c r="AL512" i="7"/>
  <c r="AL513" i="7"/>
  <c r="AL514" i="7"/>
  <c r="AL515" i="7"/>
  <c r="AL516" i="7"/>
  <c r="AL517" i="7"/>
  <c r="AL518" i="7"/>
  <c r="AL519" i="7"/>
  <c r="AL520" i="7"/>
  <c r="AL521" i="7"/>
  <c r="AL522" i="7"/>
  <c r="AL523" i="7"/>
  <c r="AL524" i="7"/>
  <c r="AL525" i="7"/>
  <c r="AL526" i="7"/>
  <c r="AL527" i="7"/>
  <c r="AL528" i="7"/>
  <c r="AL529" i="7"/>
  <c r="AL530" i="7"/>
  <c r="AL531" i="7"/>
  <c r="AL532" i="7"/>
  <c r="AL533" i="7"/>
  <c r="AL534" i="7"/>
  <c r="AL535" i="7"/>
  <c r="AL536" i="7"/>
  <c r="AL537" i="7"/>
  <c r="AL538" i="7"/>
  <c r="AL539" i="7"/>
  <c r="AL540" i="7"/>
  <c r="AL541" i="7"/>
  <c r="AL542" i="7"/>
  <c r="AL543" i="7"/>
  <c r="AL544" i="7"/>
  <c r="AL545" i="7"/>
  <c r="AL546" i="7"/>
  <c r="AL547" i="7"/>
  <c r="AL548" i="7"/>
  <c r="AL549" i="7"/>
  <c r="AL550" i="7"/>
  <c r="AL551" i="7"/>
  <c r="AL552" i="7"/>
  <c r="AL553" i="7"/>
  <c r="AL554" i="7"/>
  <c r="AL555" i="7"/>
  <c r="AL556" i="7"/>
  <c r="AL557" i="7"/>
  <c r="AL558" i="7"/>
  <c r="AL559" i="7"/>
  <c r="AL560" i="7"/>
  <c r="AL561" i="7"/>
  <c r="AL562" i="7"/>
  <c r="AL563" i="7"/>
  <c r="AL564" i="7"/>
  <c r="AL565" i="7"/>
  <c r="AL566" i="7"/>
  <c r="AL567" i="7"/>
  <c r="AL568" i="7"/>
  <c r="AL569" i="7"/>
  <c r="AL570" i="7"/>
  <c r="AL571" i="7"/>
  <c r="AL572" i="7"/>
  <c r="AL573" i="7"/>
  <c r="AL574" i="7"/>
  <c r="AL575" i="7"/>
  <c r="AL576" i="7"/>
  <c r="AL577" i="7"/>
  <c r="AL578" i="7"/>
  <c r="AL579" i="7"/>
  <c r="AL580" i="7"/>
  <c r="AL581" i="7"/>
  <c r="AL582" i="7"/>
  <c r="AL583" i="7"/>
  <c r="AL584" i="7"/>
  <c r="AL585" i="7"/>
  <c r="AL586" i="7"/>
  <c r="AL587" i="7"/>
  <c r="AL588" i="7"/>
  <c r="AL589" i="7"/>
  <c r="AL590" i="7"/>
  <c r="AL591" i="7"/>
  <c r="AL592" i="7"/>
  <c r="AL593" i="7"/>
  <c r="AL594" i="7"/>
  <c r="AL595" i="7"/>
  <c r="AL596" i="7"/>
  <c r="AL597" i="7"/>
  <c r="AL598" i="7"/>
  <c r="AL599" i="7"/>
  <c r="AL600" i="7"/>
  <c r="AL601" i="7"/>
  <c r="AL602" i="7"/>
  <c r="AL603" i="7"/>
  <c r="AL604" i="7"/>
  <c r="AL605" i="7"/>
  <c r="AL606" i="7"/>
  <c r="AL607" i="7"/>
  <c r="AL608" i="7"/>
  <c r="AL609" i="7"/>
  <c r="AL610" i="7"/>
  <c r="AL611" i="7"/>
  <c r="AL612" i="7"/>
  <c r="AL613" i="7"/>
  <c r="AL614" i="7"/>
  <c r="AL615" i="7"/>
  <c r="AL616" i="7"/>
  <c r="AL617" i="7"/>
  <c r="AL618" i="7"/>
  <c r="AL619" i="7"/>
  <c r="AL620" i="7"/>
  <c r="AL621" i="7"/>
  <c r="AL622" i="7"/>
  <c r="AL623" i="7"/>
  <c r="AL624" i="7"/>
  <c r="AL625" i="7"/>
  <c r="AL626" i="7"/>
  <c r="AL627" i="7"/>
  <c r="AL628" i="7"/>
  <c r="AL629" i="7"/>
  <c r="AL630" i="7"/>
  <c r="AL631" i="7"/>
  <c r="AL632" i="7"/>
  <c r="AL633" i="7"/>
  <c r="AL634" i="7"/>
  <c r="AL635" i="7"/>
  <c r="AL636" i="7"/>
  <c r="AL637" i="7"/>
  <c r="AL638" i="7"/>
  <c r="AL639" i="7"/>
  <c r="AL640" i="7"/>
  <c r="AL641" i="7"/>
  <c r="AL642" i="7"/>
  <c r="AL643" i="7"/>
  <c r="AL644" i="7"/>
  <c r="AL645" i="7"/>
  <c r="AL646" i="7"/>
  <c r="AL647" i="7"/>
  <c r="AL648" i="7"/>
  <c r="AL649" i="7"/>
  <c r="AL650" i="7"/>
  <c r="AL651" i="7"/>
  <c r="AL652" i="7"/>
  <c r="AL653" i="7"/>
  <c r="AL654" i="7"/>
  <c r="AL655" i="7"/>
  <c r="AL656" i="7"/>
  <c r="AL657" i="7"/>
  <c r="AL658" i="7"/>
  <c r="AL659" i="7"/>
  <c r="AL660" i="7"/>
  <c r="AL661" i="7"/>
  <c r="AL662" i="7"/>
  <c r="AL663" i="7"/>
  <c r="AL664" i="7"/>
  <c r="AL665" i="7"/>
  <c r="AL666" i="7"/>
  <c r="AL667" i="7"/>
  <c r="AL668" i="7"/>
  <c r="AL669" i="7"/>
  <c r="AL670" i="7"/>
  <c r="AL671" i="7"/>
  <c r="AL672" i="7"/>
  <c r="AL673" i="7"/>
  <c r="AL674" i="7"/>
  <c r="AL675" i="7"/>
  <c r="AL676" i="7"/>
  <c r="AL677" i="7"/>
  <c r="AL678" i="7"/>
  <c r="AL679" i="7"/>
  <c r="AL680" i="7"/>
  <c r="AL681" i="7"/>
  <c r="AL682" i="7"/>
  <c r="AL683" i="7"/>
  <c r="AL684" i="7"/>
  <c r="AL685" i="7"/>
  <c r="AL686" i="7"/>
  <c r="AL687" i="7"/>
  <c r="AL688" i="7"/>
  <c r="AL689" i="7"/>
  <c r="AL690" i="7"/>
  <c r="AL691" i="7"/>
  <c r="AL692" i="7"/>
  <c r="AL693" i="7"/>
  <c r="AL694" i="7"/>
  <c r="AL695" i="7"/>
  <c r="AL696" i="7"/>
  <c r="AL697" i="7"/>
  <c r="AL698" i="7"/>
  <c r="AL699" i="7"/>
  <c r="AL700" i="7"/>
  <c r="AL701" i="7"/>
  <c r="AL702" i="7"/>
  <c r="AL703" i="7"/>
  <c r="AL704" i="7"/>
  <c r="AL705" i="7"/>
  <c r="AL706" i="7"/>
  <c r="AL707" i="7"/>
  <c r="AL708" i="7"/>
  <c r="AL709" i="7"/>
  <c r="AL710" i="7"/>
  <c r="AL711" i="7"/>
  <c r="AL712" i="7"/>
  <c r="AL713" i="7"/>
  <c r="AL714" i="7"/>
  <c r="AL715" i="7"/>
  <c r="AL716" i="7"/>
  <c r="AL717" i="7"/>
  <c r="AL718" i="7"/>
  <c r="AL719" i="7"/>
  <c r="AL720" i="7"/>
  <c r="AL721" i="7"/>
  <c r="AI2" i="7"/>
  <c r="AI3" i="7"/>
  <c r="AI4" i="7"/>
  <c r="AI5" i="7"/>
  <c r="AI6" i="7"/>
  <c r="AI7" i="7"/>
  <c r="AI8" i="7"/>
  <c r="AI9" i="7"/>
  <c r="AI10" i="7"/>
  <c r="AI11" i="7"/>
  <c r="AI12" i="7"/>
  <c r="AI13" i="7"/>
  <c r="AI14" i="7"/>
  <c r="AI15" i="7"/>
  <c r="AI16" i="7"/>
  <c r="AI17" i="7"/>
  <c r="AI18" i="7"/>
  <c r="AI19" i="7"/>
  <c r="AI20" i="7"/>
  <c r="AI21" i="7"/>
  <c r="AI22" i="7"/>
  <c r="AI23" i="7"/>
  <c r="AI24" i="7"/>
  <c r="AI25" i="7"/>
  <c r="AI26" i="7"/>
  <c r="AI27" i="7"/>
  <c r="AI28" i="7"/>
  <c r="AI29" i="7"/>
  <c r="AI30" i="7"/>
  <c r="AI31" i="7"/>
  <c r="AI32" i="7"/>
  <c r="AI33" i="7"/>
  <c r="AI34" i="7"/>
  <c r="AI35" i="7"/>
  <c r="AI36" i="7"/>
  <c r="AI37" i="7"/>
  <c r="AI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H2" i="7"/>
  <c r="AJ2" i="7" s="1"/>
  <c r="AH3" i="7"/>
  <c r="AJ3" i="7" s="1"/>
  <c r="AH4" i="7"/>
  <c r="AJ4" i="7" s="1"/>
  <c r="AH5" i="7"/>
  <c r="AJ5" i="7" s="1"/>
  <c r="AH6" i="7"/>
  <c r="AJ6" i="7" s="1"/>
  <c r="AH7" i="7"/>
  <c r="AJ7" i="7" s="1"/>
  <c r="AH8" i="7"/>
  <c r="AJ8" i="7" s="1"/>
  <c r="AH9" i="7"/>
  <c r="AJ9" i="7" s="1"/>
  <c r="AH10" i="7"/>
  <c r="AJ10" i="7" s="1"/>
  <c r="AH11" i="7"/>
  <c r="AJ11" i="7" s="1"/>
  <c r="AH12" i="7"/>
  <c r="AJ12" i="7" s="1"/>
  <c r="AH13" i="7"/>
  <c r="AJ13" i="7" s="1"/>
  <c r="AH14" i="7"/>
  <c r="AJ14" i="7" s="1"/>
  <c r="AH15" i="7"/>
  <c r="AJ15" i="7" s="1"/>
  <c r="AH16" i="7"/>
  <c r="AJ16" i="7" s="1"/>
  <c r="AH17" i="7"/>
  <c r="AJ17" i="7" s="1"/>
  <c r="AH18" i="7"/>
  <c r="AJ18" i="7" s="1"/>
  <c r="AH19" i="7"/>
  <c r="AJ19" i="7" s="1"/>
  <c r="AH20" i="7"/>
  <c r="AJ20" i="7" s="1"/>
  <c r="AH21" i="7"/>
  <c r="AJ21" i="7" s="1"/>
  <c r="AH22" i="7"/>
  <c r="AJ22" i="7" s="1"/>
  <c r="AH23" i="7"/>
  <c r="AJ23" i="7" s="1"/>
  <c r="AH24" i="7"/>
  <c r="AJ24" i="7" s="1"/>
  <c r="AH25" i="7"/>
  <c r="AJ25" i="7" s="1"/>
  <c r="AH26" i="7"/>
  <c r="AJ26" i="7" s="1"/>
  <c r="AH27" i="7"/>
  <c r="AJ27" i="7" s="1"/>
  <c r="AH28" i="7"/>
  <c r="AJ28" i="7" s="1"/>
  <c r="AH29" i="7"/>
  <c r="AJ29" i="7" s="1"/>
  <c r="AH30" i="7"/>
  <c r="AJ30" i="7" s="1"/>
  <c r="AH31" i="7"/>
  <c r="AJ31" i="7" s="1"/>
  <c r="AH32" i="7"/>
  <c r="AJ32" i="7" s="1"/>
  <c r="AH33" i="7"/>
  <c r="AJ33" i="7" s="1"/>
  <c r="AH34" i="7"/>
  <c r="AJ34" i="7" s="1"/>
  <c r="AH35" i="7"/>
  <c r="AJ35" i="7" s="1"/>
  <c r="AH36" i="7"/>
  <c r="AJ36" i="7" s="1"/>
  <c r="AH37" i="7"/>
  <c r="AJ37" i="7" s="1"/>
  <c r="AH38" i="7"/>
  <c r="AJ38" i="7" s="1"/>
  <c r="AH39" i="7"/>
  <c r="AJ39" i="7" s="1"/>
  <c r="AH40" i="7"/>
  <c r="AJ40" i="7" s="1"/>
  <c r="AH41" i="7"/>
  <c r="AJ41" i="7" s="1"/>
  <c r="AH42" i="7"/>
  <c r="AJ42" i="7" s="1"/>
  <c r="AH43" i="7"/>
  <c r="AJ43" i="7" s="1"/>
  <c r="AH44" i="7"/>
  <c r="AJ44" i="7" s="1"/>
  <c r="AH45" i="7"/>
  <c r="AJ45" i="7" s="1"/>
  <c r="AH46" i="7"/>
  <c r="AJ46" i="7" s="1"/>
  <c r="AH47" i="7"/>
  <c r="AJ47" i="7" s="1"/>
  <c r="AH48" i="7"/>
  <c r="AJ48" i="7" s="1"/>
  <c r="AH49" i="7"/>
  <c r="AJ49" i="7" s="1"/>
  <c r="AH50" i="7"/>
  <c r="AJ50" i="7" s="1"/>
  <c r="AH51" i="7"/>
  <c r="AJ51" i="7" s="1"/>
  <c r="AH52" i="7"/>
  <c r="AJ52" i="7" s="1"/>
  <c r="AH53" i="7"/>
  <c r="AJ53" i="7" s="1"/>
  <c r="AH54" i="7"/>
  <c r="AJ54" i="7" s="1"/>
  <c r="AH55" i="7"/>
  <c r="AJ55" i="7" s="1"/>
  <c r="AH56" i="7"/>
  <c r="AJ56" i="7" s="1"/>
  <c r="AH57" i="7"/>
  <c r="AJ57" i="7" s="1"/>
  <c r="AH58" i="7"/>
  <c r="AJ58" i="7" s="1"/>
  <c r="AH59" i="7"/>
  <c r="AJ59" i="7" s="1"/>
  <c r="AH60" i="7"/>
  <c r="AJ60" i="7" s="1"/>
  <c r="AH61" i="7"/>
  <c r="AJ61" i="7" s="1"/>
  <c r="AH62" i="7"/>
  <c r="AJ62" i="7" s="1"/>
  <c r="AH63" i="7"/>
  <c r="AJ63" i="7" s="1"/>
  <c r="AH64" i="7"/>
  <c r="AJ64" i="7" s="1"/>
  <c r="AH65" i="7"/>
  <c r="AJ65" i="7" s="1"/>
  <c r="AH66" i="7"/>
  <c r="AJ66" i="7" s="1"/>
  <c r="AH67" i="7"/>
  <c r="AJ67" i="7" s="1"/>
  <c r="AH68" i="7"/>
  <c r="AJ68" i="7" s="1"/>
  <c r="AH69" i="7"/>
  <c r="AJ69" i="7" s="1"/>
  <c r="AH70" i="7"/>
  <c r="AJ70" i="7" s="1"/>
  <c r="AH71" i="7"/>
  <c r="AJ71" i="7" s="1"/>
  <c r="AH72" i="7"/>
  <c r="AJ72" i="7" s="1"/>
  <c r="AH73" i="7"/>
  <c r="AJ73" i="7" s="1"/>
  <c r="AH74" i="7"/>
  <c r="AJ74" i="7" s="1"/>
  <c r="AH75" i="7"/>
  <c r="AJ75" i="7" s="1"/>
  <c r="AH76" i="7"/>
  <c r="AJ76" i="7" s="1"/>
  <c r="AH77" i="7"/>
  <c r="AJ77" i="7" s="1"/>
  <c r="AH78" i="7"/>
  <c r="AJ78" i="7" s="1"/>
  <c r="AH79" i="7"/>
  <c r="AJ79" i="7" s="1"/>
  <c r="AH80" i="7"/>
  <c r="AJ80" i="7" s="1"/>
  <c r="AH81" i="7"/>
  <c r="AJ81" i="7" s="1"/>
  <c r="AH82" i="7"/>
  <c r="AJ82" i="7" s="1"/>
  <c r="AH83" i="7"/>
  <c r="AJ83" i="7" s="1"/>
  <c r="AH84" i="7"/>
  <c r="AJ84" i="7" s="1"/>
  <c r="AH85" i="7"/>
  <c r="AJ85" i="7" s="1"/>
  <c r="AH86" i="7"/>
  <c r="AJ86" i="7" s="1"/>
  <c r="AH87" i="7"/>
  <c r="AJ87" i="7" s="1"/>
  <c r="AH88" i="7"/>
  <c r="AJ88" i="7" s="1"/>
  <c r="AH89" i="7"/>
  <c r="AJ89" i="7" s="1"/>
  <c r="AH90" i="7"/>
  <c r="AJ90" i="7" s="1"/>
  <c r="AH91" i="7"/>
  <c r="AJ91" i="7" s="1"/>
  <c r="AH92" i="7"/>
  <c r="AJ92" i="7" s="1"/>
  <c r="AH93" i="7"/>
  <c r="AJ93" i="7" s="1"/>
  <c r="AH94" i="7"/>
  <c r="AJ94" i="7" s="1"/>
  <c r="AH95" i="7"/>
  <c r="AJ95" i="7" s="1"/>
  <c r="AH96" i="7"/>
  <c r="AJ96" i="7" s="1"/>
  <c r="AH97" i="7"/>
  <c r="AJ97" i="7" s="1"/>
  <c r="AH98" i="7"/>
  <c r="AJ98" i="7" s="1"/>
  <c r="AH99" i="7"/>
  <c r="AJ99" i="7" s="1"/>
  <c r="AH100" i="7"/>
  <c r="AJ100" i="7" s="1"/>
  <c r="AH101" i="7"/>
  <c r="AJ101" i="7" s="1"/>
  <c r="AH102" i="7"/>
  <c r="AJ102" i="7" s="1"/>
  <c r="AH103" i="7"/>
  <c r="AJ103" i="7" s="1"/>
  <c r="AH104" i="7"/>
  <c r="AJ104" i="7" s="1"/>
  <c r="AH105" i="7"/>
  <c r="AJ105" i="7" s="1"/>
  <c r="AH106" i="7"/>
  <c r="AJ106" i="7" s="1"/>
  <c r="AH107" i="7"/>
  <c r="AJ107" i="7" s="1"/>
  <c r="AH108" i="7"/>
  <c r="AJ108" i="7" s="1"/>
  <c r="AH109" i="7"/>
  <c r="AJ109" i="7" s="1"/>
  <c r="AH110" i="7"/>
  <c r="AJ110" i="7" s="1"/>
  <c r="AH111" i="7"/>
  <c r="AJ111" i="7" s="1"/>
  <c r="AH112" i="7"/>
  <c r="AJ112" i="7" s="1"/>
  <c r="AH113" i="7"/>
  <c r="AJ113" i="7" s="1"/>
  <c r="AH114" i="7"/>
  <c r="AJ114" i="7" s="1"/>
  <c r="AH115" i="7"/>
  <c r="AJ115" i="7" s="1"/>
  <c r="AH116" i="7"/>
  <c r="AJ116" i="7" s="1"/>
  <c r="AH117" i="7"/>
  <c r="AJ117" i="7" s="1"/>
  <c r="AH118" i="7"/>
  <c r="AJ118" i="7" s="1"/>
  <c r="AH119" i="7"/>
  <c r="AJ119" i="7" s="1"/>
  <c r="AH120" i="7"/>
  <c r="AJ120" i="7" s="1"/>
  <c r="AH121" i="7"/>
  <c r="AJ121" i="7" s="1"/>
  <c r="AH122" i="7"/>
  <c r="AJ122" i="7" s="1"/>
  <c r="AH123" i="7"/>
  <c r="AJ123" i="7" s="1"/>
  <c r="AH124" i="7"/>
  <c r="AJ124" i="7" s="1"/>
  <c r="AH125" i="7"/>
  <c r="AJ125" i="7" s="1"/>
  <c r="AH126" i="7"/>
  <c r="AJ126" i="7" s="1"/>
  <c r="AH127" i="7"/>
  <c r="AJ127" i="7" s="1"/>
  <c r="AH128" i="7"/>
  <c r="AJ128" i="7" s="1"/>
  <c r="AH129" i="7"/>
  <c r="AJ129" i="7" s="1"/>
  <c r="AH130" i="7"/>
  <c r="AJ130" i="7" s="1"/>
  <c r="AH131" i="7"/>
  <c r="AJ131" i="7" s="1"/>
  <c r="AH132" i="7"/>
  <c r="AJ132" i="7" s="1"/>
  <c r="AH133" i="7"/>
  <c r="AJ133" i="7" s="1"/>
  <c r="AH134" i="7"/>
  <c r="AJ134" i="7" s="1"/>
  <c r="AH135" i="7"/>
  <c r="AJ135" i="7" s="1"/>
  <c r="AH136" i="7"/>
  <c r="AJ136" i="7" s="1"/>
  <c r="AH137" i="7"/>
  <c r="AJ137" i="7" s="1"/>
  <c r="AH138" i="7"/>
  <c r="AJ138" i="7" s="1"/>
  <c r="AH139" i="7"/>
  <c r="AJ139" i="7" s="1"/>
  <c r="AH140" i="7"/>
  <c r="AJ140" i="7" s="1"/>
  <c r="AH141" i="7"/>
  <c r="AJ141" i="7" s="1"/>
  <c r="AH142" i="7"/>
  <c r="AJ142" i="7" s="1"/>
  <c r="AH143" i="7"/>
  <c r="AJ143" i="7" s="1"/>
  <c r="AH144" i="7"/>
  <c r="AJ144" i="7" s="1"/>
  <c r="AH145" i="7"/>
  <c r="AJ145" i="7" s="1"/>
  <c r="AH146" i="7"/>
  <c r="AJ146" i="7" s="1"/>
  <c r="AH147" i="7"/>
  <c r="AJ147" i="7" s="1"/>
  <c r="AH148" i="7"/>
  <c r="AJ148" i="7" s="1"/>
  <c r="AH149" i="7"/>
  <c r="AJ149" i="7" s="1"/>
  <c r="AH150" i="7"/>
  <c r="AJ150" i="7" s="1"/>
  <c r="AH151" i="7"/>
  <c r="AJ151" i="7" s="1"/>
  <c r="AH152" i="7"/>
  <c r="AJ152" i="7" s="1"/>
  <c r="AH153" i="7"/>
  <c r="AJ153" i="7" s="1"/>
  <c r="AH154" i="7"/>
  <c r="AJ154" i="7" s="1"/>
  <c r="AH155" i="7"/>
  <c r="AJ155" i="7" s="1"/>
  <c r="AH156" i="7"/>
  <c r="AJ156" i="7" s="1"/>
  <c r="AH157" i="7"/>
  <c r="AJ157" i="7" s="1"/>
  <c r="AH158" i="7"/>
  <c r="AJ158" i="7" s="1"/>
  <c r="AH159" i="7"/>
  <c r="AJ159" i="7" s="1"/>
  <c r="AH160" i="7"/>
  <c r="AJ160" i="7" s="1"/>
  <c r="AH161" i="7"/>
  <c r="AJ161" i="7" s="1"/>
  <c r="AH162" i="7"/>
  <c r="AJ162" i="7" s="1"/>
  <c r="AH163" i="7"/>
  <c r="AJ163" i="7" s="1"/>
  <c r="AH164" i="7"/>
  <c r="AJ164" i="7" s="1"/>
  <c r="AH165" i="7"/>
  <c r="AJ165" i="7" s="1"/>
  <c r="AH166" i="7"/>
  <c r="AJ166" i="7" s="1"/>
  <c r="AH167" i="7"/>
  <c r="AJ167" i="7" s="1"/>
  <c r="AH168" i="7"/>
  <c r="AJ168" i="7" s="1"/>
  <c r="AH169" i="7"/>
  <c r="AJ169" i="7" s="1"/>
  <c r="AH170" i="7"/>
  <c r="AJ170" i="7" s="1"/>
  <c r="AH171" i="7"/>
  <c r="AJ171" i="7" s="1"/>
  <c r="AH172" i="7"/>
  <c r="AJ172" i="7" s="1"/>
  <c r="AH173" i="7"/>
  <c r="AJ173" i="7" s="1"/>
  <c r="AH174" i="7"/>
  <c r="AJ174" i="7" s="1"/>
  <c r="AH175" i="7"/>
  <c r="AJ175" i="7" s="1"/>
  <c r="AH176" i="7"/>
  <c r="AJ176" i="7" s="1"/>
  <c r="AH177" i="7"/>
  <c r="AJ177" i="7" s="1"/>
  <c r="AH178" i="7"/>
  <c r="AJ178" i="7" s="1"/>
  <c r="AH179" i="7"/>
  <c r="AJ179" i="7" s="1"/>
  <c r="AH180" i="7"/>
  <c r="AJ180" i="7" s="1"/>
  <c r="AH181" i="7"/>
  <c r="AJ181" i="7" s="1"/>
  <c r="AH182" i="7"/>
  <c r="AJ182" i="7" s="1"/>
  <c r="AH183" i="7"/>
  <c r="AJ183" i="7" s="1"/>
  <c r="AH184" i="7"/>
  <c r="AJ184" i="7" s="1"/>
  <c r="AH185" i="7"/>
  <c r="AJ185" i="7" s="1"/>
  <c r="AH186" i="7"/>
  <c r="AJ186" i="7" s="1"/>
  <c r="AH187" i="7"/>
  <c r="AJ187" i="7" s="1"/>
  <c r="AH188" i="7"/>
  <c r="AJ188" i="7" s="1"/>
  <c r="AH189" i="7"/>
  <c r="AJ189" i="7" s="1"/>
  <c r="AH190" i="7"/>
  <c r="AJ190" i="7" s="1"/>
  <c r="AH191" i="7"/>
  <c r="AJ191" i="7" s="1"/>
  <c r="AH192" i="7"/>
  <c r="AJ192" i="7" s="1"/>
  <c r="AH193" i="7"/>
  <c r="AJ193" i="7" s="1"/>
  <c r="AH194" i="7"/>
  <c r="AJ194" i="7" s="1"/>
  <c r="AH195" i="7"/>
  <c r="AJ195" i="7" s="1"/>
  <c r="AH196" i="7"/>
  <c r="AJ196" i="7" s="1"/>
  <c r="AH197" i="7"/>
  <c r="AJ197" i="7" s="1"/>
  <c r="AH198" i="7"/>
  <c r="AJ198" i="7" s="1"/>
  <c r="AH199" i="7"/>
  <c r="AJ199" i="7" s="1"/>
  <c r="AH200" i="7"/>
  <c r="AJ200" i="7" s="1"/>
  <c r="AH201" i="7"/>
  <c r="AJ201" i="7" s="1"/>
  <c r="AH202" i="7"/>
  <c r="AJ202" i="7" s="1"/>
  <c r="AH203" i="7"/>
  <c r="AJ203" i="7" s="1"/>
  <c r="AH204" i="7"/>
  <c r="AJ204" i="7" s="1"/>
  <c r="AH205" i="7"/>
  <c r="AJ205" i="7" s="1"/>
  <c r="AH206" i="7"/>
  <c r="AJ206" i="7" s="1"/>
  <c r="AH207" i="7"/>
  <c r="AJ207" i="7" s="1"/>
  <c r="AH208" i="7"/>
  <c r="AJ208" i="7" s="1"/>
  <c r="AH209" i="7"/>
  <c r="AJ209" i="7" s="1"/>
  <c r="AH210" i="7"/>
  <c r="AJ210" i="7" s="1"/>
  <c r="AH211" i="7"/>
  <c r="AJ211" i="7" s="1"/>
  <c r="AH212" i="7"/>
  <c r="AJ212" i="7" s="1"/>
  <c r="AH213" i="7"/>
  <c r="AJ213" i="7" s="1"/>
  <c r="AH214" i="7"/>
  <c r="AJ214" i="7" s="1"/>
  <c r="AH215" i="7"/>
  <c r="AJ215" i="7" s="1"/>
  <c r="AH216" i="7"/>
  <c r="AJ216" i="7" s="1"/>
  <c r="AH217" i="7"/>
  <c r="AJ217" i="7" s="1"/>
  <c r="AH218" i="7"/>
  <c r="AJ218" i="7" s="1"/>
  <c r="AH219" i="7"/>
  <c r="AJ219" i="7" s="1"/>
  <c r="AH220" i="7"/>
  <c r="AJ220" i="7" s="1"/>
  <c r="AH221" i="7"/>
  <c r="AJ221" i="7" s="1"/>
  <c r="AH222" i="7"/>
  <c r="AJ222" i="7" s="1"/>
  <c r="AH223" i="7"/>
  <c r="AJ223" i="7" s="1"/>
  <c r="AH224" i="7"/>
  <c r="AJ224" i="7" s="1"/>
  <c r="AH225" i="7"/>
  <c r="AJ225" i="7" s="1"/>
  <c r="AH226" i="7"/>
  <c r="AJ226" i="7" s="1"/>
  <c r="AH227" i="7"/>
  <c r="AJ227" i="7" s="1"/>
  <c r="AH228" i="7"/>
  <c r="AJ228" i="7" s="1"/>
  <c r="AH229" i="7"/>
  <c r="AJ229" i="7" s="1"/>
  <c r="AH230" i="7"/>
  <c r="AJ230" i="7" s="1"/>
  <c r="AH231" i="7"/>
  <c r="AJ231" i="7" s="1"/>
  <c r="AH232" i="7"/>
  <c r="AJ232" i="7" s="1"/>
  <c r="AH233" i="7"/>
  <c r="AJ233" i="7" s="1"/>
  <c r="AH234" i="7"/>
  <c r="AJ234" i="7" s="1"/>
  <c r="AH235" i="7"/>
  <c r="AJ235" i="7" s="1"/>
  <c r="AH236" i="7"/>
  <c r="AJ236" i="7" s="1"/>
  <c r="AH237" i="7"/>
  <c r="AJ237" i="7" s="1"/>
  <c r="AH238" i="7"/>
  <c r="AJ238" i="7" s="1"/>
  <c r="AH239" i="7"/>
  <c r="AJ239" i="7" s="1"/>
  <c r="AH240" i="7"/>
  <c r="AJ240" i="7" s="1"/>
  <c r="AH241" i="7"/>
  <c r="AJ241" i="7" s="1"/>
  <c r="AH242" i="7"/>
  <c r="AJ242" i="7" s="1"/>
  <c r="AH243" i="7"/>
  <c r="AJ243" i="7" s="1"/>
  <c r="AH244" i="7"/>
  <c r="AJ244" i="7" s="1"/>
  <c r="AH245" i="7"/>
  <c r="AJ245" i="7" s="1"/>
  <c r="AH246" i="7"/>
  <c r="AJ246" i="7" s="1"/>
  <c r="AH247" i="7"/>
  <c r="AJ247" i="7" s="1"/>
  <c r="AH248" i="7"/>
  <c r="AJ248" i="7" s="1"/>
  <c r="AH249" i="7"/>
  <c r="AJ249" i="7" s="1"/>
  <c r="AH250" i="7"/>
  <c r="AJ250" i="7" s="1"/>
  <c r="AH251" i="7"/>
  <c r="AJ251" i="7" s="1"/>
  <c r="AH252" i="7"/>
  <c r="AJ252" i="7" s="1"/>
  <c r="AH253" i="7"/>
  <c r="AJ253" i="7" s="1"/>
  <c r="AH254" i="7"/>
  <c r="AJ254" i="7" s="1"/>
  <c r="AH255" i="7"/>
  <c r="AJ255" i="7" s="1"/>
  <c r="AH256" i="7"/>
  <c r="AJ256" i="7" s="1"/>
  <c r="AH257" i="7"/>
  <c r="AJ257" i="7" s="1"/>
  <c r="AH258" i="7"/>
  <c r="AJ258" i="7" s="1"/>
  <c r="AH259" i="7"/>
  <c r="AJ259" i="7" s="1"/>
  <c r="AH260" i="7"/>
  <c r="AJ260" i="7" s="1"/>
  <c r="AH261" i="7"/>
  <c r="AJ261" i="7" s="1"/>
  <c r="AH262" i="7"/>
  <c r="AJ262" i="7" s="1"/>
  <c r="AH263" i="7"/>
  <c r="AJ263" i="7" s="1"/>
  <c r="AH264" i="7"/>
  <c r="AJ264" i="7" s="1"/>
  <c r="AH265" i="7"/>
  <c r="AJ265" i="7" s="1"/>
  <c r="AH266" i="7"/>
  <c r="AJ266" i="7" s="1"/>
  <c r="AH267" i="7"/>
  <c r="AJ267" i="7" s="1"/>
  <c r="AH268" i="7"/>
  <c r="AJ268" i="7" s="1"/>
  <c r="AH269" i="7"/>
  <c r="AJ269" i="7" s="1"/>
  <c r="AH270" i="7"/>
  <c r="AJ270" i="7" s="1"/>
  <c r="AH271" i="7"/>
  <c r="AJ271" i="7" s="1"/>
  <c r="AH272" i="7"/>
  <c r="AJ272" i="7" s="1"/>
  <c r="AH273" i="7"/>
  <c r="AJ273" i="7" s="1"/>
  <c r="AH274" i="7"/>
  <c r="AJ274" i="7" s="1"/>
  <c r="AH275" i="7"/>
  <c r="AJ275" i="7" s="1"/>
  <c r="AH276" i="7"/>
  <c r="AJ276" i="7" s="1"/>
  <c r="AH277" i="7"/>
  <c r="AJ277" i="7" s="1"/>
  <c r="AH278" i="7"/>
  <c r="AJ278" i="7" s="1"/>
  <c r="AH279" i="7"/>
  <c r="AJ279" i="7" s="1"/>
  <c r="AH280" i="7"/>
  <c r="AJ280" i="7" s="1"/>
  <c r="AH281" i="7"/>
  <c r="AJ281" i="7" s="1"/>
  <c r="AH282" i="7"/>
  <c r="AJ282" i="7" s="1"/>
  <c r="AH283" i="7"/>
  <c r="AJ283" i="7" s="1"/>
  <c r="AH284" i="7"/>
  <c r="AJ284" i="7" s="1"/>
  <c r="AH285" i="7"/>
  <c r="AJ285" i="7" s="1"/>
  <c r="AH286" i="7"/>
  <c r="AJ286" i="7" s="1"/>
  <c r="AH287" i="7"/>
  <c r="AJ287" i="7" s="1"/>
  <c r="AH288" i="7"/>
  <c r="AJ288" i="7" s="1"/>
  <c r="AH289" i="7"/>
  <c r="AJ289" i="7" s="1"/>
  <c r="AH290" i="7"/>
  <c r="AJ290" i="7" s="1"/>
  <c r="AH291" i="7"/>
  <c r="AJ291" i="7" s="1"/>
  <c r="AH292" i="7"/>
  <c r="AJ292" i="7" s="1"/>
  <c r="AH293" i="7"/>
  <c r="AJ293" i="7" s="1"/>
  <c r="AH294" i="7"/>
  <c r="AJ294" i="7" s="1"/>
  <c r="AH295" i="7"/>
  <c r="AJ295" i="7" s="1"/>
  <c r="AH296" i="7"/>
  <c r="AJ296" i="7" s="1"/>
  <c r="AH297" i="7"/>
  <c r="AJ297" i="7" s="1"/>
  <c r="AH298" i="7"/>
  <c r="AJ298" i="7" s="1"/>
  <c r="AH299" i="7"/>
  <c r="AJ299" i="7" s="1"/>
  <c r="AH300" i="7"/>
  <c r="AJ300" i="7" s="1"/>
  <c r="AH301" i="7"/>
  <c r="AJ301" i="7" s="1"/>
  <c r="AH302" i="7"/>
  <c r="AJ302" i="7" s="1"/>
  <c r="AH303" i="7"/>
  <c r="AJ303" i="7" s="1"/>
  <c r="AH304" i="7"/>
  <c r="AJ304" i="7" s="1"/>
  <c r="AH305" i="7"/>
  <c r="AJ305" i="7" s="1"/>
  <c r="AH306" i="7"/>
  <c r="AJ306" i="7" s="1"/>
  <c r="AH307" i="7"/>
  <c r="AJ307" i="7" s="1"/>
  <c r="AH308" i="7"/>
  <c r="AJ308" i="7" s="1"/>
  <c r="AH309" i="7"/>
  <c r="AJ309" i="7" s="1"/>
  <c r="AH310" i="7"/>
  <c r="AJ310" i="7" s="1"/>
  <c r="AH311" i="7"/>
  <c r="AJ311" i="7" s="1"/>
  <c r="AH312" i="7"/>
  <c r="AJ312" i="7" s="1"/>
  <c r="AH313" i="7"/>
  <c r="AJ313" i="7" s="1"/>
  <c r="AH314" i="7"/>
  <c r="AJ314" i="7" s="1"/>
  <c r="AH315" i="7"/>
  <c r="AJ315" i="7" s="1"/>
  <c r="AH316" i="7"/>
  <c r="AJ316" i="7" s="1"/>
  <c r="AH317" i="7"/>
  <c r="AJ317" i="7" s="1"/>
  <c r="AH318" i="7"/>
  <c r="AJ318" i="7" s="1"/>
  <c r="AH319" i="7"/>
  <c r="AJ319" i="7" s="1"/>
  <c r="AH320" i="7"/>
  <c r="AJ320" i="7" s="1"/>
  <c r="AH321" i="7"/>
  <c r="AJ321" i="7" s="1"/>
  <c r="AH322" i="7"/>
  <c r="AJ322" i="7" s="1"/>
  <c r="AH323" i="7"/>
  <c r="AJ323" i="7" s="1"/>
  <c r="AH324" i="7"/>
  <c r="AJ324" i="7" s="1"/>
  <c r="AH325" i="7"/>
  <c r="AJ325" i="7" s="1"/>
  <c r="AH326" i="7"/>
  <c r="AJ326" i="7" s="1"/>
  <c r="AH327" i="7"/>
  <c r="AJ327" i="7" s="1"/>
  <c r="AH328" i="7"/>
  <c r="AJ328" i="7" s="1"/>
  <c r="AH329" i="7"/>
  <c r="AJ329" i="7" s="1"/>
  <c r="AH330" i="7"/>
  <c r="AJ330" i="7" s="1"/>
  <c r="AH331" i="7"/>
  <c r="AJ331" i="7" s="1"/>
  <c r="AH332" i="7"/>
  <c r="AJ332" i="7" s="1"/>
  <c r="AH333" i="7"/>
  <c r="AJ333" i="7" s="1"/>
  <c r="AH334" i="7"/>
  <c r="AJ334" i="7" s="1"/>
  <c r="AH335" i="7"/>
  <c r="AJ335" i="7" s="1"/>
  <c r="AH336" i="7"/>
  <c r="AJ336" i="7" s="1"/>
  <c r="AH337" i="7"/>
  <c r="AJ337" i="7" s="1"/>
  <c r="AH338" i="7"/>
  <c r="AJ338" i="7" s="1"/>
  <c r="AH339" i="7"/>
  <c r="AJ339" i="7" s="1"/>
  <c r="AH340" i="7"/>
  <c r="AJ340" i="7" s="1"/>
  <c r="AH341" i="7"/>
  <c r="AJ341" i="7" s="1"/>
  <c r="AH342" i="7"/>
  <c r="AJ342" i="7" s="1"/>
  <c r="AH343" i="7"/>
  <c r="AJ343" i="7" s="1"/>
  <c r="AH344" i="7"/>
  <c r="AJ344" i="7" s="1"/>
  <c r="AH345" i="7"/>
  <c r="AJ345" i="7" s="1"/>
  <c r="AH346" i="7"/>
  <c r="AJ346" i="7" s="1"/>
  <c r="AH347" i="7"/>
  <c r="AJ347" i="7" s="1"/>
  <c r="AH348" i="7"/>
  <c r="AJ348" i="7" s="1"/>
  <c r="AH349" i="7"/>
  <c r="AJ349" i="7" s="1"/>
  <c r="AH350" i="7"/>
  <c r="AJ350" i="7" s="1"/>
  <c r="AH351" i="7"/>
  <c r="AJ351" i="7" s="1"/>
  <c r="AH352" i="7"/>
  <c r="AJ352" i="7" s="1"/>
  <c r="AH353" i="7"/>
  <c r="AJ353" i="7" s="1"/>
  <c r="AH354" i="7"/>
  <c r="AJ354" i="7" s="1"/>
  <c r="AH355" i="7"/>
  <c r="AJ355" i="7" s="1"/>
  <c r="AH356" i="7"/>
  <c r="AJ356" i="7" s="1"/>
  <c r="AH357" i="7"/>
  <c r="AJ357" i="7" s="1"/>
  <c r="AH358" i="7"/>
  <c r="AJ358" i="7" s="1"/>
  <c r="AH359" i="7"/>
  <c r="AJ359" i="7" s="1"/>
  <c r="AH360" i="7"/>
  <c r="AJ360" i="7" s="1"/>
  <c r="AH361" i="7"/>
  <c r="AJ361" i="7" s="1"/>
  <c r="AH362" i="7"/>
  <c r="AJ362" i="7" s="1"/>
  <c r="AH363" i="7"/>
  <c r="AJ363" i="7" s="1"/>
  <c r="AH364" i="7"/>
  <c r="AJ364" i="7" s="1"/>
  <c r="AH365" i="7"/>
  <c r="AJ365" i="7" s="1"/>
  <c r="AH366" i="7"/>
  <c r="AJ366" i="7" s="1"/>
  <c r="AH367" i="7"/>
  <c r="AJ367" i="7" s="1"/>
  <c r="AH368" i="7"/>
  <c r="AJ368" i="7" s="1"/>
  <c r="AH369" i="7"/>
  <c r="AJ369" i="7" s="1"/>
  <c r="AH370" i="7"/>
  <c r="AJ370" i="7" s="1"/>
  <c r="AH371" i="7"/>
  <c r="AJ371" i="7" s="1"/>
  <c r="AH372" i="7"/>
  <c r="AJ372" i="7" s="1"/>
  <c r="AH373" i="7"/>
  <c r="AJ373" i="7" s="1"/>
  <c r="AH374" i="7"/>
  <c r="AJ374" i="7" s="1"/>
  <c r="AH375" i="7"/>
  <c r="AJ375" i="7" s="1"/>
  <c r="AH376" i="7"/>
  <c r="AJ376" i="7" s="1"/>
  <c r="AH377" i="7"/>
  <c r="AJ377" i="7" s="1"/>
  <c r="AH378" i="7"/>
  <c r="AJ378" i="7" s="1"/>
  <c r="AH379" i="7"/>
  <c r="AJ379" i="7" s="1"/>
  <c r="AH380" i="7"/>
  <c r="AJ380" i="7" s="1"/>
  <c r="AH381" i="7"/>
  <c r="AJ381" i="7" s="1"/>
  <c r="AH382" i="7"/>
  <c r="AJ382" i="7" s="1"/>
  <c r="AH383" i="7"/>
  <c r="AJ383" i="7" s="1"/>
  <c r="AH384" i="7"/>
  <c r="AJ384" i="7" s="1"/>
  <c r="AH385" i="7"/>
  <c r="AJ385" i="7" s="1"/>
  <c r="AH386" i="7"/>
  <c r="AJ386" i="7" s="1"/>
  <c r="AH387" i="7"/>
  <c r="AJ387" i="7" s="1"/>
  <c r="AH388" i="7"/>
  <c r="AJ388" i="7" s="1"/>
  <c r="AH389" i="7"/>
  <c r="AJ389" i="7" s="1"/>
  <c r="AH390" i="7"/>
  <c r="AJ390" i="7" s="1"/>
  <c r="AH391" i="7"/>
  <c r="AJ391" i="7" s="1"/>
  <c r="AH392" i="7"/>
  <c r="AJ392" i="7" s="1"/>
  <c r="AH393" i="7"/>
  <c r="AJ393" i="7" s="1"/>
  <c r="AH394" i="7"/>
  <c r="AJ394" i="7" s="1"/>
  <c r="AH395" i="7"/>
  <c r="AJ395" i="7" s="1"/>
  <c r="AH396" i="7"/>
  <c r="AJ396" i="7" s="1"/>
  <c r="AH397" i="7"/>
  <c r="AJ397" i="7" s="1"/>
  <c r="AH398" i="7"/>
  <c r="AJ398" i="7" s="1"/>
  <c r="AH399" i="7"/>
  <c r="AJ399" i="7" s="1"/>
  <c r="AH400" i="7"/>
  <c r="AJ400" i="7" s="1"/>
  <c r="AH401" i="7"/>
  <c r="AJ401" i="7" s="1"/>
  <c r="AH402" i="7"/>
  <c r="AJ402" i="7" s="1"/>
  <c r="AH403" i="7"/>
  <c r="AJ403" i="7" s="1"/>
  <c r="AH404" i="7"/>
  <c r="AJ404" i="7" s="1"/>
  <c r="AH405" i="7"/>
  <c r="AJ405" i="7" s="1"/>
  <c r="AH406" i="7"/>
  <c r="AJ406" i="7" s="1"/>
  <c r="AH407" i="7"/>
  <c r="AJ407" i="7" s="1"/>
  <c r="AH408" i="7"/>
  <c r="AJ408" i="7" s="1"/>
  <c r="AH409" i="7"/>
  <c r="AJ409" i="7" s="1"/>
  <c r="AH410" i="7"/>
  <c r="AJ410" i="7" s="1"/>
  <c r="AH411" i="7"/>
  <c r="AJ411" i="7" s="1"/>
  <c r="AH412" i="7"/>
  <c r="AJ412" i="7" s="1"/>
  <c r="AH413" i="7"/>
  <c r="AJ413" i="7" s="1"/>
  <c r="AH414" i="7"/>
  <c r="AJ414" i="7" s="1"/>
  <c r="AH415" i="7"/>
  <c r="AJ415" i="7" s="1"/>
  <c r="AH416" i="7"/>
  <c r="AJ416" i="7" s="1"/>
  <c r="AH417" i="7"/>
  <c r="AJ417" i="7" s="1"/>
  <c r="AH418" i="7"/>
  <c r="AJ418" i="7" s="1"/>
  <c r="AH419" i="7"/>
  <c r="AJ419" i="7" s="1"/>
  <c r="AH420" i="7"/>
  <c r="AJ420" i="7" s="1"/>
  <c r="AH421" i="7"/>
  <c r="AJ421" i="7" s="1"/>
  <c r="AH422" i="7"/>
  <c r="AJ422" i="7" s="1"/>
  <c r="AH423" i="7"/>
  <c r="AJ423" i="7" s="1"/>
  <c r="AH424" i="7"/>
  <c r="AJ424" i="7" s="1"/>
  <c r="AH425" i="7"/>
  <c r="AJ425" i="7" s="1"/>
  <c r="AH426" i="7"/>
  <c r="AJ426" i="7" s="1"/>
  <c r="AH427" i="7"/>
  <c r="AJ427" i="7" s="1"/>
  <c r="AH428" i="7"/>
  <c r="AJ428" i="7" s="1"/>
  <c r="AH429" i="7"/>
  <c r="AJ429" i="7" s="1"/>
  <c r="AH430" i="7"/>
  <c r="AJ430" i="7" s="1"/>
  <c r="AH431" i="7"/>
  <c r="AJ431" i="7" s="1"/>
  <c r="AH432" i="7"/>
  <c r="AJ432" i="7" s="1"/>
  <c r="AH433" i="7"/>
  <c r="AJ433" i="7" s="1"/>
  <c r="AH434" i="7"/>
  <c r="AJ434" i="7" s="1"/>
  <c r="AH435" i="7"/>
  <c r="AJ435" i="7" s="1"/>
  <c r="AH436" i="7"/>
  <c r="AJ436" i="7" s="1"/>
  <c r="AH437" i="7"/>
  <c r="AJ437" i="7" s="1"/>
  <c r="AH438" i="7"/>
  <c r="AJ438" i="7" s="1"/>
  <c r="AH439" i="7"/>
  <c r="AJ439" i="7" s="1"/>
  <c r="AH440" i="7"/>
  <c r="AJ440" i="7" s="1"/>
  <c r="AH441" i="7"/>
  <c r="AJ441" i="7" s="1"/>
  <c r="AH442" i="7"/>
  <c r="AJ442" i="7" s="1"/>
  <c r="AH443" i="7"/>
  <c r="AJ443" i="7" s="1"/>
  <c r="AH444" i="7"/>
  <c r="AJ444" i="7" s="1"/>
  <c r="AH445" i="7"/>
  <c r="AJ445" i="7" s="1"/>
  <c r="AH446" i="7"/>
  <c r="AJ446" i="7" s="1"/>
  <c r="AH447" i="7"/>
  <c r="AJ447" i="7" s="1"/>
  <c r="AH448" i="7"/>
  <c r="AJ448" i="7" s="1"/>
  <c r="AH449" i="7"/>
  <c r="AJ449" i="7" s="1"/>
  <c r="AH450" i="7"/>
  <c r="AJ450" i="7" s="1"/>
  <c r="AH451" i="7"/>
  <c r="AJ451" i="7" s="1"/>
  <c r="AH452" i="7"/>
  <c r="AJ452" i="7" s="1"/>
  <c r="AH453" i="7"/>
  <c r="AJ453" i="7" s="1"/>
  <c r="AH454" i="7"/>
  <c r="AJ454" i="7" s="1"/>
  <c r="AH455" i="7"/>
  <c r="AJ455" i="7" s="1"/>
  <c r="AH456" i="7"/>
  <c r="AJ456" i="7" s="1"/>
  <c r="AH457" i="7"/>
  <c r="AJ457" i="7" s="1"/>
  <c r="AH458" i="7"/>
  <c r="AJ458" i="7" s="1"/>
  <c r="AH459" i="7"/>
  <c r="AJ459" i="7" s="1"/>
  <c r="AH460" i="7"/>
  <c r="AJ460" i="7" s="1"/>
  <c r="AH461" i="7"/>
  <c r="AJ461" i="7" s="1"/>
  <c r="AH462" i="7"/>
  <c r="AJ462" i="7" s="1"/>
  <c r="AH463" i="7"/>
  <c r="AJ463" i="7" s="1"/>
  <c r="AH464" i="7"/>
  <c r="AJ464" i="7" s="1"/>
  <c r="AH465" i="7"/>
  <c r="AJ465" i="7" s="1"/>
  <c r="AH466" i="7"/>
  <c r="AJ466" i="7" s="1"/>
  <c r="AH467" i="7"/>
  <c r="AJ467" i="7" s="1"/>
  <c r="AH468" i="7"/>
  <c r="AJ468" i="7" s="1"/>
  <c r="AH469" i="7"/>
  <c r="AJ469" i="7" s="1"/>
  <c r="AH470" i="7"/>
  <c r="AJ470" i="7" s="1"/>
  <c r="AH471" i="7"/>
  <c r="AJ471" i="7" s="1"/>
  <c r="AH472" i="7"/>
  <c r="AJ472" i="7" s="1"/>
  <c r="AH473" i="7"/>
  <c r="AJ473" i="7" s="1"/>
  <c r="AH474" i="7"/>
  <c r="AJ474" i="7" s="1"/>
  <c r="AH475" i="7"/>
  <c r="AJ475" i="7" s="1"/>
  <c r="AH476" i="7"/>
  <c r="AJ476" i="7" s="1"/>
  <c r="AH477" i="7"/>
  <c r="AJ477" i="7" s="1"/>
  <c r="AH478" i="7"/>
  <c r="AJ478" i="7" s="1"/>
  <c r="AH479" i="7"/>
  <c r="AJ479" i="7" s="1"/>
  <c r="AH480" i="7"/>
  <c r="AJ480" i="7" s="1"/>
  <c r="AH481" i="7"/>
  <c r="AJ481" i="7" s="1"/>
  <c r="AH482" i="7"/>
  <c r="AJ482" i="7" s="1"/>
  <c r="AH483" i="7"/>
  <c r="AJ483" i="7" s="1"/>
  <c r="AH484" i="7"/>
  <c r="AJ484" i="7" s="1"/>
  <c r="AH485" i="7"/>
  <c r="AJ485" i="7" s="1"/>
  <c r="AH486" i="7"/>
  <c r="AJ486" i="7" s="1"/>
  <c r="AH487" i="7"/>
  <c r="AJ487" i="7" s="1"/>
  <c r="AH488" i="7"/>
  <c r="AJ488" i="7" s="1"/>
  <c r="AH489" i="7"/>
  <c r="AJ489" i="7" s="1"/>
  <c r="AH490" i="7"/>
  <c r="AJ490" i="7" s="1"/>
  <c r="AH491" i="7"/>
  <c r="AJ491" i="7" s="1"/>
  <c r="AH492" i="7"/>
  <c r="AJ492" i="7" s="1"/>
  <c r="AH493" i="7"/>
  <c r="AJ493" i="7" s="1"/>
  <c r="AH494" i="7"/>
  <c r="AJ494" i="7" s="1"/>
  <c r="AH495" i="7"/>
  <c r="AJ495" i="7" s="1"/>
  <c r="AH496" i="7"/>
  <c r="AJ496" i="7" s="1"/>
  <c r="AH497" i="7"/>
  <c r="AJ497" i="7" s="1"/>
  <c r="AH498" i="7"/>
  <c r="AJ498" i="7" s="1"/>
  <c r="AH499" i="7"/>
  <c r="AJ499" i="7" s="1"/>
  <c r="AH500" i="7"/>
  <c r="AJ500" i="7" s="1"/>
  <c r="AH501" i="7"/>
  <c r="AJ501" i="7" s="1"/>
  <c r="AH502" i="7"/>
  <c r="AJ502" i="7" s="1"/>
  <c r="AH503" i="7"/>
  <c r="AJ503" i="7" s="1"/>
  <c r="AH504" i="7"/>
  <c r="AJ504" i="7" s="1"/>
  <c r="AH505" i="7"/>
  <c r="AJ505" i="7" s="1"/>
  <c r="AH506" i="7"/>
  <c r="AJ506" i="7" s="1"/>
  <c r="AH507" i="7"/>
  <c r="AJ507" i="7" s="1"/>
  <c r="AH508" i="7"/>
  <c r="AJ508" i="7" s="1"/>
  <c r="AH509" i="7"/>
  <c r="AJ509" i="7" s="1"/>
  <c r="AH510" i="7"/>
  <c r="AJ510" i="7" s="1"/>
  <c r="AH511" i="7"/>
  <c r="AJ511" i="7" s="1"/>
  <c r="AH512" i="7"/>
  <c r="AJ512" i="7" s="1"/>
  <c r="AH513" i="7"/>
  <c r="AJ513" i="7" s="1"/>
  <c r="AH514" i="7"/>
  <c r="AJ514" i="7" s="1"/>
  <c r="AH515" i="7"/>
  <c r="AJ515" i="7" s="1"/>
  <c r="AH516" i="7"/>
  <c r="AJ516" i="7" s="1"/>
  <c r="AH517" i="7"/>
  <c r="AJ517" i="7" s="1"/>
  <c r="AH518" i="7"/>
  <c r="AJ518" i="7" s="1"/>
  <c r="AH519" i="7"/>
  <c r="AJ519" i="7" s="1"/>
  <c r="AH520" i="7"/>
  <c r="AJ520" i="7" s="1"/>
  <c r="AH521" i="7"/>
  <c r="AJ521" i="7" s="1"/>
  <c r="AH522" i="7"/>
  <c r="AJ522" i="7" s="1"/>
  <c r="AH523" i="7"/>
  <c r="AJ523" i="7" s="1"/>
  <c r="AH524" i="7"/>
  <c r="AJ524" i="7" s="1"/>
  <c r="AH525" i="7"/>
  <c r="AJ525" i="7" s="1"/>
  <c r="AH526" i="7"/>
  <c r="AJ526" i="7" s="1"/>
  <c r="AH527" i="7"/>
  <c r="AJ527" i="7" s="1"/>
  <c r="AH528" i="7"/>
  <c r="AJ528" i="7" s="1"/>
  <c r="AH529" i="7"/>
  <c r="AJ529" i="7" s="1"/>
  <c r="AH530" i="7"/>
  <c r="AJ530" i="7" s="1"/>
  <c r="AH531" i="7"/>
  <c r="AJ531" i="7" s="1"/>
  <c r="AH532" i="7"/>
  <c r="AJ532" i="7" s="1"/>
  <c r="AH533" i="7"/>
  <c r="AJ533" i="7" s="1"/>
  <c r="AH534" i="7"/>
  <c r="AJ534" i="7" s="1"/>
  <c r="AH535" i="7"/>
  <c r="AJ535" i="7" s="1"/>
  <c r="AH536" i="7"/>
  <c r="AJ536" i="7" s="1"/>
  <c r="AH537" i="7"/>
  <c r="AJ537" i="7" s="1"/>
  <c r="AH538" i="7"/>
  <c r="AJ538" i="7" s="1"/>
  <c r="AH539" i="7"/>
  <c r="AJ539" i="7" s="1"/>
  <c r="AH540" i="7"/>
  <c r="AJ540" i="7" s="1"/>
  <c r="AH541" i="7"/>
  <c r="AJ541" i="7" s="1"/>
  <c r="AH542" i="7"/>
  <c r="AJ542" i="7" s="1"/>
  <c r="AH543" i="7"/>
  <c r="AJ543" i="7" s="1"/>
  <c r="AH544" i="7"/>
  <c r="AJ544" i="7" s="1"/>
  <c r="AH545" i="7"/>
  <c r="AJ545" i="7" s="1"/>
  <c r="AH546" i="7"/>
  <c r="AJ546" i="7" s="1"/>
  <c r="AH547" i="7"/>
  <c r="AJ547" i="7" s="1"/>
  <c r="AH548" i="7"/>
  <c r="AJ548" i="7" s="1"/>
  <c r="AH549" i="7"/>
  <c r="AJ549" i="7" s="1"/>
  <c r="AH550" i="7"/>
  <c r="AJ550" i="7" s="1"/>
  <c r="AH551" i="7"/>
  <c r="AJ551" i="7" s="1"/>
  <c r="AH552" i="7"/>
  <c r="AJ552" i="7" s="1"/>
  <c r="AH553" i="7"/>
  <c r="AJ553" i="7" s="1"/>
  <c r="AH554" i="7"/>
  <c r="AJ554" i="7" s="1"/>
  <c r="AH555" i="7"/>
  <c r="AJ555" i="7" s="1"/>
  <c r="AH556" i="7"/>
  <c r="AJ556" i="7" s="1"/>
  <c r="AH557" i="7"/>
  <c r="AJ557" i="7" s="1"/>
  <c r="AH558" i="7"/>
  <c r="AJ558" i="7" s="1"/>
  <c r="AH559" i="7"/>
  <c r="AJ559" i="7" s="1"/>
  <c r="AH560" i="7"/>
  <c r="AJ560" i="7" s="1"/>
  <c r="AH561" i="7"/>
  <c r="AJ561" i="7" s="1"/>
  <c r="AH562" i="7"/>
  <c r="AJ562" i="7" s="1"/>
  <c r="AH563" i="7"/>
  <c r="AJ563" i="7" s="1"/>
  <c r="AH564" i="7"/>
  <c r="AJ564" i="7" s="1"/>
  <c r="AH565" i="7"/>
  <c r="AJ565" i="7" s="1"/>
  <c r="AH566" i="7"/>
  <c r="AJ566" i="7" s="1"/>
  <c r="AH567" i="7"/>
  <c r="AJ567" i="7" s="1"/>
  <c r="AH568" i="7"/>
  <c r="AJ568" i="7" s="1"/>
  <c r="AH569" i="7"/>
  <c r="AJ569" i="7" s="1"/>
  <c r="AH570" i="7"/>
  <c r="AJ570" i="7" s="1"/>
  <c r="AH571" i="7"/>
  <c r="AJ571" i="7" s="1"/>
  <c r="AH572" i="7"/>
  <c r="AJ572" i="7" s="1"/>
  <c r="AH573" i="7"/>
  <c r="AJ573" i="7" s="1"/>
  <c r="AH574" i="7"/>
  <c r="AJ574" i="7" s="1"/>
  <c r="AH575" i="7"/>
  <c r="AJ575" i="7" s="1"/>
  <c r="AH576" i="7"/>
  <c r="AJ576" i="7" s="1"/>
  <c r="AH577" i="7"/>
  <c r="AJ577" i="7" s="1"/>
  <c r="AH578" i="7"/>
  <c r="AJ578" i="7" s="1"/>
  <c r="AH579" i="7"/>
  <c r="AJ579" i="7" s="1"/>
  <c r="AH580" i="7"/>
  <c r="AJ580" i="7" s="1"/>
  <c r="AH581" i="7"/>
  <c r="AJ581" i="7" s="1"/>
  <c r="AH582" i="7"/>
  <c r="AJ582" i="7" s="1"/>
  <c r="AH583" i="7"/>
  <c r="AJ583" i="7" s="1"/>
  <c r="AH584" i="7"/>
  <c r="AJ584" i="7" s="1"/>
  <c r="AH585" i="7"/>
  <c r="AJ585" i="7" s="1"/>
  <c r="AH586" i="7"/>
  <c r="AJ586" i="7" s="1"/>
  <c r="AH587" i="7"/>
  <c r="AJ587" i="7" s="1"/>
  <c r="AH588" i="7"/>
  <c r="AJ588" i="7" s="1"/>
  <c r="AH589" i="7"/>
  <c r="AJ589" i="7" s="1"/>
  <c r="AH590" i="7"/>
  <c r="AJ590" i="7" s="1"/>
  <c r="AH591" i="7"/>
  <c r="AJ591" i="7" s="1"/>
  <c r="AH592" i="7"/>
  <c r="AJ592" i="7" s="1"/>
  <c r="AH593" i="7"/>
  <c r="AJ593" i="7" s="1"/>
  <c r="AH594" i="7"/>
  <c r="AJ594" i="7" s="1"/>
  <c r="AH595" i="7"/>
  <c r="AJ595" i="7" s="1"/>
  <c r="AH596" i="7"/>
  <c r="AJ596" i="7" s="1"/>
  <c r="AH597" i="7"/>
  <c r="AJ597" i="7" s="1"/>
  <c r="AH598" i="7"/>
  <c r="AJ598" i="7" s="1"/>
  <c r="AH599" i="7"/>
  <c r="AJ599" i="7" s="1"/>
  <c r="AH600" i="7"/>
  <c r="AJ600" i="7" s="1"/>
  <c r="AH601" i="7"/>
  <c r="AJ601" i="7" s="1"/>
  <c r="AH602" i="7"/>
  <c r="AJ602" i="7" s="1"/>
  <c r="AH603" i="7"/>
  <c r="AJ603" i="7" s="1"/>
  <c r="AH604" i="7"/>
  <c r="AJ604" i="7" s="1"/>
  <c r="AH605" i="7"/>
  <c r="AJ605" i="7" s="1"/>
  <c r="AH606" i="7"/>
  <c r="AJ606" i="7" s="1"/>
  <c r="AH607" i="7"/>
  <c r="AJ607" i="7" s="1"/>
  <c r="AH608" i="7"/>
  <c r="AJ608" i="7" s="1"/>
  <c r="AH609" i="7"/>
  <c r="AJ609" i="7" s="1"/>
  <c r="AH610" i="7"/>
  <c r="AJ610" i="7" s="1"/>
  <c r="AH611" i="7"/>
  <c r="AJ611" i="7" s="1"/>
  <c r="AH612" i="7"/>
  <c r="AJ612" i="7" s="1"/>
  <c r="AH613" i="7"/>
  <c r="AJ613" i="7" s="1"/>
  <c r="AH614" i="7"/>
  <c r="AJ614" i="7" s="1"/>
  <c r="AH615" i="7"/>
  <c r="AJ615" i="7" s="1"/>
  <c r="AH616" i="7"/>
  <c r="AJ616" i="7" s="1"/>
  <c r="AH617" i="7"/>
  <c r="AJ617" i="7" s="1"/>
  <c r="AH618" i="7"/>
  <c r="AJ618" i="7" s="1"/>
  <c r="AH619" i="7"/>
  <c r="AJ619" i="7" s="1"/>
  <c r="AH620" i="7"/>
  <c r="AJ620" i="7" s="1"/>
  <c r="AH621" i="7"/>
  <c r="AJ621" i="7" s="1"/>
  <c r="AH622" i="7"/>
  <c r="AJ622" i="7" s="1"/>
  <c r="AH623" i="7"/>
  <c r="AJ623" i="7" s="1"/>
  <c r="AH624" i="7"/>
  <c r="AJ624" i="7" s="1"/>
  <c r="AH625" i="7"/>
  <c r="AJ625" i="7" s="1"/>
  <c r="AH626" i="7"/>
  <c r="AJ626" i="7" s="1"/>
  <c r="AH627" i="7"/>
  <c r="AJ627" i="7" s="1"/>
  <c r="AH628" i="7"/>
  <c r="AJ628" i="7" s="1"/>
  <c r="AH629" i="7"/>
  <c r="AJ629" i="7" s="1"/>
  <c r="AH630" i="7"/>
  <c r="AJ630" i="7" s="1"/>
  <c r="AH631" i="7"/>
  <c r="AJ631" i="7" s="1"/>
  <c r="AH632" i="7"/>
  <c r="AJ632" i="7" s="1"/>
  <c r="AH633" i="7"/>
  <c r="AJ633" i="7" s="1"/>
  <c r="AH634" i="7"/>
  <c r="AJ634" i="7" s="1"/>
  <c r="AH635" i="7"/>
  <c r="AJ635" i="7" s="1"/>
  <c r="AH636" i="7"/>
  <c r="AJ636" i="7" s="1"/>
  <c r="AH637" i="7"/>
  <c r="AJ637" i="7" s="1"/>
  <c r="AH638" i="7"/>
  <c r="AJ638" i="7" s="1"/>
  <c r="AH639" i="7"/>
  <c r="AJ639" i="7" s="1"/>
  <c r="AH640" i="7"/>
  <c r="AJ640" i="7" s="1"/>
  <c r="AH641" i="7"/>
  <c r="AJ641" i="7" s="1"/>
  <c r="AH642" i="7"/>
  <c r="AJ642" i="7" s="1"/>
  <c r="AH643" i="7"/>
  <c r="AJ643" i="7" s="1"/>
  <c r="AH644" i="7"/>
  <c r="AJ644" i="7" s="1"/>
  <c r="AH645" i="7"/>
  <c r="AJ645" i="7" s="1"/>
  <c r="AH646" i="7"/>
  <c r="AJ646" i="7" s="1"/>
  <c r="AH647" i="7"/>
  <c r="AJ647" i="7" s="1"/>
  <c r="AH648" i="7"/>
  <c r="AJ648" i="7" s="1"/>
  <c r="AH649" i="7"/>
  <c r="AJ649" i="7" s="1"/>
  <c r="AH650" i="7"/>
  <c r="AJ650" i="7" s="1"/>
  <c r="AH651" i="7"/>
  <c r="AJ651" i="7" s="1"/>
  <c r="AH652" i="7"/>
  <c r="AJ652" i="7" s="1"/>
  <c r="AH653" i="7"/>
  <c r="AJ653" i="7" s="1"/>
  <c r="AH654" i="7"/>
  <c r="AJ654" i="7" s="1"/>
  <c r="AH655" i="7"/>
  <c r="AJ655" i="7" s="1"/>
  <c r="AH656" i="7"/>
  <c r="AJ656" i="7" s="1"/>
  <c r="AH657" i="7"/>
  <c r="AJ657" i="7" s="1"/>
  <c r="AH658" i="7"/>
  <c r="AJ658" i="7" s="1"/>
  <c r="AH659" i="7"/>
  <c r="AJ659" i="7" s="1"/>
  <c r="AH660" i="7"/>
  <c r="AJ660" i="7" s="1"/>
  <c r="AH661" i="7"/>
  <c r="AJ661" i="7" s="1"/>
  <c r="AH662" i="7"/>
  <c r="AJ662" i="7" s="1"/>
  <c r="AH663" i="7"/>
  <c r="AJ663" i="7" s="1"/>
  <c r="AH664" i="7"/>
  <c r="AJ664" i="7" s="1"/>
  <c r="AH665" i="7"/>
  <c r="AJ665" i="7" s="1"/>
  <c r="AH666" i="7"/>
  <c r="AJ666" i="7" s="1"/>
  <c r="AH667" i="7"/>
  <c r="AJ667" i="7" s="1"/>
  <c r="AH668" i="7"/>
  <c r="AJ668" i="7" s="1"/>
  <c r="AH669" i="7"/>
  <c r="AJ669" i="7" s="1"/>
  <c r="AH670" i="7"/>
  <c r="AJ670" i="7" s="1"/>
  <c r="AH671" i="7"/>
  <c r="AJ671" i="7" s="1"/>
  <c r="AH672" i="7"/>
  <c r="AJ672" i="7" s="1"/>
  <c r="AH673" i="7"/>
  <c r="AJ673" i="7" s="1"/>
  <c r="AH674" i="7"/>
  <c r="AJ674" i="7" s="1"/>
  <c r="AH675" i="7"/>
  <c r="AJ675" i="7" s="1"/>
  <c r="AH676" i="7"/>
  <c r="AJ676" i="7" s="1"/>
  <c r="AH677" i="7"/>
  <c r="AJ677" i="7" s="1"/>
  <c r="AH678" i="7"/>
  <c r="AJ678" i="7" s="1"/>
  <c r="AH679" i="7"/>
  <c r="AJ679" i="7" s="1"/>
  <c r="AH680" i="7"/>
  <c r="AJ680" i="7" s="1"/>
  <c r="AH681" i="7"/>
  <c r="AJ681" i="7" s="1"/>
  <c r="AH682" i="7"/>
  <c r="AJ682" i="7" s="1"/>
  <c r="AH683" i="7"/>
  <c r="AJ683" i="7" s="1"/>
  <c r="AH684" i="7"/>
  <c r="AJ684" i="7" s="1"/>
  <c r="AH685" i="7"/>
  <c r="AJ685" i="7" s="1"/>
  <c r="AH686" i="7"/>
  <c r="AJ686" i="7" s="1"/>
  <c r="AH687" i="7"/>
  <c r="AJ687" i="7" s="1"/>
  <c r="AH688" i="7"/>
  <c r="AJ688" i="7" s="1"/>
  <c r="AH689" i="7"/>
  <c r="AJ689" i="7" s="1"/>
  <c r="AH690" i="7"/>
  <c r="AJ690" i="7" s="1"/>
  <c r="AH691" i="7"/>
  <c r="AJ691" i="7" s="1"/>
  <c r="AH692" i="7"/>
  <c r="AJ692" i="7" s="1"/>
  <c r="AH693" i="7"/>
  <c r="AJ693" i="7" s="1"/>
  <c r="AH694" i="7"/>
  <c r="AJ694" i="7" s="1"/>
  <c r="AH695" i="7"/>
  <c r="AJ695" i="7" s="1"/>
  <c r="AH696" i="7"/>
  <c r="AJ696" i="7" s="1"/>
  <c r="AH697" i="7"/>
  <c r="AJ697" i="7" s="1"/>
  <c r="AH698" i="7"/>
  <c r="AJ698" i="7" s="1"/>
  <c r="AH699" i="7"/>
  <c r="AJ699" i="7" s="1"/>
  <c r="AH700" i="7"/>
  <c r="AJ700" i="7" s="1"/>
  <c r="AH701" i="7"/>
  <c r="AJ701" i="7" s="1"/>
  <c r="AH702" i="7"/>
  <c r="AJ702" i="7" s="1"/>
  <c r="AH703" i="7"/>
  <c r="AJ703" i="7" s="1"/>
  <c r="AH704" i="7"/>
  <c r="AJ704" i="7" s="1"/>
  <c r="AH705" i="7"/>
  <c r="AJ705" i="7" s="1"/>
  <c r="AH706" i="7"/>
  <c r="AJ706" i="7" s="1"/>
  <c r="AH707" i="7"/>
  <c r="AJ707" i="7" s="1"/>
  <c r="AH708" i="7"/>
  <c r="AJ708" i="7" s="1"/>
  <c r="AH709" i="7"/>
  <c r="AJ709" i="7" s="1"/>
  <c r="AH710" i="7"/>
  <c r="AJ710" i="7" s="1"/>
  <c r="AH711" i="7"/>
  <c r="AJ711" i="7" s="1"/>
  <c r="AH712" i="7"/>
  <c r="AJ712" i="7" s="1"/>
  <c r="AH713" i="7"/>
  <c r="AJ713" i="7" s="1"/>
  <c r="AH714" i="7"/>
  <c r="AJ714" i="7" s="1"/>
  <c r="AH715" i="7"/>
  <c r="AJ715" i="7" s="1"/>
  <c r="AH716" i="7"/>
  <c r="AJ716" i="7" s="1"/>
  <c r="AH717" i="7"/>
  <c r="AJ717" i="7" s="1"/>
  <c r="AH718" i="7"/>
  <c r="AJ718" i="7" s="1"/>
  <c r="AH719" i="7"/>
  <c r="AJ719" i="7" s="1"/>
  <c r="AH720" i="7"/>
  <c r="AJ720" i="7" s="1"/>
  <c r="AH721" i="7"/>
  <c r="AJ721" i="7" s="1"/>
  <c r="AG2" i="7"/>
  <c r="AG3" i="7"/>
  <c r="AG4" i="7"/>
  <c r="AG5" i="7"/>
  <c r="AG6" i="7"/>
  <c r="AG7" i="7"/>
  <c r="AG8" i="7"/>
  <c r="AG9" i="7"/>
  <c r="AG10" i="7"/>
  <c r="AG11" i="7"/>
  <c r="AG12" i="7"/>
  <c r="AG13" i="7"/>
  <c r="AG14" i="7"/>
  <c r="AG15" i="7"/>
  <c r="AG16" i="7"/>
  <c r="AG17" i="7"/>
  <c r="AG18" i="7"/>
  <c r="AG19" i="7"/>
  <c r="AG20" i="7"/>
  <c r="AG21" i="7"/>
  <c r="AG22" i="7"/>
  <c r="AG23" i="7"/>
  <c r="AG24" i="7"/>
  <c r="AG25" i="7"/>
  <c r="AG26" i="7"/>
  <c r="AG27" i="7"/>
  <c r="AG28" i="7"/>
  <c r="AG29" i="7"/>
  <c r="AG30" i="7"/>
  <c r="AG31" i="7"/>
  <c r="AG32" i="7"/>
  <c r="AG33" i="7"/>
  <c r="AG34" i="7"/>
  <c r="AG35" i="7"/>
  <c r="AG36" i="7"/>
  <c r="AG37" i="7"/>
  <c r="AG38" i="7"/>
  <c r="AG39" i="7"/>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A2" i="7"/>
  <c r="AB2" i="7" s="1"/>
  <c r="AA3" i="7"/>
  <c r="AA4" i="7"/>
  <c r="AB4" i="7" s="1"/>
  <c r="AA5" i="7"/>
  <c r="AA6" i="7"/>
  <c r="AA7" i="7"/>
  <c r="AA8" i="7"/>
  <c r="AA9" i="7"/>
  <c r="AA10" i="7"/>
  <c r="AB10" i="7" s="1"/>
  <c r="AA11" i="7"/>
  <c r="AA12" i="7"/>
  <c r="AB12" i="7" s="1"/>
  <c r="AA13" i="7"/>
  <c r="AA14" i="7"/>
  <c r="AA15" i="7"/>
  <c r="AA16" i="7"/>
  <c r="AA17" i="7"/>
  <c r="AA18" i="7"/>
  <c r="AB18" i="7" s="1"/>
  <c r="AA19" i="7"/>
  <c r="AA20" i="7"/>
  <c r="AB20" i="7" s="1"/>
  <c r="AA21" i="7"/>
  <c r="AA22" i="7"/>
  <c r="AA23" i="7"/>
  <c r="AA24" i="7"/>
  <c r="AA25" i="7"/>
  <c r="AA26" i="7"/>
  <c r="AB26" i="7" s="1"/>
  <c r="AC26" i="7" s="1"/>
  <c r="AA27" i="7"/>
  <c r="AA28" i="7"/>
  <c r="AB28" i="7" s="1"/>
  <c r="AA29" i="7"/>
  <c r="AA30" i="7"/>
  <c r="AA31" i="7"/>
  <c r="AA32" i="7"/>
  <c r="AA33" i="7"/>
  <c r="AA34" i="7"/>
  <c r="AA35" i="7"/>
  <c r="AA36" i="7"/>
  <c r="AB36" i="7" s="1"/>
  <c r="AA37" i="7"/>
  <c r="AA38" i="7"/>
  <c r="AA39" i="7"/>
  <c r="AA40" i="7"/>
  <c r="AA41" i="7"/>
  <c r="AA42" i="7"/>
  <c r="AB42" i="7" s="1"/>
  <c r="AA43" i="7"/>
  <c r="AA44" i="7"/>
  <c r="AB44" i="7" s="1"/>
  <c r="AA45" i="7"/>
  <c r="AA46" i="7"/>
  <c r="AA47" i="7"/>
  <c r="AA48" i="7"/>
  <c r="AA49" i="7"/>
  <c r="AA50" i="7"/>
  <c r="AB50" i="7" s="1"/>
  <c r="AA51" i="7"/>
  <c r="AA52" i="7"/>
  <c r="AB52" i="7" s="1"/>
  <c r="AA53" i="7"/>
  <c r="AA54" i="7"/>
  <c r="AA55" i="7"/>
  <c r="AA56" i="7"/>
  <c r="AA57" i="7"/>
  <c r="AA58" i="7"/>
  <c r="AB58" i="7" s="1"/>
  <c r="AC58" i="7" s="1"/>
  <c r="AA59" i="7"/>
  <c r="AA60" i="7"/>
  <c r="AB60" i="7" s="1"/>
  <c r="AA61" i="7"/>
  <c r="AA62" i="7"/>
  <c r="AA63" i="7"/>
  <c r="AA64" i="7"/>
  <c r="AA65" i="7"/>
  <c r="AA66" i="7"/>
  <c r="AA67" i="7"/>
  <c r="AA68" i="7"/>
  <c r="AB68" i="7" s="1"/>
  <c r="AA69" i="7"/>
  <c r="AA70" i="7"/>
  <c r="AA71" i="7"/>
  <c r="AA72" i="7"/>
  <c r="AA73" i="7"/>
  <c r="AA74" i="7"/>
  <c r="AB74" i="7" s="1"/>
  <c r="AA75" i="7"/>
  <c r="AA76" i="7"/>
  <c r="AB76" i="7" s="1"/>
  <c r="AA77" i="7"/>
  <c r="AA78" i="7"/>
  <c r="AA79" i="7"/>
  <c r="AA80" i="7"/>
  <c r="AA81" i="7"/>
  <c r="AA82" i="7"/>
  <c r="AB82" i="7" s="1"/>
  <c r="AA83" i="7"/>
  <c r="AA84" i="7"/>
  <c r="AB84" i="7" s="1"/>
  <c r="AA85" i="7"/>
  <c r="AA86" i="7"/>
  <c r="AA87" i="7"/>
  <c r="AA88" i="7"/>
  <c r="AA89" i="7"/>
  <c r="AA90" i="7"/>
  <c r="AB90" i="7" s="1"/>
  <c r="AC90" i="7" s="1"/>
  <c r="AA91" i="7"/>
  <c r="AA92" i="7"/>
  <c r="AB92" i="7" s="1"/>
  <c r="AA93" i="7"/>
  <c r="AA94" i="7"/>
  <c r="AA95" i="7"/>
  <c r="AA96" i="7"/>
  <c r="AA97" i="7"/>
  <c r="AA98" i="7"/>
  <c r="AA99" i="7"/>
  <c r="AA100" i="7"/>
  <c r="AB100" i="7" s="1"/>
  <c r="AA101" i="7"/>
  <c r="AA102" i="7"/>
  <c r="AA103" i="7"/>
  <c r="AA104" i="7"/>
  <c r="AA105" i="7"/>
  <c r="AA106" i="7"/>
  <c r="AB106" i="7" s="1"/>
  <c r="AA107" i="7"/>
  <c r="AA108" i="7"/>
  <c r="AB108" i="7" s="1"/>
  <c r="AA109" i="7"/>
  <c r="AA110" i="7"/>
  <c r="AA111" i="7"/>
  <c r="AA112" i="7"/>
  <c r="AA113" i="7"/>
  <c r="AA114" i="7"/>
  <c r="AB114" i="7" s="1"/>
  <c r="AA115" i="7"/>
  <c r="AA116" i="7"/>
  <c r="AB116" i="7" s="1"/>
  <c r="AA117" i="7"/>
  <c r="AA118" i="7"/>
  <c r="AA119" i="7"/>
  <c r="AA120" i="7"/>
  <c r="AA121" i="7"/>
  <c r="AA122" i="7"/>
  <c r="AB122" i="7" s="1"/>
  <c r="AC122" i="7" s="1"/>
  <c r="AA123" i="7"/>
  <c r="AA124" i="7"/>
  <c r="AB124" i="7" s="1"/>
  <c r="AA125" i="7"/>
  <c r="AA126" i="7"/>
  <c r="AA127" i="7"/>
  <c r="AA128" i="7"/>
  <c r="AA129" i="7"/>
  <c r="AA130" i="7"/>
  <c r="AA131" i="7"/>
  <c r="AA132" i="7"/>
  <c r="AB132" i="7" s="1"/>
  <c r="AA133" i="7"/>
  <c r="AA134" i="7"/>
  <c r="AA135" i="7"/>
  <c r="AA136" i="7"/>
  <c r="AA137" i="7"/>
  <c r="AA138" i="7"/>
  <c r="AB138" i="7" s="1"/>
  <c r="AA139" i="7"/>
  <c r="AA140" i="7"/>
  <c r="AB140" i="7" s="1"/>
  <c r="AA141" i="7"/>
  <c r="AA142" i="7"/>
  <c r="AA143" i="7"/>
  <c r="AA144" i="7"/>
  <c r="AA145" i="7"/>
  <c r="AA146" i="7"/>
  <c r="AB146" i="7" s="1"/>
  <c r="AA147" i="7"/>
  <c r="AA148" i="7"/>
  <c r="AB148" i="7" s="1"/>
  <c r="AA149" i="7"/>
  <c r="AA150" i="7"/>
  <c r="AA151" i="7"/>
  <c r="AA152" i="7"/>
  <c r="AA153" i="7"/>
  <c r="AA154" i="7"/>
  <c r="AB154" i="7" s="1"/>
  <c r="AC154" i="7" s="1"/>
  <c r="AA155" i="7"/>
  <c r="AA156" i="7"/>
  <c r="AB156" i="7" s="1"/>
  <c r="AA157" i="7"/>
  <c r="AA158" i="7"/>
  <c r="AA159" i="7"/>
  <c r="AA160" i="7"/>
  <c r="AA161" i="7"/>
  <c r="AA162" i="7"/>
  <c r="AA163" i="7"/>
  <c r="AA164" i="7"/>
  <c r="AB164" i="7" s="1"/>
  <c r="AA165" i="7"/>
  <c r="AA166" i="7"/>
  <c r="AA167" i="7"/>
  <c r="AA168" i="7"/>
  <c r="AA169" i="7"/>
  <c r="AA170" i="7"/>
  <c r="AB170" i="7" s="1"/>
  <c r="AA171" i="7"/>
  <c r="AA172" i="7"/>
  <c r="AB172" i="7" s="1"/>
  <c r="AA173" i="7"/>
  <c r="AA174" i="7"/>
  <c r="AA175" i="7"/>
  <c r="AA176" i="7"/>
  <c r="AA177" i="7"/>
  <c r="AA178" i="7"/>
  <c r="AB178" i="7" s="1"/>
  <c r="AA179" i="7"/>
  <c r="AA180" i="7"/>
  <c r="AB180" i="7" s="1"/>
  <c r="AA181" i="7"/>
  <c r="AA182" i="7"/>
  <c r="AA183" i="7"/>
  <c r="AA184" i="7"/>
  <c r="AA185" i="7"/>
  <c r="AA186" i="7"/>
  <c r="AB186" i="7" s="1"/>
  <c r="AC186" i="7" s="1"/>
  <c r="AA187" i="7"/>
  <c r="AA188" i="7"/>
  <c r="AB188" i="7" s="1"/>
  <c r="AA189" i="7"/>
  <c r="AA190" i="7"/>
  <c r="AA191" i="7"/>
  <c r="AA192" i="7"/>
  <c r="AA193" i="7"/>
  <c r="AA194" i="7"/>
  <c r="AA195" i="7"/>
  <c r="AA196" i="7"/>
  <c r="AB196" i="7" s="1"/>
  <c r="AA197" i="7"/>
  <c r="AA198" i="7"/>
  <c r="AA199" i="7"/>
  <c r="AA200" i="7"/>
  <c r="AA201" i="7"/>
  <c r="AA202" i="7"/>
  <c r="AB202" i="7" s="1"/>
  <c r="AA203" i="7"/>
  <c r="AA204" i="7"/>
  <c r="AB204" i="7" s="1"/>
  <c r="AA205" i="7"/>
  <c r="AA206" i="7"/>
  <c r="AA207" i="7"/>
  <c r="AA208" i="7"/>
  <c r="AA209" i="7"/>
  <c r="AA210" i="7"/>
  <c r="AB210" i="7" s="1"/>
  <c r="AA211" i="7"/>
  <c r="AA212" i="7"/>
  <c r="AB212" i="7" s="1"/>
  <c r="AA213" i="7"/>
  <c r="AA214" i="7"/>
  <c r="AA215" i="7"/>
  <c r="AA216" i="7"/>
  <c r="AA217" i="7"/>
  <c r="AA218" i="7"/>
  <c r="AB218" i="7" s="1"/>
  <c r="AC218" i="7" s="1"/>
  <c r="AA219" i="7"/>
  <c r="AA220" i="7"/>
  <c r="AB220" i="7" s="1"/>
  <c r="AA221" i="7"/>
  <c r="AA222" i="7"/>
  <c r="AA223" i="7"/>
  <c r="AA224" i="7"/>
  <c r="AA225" i="7"/>
  <c r="AA226" i="7"/>
  <c r="AA227" i="7"/>
  <c r="AA228" i="7"/>
  <c r="AB228" i="7" s="1"/>
  <c r="AA229" i="7"/>
  <c r="AA230" i="7"/>
  <c r="AA231" i="7"/>
  <c r="AA232" i="7"/>
  <c r="AA233" i="7"/>
  <c r="AA234" i="7"/>
  <c r="AB234" i="7" s="1"/>
  <c r="AA235" i="7"/>
  <c r="AA236" i="7"/>
  <c r="AB236" i="7" s="1"/>
  <c r="AA237" i="7"/>
  <c r="AA238" i="7"/>
  <c r="AA239" i="7"/>
  <c r="AA240" i="7"/>
  <c r="AA241" i="7"/>
  <c r="AA242" i="7"/>
  <c r="AB242" i="7" s="1"/>
  <c r="AA243" i="7"/>
  <c r="AA244" i="7"/>
  <c r="AB244" i="7" s="1"/>
  <c r="AA245" i="7"/>
  <c r="AA246" i="7"/>
  <c r="AA247" i="7"/>
  <c r="AA248" i="7"/>
  <c r="AA249" i="7"/>
  <c r="AA250" i="7"/>
  <c r="AB250" i="7" s="1"/>
  <c r="AC250" i="7" s="1"/>
  <c r="AA251" i="7"/>
  <c r="AA252" i="7"/>
  <c r="AB252" i="7" s="1"/>
  <c r="AA253" i="7"/>
  <c r="AA254" i="7"/>
  <c r="AA255" i="7"/>
  <c r="AA256" i="7"/>
  <c r="AA257" i="7"/>
  <c r="AA258" i="7"/>
  <c r="AA259" i="7"/>
  <c r="AA260" i="7"/>
  <c r="AB260" i="7" s="1"/>
  <c r="AA261" i="7"/>
  <c r="AA262" i="7"/>
  <c r="AA263" i="7"/>
  <c r="AA264" i="7"/>
  <c r="AA265" i="7"/>
  <c r="AA266" i="7"/>
  <c r="AB266" i="7" s="1"/>
  <c r="AA267" i="7"/>
  <c r="AA268" i="7"/>
  <c r="AB268" i="7" s="1"/>
  <c r="AA269" i="7"/>
  <c r="AA270" i="7"/>
  <c r="AA271" i="7"/>
  <c r="AA272" i="7"/>
  <c r="AA273" i="7"/>
  <c r="AA274" i="7"/>
  <c r="AB274" i="7" s="1"/>
  <c r="AA275" i="7"/>
  <c r="AA276" i="7"/>
  <c r="AB276" i="7" s="1"/>
  <c r="AA277" i="7"/>
  <c r="AA278" i="7"/>
  <c r="AA279" i="7"/>
  <c r="AA280" i="7"/>
  <c r="AA281" i="7"/>
  <c r="AA282" i="7"/>
  <c r="AB282" i="7" s="1"/>
  <c r="AC282" i="7" s="1"/>
  <c r="AA283" i="7"/>
  <c r="AB283" i="7" s="1"/>
  <c r="AA284" i="7"/>
  <c r="AB284" i="7" s="1"/>
  <c r="AA285" i="7"/>
  <c r="AA286" i="7"/>
  <c r="AA287" i="7"/>
  <c r="AA288" i="7"/>
  <c r="AA289" i="7"/>
  <c r="AA290" i="7"/>
  <c r="AA291" i="7"/>
  <c r="AB291" i="7" s="1"/>
  <c r="AA292" i="7"/>
  <c r="AB292" i="7" s="1"/>
  <c r="AA293" i="7"/>
  <c r="AA294" i="7"/>
  <c r="AA295" i="7"/>
  <c r="AA296" i="7"/>
  <c r="AA297" i="7"/>
  <c r="AA298" i="7"/>
  <c r="AB298" i="7" s="1"/>
  <c r="AA299" i="7"/>
  <c r="AB299" i="7" s="1"/>
  <c r="AA300" i="7"/>
  <c r="AB300" i="7" s="1"/>
  <c r="AA301" i="7"/>
  <c r="AA302" i="7"/>
  <c r="AA303" i="7"/>
  <c r="AA304" i="7"/>
  <c r="AA305" i="7"/>
  <c r="AA306" i="7"/>
  <c r="AB306" i="7" s="1"/>
  <c r="AA307" i="7"/>
  <c r="AB307" i="7" s="1"/>
  <c r="AA308" i="7"/>
  <c r="AB308" i="7" s="1"/>
  <c r="AA309" i="7"/>
  <c r="AA310" i="7"/>
  <c r="AA311" i="7"/>
  <c r="AA312" i="7"/>
  <c r="AA313" i="7"/>
  <c r="AA314" i="7"/>
  <c r="AA315" i="7"/>
  <c r="AB315" i="7" s="1"/>
  <c r="AA316" i="7"/>
  <c r="AB316" i="7" s="1"/>
  <c r="AA317" i="7"/>
  <c r="AA318" i="7"/>
  <c r="AA319" i="7"/>
  <c r="AA320" i="7"/>
  <c r="AA321" i="7"/>
  <c r="AA322" i="7"/>
  <c r="AB322" i="7" s="1"/>
  <c r="AA323" i="7"/>
  <c r="AB323" i="7" s="1"/>
  <c r="AA324" i="7"/>
  <c r="AB324" i="7" s="1"/>
  <c r="AA325" i="7"/>
  <c r="AA326" i="7"/>
  <c r="AA327" i="7"/>
  <c r="AA328" i="7"/>
  <c r="AA329" i="7"/>
  <c r="AA330" i="7"/>
  <c r="AB330" i="7" s="1"/>
  <c r="AA331" i="7"/>
  <c r="AB331" i="7" s="1"/>
  <c r="AA332" i="7"/>
  <c r="AB332" i="7" s="1"/>
  <c r="AA333" i="7"/>
  <c r="AA334" i="7"/>
  <c r="AA335" i="7"/>
  <c r="AA336" i="7"/>
  <c r="AA337" i="7"/>
  <c r="AA338" i="7"/>
  <c r="AB338" i="7" s="1"/>
  <c r="AA339" i="7"/>
  <c r="AB339" i="7" s="1"/>
  <c r="AA340" i="7"/>
  <c r="AB340" i="7" s="1"/>
  <c r="AA341" i="7"/>
  <c r="AA342" i="7"/>
  <c r="AA343" i="7"/>
  <c r="AA344" i="7"/>
  <c r="AA345" i="7"/>
  <c r="AA346" i="7"/>
  <c r="AB346" i="7" s="1"/>
  <c r="AC346" i="7" s="1"/>
  <c r="AA347" i="7"/>
  <c r="AB347" i="7" s="1"/>
  <c r="AA348" i="7"/>
  <c r="AB348" i="7" s="1"/>
  <c r="AA349" i="7"/>
  <c r="AA350" i="7"/>
  <c r="AA351" i="7"/>
  <c r="AA352" i="7"/>
  <c r="AA353" i="7"/>
  <c r="AA354" i="7"/>
  <c r="AA355" i="7"/>
  <c r="AB355" i="7" s="1"/>
  <c r="AA356" i="7"/>
  <c r="AB356" i="7" s="1"/>
  <c r="AA357" i="7"/>
  <c r="AA358" i="7"/>
  <c r="AA359" i="7"/>
  <c r="AA360" i="7"/>
  <c r="AA361" i="7"/>
  <c r="AA362" i="7"/>
  <c r="AB362" i="7" s="1"/>
  <c r="AA363" i="7"/>
  <c r="AB363" i="7" s="1"/>
  <c r="AA364" i="7"/>
  <c r="AB364" i="7" s="1"/>
  <c r="AA365" i="7"/>
  <c r="AA366" i="7"/>
  <c r="AA367" i="7"/>
  <c r="AA368" i="7"/>
  <c r="AA369" i="7"/>
  <c r="AA370" i="7"/>
  <c r="AB370" i="7" s="1"/>
  <c r="AA371" i="7"/>
  <c r="AB371" i="7" s="1"/>
  <c r="AA372" i="7"/>
  <c r="AB372" i="7" s="1"/>
  <c r="AA373" i="7"/>
  <c r="AA374" i="7"/>
  <c r="AA375" i="7"/>
  <c r="AA376" i="7"/>
  <c r="AA377" i="7"/>
  <c r="AA378" i="7"/>
  <c r="AA379" i="7"/>
  <c r="AB379" i="7" s="1"/>
  <c r="AA380" i="7"/>
  <c r="AB380" i="7" s="1"/>
  <c r="AA381" i="7"/>
  <c r="AA382" i="7"/>
  <c r="AA383" i="7"/>
  <c r="AA384" i="7"/>
  <c r="AA385" i="7"/>
  <c r="AA386" i="7"/>
  <c r="AA387" i="7"/>
  <c r="AB387" i="7" s="1"/>
  <c r="AA388" i="7"/>
  <c r="AB388" i="7" s="1"/>
  <c r="AA389" i="7"/>
  <c r="AA390" i="7"/>
  <c r="AA391" i="7"/>
  <c r="AA392" i="7"/>
  <c r="AA393" i="7"/>
  <c r="AA394" i="7"/>
  <c r="AB394" i="7" s="1"/>
  <c r="AA395" i="7"/>
  <c r="AB395" i="7" s="1"/>
  <c r="AA396" i="7"/>
  <c r="AB396" i="7" s="1"/>
  <c r="AA397" i="7"/>
  <c r="AA398" i="7"/>
  <c r="AA399" i="7"/>
  <c r="AA400" i="7"/>
  <c r="AA401" i="7"/>
  <c r="AA402" i="7"/>
  <c r="AB402" i="7" s="1"/>
  <c r="AA403" i="7"/>
  <c r="AB403" i="7" s="1"/>
  <c r="AA404" i="7"/>
  <c r="AB404" i="7" s="1"/>
  <c r="AA405" i="7"/>
  <c r="AA406" i="7"/>
  <c r="AA407" i="7"/>
  <c r="AA408" i="7"/>
  <c r="AA409" i="7"/>
  <c r="AA410" i="7"/>
  <c r="AB410" i="7" s="1"/>
  <c r="AC410" i="7" s="1"/>
  <c r="AA411" i="7"/>
  <c r="AB411" i="7" s="1"/>
  <c r="AA412" i="7"/>
  <c r="AB412" i="7" s="1"/>
  <c r="AA413" i="7"/>
  <c r="AA414" i="7"/>
  <c r="AA415" i="7"/>
  <c r="AA416" i="7"/>
  <c r="AA417" i="7"/>
  <c r="AA418" i="7"/>
  <c r="AA419" i="7"/>
  <c r="AB419" i="7" s="1"/>
  <c r="AA420" i="7"/>
  <c r="AB420" i="7" s="1"/>
  <c r="AA421" i="7"/>
  <c r="AA422" i="7"/>
  <c r="AA423" i="7"/>
  <c r="AA424" i="7"/>
  <c r="AA425" i="7"/>
  <c r="AA426" i="7"/>
  <c r="AB426" i="7" s="1"/>
  <c r="AA427" i="7"/>
  <c r="AB427" i="7" s="1"/>
  <c r="AA428" i="7"/>
  <c r="AB428" i="7" s="1"/>
  <c r="AA429" i="7"/>
  <c r="AA430" i="7"/>
  <c r="AA431" i="7"/>
  <c r="AA432" i="7"/>
  <c r="AA433" i="7"/>
  <c r="AA434" i="7"/>
  <c r="AB434" i="7" s="1"/>
  <c r="AA435" i="7"/>
  <c r="AB435" i="7" s="1"/>
  <c r="AA436" i="7"/>
  <c r="AB436" i="7" s="1"/>
  <c r="AA437" i="7"/>
  <c r="AA438" i="7"/>
  <c r="AA439" i="7"/>
  <c r="AA440" i="7"/>
  <c r="AA441" i="7"/>
  <c r="AA442" i="7"/>
  <c r="AA443" i="7"/>
  <c r="AB443" i="7" s="1"/>
  <c r="AA444" i="7"/>
  <c r="AB444" i="7" s="1"/>
  <c r="AA445" i="7"/>
  <c r="AA446" i="7"/>
  <c r="AA447" i="7"/>
  <c r="AA448" i="7"/>
  <c r="AA449" i="7"/>
  <c r="AA450" i="7"/>
  <c r="AA451" i="7"/>
  <c r="AB451" i="7" s="1"/>
  <c r="AA452" i="7"/>
  <c r="AB452" i="7" s="1"/>
  <c r="AA453" i="7"/>
  <c r="AB453" i="7" s="1"/>
  <c r="AA454" i="7"/>
  <c r="AA455" i="7"/>
  <c r="AA456" i="7"/>
  <c r="AA457" i="7"/>
  <c r="AA458" i="7"/>
  <c r="AB458" i="7" s="1"/>
  <c r="AA459" i="7"/>
  <c r="AB459" i="7" s="1"/>
  <c r="AA460" i="7"/>
  <c r="AB460" i="7" s="1"/>
  <c r="AA461" i="7"/>
  <c r="AB461" i="7" s="1"/>
  <c r="AA462" i="7"/>
  <c r="AA463" i="7"/>
  <c r="AA464" i="7"/>
  <c r="AA465" i="7"/>
  <c r="AA466" i="7"/>
  <c r="AB466" i="7" s="1"/>
  <c r="AA467" i="7"/>
  <c r="AB467" i="7" s="1"/>
  <c r="AA468" i="7"/>
  <c r="AB468" i="7" s="1"/>
  <c r="AA469" i="7"/>
  <c r="AB469" i="7" s="1"/>
  <c r="AA470" i="7"/>
  <c r="AA471" i="7"/>
  <c r="AA472" i="7"/>
  <c r="AA473" i="7"/>
  <c r="AA474" i="7"/>
  <c r="AB474" i="7" s="1"/>
  <c r="AA475" i="7"/>
  <c r="AB475" i="7" s="1"/>
  <c r="AA476" i="7"/>
  <c r="AB476" i="7" s="1"/>
  <c r="AA477" i="7"/>
  <c r="AB477" i="7" s="1"/>
  <c r="AA478" i="7"/>
  <c r="AA479" i="7"/>
  <c r="AA480" i="7"/>
  <c r="AB480" i="7" s="1"/>
  <c r="AA481" i="7"/>
  <c r="AA482" i="7"/>
  <c r="AB482" i="7" s="1"/>
  <c r="AA483" i="7"/>
  <c r="AB483" i="7" s="1"/>
  <c r="AA484" i="7"/>
  <c r="AB484" i="7" s="1"/>
  <c r="AA485" i="7"/>
  <c r="AB485" i="7" s="1"/>
  <c r="AA486" i="7"/>
  <c r="AA487" i="7"/>
  <c r="AA488" i="7"/>
  <c r="AA489" i="7"/>
  <c r="AA490" i="7"/>
  <c r="AB490" i="7" s="1"/>
  <c r="AA491" i="7"/>
  <c r="AB491" i="7" s="1"/>
  <c r="AA492" i="7"/>
  <c r="AB492" i="7" s="1"/>
  <c r="AA493" i="7"/>
  <c r="AB493" i="7" s="1"/>
  <c r="AA494" i="7"/>
  <c r="AA495" i="7"/>
  <c r="AA496" i="7"/>
  <c r="AA497" i="7"/>
  <c r="AA498" i="7"/>
  <c r="AB498" i="7" s="1"/>
  <c r="AA499" i="7"/>
  <c r="AB499" i="7" s="1"/>
  <c r="AA500" i="7"/>
  <c r="AB500" i="7" s="1"/>
  <c r="AA501" i="7"/>
  <c r="AB501" i="7" s="1"/>
  <c r="AA502" i="7"/>
  <c r="AA503" i="7"/>
  <c r="AA504" i="7"/>
  <c r="AA505" i="7"/>
  <c r="AA506" i="7"/>
  <c r="AA507" i="7"/>
  <c r="AB507" i="7" s="1"/>
  <c r="AA508" i="7"/>
  <c r="AB508" i="7" s="1"/>
  <c r="AA509" i="7"/>
  <c r="AB509" i="7" s="1"/>
  <c r="AA510" i="7"/>
  <c r="AA511" i="7"/>
  <c r="AA512" i="7"/>
  <c r="AA513" i="7"/>
  <c r="AA514" i="7"/>
  <c r="AB514" i="7" s="1"/>
  <c r="AA515" i="7"/>
  <c r="AB515" i="7" s="1"/>
  <c r="AA516" i="7"/>
  <c r="AB516" i="7" s="1"/>
  <c r="AA517" i="7"/>
  <c r="AB517" i="7" s="1"/>
  <c r="AA518" i="7"/>
  <c r="AA519" i="7"/>
  <c r="AA520" i="7"/>
  <c r="AA521" i="7"/>
  <c r="AA522" i="7"/>
  <c r="AB522" i="7" s="1"/>
  <c r="AA523" i="7"/>
  <c r="AB523" i="7" s="1"/>
  <c r="AA524" i="7"/>
  <c r="AB524" i="7" s="1"/>
  <c r="AA525" i="7"/>
  <c r="AB525" i="7" s="1"/>
  <c r="AA526" i="7"/>
  <c r="AA527" i="7"/>
  <c r="AA528" i="7"/>
  <c r="AA529" i="7"/>
  <c r="AA530" i="7"/>
  <c r="AB530" i="7" s="1"/>
  <c r="AA531" i="7"/>
  <c r="AB531" i="7" s="1"/>
  <c r="AA532" i="7"/>
  <c r="AB532" i="7" s="1"/>
  <c r="AA533" i="7"/>
  <c r="AB533" i="7" s="1"/>
  <c r="AA534" i="7"/>
  <c r="AA535" i="7"/>
  <c r="AA536" i="7"/>
  <c r="AA537" i="7"/>
  <c r="AA538" i="7"/>
  <c r="AA539" i="7"/>
  <c r="AB539" i="7" s="1"/>
  <c r="AA540" i="7"/>
  <c r="AB540" i="7" s="1"/>
  <c r="AA541" i="7"/>
  <c r="AB541" i="7" s="1"/>
  <c r="AA542" i="7"/>
  <c r="AA543" i="7"/>
  <c r="AA544" i="7"/>
  <c r="AA545" i="7"/>
  <c r="AA546" i="7"/>
  <c r="AB546" i="7" s="1"/>
  <c r="AA547" i="7"/>
  <c r="AB547" i="7" s="1"/>
  <c r="AA548" i="7"/>
  <c r="AB548" i="7" s="1"/>
  <c r="AA549" i="7"/>
  <c r="AB549" i="7" s="1"/>
  <c r="AA550" i="7"/>
  <c r="AA551" i="7"/>
  <c r="AA552" i="7"/>
  <c r="AA553" i="7"/>
  <c r="AA554" i="7"/>
  <c r="AB554" i="7" s="1"/>
  <c r="AA555" i="7"/>
  <c r="AB555" i="7" s="1"/>
  <c r="AA556" i="7"/>
  <c r="AB556" i="7" s="1"/>
  <c r="AA557" i="7"/>
  <c r="AB557" i="7" s="1"/>
  <c r="AA558" i="7"/>
  <c r="AA559" i="7"/>
  <c r="AA560" i="7"/>
  <c r="AA561" i="7"/>
  <c r="AA562" i="7"/>
  <c r="AB562" i="7" s="1"/>
  <c r="AA563" i="7"/>
  <c r="AB563" i="7" s="1"/>
  <c r="AA564" i="7"/>
  <c r="AB564" i="7" s="1"/>
  <c r="AA565" i="7"/>
  <c r="AB565" i="7" s="1"/>
  <c r="AA566" i="7"/>
  <c r="AA567" i="7"/>
  <c r="AA568" i="7"/>
  <c r="AA569" i="7"/>
  <c r="AA570" i="7"/>
  <c r="AB570" i="7" s="1"/>
  <c r="AA571" i="7"/>
  <c r="AB571" i="7" s="1"/>
  <c r="AA572" i="7"/>
  <c r="AB572" i="7" s="1"/>
  <c r="AA573" i="7"/>
  <c r="AB573" i="7" s="1"/>
  <c r="AA574" i="7"/>
  <c r="AA575" i="7"/>
  <c r="AA576" i="7"/>
  <c r="AA577" i="7"/>
  <c r="AA578" i="7"/>
  <c r="AB578" i="7" s="1"/>
  <c r="AA579" i="7"/>
  <c r="AB579" i="7" s="1"/>
  <c r="AA580" i="7"/>
  <c r="AB580" i="7" s="1"/>
  <c r="AA581" i="7"/>
  <c r="AB581" i="7" s="1"/>
  <c r="AA582" i="7"/>
  <c r="AA583" i="7"/>
  <c r="AA584" i="7"/>
  <c r="AA585" i="7"/>
  <c r="AA586" i="7"/>
  <c r="AB586" i="7" s="1"/>
  <c r="AA587" i="7"/>
  <c r="AB587" i="7" s="1"/>
  <c r="AA588" i="7"/>
  <c r="AB588" i="7" s="1"/>
  <c r="AA589" i="7"/>
  <c r="AB589" i="7" s="1"/>
  <c r="AA590" i="7"/>
  <c r="AA591" i="7"/>
  <c r="AA592" i="7"/>
  <c r="AA593" i="7"/>
  <c r="AA594" i="7"/>
  <c r="AB594" i="7" s="1"/>
  <c r="AA595" i="7"/>
  <c r="AB595" i="7" s="1"/>
  <c r="AA596" i="7"/>
  <c r="AB596" i="7" s="1"/>
  <c r="AA597" i="7"/>
  <c r="AB597" i="7" s="1"/>
  <c r="AA598" i="7"/>
  <c r="AA599" i="7"/>
  <c r="AA600" i="7"/>
  <c r="AA601" i="7"/>
  <c r="AA602" i="7"/>
  <c r="AA603" i="7"/>
  <c r="AB603" i="7" s="1"/>
  <c r="AA604" i="7"/>
  <c r="AB604" i="7" s="1"/>
  <c r="AA605" i="7"/>
  <c r="AB605" i="7" s="1"/>
  <c r="AA606" i="7"/>
  <c r="AA607" i="7"/>
  <c r="AA608" i="7"/>
  <c r="AA609" i="7"/>
  <c r="AA610" i="7"/>
  <c r="AB610" i="7" s="1"/>
  <c r="AA611" i="7"/>
  <c r="AB611" i="7" s="1"/>
  <c r="AA612" i="7"/>
  <c r="AB612" i="7" s="1"/>
  <c r="AA613" i="7"/>
  <c r="AB613" i="7" s="1"/>
  <c r="AA614" i="7"/>
  <c r="AB614" i="7" s="1"/>
  <c r="AA615" i="7"/>
  <c r="AA616" i="7"/>
  <c r="AA617" i="7"/>
  <c r="AA618" i="7"/>
  <c r="AB618" i="7" s="1"/>
  <c r="AA619" i="7"/>
  <c r="AB619" i="7" s="1"/>
  <c r="AA620" i="7"/>
  <c r="AB620" i="7" s="1"/>
  <c r="AA621" i="7"/>
  <c r="AB621" i="7" s="1"/>
  <c r="AA622" i="7"/>
  <c r="AB622" i="7" s="1"/>
  <c r="AA623" i="7"/>
  <c r="AA624" i="7"/>
  <c r="AA625" i="7"/>
  <c r="AA626" i="7"/>
  <c r="AB626" i="7" s="1"/>
  <c r="AA627" i="7"/>
  <c r="AB627" i="7" s="1"/>
  <c r="AA628" i="7"/>
  <c r="AB628" i="7" s="1"/>
  <c r="AA629" i="7"/>
  <c r="AB629" i="7" s="1"/>
  <c r="AA630" i="7"/>
  <c r="AB630" i="7" s="1"/>
  <c r="AA631" i="7"/>
  <c r="AA632" i="7"/>
  <c r="AA633" i="7"/>
  <c r="AA634" i="7"/>
  <c r="AA635" i="7"/>
  <c r="AB635" i="7" s="1"/>
  <c r="AA636" i="7"/>
  <c r="AB636" i="7" s="1"/>
  <c r="AA637" i="7"/>
  <c r="AB637" i="7" s="1"/>
  <c r="AA638" i="7"/>
  <c r="AB638" i="7" s="1"/>
  <c r="AA639" i="7"/>
  <c r="AA640" i="7"/>
  <c r="AA641" i="7"/>
  <c r="AA642" i="7"/>
  <c r="AA643" i="7"/>
  <c r="AB643" i="7" s="1"/>
  <c r="AA644" i="7"/>
  <c r="AB644" i="7" s="1"/>
  <c r="AA645" i="7"/>
  <c r="AB645" i="7" s="1"/>
  <c r="AA646" i="7"/>
  <c r="AB646" i="7" s="1"/>
  <c r="AA647" i="7"/>
  <c r="AA648" i="7"/>
  <c r="AA649" i="7"/>
  <c r="AA650" i="7"/>
  <c r="AB650" i="7" s="1"/>
  <c r="AA651" i="7"/>
  <c r="AB651" i="7" s="1"/>
  <c r="AA652" i="7"/>
  <c r="AB652" i="7" s="1"/>
  <c r="AA653" i="7"/>
  <c r="AB653" i="7" s="1"/>
  <c r="AA654" i="7"/>
  <c r="AB654" i="7" s="1"/>
  <c r="AA655" i="7"/>
  <c r="AA656" i="7"/>
  <c r="AA657" i="7"/>
  <c r="AA658" i="7"/>
  <c r="AB658" i="7" s="1"/>
  <c r="AA659" i="7"/>
  <c r="AB659" i="7" s="1"/>
  <c r="AA660" i="7"/>
  <c r="AB660" i="7" s="1"/>
  <c r="AA661" i="7"/>
  <c r="AB661" i="7" s="1"/>
  <c r="AA662" i="7"/>
  <c r="AB662" i="7" s="1"/>
  <c r="AA663" i="7"/>
  <c r="AA664" i="7"/>
  <c r="AA665" i="7"/>
  <c r="AA666" i="7"/>
  <c r="AA667" i="7"/>
  <c r="AB667" i="7" s="1"/>
  <c r="AA668" i="7"/>
  <c r="AB668" i="7" s="1"/>
  <c r="AA669" i="7"/>
  <c r="AB669" i="7" s="1"/>
  <c r="AA670" i="7"/>
  <c r="AB670" i="7" s="1"/>
  <c r="AA671" i="7"/>
  <c r="AA672" i="7"/>
  <c r="AA673" i="7"/>
  <c r="AA674" i="7"/>
  <c r="AB674" i="7" s="1"/>
  <c r="AA675" i="7"/>
  <c r="AB675" i="7" s="1"/>
  <c r="AA676" i="7"/>
  <c r="AB676" i="7" s="1"/>
  <c r="AA677" i="7"/>
  <c r="AB677" i="7" s="1"/>
  <c r="AA678" i="7"/>
  <c r="AB678" i="7" s="1"/>
  <c r="AA679" i="7"/>
  <c r="AA680" i="7"/>
  <c r="AA681" i="7"/>
  <c r="AA682" i="7"/>
  <c r="AB682" i="7" s="1"/>
  <c r="AA683" i="7"/>
  <c r="AB683" i="7" s="1"/>
  <c r="AA684" i="7"/>
  <c r="AB684" i="7" s="1"/>
  <c r="AA685" i="7"/>
  <c r="AB685" i="7" s="1"/>
  <c r="AA686" i="7"/>
  <c r="AB686" i="7" s="1"/>
  <c r="AA687" i="7"/>
  <c r="AB687" i="7" s="1"/>
  <c r="AC687" i="7" s="1"/>
  <c r="AA688" i="7"/>
  <c r="AB688" i="7" s="1"/>
  <c r="AA689" i="7"/>
  <c r="AB689" i="7" s="1"/>
  <c r="AA690" i="7"/>
  <c r="AB690" i="7" s="1"/>
  <c r="AA691" i="7"/>
  <c r="AB691" i="7" s="1"/>
  <c r="AA692" i="7"/>
  <c r="AB692" i="7" s="1"/>
  <c r="AA693" i="7"/>
  <c r="AB693" i="7" s="1"/>
  <c r="AA694" i="7"/>
  <c r="AB694" i="7" s="1"/>
  <c r="AA695" i="7"/>
  <c r="AB695" i="7" s="1"/>
  <c r="AC695" i="7" s="1"/>
  <c r="AA696" i="7"/>
  <c r="AB696" i="7" s="1"/>
  <c r="AA697" i="7"/>
  <c r="AB697" i="7" s="1"/>
  <c r="AA698" i="7"/>
  <c r="AB698" i="7" s="1"/>
  <c r="AA699" i="7"/>
  <c r="AB699" i="7" s="1"/>
  <c r="AA700" i="7"/>
  <c r="AB700" i="7" s="1"/>
  <c r="AA701" i="7"/>
  <c r="AB701" i="7" s="1"/>
  <c r="AA702" i="7"/>
  <c r="AB702" i="7" s="1"/>
  <c r="AA703" i="7"/>
  <c r="AB703" i="7" s="1"/>
  <c r="AC703" i="7" s="1"/>
  <c r="AA704" i="7"/>
  <c r="AB704" i="7" s="1"/>
  <c r="AA705" i="7"/>
  <c r="AB705" i="7" s="1"/>
  <c r="AA706" i="7"/>
  <c r="AB706" i="7" s="1"/>
  <c r="AA707" i="7"/>
  <c r="AB707" i="7" s="1"/>
  <c r="AA708" i="7"/>
  <c r="AB708" i="7" s="1"/>
  <c r="AA709" i="7"/>
  <c r="AB709" i="7" s="1"/>
  <c r="AA710" i="7"/>
  <c r="AB710" i="7" s="1"/>
  <c r="AA711" i="7"/>
  <c r="AB711" i="7" s="1"/>
  <c r="AA712" i="7"/>
  <c r="AB712" i="7" s="1"/>
  <c r="AA713" i="7"/>
  <c r="AB713" i="7" s="1"/>
  <c r="AA714" i="7"/>
  <c r="AB714" i="7" s="1"/>
  <c r="AA715" i="7"/>
  <c r="AB715" i="7" s="1"/>
  <c r="AA716" i="7"/>
  <c r="AB716" i="7" s="1"/>
  <c r="AA717" i="7"/>
  <c r="AB717" i="7" s="1"/>
  <c r="AA718" i="7"/>
  <c r="AB718" i="7" s="1"/>
  <c r="AA719" i="7"/>
  <c r="AB719" i="7" s="1"/>
  <c r="AC719" i="7" s="1"/>
  <c r="AA720" i="7"/>
  <c r="AB720" i="7" s="1"/>
  <c r="AA721" i="7"/>
  <c r="AB721" i="7" s="1"/>
  <c r="W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502" i="7"/>
  <c r="W503" i="7"/>
  <c r="W504" i="7"/>
  <c r="W505" i="7"/>
  <c r="W506" i="7"/>
  <c r="W507" i="7"/>
  <c r="W508" i="7"/>
  <c r="W509" i="7"/>
  <c r="W510" i="7"/>
  <c r="W511" i="7"/>
  <c r="W512" i="7"/>
  <c r="W513" i="7"/>
  <c r="W514" i="7"/>
  <c r="W515" i="7"/>
  <c r="W516" i="7"/>
  <c r="W517" i="7"/>
  <c r="W518" i="7"/>
  <c r="W519" i="7"/>
  <c r="W520" i="7"/>
  <c r="W521" i="7"/>
  <c r="W522" i="7"/>
  <c r="W523" i="7"/>
  <c r="W524" i="7"/>
  <c r="W525" i="7"/>
  <c r="W526" i="7"/>
  <c r="W527" i="7"/>
  <c r="W528" i="7"/>
  <c r="W529" i="7"/>
  <c r="W530" i="7"/>
  <c r="W531" i="7"/>
  <c r="W532" i="7"/>
  <c r="W533" i="7"/>
  <c r="W534" i="7"/>
  <c r="W535" i="7"/>
  <c r="W536" i="7"/>
  <c r="W537" i="7"/>
  <c r="W538" i="7"/>
  <c r="W539" i="7"/>
  <c r="W540" i="7"/>
  <c r="W541" i="7"/>
  <c r="W542" i="7"/>
  <c r="W543" i="7"/>
  <c r="W544" i="7"/>
  <c r="W545" i="7"/>
  <c r="W546" i="7"/>
  <c r="W547" i="7"/>
  <c r="W548" i="7"/>
  <c r="W549" i="7"/>
  <c r="W550" i="7"/>
  <c r="W551" i="7"/>
  <c r="W552" i="7"/>
  <c r="W553" i="7"/>
  <c r="W554" i="7"/>
  <c r="W555" i="7"/>
  <c r="W556" i="7"/>
  <c r="W557" i="7"/>
  <c r="W558" i="7"/>
  <c r="W559" i="7"/>
  <c r="W560" i="7"/>
  <c r="W561" i="7"/>
  <c r="W562" i="7"/>
  <c r="W563" i="7"/>
  <c r="W564" i="7"/>
  <c r="W565" i="7"/>
  <c r="W566" i="7"/>
  <c r="W567" i="7"/>
  <c r="W568" i="7"/>
  <c r="W569" i="7"/>
  <c r="W570" i="7"/>
  <c r="W571" i="7"/>
  <c r="W572" i="7"/>
  <c r="W573" i="7"/>
  <c r="W574" i="7"/>
  <c r="W575" i="7"/>
  <c r="W576" i="7"/>
  <c r="W577" i="7"/>
  <c r="W578" i="7"/>
  <c r="W579" i="7"/>
  <c r="W580" i="7"/>
  <c r="W581" i="7"/>
  <c r="W582" i="7"/>
  <c r="W583" i="7"/>
  <c r="W584" i="7"/>
  <c r="W585" i="7"/>
  <c r="W586" i="7"/>
  <c r="W587" i="7"/>
  <c r="W588" i="7"/>
  <c r="W589" i="7"/>
  <c r="W590" i="7"/>
  <c r="W591" i="7"/>
  <c r="W592" i="7"/>
  <c r="W593" i="7"/>
  <c r="W594" i="7"/>
  <c r="W595" i="7"/>
  <c r="W596" i="7"/>
  <c r="W597" i="7"/>
  <c r="W598" i="7"/>
  <c r="W599" i="7"/>
  <c r="W600" i="7"/>
  <c r="W601" i="7"/>
  <c r="W602" i="7"/>
  <c r="W603" i="7"/>
  <c r="W604" i="7"/>
  <c r="W605" i="7"/>
  <c r="W606" i="7"/>
  <c r="W607" i="7"/>
  <c r="W608" i="7"/>
  <c r="W609" i="7"/>
  <c r="W610" i="7"/>
  <c r="W611" i="7"/>
  <c r="W612" i="7"/>
  <c r="W613" i="7"/>
  <c r="W614" i="7"/>
  <c r="W615" i="7"/>
  <c r="W616" i="7"/>
  <c r="W617" i="7"/>
  <c r="W618" i="7"/>
  <c r="W619" i="7"/>
  <c r="W620" i="7"/>
  <c r="W621" i="7"/>
  <c r="W622" i="7"/>
  <c r="W623" i="7"/>
  <c r="W624" i="7"/>
  <c r="W625" i="7"/>
  <c r="W626" i="7"/>
  <c r="W627" i="7"/>
  <c r="W628" i="7"/>
  <c r="W629" i="7"/>
  <c r="W630" i="7"/>
  <c r="W631" i="7"/>
  <c r="W632" i="7"/>
  <c r="W633" i="7"/>
  <c r="W634" i="7"/>
  <c r="W635" i="7"/>
  <c r="W636" i="7"/>
  <c r="W637" i="7"/>
  <c r="W638" i="7"/>
  <c r="W639" i="7"/>
  <c r="W640" i="7"/>
  <c r="W641" i="7"/>
  <c r="W642" i="7"/>
  <c r="W643" i="7"/>
  <c r="W644" i="7"/>
  <c r="W645" i="7"/>
  <c r="W646" i="7"/>
  <c r="W647" i="7"/>
  <c r="W648" i="7"/>
  <c r="W649" i="7"/>
  <c r="W650" i="7"/>
  <c r="W651" i="7"/>
  <c r="W652" i="7"/>
  <c r="W653" i="7"/>
  <c r="W654" i="7"/>
  <c r="W655" i="7"/>
  <c r="W656" i="7"/>
  <c r="W657" i="7"/>
  <c r="W658" i="7"/>
  <c r="W659" i="7"/>
  <c r="W660" i="7"/>
  <c r="W661" i="7"/>
  <c r="W662" i="7"/>
  <c r="W663" i="7"/>
  <c r="W664" i="7"/>
  <c r="W665" i="7"/>
  <c r="W666" i="7"/>
  <c r="W667" i="7"/>
  <c r="W668" i="7"/>
  <c r="W669" i="7"/>
  <c r="W670" i="7"/>
  <c r="W671" i="7"/>
  <c r="W672" i="7"/>
  <c r="W673" i="7"/>
  <c r="W674" i="7"/>
  <c r="W675" i="7"/>
  <c r="W676" i="7"/>
  <c r="W677" i="7"/>
  <c r="W678" i="7"/>
  <c r="W679" i="7"/>
  <c r="W680" i="7"/>
  <c r="W681" i="7"/>
  <c r="W682" i="7"/>
  <c r="W683" i="7"/>
  <c r="W684" i="7"/>
  <c r="W685" i="7"/>
  <c r="W686" i="7"/>
  <c r="W687" i="7"/>
  <c r="W688" i="7"/>
  <c r="W689" i="7"/>
  <c r="W690" i="7"/>
  <c r="W691" i="7"/>
  <c r="W692" i="7"/>
  <c r="W693" i="7"/>
  <c r="W694" i="7"/>
  <c r="W695" i="7"/>
  <c r="W696" i="7"/>
  <c r="W697" i="7"/>
  <c r="W698" i="7"/>
  <c r="W699" i="7"/>
  <c r="W700" i="7"/>
  <c r="W701" i="7"/>
  <c r="W702" i="7"/>
  <c r="W703" i="7"/>
  <c r="W704" i="7"/>
  <c r="W705" i="7"/>
  <c r="W706" i="7"/>
  <c r="W707" i="7"/>
  <c r="W708" i="7"/>
  <c r="W709" i="7"/>
  <c r="W710" i="7"/>
  <c r="W711" i="7"/>
  <c r="W712" i="7"/>
  <c r="W713" i="7"/>
  <c r="W714" i="7"/>
  <c r="W715" i="7"/>
  <c r="W716" i="7"/>
  <c r="W717" i="7"/>
  <c r="W718" i="7"/>
  <c r="W719" i="7"/>
  <c r="W720" i="7"/>
  <c r="W721"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V521" i="7"/>
  <c r="V522" i="7"/>
  <c r="V523" i="7"/>
  <c r="V524" i="7"/>
  <c r="V525" i="7"/>
  <c r="V526" i="7"/>
  <c r="V527" i="7"/>
  <c r="V528" i="7"/>
  <c r="V529" i="7"/>
  <c r="V530" i="7"/>
  <c r="V531" i="7"/>
  <c r="V532" i="7"/>
  <c r="V533" i="7"/>
  <c r="V534" i="7"/>
  <c r="V535" i="7"/>
  <c r="V536" i="7"/>
  <c r="V537" i="7"/>
  <c r="V538" i="7"/>
  <c r="V539" i="7"/>
  <c r="V540" i="7"/>
  <c r="V541" i="7"/>
  <c r="V542"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V643" i="7"/>
  <c r="V644" i="7"/>
  <c r="V645" i="7"/>
  <c r="V646" i="7"/>
  <c r="V647" i="7"/>
  <c r="V648" i="7"/>
  <c r="V649" i="7"/>
  <c r="V650" i="7"/>
  <c r="V651" i="7"/>
  <c r="V652" i="7"/>
  <c r="V653" i="7"/>
  <c r="V654" i="7"/>
  <c r="V655" i="7"/>
  <c r="V656" i="7"/>
  <c r="V657" i="7"/>
  <c r="V658" i="7"/>
  <c r="V659" i="7"/>
  <c r="V660" i="7"/>
  <c r="V661" i="7"/>
  <c r="V662" i="7"/>
  <c r="V663" i="7"/>
  <c r="V664" i="7"/>
  <c r="V665" i="7"/>
  <c r="V666" i="7"/>
  <c r="V667" i="7"/>
  <c r="V668" i="7"/>
  <c r="V669" i="7"/>
  <c r="V670" i="7"/>
  <c r="V671" i="7"/>
  <c r="V672" i="7"/>
  <c r="V673" i="7"/>
  <c r="V674" i="7"/>
  <c r="V675" i="7"/>
  <c r="V676" i="7"/>
  <c r="V677" i="7"/>
  <c r="V678" i="7"/>
  <c r="V679" i="7"/>
  <c r="V680" i="7"/>
  <c r="V681" i="7"/>
  <c r="V682" i="7"/>
  <c r="V683" i="7"/>
  <c r="V684" i="7"/>
  <c r="V685" i="7"/>
  <c r="V686" i="7"/>
  <c r="V687" i="7"/>
  <c r="V688" i="7"/>
  <c r="V689" i="7"/>
  <c r="V690" i="7"/>
  <c r="V691" i="7"/>
  <c r="V692" i="7"/>
  <c r="V693" i="7"/>
  <c r="V694" i="7"/>
  <c r="V695" i="7"/>
  <c r="V696" i="7"/>
  <c r="V697" i="7"/>
  <c r="V698" i="7"/>
  <c r="V699" i="7"/>
  <c r="V700" i="7"/>
  <c r="V701" i="7"/>
  <c r="V702" i="7"/>
  <c r="V703" i="7"/>
  <c r="V704" i="7"/>
  <c r="V705" i="7"/>
  <c r="V706" i="7"/>
  <c r="V707" i="7"/>
  <c r="V708" i="7"/>
  <c r="V709" i="7"/>
  <c r="V710" i="7"/>
  <c r="V711" i="7"/>
  <c r="V712" i="7"/>
  <c r="V713" i="7"/>
  <c r="V714" i="7"/>
  <c r="V715" i="7"/>
  <c r="V716" i="7"/>
  <c r="V717" i="7"/>
  <c r="V718" i="7"/>
  <c r="V719" i="7"/>
  <c r="V720" i="7"/>
  <c r="V721" i="7"/>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694" i="7"/>
  <c r="U695" i="7"/>
  <c r="U696" i="7"/>
  <c r="U697" i="7"/>
  <c r="U698" i="7"/>
  <c r="U699" i="7"/>
  <c r="U700" i="7"/>
  <c r="U701" i="7"/>
  <c r="U702" i="7"/>
  <c r="U703" i="7"/>
  <c r="U704" i="7"/>
  <c r="U705" i="7"/>
  <c r="U706" i="7"/>
  <c r="U707" i="7"/>
  <c r="U708" i="7"/>
  <c r="U709" i="7"/>
  <c r="U710" i="7"/>
  <c r="U711" i="7"/>
  <c r="U712" i="7"/>
  <c r="U713" i="7"/>
  <c r="U714" i="7"/>
  <c r="U715" i="7"/>
  <c r="U716" i="7"/>
  <c r="U717" i="7"/>
  <c r="U718" i="7"/>
  <c r="U719" i="7"/>
  <c r="U720" i="7"/>
  <c r="U721" i="7"/>
  <c r="C727" i="7"/>
  <c r="T2"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700" i="7"/>
  <c r="T701" i="7"/>
  <c r="T702" i="7"/>
  <c r="T703" i="7"/>
  <c r="T704" i="7"/>
  <c r="T705" i="7"/>
  <c r="T706" i="7"/>
  <c r="T707" i="7"/>
  <c r="T708" i="7"/>
  <c r="T709" i="7"/>
  <c r="T710" i="7"/>
  <c r="T711" i="7"/>
  <c r="T712" i="7"/>
  <c r="T713" i="7"/>
  <c r="T714" i="7"/>
  <c r="T715" i="7"/>
  <c r="T716" i="7"/>
  <c r="T717" i="7"/>
  <c r="T718" i="7"/>
  <c r="T719" i="7"/>
  <c r="T720" i="7"/>
  <c r="T721"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2"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Q2" i="7"/>
  <c r="AK2" i="7" s="1"/>
  <c r="Q3" i="7"/>
  <c r="AK3" i="7" s="1"/>
  <c r="Q4" i="7"/>
  <c r="AK4" i="7" s="1"/>
  <c r="Q5" i="7"/>
  <c r="AK5" i="7" s="1"/>
  <c r="Q6" i="7"/>
  <c r="AK6" i="7" s="1"/>
  <c r="Q7" i="7"/>
  <c r="AK7" i="7" s="1"/>
  <c r="Q8" i="7"/>
  <c r="AK8" i="7" s="1"/>
  <c r="Q9" i="7"/>
  <c r="AK9" i="7" s="1"/>
  <c r="Q10" i="7"/>
  <c r="AK10" i="7" s="1"/>
  <c r="Q11" i="7"/>
  <c r="AK11" i="7" s="1"/>
  <c r="Q12" i="7"/>
  <c r="AK12" i="7" s="1"/>
  <c r="Q13" i="7"/>
  <c r="AK13" i="7" s="1"/>
  <c r="Q14" i="7"/>
  <c r="AK14" i="7" s="1"/>
  <c r="Q15" i="7"/>
  <c r="AK15" i="7" s="1"/>
  <c r="Q16" i="7"/>
  <c r="AK16" i="7" s="1"/>
  <c r="Q17" i="7"/>
  <c r="AK17" i="7" s="1"/>
  <c r="Q18" i="7"/>
  <c r="AK18" i="7" s="1"/>
  <c r="Q19" i="7"/>
  <c r="AK19" i="7" s="1"/>
  <c r="Q20" i="7"/>
  <c r="AK20" i="7" s="1"/>
  <c r="Q21" i="7"/>
  <c r="AK21" i="7" s="1"/>
  <c r="Q22" i="7"/>
  <c r="AK22" i="7" s="1"/>
  <c r="Q23" i="7"/>
  <c r="AK23" i="7" s="1"/>
  <c r="Q24" i="7"/>
  <c r="AK24" i="7" s="1"/>
  <c r="Q25" i="7"/>
  <c r="AK25" i="7" s="1"/>
  <c r="Q26" i="7"/>
  <c r="AK26" i="7" s="1"/>
  <c r="Q27" i="7"/>
  <c r="AK27" i="7" s="1"/>
  <c r="Q28" i="7"/>
  <c r="AK28" i="7" s="1"/>
  <c r="Q29" i="7"/>
  <c r="AK29" i="7" s="1"/>
  <c r="Q30" i="7"/>
  <c r="AK30" i="7" s="1"/>
  <c r="Q31" i="7"/>
  <c r="AK31" i="7" s="1"/>
  <c r="Q32" i="7"/>
  <c r="AK32" i="7" s="1"/>
  <c r="Q33" i="7"/>
  <c r="AK33" i="7" s="1"/>
  <c r="Q34" i="7"/>
  <c r="AK34" i="7" s="1"/>
  <c r="Q35" i="7"/>
  <c r="AK35" i="7" s="1"/>
  <c r="Q36" i="7"/>
  <c r="AK36" i="7" s="1"/>
  <c r="Q37" i="7"/>
  <c r="AK37" i="7" s="1"/>
  <c r="Q38" i="7"/>
  <c r="AK38" i="7" s="1"/>
  <c r="Q39" i="7"/>
  <c r="AK39" i="7" s="1"/>
  <c r="Q40" i="7"/>
  <c r="AK40" i="7" s="1"/>
  <c r="Q41" i="7"/>
  <c r="AK41" i="7" s="1"/>
  <c r="Q42" i="7"/>
  <c r="AK42" i="7" s="1"/>
  <c r="Q43" i="7"/>
  <c r="AK43" i="7" s="1"/>
  <c r="Q44" i="7"/>
  <c r="AK44" i="7" s="1"/>
  <c r="Q45" i="7"/>
  <c r="AK45" i="7" s="1"/>
  <c r="Q46" i="7"/>
  <c r="AK46" i="7" s="1"/>
  <c r="Q47" i="7"/>
  <c r="AK47" i="7" s="1"/>
  <c r="Q48" i="7"/>
  <c r="AK48" i="7" s="1"/>
  <c r="Q49" i="7"/>
  <c r="AK49" i="7" s="1"/>
  <c r="Q50" i="7"/>
  <c r="AK50" i="7" s="1"/>
  <c r="Q51" i="7"/>
  <c r="AK51" i="7" s="1"/>
  <c r="Q52" i="7"/>
  <c r="AK52" i="7" s="1"/>
  <c r="Q53" i="7"/>
  <c r="AK53" i="7" s="1"/>
  <c r="Q54" i="7"/>
  <c r="AK54" i="7" s="1"/>
  <c r="Q55" i="7"/>
  <c r="AK55" i="7" s="1"/>
  <c r="Q56" i="7"/>
  <c r="AK56" i="7" s="1"/>
  <c r="Q57" i="7"/>
  <c r="AK57" i="7" s="1"/>
  <c r="Q58" i="7"/>
  <c r="AK58" i="7" s="1"/>
  <c r="Q59" i="7"/>
  <c r="AK59" i="7" s="1"/>
  <c r="Q60" i="7"/>
  <c r="AK60" i="7" s="1"/>
  <c r="Q61" i="7"/>
  <c r="AK61" i="7" s="1"/>
  <c r="Q62" i="7"/>
  <c r="AK62" i="7" s="1"/>
  <c r="Q63" i="7"/>
  <c r="AK63" i="7" s="1"/>
  <c r="Q64" i="7"/>
  <c r="AK64" i="7" s="1"/>
  <c r="Q65" i="7"/>
  <c r="AK65" i="7" s="1"/>
  <c r="Q66" i="7"/>
  <c r="AK66" i="7" s="1"/>
  <c r="Q67" i="7"/>
  <c r="AK67" i="7" s="1"/>
  <c r="Q68" i="7"/>
  <c r="AK68" i="7" s="1"/>
  <c r="Q69" i="7"/>
  <c r="AK69" i="7" s="1"/>
  <c r="Q70" i="7"/>
  <c r="AK70" i="7" s="1"/>
  <c r="Q71" i="7"/>
  <c r="AK71" i="7" s="1"/>
  <c r="Q72" i="7"/>
  <c r="AK72" i="7" s="1"/>
  <c r="Q73" i="7"/>
  <c r="AK73" i="7" s="1"/>
  <c r="Q74" i="7"/>
  <c r="AK74" i="7" s="1"/>
  <c r="Q75" i="7"/>
  <c r="AK75" i="7" s="1"/>
  <c r="Q76" i="7"/>
  <c r="AK76" i="7" s="1"/>
  <c r="Q77" i="7"/>
  <c r="AK77" i="7" s="1"/>
  <c r="Q78" i="7"/>
  <c r="AK78" i="7" s="1"/>
  <c r="Q79" i="7"/>
  <c r="AK79" i="7" s="1"/>
  <c r="Q80" i="7"/>
  <c r="AK80" i="7" s="1"/>
  <c r="Q81" i="7"/>
  <c r="AK81" i="7" s="1"/>
  <c r="Q82" i="7"/>
  <c r="AK82" i="7" s="1"/>
  <c r="Q83" i="7"/>
  <c r="AK83" i="7" s="1"/>
  <c r="Q84" i="7"/>
  <c r="AK84" i="7" s="1"/>
  <c r="Q85" i="7"/>
  <c r="AK85" i="7" s="1"/>
  <c r="Q86" i="7"/>
  <c r="AK86" i="7" s="1"/>
  <c r="Q87" i="7"/>
  <c r="AK87" i="7" s="1"/>
  <c r="Q88" i="7"/>
  <c r="AK88" i="7" s="1"/>
  <c r="Q89" i="7"/>
  <c r="AK89" i="7" s="1"/>
  <c r="Q90" i="7"/>
  <c r="AK90" i="7" s="1"/>
  <c r="Q91" i="7"/>
  <c r="AK91" i="7" s="1"/>
  <c r="Q92" i="7"/>
  <c r="AK92" i="7" s="1"/>
  <c r="Q93" i="7"/>
  <c r="AK93" i="7" s="1"/>
  <c r="Q94" i="7"/>
  <c r="AK94" i="7" s="1"/>
  <c r="Q95" i="7"/>
  <c r="AK95" i="7" s="1"/>
  <c r="Q96" i="7"/>
  <c r="AK96" i="7" s="1"/>
  <c r="Q97" i="7"/>
  <c r="AK97" i="7" s="1"/>
  <c r="Q98" i="7"/>
  <c r="AK98" i="7" s="1"/>
  <c r="Q99" i="7"/>
  <c r="AK99" i="7" s="1"/>
  <c r="Q100" i="7"/>
  <c r="AK100" i="7" s="1"/>
  <c r="Q101" i="7"/>
  <c r="AK101" i="7" s="1"/>
  <c r="Q102" i="7"/>
  <c r="AK102" i="7" s="1"/>
  <c r="Q103" i="7"/>
  <c r="AK103" i="7" s="1"/>
  <c r="Q104" i="7"/>
  <c r="AK104" i="7" s="1"/>
  <c r="Q105" i="7"/>
  <c r="AK105" i="7" s="1"/>
  <c r="Q106" i="7"/>
  <c r="AK106" i="7" s="1"/>
  <c r="Q107" i="7"/>
  <c r="AK107" i="7" s="1"/>
  <c r="Q108" i="7"/>
  <c r="AK108" i="7" s="1"/>
  <c r="Q109" i="7"/>
  <c r="AK109" i="7" s="1"/>
  <c r="Q110" i="7"/>
  <c r="AK110" i="7" s="1"/>
  <c r="Q111" i="7"/>
  <c r="AK111" i="7" s="1"/>
  <c r="Q112" i="7"/>
  <c r="AK112" i="7" s="1"/>
  <c r="Q113" i="7"/>
  <c r="AK113" i="7" s="1"/>
  <c r="Q114" i="7"/>
  <c r="AK114" i="7" s="1"/>
  <c r="Q115" i="7"/>
  <c r="AK115" i="7" s="1"/>
  <c r="Q116" i="7"/>
  <c r="AK116" i="7" s="1"/>
  <c r="Q117" i="7"/>
  <c r="AK117" i="7" s="1"/>
  <c r="Q118" i="7"/>
  <c r="AK118" i="7" s="1"/>
  <c r="Q119" i="7"/>
  <c r="AK119" i="7" s="1"/>
  <c r="Q120" i="7"/>
  <c r="AK120" i="7" s="1"/>
  <c r="Q121" i="7"/>
  <c r="AK121" i="7" s="1"/>
  <c r="Q122" i="7"/>
  <c r="AK122" i="7" s="1"/>
  <c r="Q123" i="7"/>
  <c r="AK123" i="7" s="1"/>
  <c r="Q124" i="7"/>
  <c r="AK124" i="7" s="1"/>
  <c r="Q125" i="7"/>
  <c r="AK125" i="7" s="1"/>
  <c r="Q126" i="7"/>
  <c r="AK126" i="7" s="1"/>
  <c r="Q127" i="7"/>
  <c r="AK127" i="7" s="1"/>
  <c r="Q128" i="7"/>
  <c r="AK128" i="7" s="1"/>
  <c r="Q129" i="7"/>
  <c r="AK129" i="7" s="1"/>
  <c r="Q130" i="7"/>
  <c r="AK130" i="7" s="1"/>
  <c r="Q131" i="7"/>
  <c r="AK131" i="7" s="1"/>
  <c r="Q132" i="7"/>
  <c r="AK132" i="7" s="1"/>
  <c r="Q133" i="7"/>
  <c r="AK133" i="7" s="1"/>
  <c r="Q134" i="7"/>
  <c r="AK134" i="7" s="1"/>
  <c r="Q135" i="7"/>
  <c r="AK135" i="7" s="1"/>
  <c r="Q136" i="7"/>
  <c r="AK136" i="7" s="1"/>
  <c r="Q137" i="7"/>
  <c r="AK137" i="7" s="1"/>
  <c r="Q138" i="7"/>
  <c r="AK138" i="7" s="1"/>
  <c r="Q139" i="7"/>
  <c r="AK139" i="7" s="1"/>
  <c r="Q140" i="7"/>
  <c r="AK140" i="7" s="1"/>
  <c r="Q141" i="7"/>
  <c r="AK141" i="7" s="1"/>
  <c r="Q142" i="7"/>
  <c r="AK142" i="7" s="1"/>
  <c r="Q143" i="7"/>
  <c r="AK143" i="7" s="1"/>
  <c r="Q144" i="7"/>
  <c r="AK144" i="7" s="1"/>
  <c r="Q145" i="7"/>
  <c r="AK145" i="7" s="1"/>
  <c r="Q146" i="7"/>
  <c r="AK146" i="7" s="1"/>
  <c r="Q147" i="7"/>
  <c r="AK147" i="7" s="1"/>
  <c r="Q148" i="7"/>
  <c r="AK148" i="7" s="1"/>
  <c r="Q149" i="7"/>
  <c r="AK149" i="7" s="1"/>
  <c r="Q150" i="7"/>
  <c r="AK150" i="7" s="1"/>
  <c r="Q151" i="7"/>
  <c r="AK151" i="7" s="1"/>
  <c r="Q152" i="7"/>
  <c r="AK152" i="7" s="1"/>
  <c r="Q153" i="7"/>
  <c r="AK153" i="7" s="1"/>
  <c r="Q154" i="7"/>
  <c r="AK154" i="7" s="1"/>
  <c r="Q155" i="7"/>
  <c r="AK155" i="7" s="1"/>
  <c r="Q156" i="7"/>
  <c r="AK156" i="7" s="1"/>
  <c r="Q157" i="7"/>
  <c r="AK157" i="7" s="1"/>
  <c r="Q158" i="7"/>
  <c r="AK158" i="7" s="1"/>
  <c r="Q159" i="7"/>
  <c r="AK159" i="7" s="1"/>
  <c r="Q160" i="7"/>
  <c r="AK160" i="7" s="1"/>
  <c r="Q161" i="7"/>
  <c r="AK161" i="7" s="1"/>
  <c r="Q162" i="7"/>
  <c r="AK162" i="7" s="1"/>
  <c r="Q163" i="7"/>
  <c r="AK163" i="7" s="1"/>
  <c r="Q164" i="7"/>
  <c r="AK164" i="7" s="1"/>
  <c r="Q165" i="7"/>
  <c r="AK165" i="7" s="1"/>
  <c r="Q166" i="7"/>
  <c r="AK166" i="7" s="1"/>
  <c r="Q167" i="7"/>
  <c r="AK167" i="7" s="1"/>
  <c r="Q168" i="7"/>
  <c r="AK168" i="7" s="1"/>
  <c r="Q169" i="7"/>
  <c r="AK169" i="7" s="1"/>
  <c r="Q170" i="7"/>
  <c r="AK170" i="7" s="1"/>
  <c r="Q171" i="7"/>
  <c r="AK171" i="7" s="1"/>
  <c r="Q172" i="7"/>
  <c r="AK172" i="7" s="1"/>
  <c r="Q173" i="7"/>
  <c r="AK173" i="7" s="1"/>
  <c r="Q174" i="7"/>
  <c r="AK174" i="7" s="1"/>
  <c r="Q175" i="7"/>
  <c r="AK175" i="7" s="1"/>
  <c r="Q176" i="7"/>
  <c r="AK176" i="7" s="1"/>
  <c r="Q177" i="7"/>
  <c r="AK177" i="7" s="1"/>
  <c r="Q178" i="7"/>
  <c r="AK178" i="7" s="1"/>
  <c r="Q179" i="7"/>
  <c r="AK179" i="7" s="1"/>
  <c r="Q180" i="7"/>
  <c r="AK180" i="7" s="1"/>
  <c r="Q181" i="7"/>
  <c r="AK181" i="7" s="1"/>
  <c r="Q182" i="7"/>
  <c r="AK182" i="7" s="1"/>
  <c r="Q183" i="7"/>
  <c r="AK183" i="7" s="1"/>
  <c r="Q184" i="7"/>
  <c r="AK184" i="7" s="1"/>
  <c r="Q185" i="7"/>
  <c r="AK185" i="7" s="1"/>
  <c r="Q186" i="7"/>
  <c r="AK186" i="7" s="1"/>
  <c r="Q187" i="7"/>
  <c r="AK187" i="7" s="1"/>
  <c r="Q188" i="7"/>
  <c r="AK188" i="7" s="1"/>
  <c r="Q189" i="7"/>
  <c r="AK189" i="7" s="1"/>
  <c r="Q190" i="7"/>
  <c r="AK190" i="7" s="1"/>
  <c r="Q191" i="7"/>
  <c r="AK191" i="7" s="1"/>
  <c r="Q192" i="7"/>
  <c r="AK192" i="7" s="1"/>
  <c r="Q193" i="7"/>
  <c r="AK193" i="7" s="1"/>
  <c r="Q194" i="7"/>
  <c r="AK194" i="7" s="1"/>
  <c r="Q195" i="7"/>
  <c r="AK195" i="7" s="1"/>
  <c r="Q196" i="7"/>
  <c r="AK196" i="7" s="1"/>
  <c r="Q197" i="7"/>
  <c r="AK197" i="7" s="1"/>
  <c r="Q198" i="7"/>
  <c r="AK198" i="7" s="1"/>
  <c r="Q199" i="7"/>
  <c r="AK199" i="7" s="1"/>
  <c r="Q200" i="7"/>
  <c r="AK200" i="7" s="1"/>
  <c r="Q201" i="7"/>
  <c r="AK201" i="7" s="1"/>
  <c r="Q202" i="7"/>
  <c r="AK202" i="7" s="1"/>
  <c r="Q203" i="7"/>
  <c r="AK203" i="7" s="1"/>
  <c r="Q204" i="7"/>
  <c r="AK204" i="7" s="1"/>
  <c r="Q205" i="7"/>
  <c r="AK205" i="7" s="1"/>
  <c r="Q206" i="7"/>
  <c r="AK206" i="7" s="1"/>
  <c r="Q207" i="7"/>
  <c r="AK207" i="7" s="1"/>
  <c r="Q208" i="7"/>
  <c r="AK208" i="7" s="1"/>
  <c r="Q209" i="7"/>
  <c r="AK209" i="7" s="1"/>
  <c r="Q210" i="7"/>
  <c r="AK210" i="7" s="1"/>
  <c r="Q211" i="7"/>
  <c r="AK211" i="7" s="1"/>
  <c r="Q212" i="7"/>
  <c r="AK212" i="7" s="1"/>
  <c r="Q213" i="7"/>
  <c r="AK213" i="7" s="1"/>
  <c r="Q214" i="7"/>
  <c r="AK214" i="7" s="1"/>
  <c r="Q215" i="7"/>
  <c r="AK215" i="7" s="1"/>
  <c r="Q216" i="7"/>
  <c r="AK216" i="7" s="1"/>
  <c r="Q217" i="7"/>
  <c r="AK217" i="7" s="1"/>
  <c r="Q218" i="7"/>
  <c r="AK218" i="7" s="1"/>
  <c r="Q219" i="7"/>
  <c r="AK219" i="7" s="1"/>
  <c r="Q220" i="7"/>
  <c r="AK220" i="7" s="1"/>
  <c r="Q221" i="7"/>
  <c r="AK221" i="7" s="1"/>
  <c r="Q222" i="7"/>
  <c r="AK222" i="7" s="1"/>
  <c r="Q223" i="7"/>
  <c r="AK223" i="7" s="1"/>
  <c r="Q224" i="7"/>
  <c r="AK224" i="7" s="1"/>
  <c r="Q225" i="7"/>
  <c r="AK225" i="7" s="1"/>
  <c r="Q226" i="7"/>
  <c r="AK226" i="7" s="1"/>
  <c r="Q227" i="7"/>
  <c r="AK227" i="7" s="1"/>
  <c r="Q228" i="7"/>
  <c r="AK228" i="7" s="1"/>
  <c r="Q229" i="7"/>
  <c r="AK229" i="7" s="1"/>
  <c r="Q230" i="7"/>
  <c r="AK230" i="7" s="1"/>
  <c r="Q231" i="7"/>
  <c r="AK231" i="7" s="1"/>
  <c r="Q232" i="7"/>
  <c r="AK232" i="7" s="1"/>
  <c r="Q233" i="7"/>
  <c r="AK233" i="7" s="1"/>
  <c r="Q234" i="7"/>
  <c r="AK234" i="7" s="1"/>
  <c r="Q235" i="7"/>
  <c r="AK235" i="7" s="1"/>
  <c r="Q236" i="7"/>
  <c r="AK236" i="7" s="1"/>
  <c r="Q237" i="7"/>
  <c r="AK237" i="7" s="1"/>
  <c r="Q238" i="7"/>
  <c r="AK238" i="7" s="1"/>
  <c r="Q239" i="7"/>
  <c r="AK239" i="7" s="1"/>
  <c r="Q240" i="7"/>
  <c r="AK240" i="7" s="1"/>
  <c r="Q241" i="7"/>
  <c r="AK241" i="7" s="1"/>
  <c r="Q242" i="7"/>
  <c r="AK242" i="7" s="1"/>
  <c r="Q243" i="7"/>
  <c r="AK243" i="7" s="1"/>
  <c r="Q244" i="7"/>
  <c r="AK244" i="7" s="1"/>
  <c r="Q245" i="7"/>
  <c r="AK245" i="7" s="1"/>
  <c r="Q246" i="7"/>
  <c r="AK246" i="7" s="1"/>
  <c r="Q247" i="7"/>
  <c r="AK247" i="7" s="1"/>
  <c r="Q248" i="7"/>
  <c r="AK248" i="7" s="1"/>
  <c r="Q249" i="7"/>
  <c r="AK249" i="7" s="1"/>
  <c r="Q250" i="7"/>
  <c r="AK250" i="7" s="1"/>
  <c r="Q251" i="7"/>
  <c r="AK251" i="7" s="1"/>
  <c r="Q252" i="7"/>
  <c r="AK252" i="7" s="1"/>
  <c r="Q253" i="7"/>
  <c r="AK253" i="7" s="1"/>
  <c r="Q254" i="7"/>
  <c r="AK254" i="7" s="1"/>
  <c r="Q255" i="7"/>
  <c r="AK255" i="7" s="1"/>
  <c r="Q256" i="7"/>
  <c r="AK256" i="7" s="1"/>
  <c r="Q257" i="7"/>
  <c r="AK257" i="7" s="1"/>
  <c r="Q258" i="7"/>
  <c r="AK258" i="7" s="1"/>
  <c r="Q259" i="7"/>
  <c r="AK259" i="7" s="1"/>
  <c r="Q260" i="7"/>
  <c r="AK260" i="7" s="1"/>
  <c r="Q261" i="7"/>
  <c r="AK261" i="7" s="1"/>
  <c r="Q262" i="7"/>
  <c r="AK262" i="7" s="1"/>
  <c r="Q263" i="7"/>
  <c r="AK263" i="7" s="1"/>
  <c r="Q264" i="7"/>
  <c r="AK264" i="7" s="1"/>
  <c r="Q265" i="7"/>
  <c r="AK265" i="7" s="1"/>
  <c r="Q266" i="7"/>
  <c r="AK266" i="7" s="1"/>
  <c r="Q267" i="7"/>
  <c r="AK267" i="7" s="1"/>
  <c r="Q268" i="7"/>
  <c r="AK268" i="7" s="1"/>
  <c r="Q269" i="7"/>
  <c r="AK269" i="7" s="1"/>
  <c r="Q270" i="7"/>
  <c r="AK270" i="7" s="1"/>
  <c r="Q271" i="7"/>
  <c r="AK271" i="7" s="1"/>
  <c r="Q272" i="7"/>
  <c r="AK272" i="7" s="1"/>
  <c r="Q273" i="7"/>
  <c r="AK273" i="7" s="1"/>
  <c r="Q274" i="7"/>
  <c r="AK274" i="7" s="1"/>
  <c r="Q275" i="7"/>
  <c r="AK275" i="7" s="1"/>
  <c r="Q276" i="7"/>
  <c r="AK276" i="7" s="1"/>
  <c r="Q277" i="7"/>
  <c r="AK277" i="7" s="1"/>
  <c r="Q278" i="7"/>
  <c r="AK278" i="7" s="1"/>
  <c r="Q279" i="7"/>
  <c r="AK279" i="7" s="1"/>
  <c r="Q280" i="7"/>
  <c r="AK280" i="7" s="1"/>
  <c r="Q281" i="7"/>
  <c r="AK281" i="7" s="1"/>
  <c r="Q282" i="7"/>
  <c r="AK282" i="7" s="1"/>
  <c r="Q283" i="7"/>
  <c r="AK283" i="7" s="1"/>
  <c r="Q284" i="7"/>
  <c r="AK284" i="7" s="1"/>
  <c r="Q285" i="7"/>
  <c r="AK285" i="7" s="1"/>
  <c r="Q286" i="7"/>
  <c r="AK286" i="7" s="1"/>
  <c r="Q287" i="7"/>
  <c r="AK287" i="7" s="1"/>
  <c r="Q288" i="7"/>
  <c r="AK288" i="7" s="1"/>
  <c r="Q289" i="7"/>
  <c r="AK289" i="7" s="1"/>
  <c r="Q290" i="7"/>
  <c r="AK290" i="7" s="1"/>
  <c r="Q291" i="7"/>
  <c r="AK291" i="7" s="1"/>
  <c r="Q292" i="7"/>
  <c r="AK292" i="7" s="1"/>
  <c r="Q293" i="7"/>
  <c r="AK293" i="7" s="1"/>
  <c r="Q294" i="7"/>
  <c r="AK294" i="7" s="1"/>
  <c r="Q295" i="7"/>
  <c r="AK295" i="7" s="1"/>
  <c r="Q296" i="7"/>
  <c r="AK296" i="7" s="1"/>
  <c r="Q297" i="7"/>
  <c r="AK297" i="7" s="1"/>
  <c r="Q298" i="7"/>
  <c r="AK298" i="7" s="1"/>
  <c r="Q299" i="7"/>
  <c r="AK299" i="7" s="1"/>
  <c r="Q300" i="7"/>
  <c r="AK300" i="7" s="1"/>
  <c r="Q301" i="7"/>
  <c r="AK301" i="7" s="1"/>
  <c r="Q302" i="7"/>
  <c r="AK302" i="7" s="1"/>
  <c r="Q303" i="7"/>
  <c r="AK303" i="7" s="1"/>
  <c r="Q304" i="7"/>
  <c r="AK304" i="7" s="1"/>
  <c r="Q305" i="7"/>
  <c r="AK305" i="7" s="1"/>
  <c r="Q306" i="7"/>
  <c r="AK306" i="7" s="1"/>
  <c r="Q307" i="7"/>
  <c r="AK307" i="7" s="1"/>
  <c r="Q308" i="7"/>
  <c r="AK308" i="7" s="1"/>
  <c r="Q309" i="7"/>
  <c r="AK309" i="7" s="1"/>
  <c r="Q310" i="7"/>
  <c r="AK310" i="7" s="1"/>
  <c r="Q311" i="7"/>
  <c r="AK311" i="7" s="1"/>
  <c r="Q312" i="7"/>
  <c r="AK312" i="7" s="1"/>
  <c r="Q313" i="7"/>
  <c r="AK313" i="7" s="1"/>
  <c r="Q314" i="7"/>
  <c r="AK314" i="7" s="1"/>
  <c r="Q315" i="7"/>
  <c r="AK315" i="7" s="1"/>
  <c r="Q316" i="7"/>
  <c r="AK316" i="7" s="1"/>
  <c r="Q317" i="7"/>
  <c r="AK317" i="7" s="1"/>
  <c r="Q318" i="7"/>
  <c r="AK318" i="7" s="1"/>
  <c r="Q319" i="7"/>
  <c r="AK319" i="7" s="1"/>
  <c r="Q320" i="7"/>
  <c r="AK320" i="7" s="1"/>
  <c r="Q321" i="7"/>
  <c r="AK321" i="7" s="1"/>
  <c r="Q322" i="7"/>
  <c r="AK322" i="7" s="1"/>
  <c r="Q323" i="7"/>
  <c r="AK323" i="7" s="1"/>
  <c r="Q324" i="7"/>
  <c r="AK324" i="7" s="1"/>
  <c r="Q325" i="7"/>
  <c r="AK325" i="7" s="1"/>
  <c r="Q326" i="7"/>
  <c r="AK326" i="7" s="1"/>
  <c r="Q327" i="7"/>
  <c r="AK327" i="7" s="1"/>
  <c r="Q328" i="7"/>
  <c r="AK328" i="7" s="1"/>
  <c r="Q329" i="7"/>
  <c r="AK329" i="7" s="1"/>
  <c r="Q330" i="7"/>
  <c r="AK330" i="7" s="1"/>
  <c r="Q331" i="7"/>
  <c r="AK331" i="7" s="1"/>
  <c r="Q332" i="7"/>
  <c r="AK332" i="7" s="1"/>
  <c r="Q333" i="7"/>
  <c r="AK333" i="7" s="1"/>
  <c r="Q334" i="7"/>
  <c r="AK334" i="7" s="1"/>
  <c r="Q335" i="7"/>
  <c r="AK335" i="7" s="1"/>
  <c r="Q336" i="7"/>
  <c r="AK336" i="7" s="1"/>
  <c r="Q337" i="7"/>
  <c r="AK337" i="7" s="1"/>
  <c r="Q338" i="7"/>
  <c r="AK338" i="7" s="1"/>
  <c r="Q339" i="7"/>
  <c r="AK339" i="7" s="1"/>
  <c r="Q340" i="7"/>
  <c r="AK340" i="7" s="1"/>
  <c r="Q341" i="7"/>
  <c r="AK341" i="7" s="1"/>
  <c r="Q342" i="7"/>
  <c r="AK342" i="7" s="1"/>
  <c r="Q343" i="7"/>
  <c r="AK343" i="7" s="1"/>
  <c r="Q344" i="7"/>
  <c r="AK344" i="7" s="1"/>
  <c r="Q345" i="7"/>
  <c r="AK345" i="7" s="1"/>
  <c r="Q346" i="7"/>
  <c r="AK346" i="7" s="1"/>
  <c r="Q347" i="7"/>
  <c r="AK347" i="7" s="1"/>
  <c r="Q348" i="7"/>
  <c r="AK348" i="7" s="1"/>
  <c r="Q349" i="7"/>
  <c r="AK349" i="7" s="1"/>
  <c r="Q350" i="7"/>
  <c r="AK350" i="7" s="1"/>
  <c r="Q351" i="7"/>
  <c r="AK351" i="7" s="1"/>
  <c r="Q352" i="7"/>
  <c r="AK352" i="7" s="1"/>
  <c r="Q353" i="7"/>
  <c r="AK353" i="7" s="1"/>
  <c r="Q354" i="7"/>
  <c r="AK354" i="7" s="1"/>
  <c r="Q355" i="7"/>
  <c r="AK355" i="7" s="1"/>
  <c r="Q356" i="7"/>
  <c r="AK356" i="7" s="1"/>
  <c r="Q357" i="7"/>
  <c r="AK357" i="7" s="1"/>
  <c r="Q358" i="7"/>
  <c r="AK358" i="7" s="1"/>
  <c r="Q359" i="7"/>
  <c r="AK359" i="7" s="1"/>
  <c r="Q360" i="7"/>
  <c r="AK360" i="7" s="1"/>
  <c r="Q361" i="7"/>
  <c r="AK361" i="7" s="1"/>
  <c r="Q362" i="7"/>
  <c r="AK362" i="7" s="1"/>
  <c r="Q363" i="7"/>
  <c r="AK363" i="7" s="1"/>
  <c r="Q364" i="7"/>
  <c r="AK364" i="7" s="1"/>
  <c r="Q365" i="7"/>
  <c r="AK365" i="7" s="1"/>
  <c r="Q366" i="7"/>
  <c r="AK366" i="7" s="1"/>
  <c r="Q367" i="7"/>
  <c r="AK367" i="7" s="1"/>
  <c r="Q368" i="7"/>
  <c r="AK368" i="7" s="1"/>
  <c r="Q369" i="7"/>
  <c r="AK369" i="7" s="1"/>
  <c r="Q370" i="7"/>
  <c r="AK370" i="7" s="1"/>
  <c r="Q371" i="7"/>
  <c r="AK371" i="7" s="1"/>
  <c r="Q372" i="7"/>
  <c r="AK372" i="7" s="1"/>
  <c r="Q373" i="7"/>
  <c r="AK373" i="7" s="1"/>
  <c r="Q374" i="7"/>
  <c r="AK374" i="7" s="1"/>
  <c r="Q375" i="7"/>
  <c r="AK375" i="7" s="1"/>
  <c r="Q376" i="7"/>
  <c r="AK376" i="7" s="1"/>
  <c r="Q377" i="7"/>
  <c r="AK377" i="7" s="1"/>
  <c r="Q378" i="7"/>
  <c r="AK378" i="7" s="1"/>
  <c r="Q379" i="7"/>
  <c r="AK379" i="7" s="1"/>
  <c r="Q380" i="7"/>
  <c r="AK380" i="7" s="1"/>
  <c r="Q381" i="7"/>
  <c r="AK381" i="7" s="1"/>
  <c r="Q382" i="7"/>
  <c r="AK382" i="7" s="1"/>
  <c r="Q383" i="7"/>
  <c r="AK383" i="7" s="1"/>
  <c r="Q384" i="7"/>
  <c r="AK384" i="7" s="1"/>
  <c r="Q385" i="7"/>
  <c r="AK385" i="7" s="1"/>
  <c r="Q386" i="7"/>
  <c r="AK386" i="7" s="1"/>
  <c r="Q387" i="7"/>
  <c r="AK387" i="7" s="1"/>
  <c r="Q388" i="7"/>
  <c r="AK388" i="7" s="1"/>
  <c r="Q389" i="7"/>
  <c r="AK389" i="7" s="1"/>
  <c r="Q390" i="7"/>
  <c r="AK390" i="7" s="1"/>
  <c r="Q391" i="7"/>
  <c r="AK391" i="7" s="1"/>
  <c r="Q392" i="7"/>
  <c r="AK392" i="7" s="1"/>
  <c r="Q393" i="7"/>
  <c r="AK393" i="7" s="1"/>
  <c r="Q394" i="7"/>
  <c r="AK394" i="7" s="1"/>
  <c r="Q395" i="7"/>
  <c r="AK395" i="7" s="1"/>
  <c r="Q396" i="7"/>
  <c r="AK396" i="7" s="1"/>
  <c r="Q397" i="7"/>
  <c r="AK397" i="7" s="1"/>
  <c r="Q398" i="7"/>
  <c r="AK398" i="7" s="1"/>
  <c r="Q399" i="7"/>
  <c r="AK399" i="7" s="1"/>
  <c r="Q400" i="7"/>
  <c r="AK400" i="7" s="1"/>
  <c r="Q401" i="7"/>
  <c r="AK401" i="7" s="1"/>
  <c r="Q402" i="7"/>
  <c r="AK402" i="7" s="1"/>
  <c r="Q403" i="7"/>
  <c r="AK403" i="7" s="1"/>
  <c r="Q404" i="7"/>
  <c r="AK404" i="7" s="1"/>
  <c r="Q405" i="7"/>
  <c r="AK405" i="7" s="1"/>
  <c r="Q406" i="7"/>
  <c r="AK406" i="7" s="1"/>
  <c r="Q407" i="7"/>
  <c r="AK407" i="7" s="1"/>
  <c r="Q408" i="7"/>
  <c r="AK408" i="7" s="1"/>
  <c r="Q409" i="7"/>
  <c r="AK409" i="7" s="1"/>
  <c r="Q410" i="7"/>
  <c r="AK410" i="7" s="1"/>
  <c r="Q411" i="7"/>
  <c r="AK411" i="7" s="1"/>
  <c r="Q412" i="7"/>
  <c r="AK412" i="7" s="1"/>
  <c r="Q413" i="7"/>
  <c r="AK413" i="7" s="1"/>
  <c r="Q414" i="7"/>
  <c r="AK414" i="7" s="1"/>
  <c r="Q415" i="7"/>
  <c r="AK415" i="7" s="1"/>
  <c r="Q416" i="7"/>
  <c r="AK416" i="7" s="1"/>
  <c r="Q417" i="7"/>
  <c r="AK417" i="7" s="1"/>
  <c r="Q418" i="7"/>
  <c r="AK418" i="7" s="1"/>
  <c r="Q419" i="7"/>
  <c r="AK419" i="7" s="1"/>
  <c r="Q420" i="7"/>
  <c r="AK420" i="7" s="1"/>
  <c r="Q421" i="7"/>
  <c r="AK421" i="7" s="1"/>
  <c r="Q422" i="7"/>
  <c r="AK422" i="7" s="1"/>
  <c r="Q423" i="7"/>
  <c r="AK423" i="7" s="1"/>
  <c r="Q424" i="7"/>
  <c r="AK424" i="7" s="1"/>
  <c r="Q425" i="7"/>
  <c r="AK425" i="7" s="1"/>
  <c r="Q426" i="7"/>
  <c r="AK426" i="7" s="1"/>
  <c r="Q427" i="7"/>
  <c r="AK427" i="7" s="1"/>
  <c r="Q428" i="7"/>
  <c r="AK428" i="7" s="1"/>
  <c r="Q429" i="7"/>
  <c r="AK429" i="7" s="1"/>
  <c r="Q430" i="7"/>
  <c r="AK430" i="7" s="1"/>
  <c r="Q431" i="7"/>
  <c r="AK431" i="7" s="1"/>
  <c r="Q432" i="7"/>
  <c r="AK432" i="7" s="1"/>
  <c r="Q433" i="7"/>
  <c r="AK433" i="7" s="1"/>
  <c r="Q434" i="7"/>
  <c r="AK434" i="7" s="1"/>
  <c r="Q435" i="7"/>
  <c r="AK435" i="7" s="1"/>
  <c r="Q436" i="7"/>
  <c r="AK436" i="7" s="1"/>
  <c r="Q437" i="7"/>
  <c r="AK437" i="7" s="1"/>
  <c r="Q438" i="7"/>
  <c r="AK438" i="7" s="1"/>
  <c r="Q439" i="7"/>
  <c r="AK439" i="7" s="1"/>
  <c r="Q440" i="7"/>
  <c r="AK440" i="7" s="1"/>
  <c r="Q441" i="7"/>
  <c r="AK441" i="7" s="1"/>
  <c r="Q442" i="7"/>
  <c r="AK442" i="7" s="1"/>
  <c r="Q443" i="7"/>
  <c r="AK443" i="7" s="1"/>
  <c r="Q444" i="7"/>
  <c r="AK444" i="7" s="1"/>
  <c r="Q445" i="7"/>
  <c r="AK445" i="7" s="1"/>
  <c r="Q446" i="7"/>
  <c r="AK446" i="7" s="1"/>
  <c r="Q447" i="7"/>
  <c r="AK447" i="7" s="1"/>
  <c r="Q448" i="7"/>
  <c r="AK448" i="7" s="1"/>
  <c r="Q449" i="7"/>
  <c r="AK449" i="7" s="1"/>
  <c r="Q450" i="7"/>
  <c r="AK450" i="7" s="1"/>
  <c r="Q451" i="7"/>
  <c r="AK451" i="7" s="1"/>
  <c r="Q452" i="7"/>
  <c r="AK452" i="7" s="1"/>
  <c r="Q453" i="7"/>
  <c r="AK453" i="7" s="1"/>
  <c r="Q454" i="7"/>
  <c r="AK454" i="7" s="1"/>
  <c r="Q455" i="7"/>
  <c r="AK455" i="7" s="1"/>
  <c r="Q456" i="7"/>
  <c r="AK456" i="7" s="1"/>
  <c r="Q457" i="7"/>
  <c r="AK457" i="7" s="1"/>
  <c r="Q458" i="7"/>
  <c r="AK458" i="7" s="1"/>
  <c r="Q459" i="7"/>
  <c r="AK459" i="7" s="1"/>
  <c r="Q460" i="7"/>
  <c r="AK460" i="7" s="1"/>
  <c r="Q461" i="7"/>
  <c r="AK461" i="7" s="1"/>
  <c r="Q462" i="7"/>
  <c r="AK462" i="7" s="1"/>
  <c r="Q463" i="7"/>
  <c r="AK463" i="7" s="1"/>
  <c r="Q464" i="7"/>
  <c r="AK464" i="7" s="1"/>
  <c r="Q465" i="7"/>
  <c r="AK465" i="7" s="1"/>
  <c r="Q466" i="7"/>
  <c r="AK466" i="7" s="1"/>
  <c r="Q467" i="7"/>
  <c r="AK467" i="7" s="1"/>
  <c r="Q468" i="7"/>
  <c r="AK468" i="7" s="1"/>
  <c r="Q469" i="7"/>
  <c r="AK469" i="7" s="1"/>
  <c r="Q470" i="7"/>
  <c r="AK470" i="7" s="1"/>
  <c r="Q471" i="7"/>
  <c r="AK471" i="7" s="1"/>
  <c r="Q472" i="7"/>
  <c r="AK472" i="7" s="1"/>
  <c r="Q473" i="7"/>
  <c r="AK473" i="7" s="1"/>
  <c r="Q474" i="7"/>
  <c r="AK474" i="7" s="1"/>
  <c r="Q475" i="7"/>
  <c r="AK475" i="7" s="1"/>
  <c r="Q476" i="7"/>
  <c r="AK476" i="7" s="1"/>
  <c r="Q477" i="7"/>
  <c r="AK477" i="7" s="1"/>
  <c r="Q478" i="7"/>
  <c r="AK478" i="7" s="1"/>
  <c r="Q479" i="7"/>
  <c r="AK479" i="7" s="1"/>
  <c r="Q480" i="7"/>
  <c r="AK480" i="7" s="1"/>
  <c r="Q481" i="7"/>
  <c r="AK481" i="7" s="1"/>
  <c r="Q482" i="7"/>
  <c r="AK482" i="7" s="1"/>
  <c r="Q483" i="7"/>
  <c r="AK483" i="7" s="1"/>
  <c r="Q484" i="7"/>
  <c r="AK484" i="7" s="1"/>
  <c r="Q485" i="7"/>
  <c r="AK485" i="7" s="1"/>
  <c r="Q486" i="7"/>
  <c r="AK486" i="7" s="1"/>
  <c r="Q487" i="7"/>
  <c r="AK487" i="7" s="1"/>
  <c r="Q488" i="7"/>
  <c r="AK488" i="7" s="1"/>
  <c r="Q489" i="7"/>
  <c r="AK489" i="7" s="1"/>
  <c r="Q490" i="7"/>
  <c r="AK490" i="7" s="1"/>
  <c r="Q491" i="7"/>
  <c r="AK491" i="7" s="1"/>
  <c r="Q492" i="7"/>
  <c r="AK492" i="7" s="1"/>
  <c r="Q493" i="7"/>
  <c r="AK493" i="7" s="1"/>
  <c r="Q494" i="7"/>
  <c r="AK494" i="7" s="1"/>
  <c r="Q495" i="7"/>
  <c r="AK495" i="7" s="1"/>
  <c r="Q496" i="7"/>
  <c r="AK496" i="7" s="1"/>
  <c r="Q497" i="7"/>
  <c r="AK497" i="7" s="1"/>
  <c r="Q498" i="7"/>
  <c r="AK498" i="7" s="1"/>
  <c r="Q499" i="7"/>
  <c r="AK499" i="7" s="1"/>
  <c r="Q500" i="7"/>
  <c r="AK500" i="7" s="1"/>
  <c r="Q501" i="7"/>
  <c r="AK501" i="7" s="1"/>
  <c r="Q502" i="7"/>
  <c r="AK502" i="7" s="1"/>
  <c r="Q503" i="7"/>
  <c r="AK503" i="7" s="1"/>
  <c r="Q504" i="7"/>
  <c r="AK504" i="7" s="1"/>
  <c r="Q505" i="7"/>
  <c r="AK505" i="7" s="1"/>
  <c r="Q506" i="7"/>
  <c r="AK506" i="7" s="1"/>
  <c r="Q507" i="7"/>
  <c r="AK507" i="7" s="1"/>
  <c r="Q508" i="7"/>
  <c r="AK508" i="7" s="1"/>
  <c r="Q509" i="7"/>
  <c r="AK509" i="7" s="1"/>
  <c r="Q510" i="7"/>
  <c r="AK510" i="7" s="1"/>
  <c r="Q511" i="7"/>
  <c r="AK511" i="7" s="1"/>
  <c r="Q512" i="7"/>
  <c r="AK512" i="7" s="1"/>
  <c r="Q513" i="7"/>
  <c r="AK513" i="7" s="1"/>
  <c r="Q514" i="7"/>
  <c r="AK514" i="7" s="1"/>
  <c r="Q515" i="7"/>
  <c r="AK515" i="7" s="1"/>
  <c r="Q516" i="7"/>
  <c r="AK516" i="7" s="1"/>
  <c r="Q517" i="7"/>
  <c r="AK517" i="7" s="1"/>
  <c r="Q518" i="7"/>
  <c r="AK518" i="7" s="1"/>
  <c r="Q519" i="7"/>
  <c r="AK519" i="7" s="1"/>
  <c r="Q520" i="7"/>
  <c r="AK520" i="7" s="1"/>
  <c r="Q521" i="7"/>
  <c r="AK521" i="7" s="1"/>
  <c r="Q522" i="7"/>
  <c r="AK522" i="7" s="1"/>
  <c r="Q523" i="7"/>
  <c r="AK523" i="7" s="1"/>
  <c r="Q524" i="7"/>
  <c r="AK524" i="7" s="1"/>
  <c r="Q525" i="7"/>
  <c r="AK525" i="7" s="1"/>
  <c r="Q526" i="7"/>
  <c r="AK526" i="7" s="1"/>
  <c r="Q527" i="7"/>
  <c r="AK527" i="7" s="1"/>
  <c r="Q528" i="7"/>
  <c r="AK528" i="7" s="1"/>
  <c r="Q529" i="7"/>
  <c r="AK529" i="7" s="1"/>
  <c r="Q530" i="7"/>
  <c r="AK530" i="7" s="1"/>
  <c r="Q531" i="7"/>
  <c r="AK531" i="7" s="1"/>
  <c r="Q532" i="7"/>
  <c r="AK532" i="7" s="1"/>
  <c r="Q533" i="7"/>
  <c r="AK533" i="7" s="1"/>
  <c r="Q534" i="7"/>
  <c r="AK534" i="7" s="1"/>
  <c r="Q535" i="7"/>
  <c r="AK535" i="7" s="1"/>
  <c r="Q536" i="7"/>
  <c r="AK536" i="7" s="1"/>
  <c r="Q537" i="7"/>
  <c r="AK537" i="7" s="1"/>
  <c r="Q538" i="7"/>
  <c r="AK538" i="7" s="1"/>
  <c r="Q539" i="7"/>
  <c r="AK539" i="7" s="1"/>
  <c r="Q540" i="7"/>
  <c r="AK540" i="7" s="1"/>
  <c r="Q541" i="7"/>
  <c r="AK541" i="7" s="1"/>
  <c r="Q542" i="7"/>
  <c r="AK542" i="7" s="1"/>
  <c r="Q543" i="7"/>
  <c r="AK543" i="7" s="1"/>
  <c r="Q544" i="7"/>
  <c r="AK544" i="7" s="1"/>
  <c r="Q545" i="7"/>
  <c r="AK545" i="7" s="1"/>
  <c r="Q546" i="7"/>
  <c r="AK546" i="7" s="1"/>
  <c r="Q547" i="7"/>
  <c r="AK547" i="7" s="1"/>
  <c r="Q548" i="7"/>
  <c r="AK548" i="7" s="1"/>
  <c r="Q549" i="7"/>
  <c r="AK549" i="7" s="1"/>
  <c r="Q550" i="7"/>
  <c r="AK550" i="7" s="1"/>
  <c r="Q551" i="7"/>
  <c r="AK551" i="7" s="1"/>
  <c r="Q552" i="7"/>
  <c r="AK552" i="7" s="1"/>
  <c r="Q553" i="7"/>
  <c r="AK553" i="7" s="1"/>
  <c r="Q554" i="7"/>
  <c r="AK554" i="7" s="1"/>
  <c r="Q555" i="7"/>
  <c r="AK555" i="7" s="1"/>
  <c r="Q556" i="7"/>
  <c r="AK556" i="7" s="1"/>
  <c r="Q557" i="7"/>
  <c r="AK557" i="7" s="1"/>
  <c r="Q558" i="7"/>
  <c r="AK558" i="7" s="1"/>
  <c r="Q559" i="7"/>
  <c r="AK559" i="7" s="1"/>
  <c r="Q560" i="7"/>
  <c r="AK560" i="7" s="1"/>
  <c r="Q561" i="7"/>
  <c r="AK561" i="7" s="1"/>
  <c r="Q562" i="7"/>
  <c r="AK562" i="7" s="1"/>
  <c r="Q563" i="7"/>
  <c r="AK563" i="7" s="1"/>
  <c r="Q564" i="7"/>
  <c r="AK564" i="7" s="1"/>
  <c r="Q565" i="7"/>
  <c r="AK565" i="7" s="1"/>
  <c r="Q566" i="7"/>
  <c r="AK566" i="7" s="1"/>
  <c r="Q567" i="7"/>
  <c r="AK567" i="7" s="1"/>
  <c r="Q568" i="7"/>
  <c r="AK568" i="7" s="1"/>
  <c r="Q569" i="7"/>
  <c r="AK569" i="7" s="1"/>
  <c r="Q570" i="7"/>
  <c r="AK570" i="7" s="1"/>
  <c r="Q571" i="7"/>
  <c r="AK571" i="7" s="1"/>
  <c r="Q572" i="7"/>
  <c r="AK572" i="7" s="1"/>
  <c r="Q573" i="7"/>
  <c r="AK573" i="7" s="1"/>
  <c r="Q574" i="7"/>
  <c r="AK574" i="7" s="1"/>
  <c r="Q575" i="7"/>
  <c r="AK575" i="7" s="1"/>
  <c r="Q576" i="7"/>
  <c r="AK576" i="7" s="1"/>
  <c r="Q577" i="7"/>
  <c r="AK577" i="7" s="1"/>
  <c r="Q578" i="7"/>
  <c r="AK578" i="7" s="1"/>
  <c r="Q579" i="7"/>
  <c r="AK579" i="7" s="1"/>
  <c r="Q580" i="7"/>
  <c r="AK580" i="7" s="1"/>
  <c r="Q581" i="7"/>
  <c r="AK581" i="7" s="1"/>
  <c r="Q582" i="7"/>
  <c r="AK582" i="7" s="1"/>
  <c r="Q583" i="7"/>
  <c r="AK583" i="7" s="1"/>
  <c r="Q584" i="7"/>
  <c r="AK584" i="7" s="1"/>
  <c r="Q585" i="7"/>
  <c r="AK585" i="7" s="1"/>
  <c r="Q586" i="7"/>
  <c r="AK586" i="7" s="1"/>
  <c r="Q587" i="7"/>
  <c r="AK587" i="7" s="1"/>
  <c r="Q588" i="7"/>
  <c r="AK588" i="7" s="1"/>
  <c r="Q589" i="7"/>
  <c r="AK589" i="7" s="1"/>
  <c r="Q590" i="7"/>
  <c r="AK590" i="7" s="1"/>
  <c r="Q591" i="7"/>
  <c r="AK591" i="7" s="1"/>
  <c r="Q592" i="7"/>
  <c r="AK592" i="7" s="1"/>
  <c r="Q593" i="7"/>
  <c r="AK593" i="7" s="1"/>
  <c r="Q594" i="7"/>
  <c r="AK594" i="7" s="1"/>
  <c r="Q595" i="7"/>
  <c r="AK595" i="7" s="1"/>
  <c r="Q596" i="7"/>
  <c r="AK596" i="7" s="1"/>
  <c r="Q597" i="7"/>
  <c r="AK597" i="7" s="1"/>
  <c r="Q598" i="7"/>
  <c r="AK598" i="7" s="1"/>
  <c r="Q599" i="7"/>
  <c r="AK599" i="7" s="1"/>
  <c r="Q600" i="7"/>
  <c r="AK600" i="7" s="1"/>
  <c r="Q601" i="7"/>
  <c r="AK601" i="7" s="1"/>
  <c r="Q602" i="7"/>
  <c r="AK602" i="7" s="1"/>
  <c r="Q603" i="7"/>
  <c r="AK603" i="7" s="1"/>
  <c r="Q604" i="7"/>
  <c r="AK604" i="7" s="1"/>
  <c r="Q605" i="7"/>
  <c r="AK605" i="7" s="1"/>
  <c r="Q606" i="7"/>
  <c r="AK606" i="7" s="1"/>
  <c r="Q607" i="7"/>
  <c r="AK607" i="7" s="1"/>
  <c r="Q608" i="7"/>
  <c r="AK608" i="7" s="1"/>
  <c r="Q609" i="7"/>
  <c r="AK609" i="7" s="1"/>
  <c r="Q610" i="7"/>
  <c r="AK610" i="7" s="1"/>
  <c r="Q611" i="7"/>
  <c r="AK611" i="7" s="1"/>
  <c r="Q612" i="7"/>
  <c r="AK612" i="7" s="1"/>
  <c r="Q613" i="7"/>
  <c r="AK613" i="7" s="1"/>
  <c r="Q614" i="7"/>
  <c r="AK614" i="7" s="1"/>
  <c r="Q615" i="7"/>
  <c r="AK615" i="7" s="1"/>
  <c r="Q616" i="7"/>
  <c r="AK616" i="7" s="1"/>
  <c r="Q617" i="7"/>
  <c r="AK617" i="7" s="1"/>
  <c r="Q618" i="7"/>
  <c r="AK618" i="7" s="1"/>
  <c r="Q619" i="7"/>
  <c r="AK619" i="7" s="1"/>
  <c r="Q620" i="7"/>
  <c r="AK620" i="7" s="1"/>
  <c r="Q621" i="7"/>
  <c r="AK621" i="7" s="1"/>
  <c r="Q622" i="7"/>
  <c r="AK622" i="7" s="1"/>
  <c r="Q623" i="7"/>
  <c r="AK623" i="7" s="1"/>
  <c r="Q624" i="7"/>
  <c r="AK624" i="7" s="1"/>
  <c r="Q625" i="7"/>
  <c r="AK625" i="7" s="1"/>
  <c r="Q626" i="7"/>
  <c r="AK626" i="7" s="1"/>
  <c r="Q627" i="7"/>
  <c r="AK627" i="7" s="1"/>
  <c r="Q628" i="7"/>
  <c r="AK628" i="7" s="1"/>
  <c r="Q629" i="7"/>
  <c r="AK629" i="7" s="1"/>
  <c r="Q630" i="7"/>
  <c r="AK630" i="7" s="1"/>
  <c r="Q631" i="7"/>
  <c r="AK631" i="7" s="1"/>
  <c r="Q632" i="7"/>
  <c r="AK632" i="7" s="1"/>
  <c r="Q633" i="7"/>
  <c r="AK633" i="7" s="1"/>
  <c r="Q634" i="7"/>
  <c r="AK634" i="7" s="1"/>
  <c r="Q635" i="7"/>
  <c r="AK635" i="7" s="1"/>
  <c r="Q636" i="7"/>
  <c r="AK636" i="7" s="1"/>
  <c r="Q637" i="7"/>
  <c r="AK637" i="7" s="1"/>
  <c r="Q638" i="7"/>
  <c r="AK638" i="7" s="1"/>
  <c r="Q639" i="7"/>
  <c r="AK639" i="7" s="1"/>
  <c r="Q640" i="7"/>
  <c r="AK640" i="7" s="1"/>
  <c r="Q641" i="7"/>
  <c r="AK641" i="7" s="1"/>
  <c r="Q642" i="7"/>
  <c r="AK642" i="7" s="1"/>
  <c r="Q643" i="7"/>
  <c r="AK643" i="7" s="1"/>
  <c r="Q644" i="7"/>
  <c r="AK644" i="7" s="1"/>
  <c r="Q645" i="7"/>
  <c r="AK645" i="7" s="1"/>
  <c r="Q646" i="7"/>
  <c r="AK646" i="7" s="1"/>
  <c r="Q647" i="7"/>
  <c r="AK647" i="7" s="1"/>
  <c r="Q648" i="7"/>
  <c r="AK648" i="7" s="1"/>
  <c r="Q649" i="7"/>
  <c r="AK649" i="7" s="1"/>
  <c r="Q650" i="7"/>
  <c r="AK650" i="7" s="1"/>
  <c r="Q651" i="7"/>
  <c r="AK651" i="7" s="1"/>
  <c r="Q652" i="7"/>
  <c r="AK652" i="7" s="1"/>
  <c r="Q653" i="7"/>
  <c r="AK653" i="7" s="1"/>
  <c r="Q654" i="7"/>
  <c r="AK654" i="7" s="1"/>
  <c r="Q655" i="7"/>
  <c r="AK655" i="7" s="1"/>
  <c r="Q656" i="7"/>
  <c r="AK656" i="7" s="1"/>
  <c r="Q657" i="7"/>
  <c r="AK657" i="7" s="1"/>
  <c r="Q658" i="7"/>
  <c r="AK658" i="7" s="1"/>
  <c r="Q659" i="7"/>
  <c r="AK659" i="7" s="1"/>
  <c r="Q660" i="7"/>
  <c r="AK660" i="7" s="1"/>
  <c r="Q661" i="7"/>
  <c r="AK661" i="7" s="1"/>
  <c r="Q662" i="7"/>
  <c r="AK662" i="7" s="1"/>
  <c r="Q663" i="7"/>
  <c r="AK663" i="7" s="1"/>
  <c r="Q664" i="7"/>
  <c r="AK664" i="7" s="1"/>
  <c r="Q665" i="7"/>
  <c r="AK665" i="7" s="1"/>
  <c r="Q666" i="7"/>
  <c r="AK666" i="7" s="1"/>
  <c r="Q667" i="7"/>
  <c r="AK667" i="7" s="1"/>
  <c r="Q668" i="7"/>
  <c r="AK668" i="7" s="1"/>
  <c r="Q669" i="7"/>
  <c r="AK669" i="7" s="1"/>
  <c r="Q670" i="7"/>
  <c r="AK670" i="7" s="1"/>
  <c r="Q671" i="7"/>
  <c r="AK671" i="7" s="1"/>
  <c r="Q672" i="7"/>
  <c r="AK672" i="7" s="1"/>
  <c r="Q673" i="7"/>
  <c r="AK673" i="7" s="1"/>
  <c r="Q674" i="7"/>
  <c r="AK674" i="7" s="1"/>
  <c r="Q675" i="7"/>
  <c r="AK675" i="7" s="1"/>
  <c r="Q676" i="7"/>
  <c r="AK676" i="7" s="1"/>
  <c r="Q677" i="7"/>
  <c r="AK677" i="7" s="1"/>
  <c r="Q678" i="7"/>
  <c r="AK678" i="7" s="1"/>
  <c r="Q679" i="7"/>
  <c r="AK679" i="7" s="1"/>
  <c r="Q680" i="7"/>
  <c r="AK680" i="7" s="1"/>
  <c r="Q681" i="7"/>
  <c r="AK681" i="7" s="1"/>
  <c r="Q682" i="7"/>
  <c r="AK682" i="7" s="1"/>
  <c r="Q683" i="7"/>
  <c r="AK683" i="7" s="1"/>
  <c r="Q684" i="7"/>
  <c r="AK684" i="7" s="1"/>
  <c r="Q685" i="7"/>
  <c r="AK685" i="7" s="1"/>
  <c r="Q686" i="7"/>
  <c r="AK686" i="7" s="1"/>
  <c r="Q687" i="7"/>
  <c r="AK687" i="7" s="1"/>
  <c r="Q688" i="7"/>
  <c r="AK688" i="7" s="1"/>
  <c r="Q689" i="7"/>
  <c r="AK689" i="7" s="1"/>
  <c r="Q690" i="7"/>
  <c r="AK690" i="7" s="1"/>
  <c r="Q691" i="7"/>
  <c r="AK691" i="7" s="1"/>
  <c r="Q692" i="7"/>
  <c r="AK692" i="7" s="1"/>
  <c r="Q693" i="7"/>
  <c r="AK693" i="7" s="1"/>
  <c r="Q694" i="7"/>
  <c r="AK694" i="7" s="1"/>
  <c r="Q695" i="7"/>
  <c r="AK695" i="7" s="1"/>
  <c r="Q696" i="7"/>
  <c r="AK696" i="7" s="1"/>
  <c r="Q697" i="7"/>
  <c r="AK697" i="7" s="1"/>
  <c r="Q698" i="7"/>
  <c r="AK698" i="7" s="1"/>
  <c r="Q699" i="7"/>
  <c r="AK699" i="7" s="1"/>
  <c r="Q700" i="7"/>
  <c r="AK700" i="7" s="1"/>
  <c r="Q701" i="7"/>
  <c r="AK701" i="7" s="1"/>
  <c r="Q702" i="7"/>
  <c r="AK702" i="7" s="1"/>
  <c r="Q703" i="7"/>
  <c r="AK703" i="7" s="1"/>
  <c r="Q704" i="7"/>
  <c r="AK704" i="7" s="1"/>
  <c r="Q705" i="7"/>
  <c r="AK705" i="7" s="1"/>
  <c r="Q706" i="7"/>
  <c r="AK706" i="7" s="1"/>
  <c r="Q707" i="7"/>
  <c r="AK707" i="7" s="1"/>
  <c r="Q708" i="7"/>
  <c r="AK708" i="7" s="1"/>
  <c r="Q709" i="7"/>
  <c r="AK709" i="7" s="1"/>
  <c r="Q710" i="7"/>
  <c r="AK710" i="7" s="1"/>
  <c r="Q711" i="7"/>
  <c r="AK711" i="7" s="1"/>
  <c r="Q712" i="7"/>
  <c r="AK712" i="7" s="1"/>
  <c r="Q713" i="7"/>
  <c r="AK713" i="7" s="1"/>
  <c r="Q714" i="7"/>
  <c r="AK714" i="7" s="1"/>
  <c r="Q715" i="7"/>
  <c r="AK715" i="7" s="1"/>
  <c r="Q716" i="7"/>
  <c r="AK716" i="7" s="1"/>
  <c r="Q717" i="7"/>
  <c r="AK717" i="7" s="1"/>
  <c r="Q718" i="7"/>
  <c r="AK718" i="7" s="1"/>
  <c r="Q719" i="7"/>
  <c r="AK719" i="7" s="1"/>
  <c r="Q720" i="7"/>
  <c r="AK720" i="7" s="1"/>
  <c r="Q721" i="7"/>
  <c r="AK721" i="7" s="1"/>
  <c r="P2" i="7"/>
  <c r="Z2" i="7" s="1"/>
  <c r="AD2" i="7" s="1"/>
  <c r="P3" i="7"/>
  <c r="X3" i="7" s="1"/>
  <c r="P4" i="7"/>
  <c r="P5" i="7"/>
  <c r="P6" i="7"/>
  <c r="P7" i="7"/>
  <c r="P8" i="7"/>
  <c r="P9" i="7"/>
  <c r="P10" i="7"/>
  <c r="P11" i="7"/>
  <c r="X11" i="7" s="1"/>
  <c r="P12" i="7"/>
  <c r="P13" i="7"/>
  <c r="P14" i="7"/>
  <c r="P15" i="7"/>
  <c r="P16" i="7"/>
  <c r="P17" i="7"/>
  <c r="P18" i="7"/>
  <c r="P19" i="7"/>
  <c r="X19" i="7" s="1"/>
  <c r="P20" i="7"/>
  <c r="P21" i="7"/>
  <c r="P22" i="7"/>
  <c r="P23" i="7"/>
  <c r="P24" i="7"/>
  <c r="P25" i="7"/>
  <c r="P26" i="7"/>
  <c r="P27" i="7"/>
  <c r="P28" i="7"/>
  <c r="P29" i="7"/>
  <c r="P30" i="7"/>
  <c r="P31" i="7"/>
  <c r="P32" i="7"/>
  <c r="P33" i="7"/>
  <c r="P34" i="7"/>
  <c r="P35" i="7"/>
  <c r="X35" i="7" s="1"/>
  <c r="P36" i="7"/>
  <c r="P37" i="7"/>
  <c r="P38" i="7"/>
  <c r="P39" i="7"/>
  <c r="P40" i="7"/>
  <c r="P41" i="7"/>
  <c r="P42" i="7"/>
  <c r="P43" i="7"/>
  <c r="X43" i="7" s="1"/>
  <c r="P44" i="7"/>
  <c r="P45" i="7"/>
  <c r="P46" i="7"/>
  <c r="P47" i="7"/>
  <c r="P48" i="7"/>
  <c r="P49" i="7"/>
  <c r="P50" i="7"/>
  <c r="P51" i="7"/>
  <c r="X51" i="7" s="1"/>
  <c r="P52" i="7"/>
  <c r="P53" i="7"/>
  <c r="P54" i="7"/>
  <c r="P55" i="7"/>
  <c r="P56" i="7"/>
  <c r="P57" i="7"/>
  <c r="P58" i="7"/>
  <c r="P59" i="7"/>
  <c r="P60" i="7"/>
  <c r="P61" i="7"/>
  <c r="P62" i="7"/>
  <c r="P63" i="7"/>
  <c r="P64" i="7"/>
  <c r="P65" i="7"/>
  <c r="P66" i="7"/>
  <c r="P67" i="7"/>
  <c r="X67" i="7" s="1"/>
  <c r="P68" i="7"/>
  <c r="P69" i="7"/>
  <c r="P70" i="7"/>
  <c r="P71" i="7"/>
  <c r="P72" i="7"/>
  <c r="P73" i="7"/>
  <c r="P74" i="7"/>
  <c r="P75" i="7"/>
  <c r="X75" i="7" s="1"/>
  <c r="P76" i="7"/>
  <c r="P77" i="7"/>
  <c r="P78" i="7"/>
  <c r="P79" i="7"/>
  <c r="P80" i="7"/>
  <c r="P81" i="7"/>
  <c r="P82" i="7"/>
  <c r="P83" i="7"/>
  <c r="X83" i="7" s="1"/>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Z569" i="7" s="1"/>
  <c r="AD569" i="7" s="1"/>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2" i="7"/>
  <c r="D6" i="10"/>
  <c r="L4" i="8"/>
  <c r="K4" i="8"/>
  <c r="L5" i="8"/>
  <c r="L13" i="8"/>
  <c r="L6" i="8"/>
  <c r="L14" i="8"/>
  <c r="L7" i="8"/>
  <c r="L15" i="8"/>
  <c r="L8" i="8"/>
  <c r="L9" i="8"/>
  <c r="L10" i="8"/>
  <c r="L11" i="8"/>
  <c r="L12" i="8"/>
  <c r="K5" i="8"/>
  <c r="K13" i="8"/>
  <c r="K6" i="8"/>
  <c r="K14" i="8"/>
  <c r="K7" i="8"/>
  <c r="K15" i="8"/>
  <c r="K8" i="8"/>
  <c r="K9" i="8"/>
  <c r="K10" i="8"/>
  <c r="K11" i="8"/>
  <c r="K12" i="8"/>
  <c r="A6" i="10"/>
  <c r="J16" i="8" l="1"/>
  <c r="AC468" i="7"/>
  <c r="AC124" i="7"/>
  <c r="AC651" i="7"/>
  <c r="AC626" i="7"/>
  <c r="AC434" i="7"/>
  <c r="AC28" i="7"/>
  <c r="AC596" i="7"/>
  <c r="AC428" i="7"/>
  <c r="AC564" i="7"/>
  <c r="AC387" i="7"/>
  <c r="AC563" i="7"/>
  <c r="AC324" i="7"/>
  <c r="AC532" i="7"/>
  <c r="AC323" i="7"/>
  <c r="AC676" i="7"/>
  <c r="AC500" i="7"/>
  <c r="AC283" i="7"/>
  <c r="AC675" i="7"/>
  <c r="AC499" i="7"/>
  <c r="AC156" i="7"/>
  <c r="AC622" i="7"/>
  <c r="AC718" i="7"/>
  <c r="AC662" i="7"/>
  <c r="AC612" i="7"/>
  <c r="AC548" i="7"/>
  <c r="AC484" i="7"/>
  <c r="AC411" i="7"/>
  <c r="AC306" i="7"/>
  <c r="AC92" i="7"/>
  <c r="AC711" i="7"/>
  <c r="AC661" i="7"/>
  <c r="AC611" i="7"/>
  <c r="AC547" i="7"/>
  <c r="AC483" i="7"/>
  <c r="AC388" i="7"/>
  <c r="AC300" i="7"/>
  <c r="AC60" i="7"/>
  <c r="AC570" i="7"/>
  <c r="AC546" i="7"/>
  <c r="AC474" i="7"/>
  <c r="AB386" i="7"/>
  <c r="AC386" i="7" s="1"/>
  <c r="AC710" i="7"/>
  <c r="AB314" i="7"/>
  <c r="AC314" i="7" s="1"/>
  <c r="AC702" i="7"/>
  <c r="AC650" i="7"/>
  <c r="AC595" i="7"/>
  <c r="AC531" i="7"/>
  <c r="AC467" i="7"/>
  <c r="AC370" i="7"/>
  <c r="AC252" i="7"/>
  <c r="AC694" i="7"/>
  <c r="AC637" i="7"/>
  <c r="AC580" i="7"/>
  <c r="AC516" i="7"/>
  <c r="AC452" i="7"/>
  <c r="AC364" i="7"/>
  <c r="AC220" i="7"/>
  <c r="AB642" i="7"/>
  <c r="AC642" i="7" s="1"/>
  <c r="AC686" i="7"/>
  <c r="AC636" i="7"/>
  <c r="AC579" i="7"/>
  <c r="AC515" i="7"/>
  <c r="AC451" i="7"/>
  <c r="AC347" i="7"/>
  <c r="AC188" i="7"/>
  <c r="AB673" i="7"/>
  <c r="AC673" i="7" s="1"/>
  <c r="AB633" i="7"/>
  <c r="AC633" i="7" s="1"/>
  <c r="AB593" i="7"/>
  <c r="AC593" i="7" s="1"/>
  <c r="AB561" i="7"/>
  <c r="AC561" i="7" s="1"/>
  <c r="AB529" i="7"/>
  <c r="AC529" i="7" s="1"/>
  <c r="AB505" i="7"/>
  <c r="AC505" i="7" s="1"/>
  <c r="AB481" i="7"/>
  <c r="AC481" i="7" s="1"/>
  <c r="AB457" i="7"/>
  <c r="AC457" i="7" s="1"/>
  <c r="AB425" i="7"/>
  <c r="AC425" i="7" s="1"/>
  <c r="AB393" i="7"/>
  <c r="AC393" i="7" s="1"/>
  <c r="AB361" i="7"/>
  <c r="AC361" i="7" s="1"/>
  <c r="AB329" i="7"/>
  <c r="AC329" i="7" s="1"/>
  <c r="AB289" i="7"/>
  <c r="AC289" i="7" s="1"/>
  <c r="AB249" i="7"/>
  <c r="AC249" i="7" s="1"/>
  <c r="AB209" i="7"/>
  <c r="AC209" i="7" s="1"/>
  <c r="AB177" i="7"/>
  <c r="AC177" i="7" s="1"/>
  <c r="AB137" i="7"/>
  <c r="AC137" i="7" s="1"/>
  <c r="AB97" i="7"/>
  <c r="AC97" i="7" s="1"/>
  <c r="AB57" i="7"/>
  <c r="AC57" i="7" s="1"/>
  <c r="AB9" i="7"/>
  <c r="AC9" i="7" s="1"/>
  <c r="AB680" i="7"/>
  <c r="AC680" i="7" s="1"/>
  <c r="AB664" i="7"/>
  <c r="AC664" i="7" s="1"/>
  <c r="AB656" i="7"/>
  <c r="AC656" i="7" s="1"/>
  <c r="AB648" i="7"/>
  <c r="AC648" i="7" s="1"/>
  <c r="AB632" i="7"/>
  <c r="AC632" i="7" s="1"/>
  <c r="AB624" i="7"/>
  <c r="AC624" i="7" s="1"/>
  <c r="AB616" i="7"/>
  <c r="AC616" i="7" s="1"/>
  <c r="AB600" i="7"/>
  <c r="AC600" i="7" s="1"/>
  <c r="AB592" i="7"/>
  <c r="AC592" i="7" s="1"/>
  <c r="AB584" i="7"/>
  <c r="AC584" i="7" s="1"/>
  <c r="AB568" i="7"/>
  <c r="AC568" i="7" s="1"/>
  <c r="AB560" i="7"/>
  <c r="AC560" i="7" s="1"/>
  <c r="AB552" i="7"/>
  <c r="AC552" i="7" s="1"/>
  <c r="AB536" i="7"/>
  <c r="AC536" i="7" s="1"/>
  <c r="AB528" i="7"/>
  <c r="AC528" i="7" s="1"/>
  <c r="AB520" i="7"/>
  <c r="AC520" i="7" s="1"/>
  <c r="AB504" i="7"/>
  <c r="AC504" i="7" s="1"/>
  <c r="AB496" i="7"/>
  <c r="AC496" i="7" s="1"/>
  <c r="AB488" i="7"/>
  <c r="AC488" i="7" s="1"/>
  <c r="AC480" i="7"/>
  <c r="AB472" i="7"/>
  <c r="AC472" i="7" s="1"/>
  <c r="AB464" i="7"/>
  <c r="AC464" i="7" s="1"/>
  <c r="AB456" i="7"/>
  <c r="AC456" i="7" s="1"/>
  <c r="AB440" i="7"/>
  <c r="AC440" i="7" s="1"/>
  <c r="AB432" i="7"/>
  <c r="AC432" i="7" s="1"/>
  <c r="AB424" i="7"/>
  <c r="AC424" i="7" s="1"/>
  <c r="AB408" i="7"/>
  <c r="AC408" i="7" s="1"/>
  <c r="AB400" i="7"/>
  <c r="AC400" i="7" s="1"/>
  <c r="AB392" i="7"/>
  <c r="AC392" i="7" s="1"/>
  <c r="AB376" i="7"/>
  <c r="AC376" i="7" s="1"/>
  <c r="AB368" i="7"/>
  <c r="AC368" i="7" s="1"/>
  <c r="AB360" i="7"/>
  <c r="AC360" i="7" s="1"/>
  <c r="AB344" i="7"/>
  <c r="AC344" i="7" s="1"/>
  <c r="AB336" i="7"/>
  <c r="AC336" i="7" s="1"/>
  <c r="AB328" i="7"/>
  <c r="AC328" i="7" s="1"/>
  <c r="AB304" i="7"/>
  <c r="AC304" i="7" s="1"/>
  <c r="AB296" i="7"/>
  <c r="AC296" i="7" s="1"/>
  <c r="AB272" i="7"/>
  <c r="AC272" i="7" s="1"/>
  <c r="AB264" i="7"/>
  <c r="AC264" i="7" s="1"/>
  <c r="AB240" i="7"/>
  <c r="AC240" i="7" s="1"/>
  <c r="AB232" i="7"/>
  <c r="AC232" i="7" s="1"/>
  <c r="AB208" i="7"/>
  <c r="AC208" i="7" s="1"/>
  <c r="AB200" i="7"/>
  <c r="AC200" i="7" s="1"/>
  <c r="AB176" i="7"/>
  <c r="AC176" i="7" s="1"/>
  <c r="AB168" i="7"/>
  <c r="AC168" i="7" s="1"/>
  <c r="AB144" i="7"/>
  <c r="AC144" i="7" s="1"/>
  <c r="AB136" i="7"/>
  <c r="AC136" i="7" s="1"/>
  <c r="AB112" i="7"/>
  <c r="AC112" i="7" s="1"/>
  <c r="AB104" i="7"/>
  <c r="AC104" i="7" s="1"/>
  <c r="AB80" i="7"/>
  <c r="AC80" i="7" s="1"/>
  <c r="AB72" i="7"/>
  <c r="AC72" i="7" s="1"/>
  <c r="AB48" i="7"/>
  <c r="AC48" i="7" s="1"/>
  <c r="AB40" i="7"/>
  <c r="AC40" i="7" s="1"/>
  <c r="AB16" i="7"/>
  <c r="AC16" i="7" s="1"/>
  <c r="AB8" i="7"/>
  <c r="AC8" i="7" s="1"/>
  <c r="AB640" i="7"/>
  <c r="AC640" i="7" s="1"/>
  <c r="AB384" i="7"/>
  <c r="AC384" i="7" s="1"/>
  <c r="AB312" i="7"/>
  <c r="AC312" i="7" s="1"/>
  <c r="AB248" i="7"/>
  <c r="AC248" i="7" s="1"/>
  <c r="AB184" i="7"/>
  <c r="AC184" i="7" s="1"/>
  <c r="AB120" i="7"/>
  <c r="AC120" i="7" s="1"/>
  <c r="AB56" i="7"/>
  <c r="AC56" i="7" s="1"/>
  <c r="AB657" i="7"/>
  <c r="AC657" i="7" s="1"/>
  <c r="AB625" i="7"/>
  <c r="AC625" i="7" s="1"/>
  <c r="AB601" i="7"/>
  <c r="AC601" i="7" s="1"/>
  <c r="AB569" i="7"/>
  <c r="AC569" i="7" s="1"/>
  <c r="AE569" i="7" s="1"/>
  <c r="AF569" i="7" s="1"/>
  <c r="AB537" i="7"/>
  <c r="AC537" i="7" s="1"/>
  <c r="AB497" i="7"/>
  <c r="AC497" i="7" s="1"/>
  <c r="AB473" i="7"/>
  <c r="AC473" i="7" s="1"/>
  <c r="AB441" i="7"/>
  <c r="AC441" i="7" s="1"/>
  <c r="AB409" i="7"/>
  <c r="AC409" i="7" s="1"/>
  <c r="AB385" i="7"/>
  <c r="AC385" i="7" s="1"/>
  <c r="AB353" i="7"/>
  <c r="AC353" i="7" s="1"/>
  <c r="AB321" i="7"/>
  <c r="AC321" i="7" s="1"/>
  <c r="AB281" i="7"/>
  <c r="AC281" i="7" s="1"/>
  <c r="AB257" i="7"/>
  <c r="AC257" i="7" s="1"/>
  <c r="AB233" i="7"/>
  <c r="AC233" i="7" s="1"/>
  <c r="AB201" i="7"/>
  <c r="AC201" i="7" s="1"/>
  <c r="AB169" i="7"/>
  <c r="AC169" i="7" s="1"/>
  <c r="AB145" i="7"/>
  <c r="AC145" i="7" s="1"/>
  <c r="AB105" i="7"/>
  <c r="AC105" i="7" s="1"/>
  <c r="AB73" i="7"/>
  <c r="AC73" i="7" s="1"/>
  <c r="AB41" i="7"/>
  <c r="AC41" i="7" s="1"/>
  <c r="AB25" i="7"/>
  <c r="AC25" i="7" s="1"/>
  <c r="AB679" i="7"/>
  <c r="AC679" i="7" s="1"/>
  <c r="AB671" i="7"/>
  <c r="AC671" i="7" s="1"/>
  <c r="AB663" i="7"/>
  <c r="AC663" i="7" s="1"/>
  <c r="AB655" i="7"/>
  <c r="AC655" i="7" s="1"/>
  <c r="AB647" i="7"/>
  <c r="AC647" i="7" s="1"/>
  <c r="AB639" i="7"/>
  <c r="AC639" i="7" s="1"/>
  <c r="AB631" i="7"/>
  <c r="AC631" i="7" s="1"/>
  <c r="AB623" i="7"/>
  <c r="AC623" i="7" s="1"/>
  <c r="AB615" i="7"/>
  <c r="AC615" i="7" s="1"/>
  <c r="AB607" i="7"/>
  <c r="AC607" i="7" s="1"/>
  <c r="AB599" i="7"/>
  <c r="AC599" i="7" s="1"/>
  <c r="AB591" i="7"/>
  <c r="AC591" i="7" s="1"/>
  <c r="AB583" i="7"/>
  <c r="AC583" i="7" s="1"/>
  <c r="AB575" i="7"/>
  <c r="AC575" i="7" s="1"/>
  <c r="AB567" i="7"/>
  <c r="AC567" i="7" s="1"/>
  <c r="AB559" i="7"/>
  <c r="AC559" i="7" s="1"/>
  <c r="AB551" i="7"/>
  <c r="AC551" i="7" s="1"/>
  <c r="AB543" i="7"/>
  <c r="AC543" i="7" s="1"/>
  <c r="AB535" i="7"/>
  <c r="AC535" i="7" s="1"/>
  <c r="AB527" i="7"/>
  <c r="AC527" i="7" s="1"/>
  <c r="AB519" i="7"/>
  <c r="AC519" i="7" s="1"/>
  <c r="AB511" i="7"/>
  <c r="AC511" i="7" s="1"/>
  <c r="AB503" i="7"/>
  <c r="AC503" i="7" s="1"/>
  <c r="AB495" i="7"/>
  <c r="AC495" i="7" s="1"/>
  <c r="AB487" i="7"/>
  <c r="AC487" i="7" s="1"/>
  <c r="AB479" i="7"/>
  <c r="AC479" i="7" s="1"/>
  <c r="AB471" i="7"/>
  <c r="AC471" i="7" s="1"/>
  <c r="AB463" i="7"/>
  <c r="AC463" i="7" s="1"/>
  <c r="AB455" i="7"/>
  <c r="AC455" i="7" s="1"/>
  <c r="AB447" i="7"/>
  <c r="AC447" i="7" s="1"/>
  <c r="AB439" i="7"/>
  <c r="AC439" i="7" s="1"/>
  <c r="AB431" i="7"/>
  <c r="AC431" i="7" s="1"/>
  <c r="AB423" i="7"/>
  <c r="AC423" i="7" s="1"/>
  <c r="AB415" i="7"/>
  <c r="AC415" i="7" s="1"/>
  <c r="AB407" i="7"/>
  <c r="AC407" i="7" s="1"/>
  <c r="AB399" i="7"/>
  <c r="AC399" i="7" s="1"/>
  <c r="AB391" i="7"/>
  <c r="AC391" i="7" s="1"/>
  <c r="AB383" i="7"/>
  <c r="AC383" i="7" s="1"/>
  <c r="AB375" i="7"/>
  <c r="AC375" i="7" s="1"/>
  <c r="AB367" i="7"/>
  <c r="AC367" i="7" s="1"/>
  <c r="AB359" i="7"/>
  <c r="AC359" i="7" s="1"/>
  <c r="AB351" i="7"/>
  <c r="AC351" i="7" s="1"/>
  <c r="AB343" i="7"/>
  <c r="AC343" i="7" s="1"/>
  <c r="AB335" i="7"/>
  <c r="AC335" i="7" s="1"/>
  <c r="AB327" i="7"/>
  <c r="AC327" i="7" s="1"/>
  <c r="AB319" i="7"/>
  <c r="AC319" i="7" s="1"/>
  <c r="AB311" i="7"/>
  <c r="AC311" i="7" s="1"/>
  <c r="AB303" i="7"/>
  <c r="AC303" i="7" s="1"/>
  <c r="AB295" i="7"/>
  <c r="AC295" i="7" s="1"/>
  <c r="AB287" i="7"/>
  <c r="AC287" i="7" s="1"/>
  <c r="AB279" i="7"/>
  <c r="AC279" i="7" s="1"/>
  <c r="AB271" i="7"/>
  <c r="AC271" i="7" s="1"/>
  <c r="AB263" i="7"/>
  <c r="AC263" i="7" s="1"/>
  <c r="AB255" i="7"/>
  <c r="AC255" i="7" s="1"/>
  <c r="AB247" i="7"/>
  <c r="AC247" i="7" s="1"/>
  <c r="AB239" i="7"/>
  <c r="AC239" i="7" s="1"/>
  <c r="AB231" i="7"/>
  <c r="AC231" i="7" s="1"/>
  <c r="AB223" i="7"/>
  <c r="AC223" i="7" s="1"/>
  <c r="AB215" i="7"/>
  <c r="AC215" i="7" s="1"/>
  <c r="AB207" i="7"/>
  <c r="AC207" i="7" s="1"/>
  <c r="AB199" i="7"/>
  <c r="AC199" i="7" s="1"/>
  <c r="AB191" i="7"/>
  <c r="AC191" i="7" s="1"/>
  <c r="AB183" i="7"/>
  <c r="AC183" i="7" s="1"/>
  <c r="AB175" i="7"/>
  <c r="AC175" i="7" s="1"/>
  <c r="AB167" i="7"/>
  <c r="AC167" i="7" s="1"/>
  <c r="AB159" i="7"/>
  <c r="AC159" i="7" s="1"/>
  <c r="AB151" i="7"/>
  <c r="AC151" i="7" s="1"/>
  <c r="AB143" i="7"/>
  <c r="AC143" i="7" s="1"/>
  <c r="AB135" i="7"/>
  <c r="AC135" i="7" s="1"/>
  <c r="AB127" i="7"/>
  <c r="AC127" i="7" s="1"/>
  <c r="AB119" i="7"/>
  <c r="AC119" i="7" s="1"/>
  <c r="AB111" i="7"/>
  <c r="AC111" i="7" s="1"/>
  <c r="AB103" i="7"/>
  <c r="AC103" i="7" s="1"/>
  <c r="AB95" i="7"/>
  <c r="AC95" i="7" s="1"/>
  <c r="AB87" i="7"/>
  <c r="AC87" i="7" s="1"/>
  <c r="AB79" i="7"/>
  <c r="AC79" i="7" s="1"/>
  <c r="AB71" i="7"/>
  <c r="AC71" i="7" s="1"/>
  <c r="AB63" i="7"/>
  <c r="AC63" i="7" s="1"/>
  <c r="AB55" i="7"/>
  <c r="AC55" i="7" s="1"/>
  <c r="AB47" i="7"/>
  <c r="AC47" i="7" s="1"/>
  <c r="AB39" i="7"/>
  <c r="AC39" i="7" s="1"/>
  <c r="AB31" i="7"/>
  <c r="AC31" i="7" s="1"/>
  <c r="AB23" i="7"/>
  <c r="AC23" i="7" s="1"/>
  <c r="AB15" i="7"/>
  <c r="AC15" i="7" s="1"/>
  <c r="AB7" i="7"/>
  <c r="AC7" i="7" s="1"/>
  <c r="AB634" i="7"/>
  <c r="AC634" i="7" s="1"/>
  <c r="AB544" i="7"/>
  <c r="AC544" i="7" s="1"/>
  <c r="AB450" i="7"/>
  <c r="AC450" i="7" s="1"/>
  <c r="AB378" i="7"/>
  <c r="AC378" i="7" s="1"/>
  <c r="AB290" i="7"/>
  <c r="AC290" i="7" s="1"/>
  <c r="AB226" i="7"/>
  <c r="AC226" i="7" s="1"/>
  <c r="AB162" i="7"/>
  <c r="AC162" i="7" s="1"/>
  <c r="AB98" i="7"/>
  <c r="AC98" i="7" s="1"/>
  <c r="AB34" i="7"/>
  <c r="AC34" i="7" s="1"/>
  <c r="AC717" i="7"/>
  <c r="AC709" i="7"/>
  <c r="AC701" i="7"/>
  <c r="AC693" i="7"/>
  <c r="AC685" i="7"/>
  <c r="AC674" i="7"/>
  <c r="AC660" i="7"/>
  <c r="AC646" i="7"/>
  <c r="AC635" i="7"/>
  <c r="AC621" i="7"/>
  <c r="AC610" i="7"/>
  <c r="AC594" i="7"/>
  <c r="AC578" i="7"/>
  <c r="AC562" i="7"/>
  <c r="AC530" i="7"/>
  <c r="AC514" i="7"/>
  <c r="AC498" i="7"/>
  <c r="AC482" i="7"/>
  <c r="AC466" i="7"/>
  <c r="AC427" i="7"/>
  <c r="AC404" i="7"/>
  <c r="AC363" i="7"/>
  <c r="AC340" i="7"/>
  <c r="AC322" i="7"/>
  <c r="AC299" i="7"/>
  <c r="AC276" i="7"/>
  <c r="AC244" i="7"/>
  <c r="AC212" i="7"/>
  <c r="AC180" i="7"/>
  <c r="AC148" i="7"/>
  <c r="AC116" i="7"/>
  <c r="AC84" i="7"/>
  <c r="AC52" i="7"/>
  <c r="AC20" i="7"/>
  <c r="AB665" i="7"/>
  <c r="AC665" i="7" s="1"/>
  <c r="AB649" i="7"/>
  <c r="AC649" i="7" s="1"/>
  <c r="AB617" i="7"/>
  <c r="AC617" i="7" s="1"/>
  <c r="AB585" i="7"/>
  <c r="AC585" i="7" s="1"/>
  <c r="AB553" i="7"/>
  <c r="AC553" i="7" s="1"/>
  <c r="AB521" i="7"/>
  <c r="AC521" i="7" s="1"/>
  <c r="AB489" i="7"/>
  <c r="AC489" i="7" s="1"/>
  <c r="AB449" i="7"/>
  <c r="AC449" i="7" s="1"/>
  <c r="AB417" i="7"/>
  <c r="AC417" i="7" s="1"/>
  <c r="AB377" i="7"/>
  <c r="AC377" i="7" s="1"/>
  <c r="AB345" i="7"/>
  <c r="AC345" i="7" s="1"/>
  <c r="AB313" i="7"/>
  <c r="AC313" i="7" s="1"/>
  <c r="AB297" i="7"/>
  <c r="AC297" i="7" s="1"/>
  <c r="AB265" i="7"/>
  <c r="AC265" i="7" s="1"/>
  <c r="AB225" i="7"/>
  <c r="AC225" i="7" s="1"/>
  <c r="AB193" i="7"/>
  <c r="AC193" i="7" s="1"/>
  <c r="AB161" i="7"/>
  <c r="AC161" i="7" s="1"/>
  <c r="AB129" i="7"/>
  <c r="AC129" i="7" s="1"/>
  <c r="AB113" i="7"/>
  <c r="AC113" i="7" s="1"/>
  <c r="AB81" i="7"/>
  <c r="AC81" i="7" s="1"/>
  <c r="AB49" i="7"/>
  <c r="AC49" i="7" s="1"/>
  <c r="AB33" i="7"/>
  <c r="AC33" i="7" s="1"/>
  <c r="AB606" i="7"/>
  <c r="AC606" i="7" s="1"/>
  <c r="AB598" i="7"/>
  <c r="AC598" i="7" s="1"/>
  <c r="AB590" i="7"/>
  <c r="AC590" i="7" s="1"/>
  <c r="AB582" i="7"/>
  <c r="AC582" i="7" s="1"/>
  <c r="AB574" i="7"/>
  <c r="AC574" i="7" s="1"/>
  <c r="AB566" i="7"/>
  <c r="AC566" i="7" s="1"/>
  <c r="AB558" i="7"/>
  <c r="AC558" i="7" s="1"/>
  <c r="AB550" i="7"/>
  <c r="AC550" i="7" s="1"/>
  <c r="AB542" i="7"/>
  <c r="AC542" i="7" s="1"/>
  <c r="AB534" i="7"/>
  <c r="AC534" i="7" s="1"/>
  <c r="AB526" i="7"/>
  <c r="AC526" i="7" s="1"/>
  <c r="AB518" i="7"/>
  <c r="AC518" i="7" s="1"/>
  <c r="AB510" i="7"/>
  <c r="AC510" i="7" s="1"/>
  <c r="AB502" i="7"/>
  <c r="AC502" i="7" s="1"/>
  <c r="AB494" i="7"/>
  <c r="AC494" i="7" s="1"/>
  <c r="AB486" i="7"/>
  <c r="AC486" i="7" s="1"/>
  <c r="AB478" i="7"/>
  <c r="AC478" i="7" s="1"/>
  <c r="AB470" i="7"/>
  <c r="AC470" i="7" s="1"/>
  <c r="AB462" i="7"/>
  <c r="AC462" i="7" s="1"/>
  <c r="AB454" i="7"/>
  <c r="AC454" i="7" s="1"/>
  <c r="AB446" i="7"/>
  <c r="AC446" i="7" s="1"/>
  <c r="AB438" i="7"/>
  <c r="AC438" i="7" s="1"/>
  <c r="AB430" i="7"/>
  <c r="AC430" i="7" s="1"/>
  <c r="AB422" i="7"/>
  <c r="AC422" i="7" s="1"/>
  <c r="AB414" i="7"/>
  <c r="AC414" i="7" s="1"/>
  <c r="AB406" i="7"/>
  <c r="AC406" i="7" s="1"/>
  <c r="AB398" i="7"/>
  <c r="AC398" i="7" s="1"/>
  <c r="AB390" i="7"/>
  <c r="AC390" i="7" s="1"/>
  <c r="AB382" i="7"/>
  <c r="AC382" i="7" s="1"/>
  <c r="AB374" i="7"/>
  <c r="AC374" i="7" s="1"/>
  <c r="AB366" i="7"/>
  <c r="AC366" i="7" s="1"/>
  <c r="AB358" i="7"/>
  <c r="AC358" i="7" s="1"/>
  <c r="AB350" i="7"/>
  <c r="AC350" i="7" s="1"/>
  <c r="AB342" i="7"/>
  <c r="AC342" i="7" s="1"/>
  <c r="AB334" i="7"/>
  <c r="AC334" i="7" s="1"/>
  <c r="AB326" i="7"/>
  <c r="AC326" i="7" s="1"/>
  <c r="AB318" i="7"/>
  <c r="AC318" i="7" s="1"/>
  <c r="AB310" i="7"/>
  <c r="AC310" i="7" s="1"/>
  <c r="AB302" i="7"/>
  <c r="AC302" i="7" s="1"/>
  <c r="AB294" i="7"/>
  <c r="AC294" i="7" s="1"/>
  <c r="AB286" i="7"/>
  <c r="AC286" i="7" s="1"/>
  <c r="AB278" i="7"/>
  <c r="AC278" i="7" s="1"/>
  <c r="AB270" i="7"/>
  <c r="AC270" i="7" s="1"/>
  <c r="AB262" i="7"/>
  <c r="AC262" i="7" s="1"/>
  <c r="AB254" i="7"/>
  <c r="AC254" i="7" s="1"/>
  <c r="AB246" i="7"/>
  <c r="AC246" i="7" s="1"/>
  <c r="AB238" i="7"/>
  <c r="AC238" i="7" s="1"/>
  <c r="AB230" i="7"/>
  <c r="AC230" i="7" s="1"/>
  <c r="AB222" i="7"/>
  <c r="AC222" i="7" s="1"/>
  <c r="AB214" i="7"/>
  <c r="AC214" i="7" s="1"/>
  <c r="AB206" i="7"/>
  <c r="AC206" i="7" s="1"/>
  <c r="AB198" i="7"/>
  <c r="AC198" i="7" s="1"/>
  <c r="AB190" i="7"/>
  <c r="AC190" i="7" s="1"/>
  <c r="AB182" i="7"/>
  <c r="AC182" i="7" s="1"/>
  <c r="AB174" i="7"/>
  <c r="AC174" i="7" s="1"/>
  <c r="AB166" i="7"/>
  <c r="AC166" i="7" s="1"/>
  <c r="AB158" i="7"/>
  <c r="AC158" i="7" s="1"/>
  <c r="AB150" i="7"/>
  <c r="AC150" i="7" s="1"/>
  <c r="AB142" i="7"/>
  <c r="AC142" i="7" s="1"/>
  <c r="AB134" i="7"/>
  <c r="AC134" i="7" s="1"/>
  <c r="AB126" i="7"/>
  <c r="AC126" i="7" s="1"/>
  <c r="AB118" i="7"/>
  <c r="AC118" i="7" s="1"/>
  <c r="AB110" i="7"/>
  <c r="AC110" i="7" s="1"/>
  <c r="AB102" i="7"/>
  <c r="AC102" i="7" s="1"/>
  <c r="AB94" i="7"/>
  <c r="AC94" i="7" s="1"/>
  <c r="AB86" i="7"/>
  <c r="AC86" i="7" s="1"/>
  <c r="AB78" i="7"/>
  <c r="AC78" i="7" s="1"/>
  <c r="AB70" i="7"/>
  <c r="AC70" i="7" s="1"/>
  <c r="AB62" i="7"/>
  <c r="AC62" i="7" s="1"/>
  <c r="AB54" i="7"/>
  <c r="AC54" i="7" s="1"/>
  <c r="AB46" i="7"/>
  <c r="AC46" i="7" s="1"/>
  <c r="AB38" i="7"/>
  <c r="AC38" i="7" s="1"/>
  <c r="AB30" i="7"/>
  <c r="AC30" i="7" s="1"/>
  <c r="AB22" i="7"/>
  <c r="AC22" i="7" s="1"/>
  <c r="AB14" i="7"/>
  <c r="AC14" i="7" s="1"/>
  <c r="AB6" i="7"/>
  <c r="AC6" i="7" s="1"/>
  <c r="AB538" i="7"/>
  <c r="AC538" i="7" s="1"/>
  <c r="AB448" i="7"/>
  <c r="AC448" i="7" s="1"/>
  <c r="AB354" i="7"/>
  <c r="AC354" i="7" s="1"/>
  <c r="AB288" i="7"/>
  <c r="AC288" i="7" s="1"/>
  <c r="AB224" i="7"/>
  <c r="AC224" i="7" s="1"/>
  <c r="AB160" i="7"/>
  <c r="AC160" i="7" s="1"/>
  <c r="AB96" i="7"/>
  <c r="AC96" i="7" s="1"/>
  <c r="AB32" i="7"/>
  <c r="AC32" i="7" s="1"/>
  <c r="AC716" i="7"/>
  <c r="AC708" i="7"/>
  <c r="AC700" i="7"/>
  <c r="AC692" i="7"/>
  <c r="AC684" i="7"/>
  <c r="AC670" i="7"/>
  <c r="AC659" i="7"/>
  <c r="AC645" i="7"/>
  <c r="AC620" i="7"/>
  <c r="AC605" i="7"/>
  <c r="AC589" i="7"/>
  <c r="AC573" i="7"/>
  <c r="AC557" i="7"/>
  <c r="AC541" i="7"/>
  <c r="AC525" i="7"/>
  <c r="AC509" i="7"/>
  <c r="AC493" i="7"/>
  <c r="AC477" i="7"/>
  <c r="AC461" i="7"/>
  <c r="AC444" i="7"/>
  <c r="AC426" i="7"/>
  <c r="AC403" i="7"/>
  <c r="AC380" i="7"/>
  <c r="AC362" i="7"/>
  <c r="AC339" i="7"/>
  <c r="AC316" i="7"/>
  <c r="AC298" i="7"/>
  <c r="AC274" i="7"/>
  <c r="AC242" i="7"/>
  <c r="AC210" i="7"/>
  <c r="AC178" i="7"/>
  <c r="AC146" i="7"/>
  <c r="AC114" i="7"/>
  <c r="AC82" i="7"/>
  <c r="AC50" i="7"/>
  <c r="AC18" i="7"/>
  <c r="AB681" i="7"/>
  <c r="AC681" i="7" s="1"/>
  <c r="AB641" i="7"/>
  <c r="AC641" i="7" s="1"/>
  <c r="AB609" i="7"/>
  <c r="AC609" i="7" s="1"/>
  <c r="AB577" i="7"/>
  <c r="AC577" i="7" s="1"/>
  <c r="AB545" i="7"/>
  <c r="AC545" i="7" s="1"/>
  <c r="AB513" i="7"/>
  <c r="AC513" i="7" s="1"/>
  <c r="AB465" i="7"/>
  <c r="AC465" i="7" s="1"/>
  <c r="AB433" i="7"/>
  <c r="AC433" i="7" s="1"/>
  <c r="AB401" i="7"/>
  <c r="AC401" i="7" s="1"/>
  <c r="AB369" i="7"/>
  <c r="AC369" i="7" s="1"/>
  <c r="AB337" i="7"/>
  <c r="AC337" i="7" s="1"/>
  <c r="AB305" i="7"/>
  <c r="AC305" i="7" s="1"/>
  <c r="AB273" i="7"/>
  <c r="AC273" i="7" s="1"/>
  <c r="AB241" i="7"/>
  <c r="AC241" i="7" s="1"/>
  <c r="AB217" i="7"/>
  <c r="AC217" i="7" s="1"/>
  <c r="AB185" i="7"/>
  <c r="AC185" i="7" s="1"/>
  <c r="AB153" i="7"/>
  <c r="AC153" i="7" s="1"/>
  <c r="AB121" i="7"/>
  <c r="AC121" i="7" s="1"/>
  <c r="AB89" i="7"/>
  <c r="AC89" i="7" s="1"/>
  <c r="AB65" i="7"/>
  <c r="AC65" i="7" s="1"/>
  <c r="AB17" i="7"/>
  <c r="AC17" i="7" s="1"/>
  <c r="AB445" i="7"/>
  <c r="AC445" i="7" s="1"/>
  <c r="AB437" i="7"/>
  <c r="AC437" i="7" s="1"/>
  <c r="AB429" i="7"/>
  <c r="AC429" i="7" s="1"/>
  <c r="AB421" i="7"/>
  <c r="AC421" i="7" s="1"/>
  <c r="AB413" i="7"/>
  <c r="AC413" i="7" s="1"/>
  <c r="AB405" i="7"/>
  <c r="AC405" i="7" s="1"/>
  <c r="AB397" i="7"/>
  <c r="AC397" i="7" s="1"/>
  <c r="AB389" i="7"/>
  <c r="AC389" i="7" s="1"/>
  <c r="AB381" i="7"/>
  <c r="AC381" i="7" s="1"/>
  <c r="AB373" i="7"/>
  <c r="AC373" i="7" s="1"/>
  <c r="AB365" i="7"/>
  <c r="AC365" i="7" s="1"/>
  <c r="AB357" i="7"/>
  <c r="AC357" i="7" s="1"/>
  <c r="AB349" i="7"/>
  <c r="AC349" i="7" s="1"/>
  <c r="AB341" i="7"/>
  <c r="AC341" i="7" s="1"/>
  <c r="AB333" i="7"/>
  <c r="AC333" i="7" s="1"/>
  <c r="AB325" i="7"/>
  <c r="AC325" i="7" s="1"/>
  <c r="AB317" i="7"/>
  <c r="AC317" i="7" s="1"/>
  <c r="AB309" i="7"/>
  <c r="AC309" i="7" s="1"/>
  <c r="AB301" i="7"/>
  <c r="AC301" i="7" s="1"/>
  <c r="AB293" i="7"/>
  <c r="AC293" i="7" s="1"/>
  <c r="AB285" i="7"/>
  <c r="AC285" i="7" s="1"/>
  <c r="AB277" i="7"/>
  <c r="AC277" i="7" s="1"/>
  <c r="AB269" i="7"/>
  <c r="AC269" i="7" s="1"/>
  <c r="AB261" i="7"/>
  <c r="AC261" i="7" s="1"/>
  <c r="AB253" i="7"/>
  <c r="AC253" i="7" s="1"/>
  <c r="AB245" i="7"/>
  <c r="AC245" i="7" s="1"/>
  <c r="AB237" i="7"/>
  <c r="AC237" i="7" s="1"/>
  <c r="AB229" i="7"/>
  <c r="AC229" i="7" s="1"/>
  <c r="AB221" i="7"/>
  <c r="AC221" i="7" s="1"/>
  <c r="AB213" i="7"/>
  <c r="AC213" i="7" s="1"/>
  <c r="AB205" i="7"/>
  <c r="AC205" i="7" s="1"/>
  <c r="AB197" i="7"/>
  <c r="AC197" i="7" s="1"/>
  <c r="AB189" i="7"/>
  <c r="AC189" i="7" s="1"/>
  <c r="AB181" i="7"/>
  <c r="AC181" i="7" s="1"/>
  <c r="AB173" i="7"/>
  <c r="AC173" i="7" s="1"/>
  <c r="AB165" i="7"/>
  <c r="AC165" i="7" s="1"/>
  <c r="AB157" i="7"/>
  <c r="AC157" i="7" s="1"/>
  <c r="AB149" i="7"/>
  <c r="AC149" i="7" s="1"/>
  <c r="AB141" i="7"/>
  <c r="AC141" i="7" s="1"/>
  <c r="AB133" i="7"/>
  <c r="AC133" i="7" s="1"/>
  <c r="AB125" i="7"/>
  <c r="AC125" i="7" s="1"/>
  <c r="AB117" i="7"/>
  <c r="AC117" i="7" s="1"/>
  <c r="AB109" i="7"/>
  <c r="AC109" i="7" s="1"/>
  <c r="AB101" i="7"/>
  <c r="AC101" i="7" s="1"/>
  <c r="AB93" i="7"/>
  <c r="AC93" i="7" s="1"/>
  <c r="AB85" i="7"/>
  <c r="AC85" i="7" s="1"/>
  <c r="AB77" i="7"/>
  <c r="AC77" i="7" s="1"/>
  <c r="AB69" i="7"/>
  <c r="AC69" i="7" s="1"/>
  <c r="AB61" i="7"/>
  <c r="AC61" i="7" s="1"/>
  <c r="AB53" i="7"/>
  <c r="AC53" i="7" s="1"/>
  <c r="AB45" i="7"/>
  <c r="AC45" i="7" s="1"/>
  <c r="AB37" i="7"/>
  <c r="AC37" i="7" s="1"/>
  <c r="AB29" i="7"/>
  <c r="AC29" i="7" s="1"/>
  <c r="AB21" i="7"/>
  <c r="AC21" i="7" s="1"/>
  <c r="AB13" i="7"/>
  <c r="AC13" i="7" s="1"/>
  <c r="AB5" i="7"/>
  <c r="AC5" i="7" s="1"/>
  <c r="AB608" i="7"/>
  <c r="AC608" i="7" s="1"/>
  <c r="AB442" i="7"/>
  <c r="AC442" i="7" s="1"/>
  <c r="AB352" i="7"/>
  <c r="AC352" i="7" s="1"/>
  <c r="AC715" i="7"/>
  <c r="AC707" i="7"/>
  <c r="AC699" i="7"/>
  <c r="AC691" i="7"/>
  <c r="AC683" i="7"/>
  <c r="AC669" i="7"/>
  <c r="AC658" i="7"/>
  <c r="AC644" i="7"/>
  <c r="AC630" i="7"/>
  <c r="AC619" i="7"/>
  <c r="AC604" i="7"/>
  <c r="AC588" i="7"/>
  <c r="AC572" i="7"/>
  <c r="AC556" i="7"/>
  <c r="AC540" i="7"/>
  <c r="AC524" i="7"/>
  <c r="AC508" i="7"/>
  <c r="AC492" i="7"/>
  <c r="AC476" i="7"/>
  <c r="AC460" i="7"/>
  <c r="AC443" i="7"/>
  <c r="AC420" i="7"/>
  <c r="AC402" i="7"/>
  <c r="AC379" i="7"/>
  <c r="AC356" i="7"/>
  <c r="AC338" i="7"/>
  <c r="AC315" i="7"/>
  <c r="AC292" i="7"/>
  <c r="AC268" i="7"/>
  <c r="AC236" i="7"/>
  <c r="AC204" i="7"/>
  <c r="AC172" i="7"/>
  <c r="AC140" i="7"/>
  <c r="AC108" i="7"/>
  <c r="AC76" i="7"/>
  <c r="AC44" i="7"/>
  <c r="AC12" i="7"/>
  <c r="AB602" i="7"/>
  <c r="AC602" i="7" s="1"/>
  <c r="AB512" i="7"/>
  <c r="AC512" i="7" s="1"/>
  <c r="AB418" i="7"/>
  <c r="AC418" i="7" s="1"/>
  <c r="AB280" i="7"/>
  <c r="AC280" i="7" s="1"/>
  <c r="AB216" i="7"/>
  <c r="AC216" i="7" s="1"/>
  <c r="AB152" i="7"/>
  <c r="AC152" i="7" s="1"/>
  <c r="AB88" i="7"/>
  <c r="AC88" i="7" s="1"/>
  <c r="AB24" i="7"/>
  <c r="AC24" i="7" s="1"/>
  <c r="AC714" i="7"/>
  <c r="AC706" i="7"/>
  <c r="AC698" i="7"/>
  <c r="AC690" i="7"/>
  <c r="AC682" i="7"/>
  <c r="AC668" i="7"/>
  <c r="AC654" i="7"/>
  <c r="AC643" i="7"/>
  <c r="AC629" i="7"/>
  <c r="AC618" i="7"/>
  <c r="AC603" i="7"/>
  <c r="AC587" i="7"/>
  <c r="AC571" i="7"/>
  <c r="AC555" i="7"/>
  <c r="AC539" i="7"/>
  <c r="AC523" i="7"/>
  <c r="AC507" i="7"/>
  <c r="AC491" i="7"/>
  <c r="AC475" i="7"/>
  <c r="AC459" i="7"/>
  <c r="AC419" i="7"/>
  <c r="AC396" i="7"/>
  <c r="AC355" i="7"/>
  <c r="AC332" i="7"/>
  <c r="AC291" i="7"/>
  <c r="AC266" i="7"/>
  <c r="AC234" i="7"/>
  <c r="AC202" i="7"/>
  <c r="AC170" i="7"/>
  <c r="AC138" i="7"/>
  <c r="AC106" i="7"/>
  <c r="AC74" i="7"/>
  <c r="AC42" i="7"/>
  <c r="AC10" i="7"/>
  <c r="AB275" i="7"/>
  <c r="AC275" i="7" s="1"/>
  <c r="AB267" i="7"/>
  <c r="AC267" i="7" s="1"/>
  <c r="AB259" i="7"/>
  <c r="AC259" i="7" s="1"/>
  <c r="AB251" i="7"/>
  <c r="AC251" i="7" s="1"/>
  <c r="AB243" i="7"/>
  <c r="AC243" i="7" s="1"/>
  <c r="AB235" i="7"/>
  <c r="AC235" i="7" s="1"/>
  <c r="AB227" i="7"/>
  <c r="AC227" i="7" s="1"/>
  <c r="AB219" i="7"/>
  <c r="AC219" i="7" s="1"/>
  <c r="AB211" i="7"/>
  <c r="AC211" i="7" s="1"/>
  <c r="AB203" i="7"/>
  <c r="AC203" i="7" s="1"/>
  <c r="AB195" i="7"/>
  <c r="AC195" i="7" s="1"/>
  <c r="AB187" i="7"/>
  <c r="AC187" i="7" s="1"/>
  <c r="AB179" i="7"/>
  <c r="AC179" i="7" s="1"/>
  <c r="AB171" i="7"/>
  <c r="AC171" i="7" s="1"/>
  <c r="AB163" i="7"/>
  <c r="AC163" i="7" s="1"/>
  <c r="AB155" i="7"/>
  <c r="AC155" i="7" s="1"/>
  <c r="AB147" i="7"/>
  <c r="AC147" i="7" s="1"/>
  <c r="AB139" i="7"/>
  <c r="AC139" i="7" s="1"/>
  <c r="AB131" i="7"/>
  <c r="AC131" i="7" s="1"/>
  <c r="AB123" i="7"/>
  <c r="AC123" i="7" s="1"/>
  <c r="AB115" i="7"/>
  <c r="AC115" i="7" s="1"/>
  <c r="AB107" i="7"/>
  <c r="AC107" i="7" s="1"/>
  <c r="AB99" i="7"/>
  <c r="AC99" i="7" s="1"/>
  <c r="AB91" i="7"/>
  <c r="AC91" i="7" s="1"/>
  <c r="AB83" i="7"/>
  <c r="AC83" i="7" s="1"/>
  <c r="AB75" i="7"/>
  <c r="AC75" i="7" s="1"/>
  <c r="AB67" i="7"/>
  <c r="AC67" i="7" s="1"/>
  <c r="AB59" i="7"/>
  <c r="AC59" i="7" s="1"/>
  <c r="AB51" i="7"/>
  <c r="AC51" i="7" s="1"/>
  <c r="AB43" i="7"/>
  <c r="AC43" i="7" s="1"/>
  <c r="AB35" i="7"/>
  <c r="AC35" i="7" s="1"/>
  <c r="AB27" i="7"/>
  <c r="AC27" i="7" s="1"/>
  <c r="AB19" i="7"/>
  <c r="AC19" i="7" s="1"/>
  <c r="AB11" i="7"/>
  <c r="AC11" i="7" s="1"/>
  <c r="AB3" i="7"/>
  <c r="AC3" i="7" s="1"/>
  <c r="AB672" i="7"/>
  <c r="AC672" i="7" s="1"/>
  <c r="AB506" i="7"/>
  <c r="AC506" i="7" s="1"/>
  <c r="AB416" i="7"/>
  <c r="AC416" i="7" s="1"/>
  <c r="AB258" i="7"/>
  <c r="AC258" i="7" s="1"/>
  <c r="AB194" i="7"/>
  <c r="AC194" i="7" s="1"/>
  <c r="AB130" i="7"/>
  <c r="AC130" i="7" s="1"/>
  <c r="AB66" i="7"/>
  <c r="AC66" i="7" s="1"/>
  <c r="AC721" i="7"/>
  <c r="AC713" i="7"/>
  <c r="AC705" i="7"/>
  <c r="AC697" i="7"/>
  <c r="AC689" i="7"/>
  <c r="AC678" i="7"/>
  <c r="AC667" i="7"/>
  <c r="AC653" i="7"/>
  <c r="AC628" i="7"/>
  <c r="AC614" i="7"/>
  <c r="AC586" i="7"/>
  <c r="AC554" i="7"/>
  <c r="AC522" i="7"/>
  <c r="AC490" i="7"/>
  <c r="AC458" i="7"/>
  <c r="AC436" i="7"/>
  <c r="AC395" i="7"/>
  <c r="AC372" i="7"/>
  <c r="AC331" i="7"/>
  <c r="AC308" i="7"/>
  <c r="AC260" i="7"/>
  <c r="AC228" i="7"/>
  <c r="AC196" i="7"/>
  <c r="AC164" i="7"/>
  <c r="AC132" i="7"/>
  <c r="AC100" i="7"/>
  <c r="AC68" i="7"/>
  <c r="AC36" i="7"/>
  <c r="AC4" i="7"/>
  <c r="AB666" i="7"/>
  <c r="AC666" i="7" s="1"/>
  <c r="AB576" i="7"/>
  <c r="AC576" i="7" s="1"/>
  <c r="AB320" i="7"/>
  <c r="AC320" i="7" s="1"/>
  <c r="AB256" i="7"/>
  <c r="AC256" i="7" s="1"/>
  <c r="AB192" i="7"/>
  <c r="AC192" i="7" s="1"/>
  <c r="AB128" i="7"/>
  <c r="AC128" i="7" s="1"/>
  <c r="AB64" i="7"/>
  <c r="AC64" i="7" s="1"/>
  <c r="AC720" i="7"/>
  <c r="AC712" i="7"/>
  <c r="AC704" i="7"/>
  <c r="AC696" i="7"/>
  <c r="AC688" i="7"/>
  <c r="AC677" i="7"/>
  <c r="AC652" i="7"/>
  <c r="AC638" i="7"/>
  <c r="AC627" i="7"/>
  <c r="AC613" i="7"/>
  <c r="AC597" i="7"/>
  <c r="AC581" i="7"/>
  <c r="AC565" i="7"/>
  <c r="AC549" i="7"/>
  <c r="AC533" i="7"/>
  <c r="AC517" i="7"/>
  <c r="AC501" i="7"/>
  <c r="AC485" i="7"/>
  <c r="AC469" i="7"/>
  <c r="AC453" i="7"/>
  <c r="AC435" i="7"/>
  <c r="AC412" i="7"/>
  <c r="AC394" i="7"/>
  <c r="AC371" i="7"/>
  <c r="AC348" i="7"/>
  <c r="AC330" i="7"/>
  <c r="AC307" i="7"/>
  <c r="AC284" i="7"/>
  <c r="AC2" i="7"/>
  <c r="AE2" i="7" s="1"/>
  <c r="AF2" i="7" s="1"/>
  <c r="Z717" i="7"/>
  <c r="AD717" i="7" s="1"/>
  <c r="X717" i="7"/>
  <c r="Y717" i="7"/>
  <c r="Z709" i="7"/>
  <c r="AD709" i="7" s="1"/>
  <c r="X709" i="7"/>
  <c r="Y709" i="7"/>
  <c r="Z701" i="7"/>
  <c r="AD701" i="7" s="1"/>
  <c r="X701" i="7"/>
  <c r="Y701" i="7"/>
  <c r="Z693" i="7"/>
  <c r="AD693" i="7" s="1"/>
  <c r="Y693" i="7"/>
  <c r="X693" i="7"/>
  <c r="Z685" i="7"/>
  <c r="AD685" i="7" s="1"/>
  <c r="X685" i="7"/>
  <c r="Y685" i="7"/>
  <c r="Z677" i="7"/>
  <c r="AD677" i="7" s="1"/>
  <c r="X677" i="7"/>
  <c r="Y677" i="7"/>
  <c r="Z669" i="7"/>
  <c r="AD669" i="7" s="1"/>
  <c r="X669" i="7"/>
  <c r="Y669" i="7"/>
  <c r="Z661" i="7"/>
  <c r="AD661" i="7" s="1"/>
  <c r="Y661" i="7"/>
  <c r="X661" i="7"/>
  <c r="Z653" i="7"/>
  <c r="AD653" i="7" s="1"/>
  <c r="Y653" i="7"/>
  <c r="X653" i="7"/>
  <c r="Z645" i="7"/>
  <c r="AD645" i="7" s="1"/>
  <c r="X645" i="7"/>
  <c r="Y645" i="7"/>
  <c r="Z637" i="7"/>
  <c r="AD637" i="7" s="1"/>
  <c r="X637" i="7"/>
  <c r="Y637" i="7"/>
  <c r="Z629" i="7"/>
  <c r="AD629" i="7" s="1"/>
  <c r="Y629" i="7"/>
  <c r="X629" i="7"/>
  <c r="Z621" i="7"/>
  <c r="AD621" i="7" s="1"/>
  <c r="Y621" i="7"/>
  <c r="X621" i="7"/>
  <c r="Z613" i="7"/>
  <c r="AD613" i="7" s="1"/>
  <c r="X613" i="7"/>
  <c r="Y613" i="7"/>
  <c r="Z605" i="7"/>
  <c r="AD605" i="7" s="1"/>
  <c r="X605" i="7"/>
  <c r="Y605" i="7"/>
  <c r="Z597" i="7"/>
  <c r="AD597" i="7" s="1"/>
  <c r="Y597" i="7"/>
  <c r="X597" i="7"/>
  <c r="Z589" i="7"/>
  <c r="AD589" i="7" s="1"/>
  <c r="Y589" i="7"/>
  <c r="X589" i="7"/>
  <c r="Z581" i="7"/>
  <c r="AD581" i="7" s="1"/>
  <c r="X581" i="7"/>
  <c r="Y581" i="7"/>
  <c r="Z573" i="7"/>
  <c r="AD573" i="7" s="1"/>
  <c r="X573" i="7"/>
  <c r="Y573" i="7"/>
  <c r="Z565" i="7"/>
  <c r="AD565" i="7" s="1"/>
  <c r="Y565" i="7"/>
  <c r="X565" i="7"/>
  <c r="Z557" i="7"/>
  <c r="AD557" i="7" s="1"/>
  <c r="Y557" i="7"/>
  <c r="X557" i="7"/>
  <c r="Z549" i="7"/>
  <c r="AD549" i="7" s="1"/>
  <c r="X549" i="7"/>
  <c r="Y549" i="7"/>
  <c r="Z541" i="7"/>
  <c r="AD541" i="7" s="1"/>
  <c r="Y541" i="7"/>
  <c r="X541" i="7"/>
  <c r="Z533" i="7"/>
  <c r="AD533" i="7" s="1"/>
  <c r="Y533" i="7"/>
  <c r="X533" i="7"/>
  <c r="Z525" i="7"/>
  <c r="AD525" i="7" s="1"/>
  <c r="Y525" i="7"/>
  <c r="X525" i="7"/>
  <c r="Z517" i="7"/>
  <c r="AD517" i="7" s="1"/>
  <c r="Y517" i="7"/>
  <c r="X517" i="7"/>
  <c r="Z509" i="7"/>
  <c r="AD509" i="7" s="1"/>
  <c r="Y509" i="7"/>
  <c r="X509" i="7"/>
  <c r="Z501" i="7"/>
  <c r="AD501" i="7" s="1"/>
  <c r="Y501" i="7"/>
  <c r="X501" i="7"/>
  <c r="Z493" i="7"/>
  <c r="AD493" i="7" s="1"/>
  <c r="Y493" i="7"/>
  <c r="X493" i="7"/>
  <c r="Z485" i="7"/>
  <c r="AD485" i="7" s="1"/>
  <c r="Y485" i="7"/>
  <c r="X485" i="7"/>
  <c r="Z477" i="7"/>
  <c r="AD477" i="7" s="1"/>
  <c r="Y477" i="7"/>
  <c r="X477" i="7"/>
  <c r="Z469" i="7"/>
  <c r="AD469" i="7" s="1"/>
  <c r="Y469" i="7"/>
  <c r="X469" i="7"/>
  <c r="Z461" i="7"/>
  <c r="AD461" i="7" s="1"/>
  <c r="Y461" i="7"/>
  <c r="X461" i="7"/>
  <c r="Y453" i="7"/>
  <c r="Z453" i="7"/>
  <c r="AD453" i="7" s="1"/>
  <c r="X453" i="7"/>
  <c r="Z445" i="7"/>
  <c r="AD445" i="7" s="1"/>
  <c r="Y445" i="7"/>
  <c r="X445" i="7"/>
  <c r="Z437" i="7"/>
  <c r="AD437" i="7" s="1"/>
  <c r="Y437" i="7"/>
  <c r="X437" i="7"/>
  <c r="Z429" i="7"/>
  <c r="AD429" i="7" s="1"/>
  <c r="Y429" i="7"/>
  <c r="X429" i="7"/>
  <c r="Y421" i="7"/>
  <c r="Z421" i="7"/>
  <c r="AD421" i="7" s="1"/>
  <c r="X421" i="7"/>
  <c r="Z413" i="7"/>
  <c r="AD413" i="7" s="1"/>
  <c r="Y413" i="7"/>
  <c r="X413" i="7"/>
  <c r="Z405" i="7"/>
  <c r="AD405" i="7" s="1"/>
  <c r="Y405" i="7"/>
  <c r="X405" i="7"/>
  <c r="Z397" i="7"/>
  <c r="AD397" i="7" s="1"/>
  <c r="Y397" i="7"/>
  <c r="X397" i="7"/>
  <c r="Y389" i="7"/>
  <c r="Z389" i="7"/>
  <c r="AD389" i="7" s="1"/>
  <c r="X389" i="7"/>
  <c r="Z381" i="7"/>
  <c r="AD381" i="7" s="1"/>
  <c r="Y381" i="7"/>
  <c r="X381" i="7"/>
  <c r="Z373" i="7"/>
  <c r="AD373" i="7" s="1"/>
  <c r="Y373" i="7"/>
  <c r="X373" i="7"/>
  <c r="Z365" i="7"/>
  <c r="AD365" i="7" s="1"/>
  <c r="Y365" i="7"/>
  <c r="X365" i="7"/>
  <c r="Z357" i="7"/>
  <c r="AD357" i="7" s="1"/>
  <c r="Y357" i="7"/>
  <c r="X357" i="7"/>
  <c r="Y349" i="7"/>
  <c r="Z349" i="7"/>
  <c r="AD349" i="7" s="1"/>
  <c r="X349" i="7"/>
  <c r="Z341" i="7"/>
  <c r="AD341" i="7" s="1"/>
  <c r="Y341" i="7"/>
  <c r="X341" i="7"/>
  <c r="Z333" i="7"/>
  <c r="AD333" i="7" s="1"/>
  <c r="Y333" i="7"/>
  <c r="X333" i="7"/>
  <c r="Z325" i="7"/>
  <c r="AD325" i="7" s="1"/>
  <c r="Y325" i="7"/>
  <c r="X325" i="7"/>
  <c r="Z317" i="7"/>
  <c r="AD317" i="7" s="1"/>
  <c r="Y317" i="7"/>
  <c r="X317" i="7"/>
  <c r="Z309" i="7"/>
  <c r="AD309" i="7" s="1"/>
  <c r="Y309" i="7"/>
  <c r="X309" i="7"/>
  <c r="Y301" i="7"/>
  <c r="Z301" i="7"/>
  <c r="AD301" i="7" s="1"/>
  <c r="X301" i="7"/>
  <c r="Z293" i="7"/>
  <c r="AD293" i="7" s="1"/>
  <c r="Y293" i="7"/>
  <c r="X293" i="7"/>
  <c r="Z285" i="7"/>
  <c r="AD285" i="7" s="1"/>
  <c r="Y285" i="7"/>
  <c r="X285" i="7"/>
  <c r="Z277" i="7"/>
  <c r="AD277" i="7" s="1"/>
  <c r="Y277" i="7"/>
  <c r="X277" i="7"/>
  <c r="Z269" i="7"/>
  <c r="AD269" i="7" s="1"/>
  <c r="Y269" i="7"/>
  <c r="X269" i="7"/>
  <c r="Z261" i="7"/>
  <c r="AD261" i="7" s="1"/>
  <c r="Y261" i="7"/>
  <c r="X261" i="7"/>
  <c r="Z253" i="7"/>
  <c r="AD253" i="7" s="1"/>
  <c r="Y253" i="7"/>
  <c r="X253" i="7"/>
  <c r="Z245" i="7"/>
  <c r="AD245" i="7" s="1"/>
  <c r="Y245" i="7"/>
  <c r="X245" i="7"/>
  <c r="Z237" i="7"/>
  <c r="AD237" i="7" s="1"/>
  <c r="Y237" i="7"/>
  <c r="X237" i="7"/>
  <c r="Z229" i="7"/>
  <c r="AD229" i="7" s="1"/>
  <c r="Y229" i="7"/>
  <c r="X229" i="7"/>
  <c r="Z221" i="7"/>
  <c r="AD221" i="7" s="1"/>
  <c r="Y221" i="7"/>
  <c r="X221" i="7"/>
  <c r="Z213" i="7"/>
  <c r="AD213" i="7" s="1"/>
  <c r="Y213" i="7"/>
  <c r="X213" i="7"/>
  <c r="Z205" i="7"/>
  <c r="AD205" i="7" s="1"/>
  <c r="Y205" i="7"/>
  <c r="X205" i="7"/>
  <c r="Z197" i="7"/>
  <c r="AD197" i="7" s="1"/>
  <c r="Y197" i="7"/>
  <c r="X197" i="7"/>
  <c r="Z189" i="7"/>
  <c r="AD189" i="7" s="1"/>
  <c r="Y189" i="7"/>
  <c r="X189" i="7"/>
  <c r="Z181" i="7"/>
  <c r="AD181" i="7" s="1"/>
  <c r="Y181" i="7"/>
  <c r="X181" i="7"/>
  <c r="Z173" i="7"/>
  <c r="AD173" i="7" s="1"/>
  <c r="Y173" i="7"/>
  <c r="X173" i="7"/>
  <c r="Z165" i="7"/>
  <c r="AD165" i="7" s="1"/>
  <c r="Y165" i="7"/>
  <c r="X165" i="7"/>
  <c r="Z157" i="7"/>
  <c r="AD157" i="7" s="1"/>
  <c r="Y157" i="7"/>
  <c r="X157" i="7"/>
  <c r="Z149" i="7"/>
  <c r="AD149" i="7" s="1"/>
  <c r="Y149" i="7"/>
  <c r="X149" i="7"/>
  <c r="Z141" i="7"/>
  <c r="AD141" i="7" s="1"/>
  <c r="Y141" i="7"/>
  <c r="X141" i="7"/>
  <c r="Z133" i="7"/>
  <c r="AD133" i="7" s="1"/>
  <c r="Y133" i="7"/>
  <c r="X133" i="7"/>
  <c r="Z125" i="7"/>
  <c r="AD125" i="7" s="1"/>
  <c r="Y125" i="7"/>
  <c r="X125" i="7"/>
  <c r="Z117" i="7"/>
  <c r="AD117" i="7" s="1"/>
  <c r="Y117" i="7"/>
  <c r="X117" i="7"/>
  <c r="Z109" i="7"/>
  <c r="AD109" i="7" s="1"/>
  <c r="Y109" i="7"/>
  <c r="X109" i="7"/>
  <c r="Z101" i="7"/>
  <c r="AD101" i="7" s="1"/>
  <c r="Y101" i="7"/>
  <c r="X101" i="7"/>
  <c r="Z93" i="7"/>
  <c r="AD93" i="7" s="1"/>
  <c r="Y93" i="7"/>
  <c r="X93" i="7"/>
  <c r="Z85" i="7"/>
  <c r="AD85" i="7" s="1"/>
  <c r="Y85" i="7"/>
  <c r="X85" i="7"/>
  <c r="Z77" i="7"/>
  <c r="AD77" i="7" s="1"/>
  <c r="Y77" i="7"/>
  <c r="X77" i="7"/>
  <c r="Y69" i="7"/>
  <c r="Z69" i="7"/>
  <c r="AD69" i="7" s="1"/>
  <c r="X69" i="7"/>
  <c r="Y61" i="7"/>
  <c r="Z61" i="7"/>
  <c r="AD61" i="7" s="1"/>
  <c r="X61" i="7"/>
  <c r="Y53" i="7"/>
  <c r="Z53" i="7"/>
  <c r="AD53" i="7" s="1"/>
  <c r="X53" i="7"/>
  <c r="Z45" i="7"/>
  <c r="AD45" i="7" s="1"/>
  <c r="Y45" i="7"/>
  <c r="X45" i="7"/>
  <c r="Z37" i="7"/>
  <c r="AD37" i="7" s="1"/>
  <c r="Y37" i="7"/>
  <c r="X37" i="7"/>
  <c r="Y29" i="7"/>
  <c r="Z29" i="7"/>
  <c r="AD29" i="7" s="1"/>
  <c r="X29" i="7"/>
  <c r="Y21" i="7"/>
  <c r="Z21" i="7"/>
  <c r="AD21" i="7" s="1"/>
  <c r="X21" i="7"/>
  <c r="Y13" i="7"/>
  <c r="Z13" i="7"/>
  <c r="AD13" i="7" s="1"/>
  <c r="X13" i="7"/>
  <c r="Y5" i="7"/>
  <c r="Z5" i="7"/>
  <c r="AD5" i="7" s="1"/>
  <c r="X5" i="7"/>
  <c r="Z716" i="7"/>
  <c r="AD716" i="7" s="1"/>
  <c r="X716" i="7"/>
  <c r="Y716" i="7"/>
  <c r="Z708" i="7"/>
  <c r="AD708" i="7" s="1"/>
  <c r="X708" i="7"/>
  <c r="Y708" i="7"/>
  <c r="Z700" i="7"/>
  <c r="AD700" i="7" s="1"/>
  <c r="X700" i="7"/>
  <c r="Y700" i="7"/>
  <c r="Z692" i="7"/>
  <c r="AD692" i="7" s="1"/>
  <c r="Y692" i="7"/>
  <c r="X692" i="7"/>
  <c r="Z684" i="7"/>
  <c r="AD684" i="7" s="1"/>
  <c r="X684" i="7"/>
  <c r="Y684" i="7"/>
  <c r="Z676" i="7"/>
  <c r="AD676" i="7" s="1"/>
  <c r="X676" i="7"/>
  <c r="Y676" i="7"/>
  <c r="Z668" i="7"/>
  <c r="AD668" i="7" s="1"/>
  <c r="X668" i="7"/>
  <c r="Y668" i="7"/>
  <c r="Z660" i="7"/>
  <c r="AD660" i="7" s="1"/>
  <c r="Y660" i="7"/>
  <c r="X660" i="7"/>
  <c r="Z652" i="7"/>
  <c r="AD652" i="7" s="1"/>
  <c r="Y652" i="7"/>
  <c r="X652" i="7"/>
  <c r="Z644" i="7"/>
  <c r="AD644" i="7" s="1"/>
  <c r="X644" i="7"/>
  <c r="Y644" i="7"/>
  <c r="Z636" i="7"/>
  <c r="AD636" i="7" s="1"/>
  <c r="X636" i="7"/>
  <c r="Y636" i="7"/>
  <c r="Z628" i="7"/>
  <c r="AD628" i="7" s="1"/>
  <c r="Y628" i="7"/>
  <c r="X628" i="7"/>
  <c r="Z620" i="7"/>
  <c r="AD620" i="7" s="1"/>
  <c r="Y620" i="7"/>
  <c r="X620" i="7"/>
  <c r="Z612" i="7"/>
  <c r="AD612" i="7" s="1"/>
  <c r="X612" i="7"/>
  <c r="Y612" i="7"/>
  <c r="Z604" i="7"/>
  <c r="AD604" i="7" s="1"/>
  <c r="X604" i="7"/>
  <c r="Y604" i="7"/>
  <c r="Z596" i="7"/>
  <c r="AD596" i="7" s="1"/>
  <c r="Y596" i="7"/>
  <c r="X596" i="7"/>
  <c r="Z588" i="7"/>
  <c r="AD588" i="7" s="1"/>
  <c r="Y588" i="7"/>
  <c r="X588" i="7"/>
  <c r="Z580" i="7"/>
  <c r="AD580" i="7" s="1"/>
  <c r="X580" i="7"/>
  <c r="Y580" i="7"/>
  <c r="Z572" i="7"/>
  <c r="AD572" i="7" s="1"/>
  <c r="X572" i="7"/>
  <c r="Y572" i="7"/>
  <c r="Z564" i="7"/>
  <c r="AD564" i="7" s="1"/>
  <c r="Y564" i="7"/>
  <c r="X564" i="7"/>
  <c r="Z556" i="7"/>
  <c r="AD556" i="7" s="1"/>
  <c r="Y556" i="7"/>
  <c r="X556" i="7"/>
  <c r="Z548" i="7"/>
  <c r="AD548" i="7" s="1"/>
  <c r="Y548" i="7"/>
  <c r="X548" i="7"/>
  <c r="Z540" i="7"/>
  <c r="AD540" i="7" s="1"/>
  <c r="X540" i="7"/>
  <c r="Y540" i="7"/>
  <c r="Z532" i="7"/>
  <c r="AD532" i="7" s="1"/>
  <c r="Y532" i="7"/>
  <c r="X532" i="7"/>
  <c r="Z524" i="7"/>
  <c r="AD524" i="7" s="1"/>
  <c r="Y524" i="7"/>
  <c r="X524" i="7"/>
  <c r="Y516" i="7"/>
  <c r="Z516" i="7"/>
  <c r="AD516" i="7" s="1"/>
  <c r="X516" i="7"/>
  <c r="Z508" i="7"/>
  <c r="AD508" i="7" s="1"/>
  <c r="Y508" i="7"/>
  <c r="X508" i="7"/>
  <c r="Z500" i="7"/>
  <c r="AD500" i="7" s="1"/>
  <c r="Y500" i="7"/>
  <c r="X500" i="7"/>
  <c r="Z492" i="7"/>
  <c r="AD492" i="7" s="1"/>
  <c r="Y492" i="7"/>
  <c r="X492" i="7"/>
  <c r="Z484" i="7"/>
  <c r="AD484" i="7" s="1"/>
  <c r="Y484" i="7"/>
  <c r="X484" i="7"/>
  <c r="Z476" i="7"/>
  <c r="AD476" i="7" s="1"/>
  <c r="Y476" i="7"/>
  <c r="X476" i="7"/>
  <c r="Z468" i="7"/>
  <c r="AD468" i="7" s="1"/>
  <c r="AE468" i="7" s="1"/>
  <c r="AF468" i="7" s="1"/>
  <c r="Y468" i="7"/>
  <c r="X468" i="7"/>
  <c r="Z460" i="7"/>
  <c r="AD460" i="7" s="1"/>
  <c r="Y460" i="7"/>
  <c r="X460" i="7"/>
  <c r="Z452" i="7"/>
  <c r="AD452" i="7" s="1"/>
  <c r="Y452" i="7"/>
  <c r="X452" i="7"/>
  <c r="Z444" i="7"/>
  <c r="AD444" i="7" s="1"/>
  <c r="Y444" i="7"/>
  <c r="X444" i="7"/>
  <c r="Z436" i="7"/>
  <c r="AD436" i="7" s="1"/>
  <c r="Y436" i="7"/>
  <c r="X436" i="7"/>
  <c r="Z428" i="7"/>
  <c r="AD428" i="7" s="1"/>
  <c r="Y428" i="7"/>
  <c r="X428" i="7"/>
  <c r="Z420" i="7"/>
  <c r="AD420" i="7" s="1"/>
  <c r="Y420" i="7"/>
  <c r="X420" i="7"/>
  <c r="Z412" i="7"/>
  <c r="AD412" i="7" s="1"/>
  <c r="Y412" i="7"/>
  <c r="X412" i="7"/>
  <c r="Z404" i="7"/>
  <c r="AD404" i="7" s="1"/>
  <c r="Y404" i="7"/>
  <c r="X404" i="7"/>
  <c r="Z396" i="7"/>
  <c r="AD396" i="7" s="1"/>
  <c r="Y396" i="7"/>
  <c r="X396" i="7"/>
  <c r="Z388" i="7"/>
  <c r="AD388" i="7" s="1"/>
  <c r="Y388" i="7"/>
  <c r="X388" i="7"/>
  <c r="Z380" i="7"/>
  <c r="AD380" i="7" s="1"/>
  <c r="Y380" i="7"/>
  <c r="X380" i="7"/>
  <c r="Z372" i="7"/>
  <c r="AD372" i="7" s="1"/>
  <c r="Y372" i="7"/>
  <c r="X372" i="7"/>
  <c r="Z364" i="7"/>
  <c r="AD364" i="7" s="1"/>
  <c r="Y364" i="7"/>
  <c r="X364" i="7"/>
  <c r="Z356" i="7"/>
  <c r="AD356" i="7" s="1"/>
  <c r="Y356" i="7"/>
  <c r="X356" i="7"/>
  <c r="Z348" i="7"/>
  <c r="AD348" i="7" s="1"/>
  <c r="Y348" i="7"/>
  <c r="X348" i="7"/>
  <c r="Z340" i="7"/>
  <c r="AD340" i="7" s="1"/>
  <c r="Y340" i="7"/>
  <c r="X340" i="7"/>
  <c r="Z332" i="7"/>
  <c r="AD332" i="7" s="1"/>
  <c r="Y332" i="7"/>
  <c r="X332" i="7"/>
  <c r="Z324" i="7"/>
  <c r="AD324" i="7" s="1"/>
  <c r="Y324" i="7"/>
  <c r="X324" i="7"/>
  <c r="Z316" i="7"/>
  <c r="AD316" i="7" s="1"/>
  <c r="Y316" i="7"/>
  <c r="X316" i="7"/>
  <c r="Z308" i="7"/>
  <c r="AD308" i="7" s="1"/>
  <c r="Y308" i="7"/>
  <c r="X308" i="7"/>
  <c r="Z300" i="7"/>
  <c r="AD300" i="7" s="1"/>
  <c r="Y300" i="7"/>
  <c r="X300" i="7"/>
  <c r="Z292" i="7"/>
  <c r="AD292" i="7" s="1"/>
  <c r="Y292" i="7"/>
  <c r="X292" i="7"/>
  <c r="Z284" i="7"/>
  <c r="AD284" i="7" s="1"/>
  <c r="Y284" i="7"/>
  <c r="X284" i="7"/>
  <c r="Z276" i="7"/>
  <c r="AD276" i="7" s="1"/>
  <c r="Y276" i="7"/>
  <c r="X276" i="7"/>
  <c r="Y268" i="7"/>
  <c r="Z268" i="7"/>
  <c r="AD268" i="7" s="1"/>
  <c r="X268" i="7"/>
  <c r="Z260" i="7"/>
  <c r="AD260" i="7" s="1"/>
  <c r="Y260" i="7"/>
  <c r="X260" i="7"/>
  <c r="Z252" i="7"/>
  <c r="AD252" i="7" s="1"/>
  <c r="Y252" i="7"/>
  <c r="X252" i="7"/>
  <c r="Z244" i="7"/>
  <c r="AD244" i="7" s="1"/>
  <c r="Y244" i="7"/>
  <c r="X244" i="7"/>
  <c r="Z236" i="7"/>
  <c r="AD236" i="7" s="1"/>
  <c r="Y236" i="7"/>
  <c r="X236" i="7"/>
  <c r="Z228" i="7"/>
  <c r="AD228" i="7" s="1"/>
  <c r="Y228" i="7"/>
  <c r="X228" i="7"/>
  <c r="Y220" i="7"/>
  <c r="Z220" i="7"/>
  <c r="AD220" i="7" s="1"/>
  <c r="X220" i="7"/>
  <c r="Z212" i="7"/>
  <c r="AD212" i="7" s="1"/>
  <c r="Y212" i="7"/>
  <c r="X212" i="7"/>
  <c r="Y204" i="7"/>
  <c r="Z204" i="7"/>
  <c r="AD204" i="7" s="1"/>
  <c r="X204" i="7"/>
  <c r="Z196" i="7"/>
  <c r="AD196" i="7" s="1"/>
  <c r="Y196" i="7"/>
  <c r="X196" i="7"/>
  <c r="Z188" i="7"/>
  <c r="AD188" i="7" s="1"/>
  <c r="Y188" i="7"/>
  <c r="X188" i="7"/>
  <c r="Z180" i="7"/>
  <c r="AD180" i="7" s="1"/>
  <c r="Y180" i="7"/>
  <c r="X180" i="7"/>
  <c r="Z172" i="7"/>
  <c r="AD172" i="7" s="1"/>
  <c r="Y172" i="7"/>
  <c r="X172" i="7"/>
  <c r="Y164" i="7"/>
  <c r="Z164" i="7"/>
  <c r="AD164" i="7" s="1"/>
  <c r="X164" i="7"/>
  <c r="Z156" i="7"/>
  <c r="AD156" i="7" s="1"/>
  <c r="Y156" i="7"/>
  <c r="X156" i="7"/>
  <c r="Z148" i="7"/>
  <c r="AD148" i="7" s="1"/>
  <c r="Y148" i="7"/>
  <c r="X148" i="7"/>
  <c r="Z140" i="7"/>
  <c r="AD140" i="7" s="1"/>
  <c r="Y140" i="7"/>
  <c r="X140" i="7"/>
  <c r="Z132" i="7"/>
  <c r="AD132" i="7" s="1"/>
  <c r="Y132" i="7"/>
  <c r="X132" i="7"/>
  <c r="Z124" i="7"/>
  <c r="AD124" i="7" s="1"/>
  <c r="AE124" i="7" s="1"/>
  <c r="AF124" i="7" s="1"/>
  <c r="Y124" i="7"/>
  <c r="X124" i="7"/>
  <c r="Z116" i="7"/>
  <c r="AD116" i="7" s="1"/>
  <c r="Y116" i="7"/>
  <c r="X116" i="7"/>
  <c r="Z108" i="7"/>
  <c r="AD108" i="7" s="1"/>
  <c r="Y108" i="7"/>
  <c r="X108" i="7"/>
  <c r="Z100" i="7"/>
  <c r="AD100" i="7" s="1"/>
  <c r="Y100" i="7"/>
  <c r="X100" i="7"/>
  <c r="Z92" i="7"/>
  <c r="AD92" i="7" s="1"/>
  <c r="Y92" i="7"/>
  <c r="X92" i="7"/>
  <c r="Z84" i="7"/>
  <c r="AD84" i="7" s="1"/>
  <c r="Y84" i="7"/>
  <c r="X84" i="7"/>
  <c r="Z76" i="7"/>
  <c r="AD76" i="7" s="1"/>
  <c r="Y76" i="7"/>
  <c r="X76" i="7"/>
  <c r="Z68" i="7"/>
  <c r="AD68" i="7" s="1"/>
  <c r="Y68" i="7"/>
  <c r="X68" i="7"/>
  <c r="Z60" i="7"/>
  <c r="AD60" i="7" s="1"/>
  <c r="Y60" i="7"/>
  <c r="X60" i="7"/>
  <c r="Z52" i="7"/>
  <c r="AD52" i="7" s="1"/>
  <c r="Y52" i="7"/>
  <c r="X52" i="7"/>
  <c r="Z44" i="7"/>
  <c r="AD44" i="7" s="1"/>
  <c r="Y44" i="7"/>
  <c r="X44" i="7"/>
  <c r="Z36" i="7"/>
  <c r="AD36" i="7" s="1"/>
  <c r="Y36" i="7"/>
  <c r="X36" i="7"/>
  <c r="Z28" i="7"/>
  <c r="AD28" i="7" s="1"/>
  <c r="Y28" i="7"/>
  <c r="X28" i="7"/>
  <c r="Z20" i="7"/>
  <c r="AD20" i="7" s="1"/>
  <c r="Y20" i="7"/>
  <c r="X20" i="7"/>
  <c r="Z12" i="7"/>
  <c r="AD12" i="7" s="1"/>
  <c r="Y12" i="7"/>
  <c r="X12" i="7"/>
  <c r="Z4" i="7"/>
  <c r="AD4" i="7" s="1"/>
  <c r="Y4" i="7"/>
  <c r="X4" i="7"/>
  <c r="Z715" i="7"/>
  <c r="AD715" i="7" s="1"/>
  <c r="X715" i="7"/>
  <c r="Y715" i="7"/>
  <c r="Z707" i="7"/>
  <c r="AD707" i="7" s="1"/>
  <c r="X707" i="7"/>
  <c r="Y707" i="7"/>
  <c r="Z699" i="7"/>
  <c r="AD699" i="7" s="1"/>
  <c r="X699" i="7"/>
  <c r="Y699" i="7"/>
  <c r="Z691" i="7"/>
  <c r="AD691" i="7" s="1"/>
  <c r="X691" i="7"/>
  <c r="Y691" i="7"/>
  <c r="Z683" i="7"/>
  <c r="AD683" i="7" s="1"/>
  <c r="X683" i="7"/>
  <c r="Y683" i="7"/>
  <c r="Z675" i="7"/>
  <c r="AD675" i="7" s="1"/>
  <c r="X675" i="7"/>
  <c r="Y675" i="7"/>
  <c r="Z667" i="7"/>
  <c r="AD667" i="7" s="1"/>
  <c r="X667" i="7"/>
  <c r="Y667" i="7"/>
  <c r="Z659" i="7"/>
  <c r="AD659" i="7" s="1"/>
  <c r="Y659" i="7"/>
  <c r="X659" i="7"/>
  <c r="Y651" i="7"/>
  <c r="Z651" i="7"/>
  <c r="AD651" i="7" s="1"/>
  <c r="X651" i="7"/>
  <c r="Z643" i="7"/>
  <c r="AD643" i="7" s="1"/>
  <c r="Y643" i="7"/>
  <c r="X643" i="7"/>
  <c r="Y635" i="7"/>
  <c r="Z635" i="7"/>
  <c r="AD635" i="7" s="1"/>
  <c r="X635" i="7"/>
  <c r="Z627" i="7"/>
  <c r="AD627" i="7" s="1"/>
  <c r="Y627" i="7"/>
  <c r="X627" i="7"/>
  <c r="Y619" i="7"/>
  <c r="Z619" i="7"/>
  <c r="AD619" i="7" s="1"/>
  <c r="X619" i="7"/>
  <c r="Y611" i="7"/>
  <c r="Z611" i="7"/>
  <c r="AD611" i="7" s="1"/>
  <c r="X611" i="7"/>
  <c r="Z603" i="7"/>
  <c r="AD603" i="7" s="1"/>
  <c r="Y603" i="7"/>
  <c r="X603" i="7"/>
  <c r="Z595" i="7"/>
  <c r="AD595" i="7" s="1"/>
  <c r="Y595" i="7"/>
  <c r="X595" i="7"/>
  <c r="Y587" i="7"/>
  <c r="Z587" i="7"/>
  <c r="AD587" i="7" s="1"/>
  <c r="X587" i="7"/>
  <c r="Y579" i="7"/>
  <c r="Z579" i="7"/>
  <c r="AD579" i="7" s="1"/>
  <c r="X579" i="7"/>
  <c r="Z571" i="7"/>
  <c r="AD571" i="7" s="1"/>
  <c r="Y571" i="7"/>
  <c r="X571" i="7"/>
  <c r="Z563" i="7"/>
  <c r="AD563" i="7" s="1"/>
  <c r="Y563" i="7"/>
  <c r="X563" i="7"/>
  <c r="Y555" i="7"/>
  <c r="Z555" i="7"/>
  <c r="AD555" i="7" s="1"/>
  <c r="X555" i="7"/>
  <c r="Z547" i="7"/>
  <c r="AD547" i="7" s="1"/>
  <c r="Y547" i="7"/>
  <c r="X547" i="7"/>
  <c r="Z539" i="7"/>
  <c r="AD539" i="7" s="1"/>
  <c r="X539" i="7"/>
  <c r="Y539" i="7"/>
  <c r="Z531" i="7"/>
  <c r="AD531" i="7" s="1"/>
  <c r="Y531" i="7"/>
  <c r="X531" i="7"/>
  <c r="Z523" i="7"/>
  <c r="AD523" i="7" s="1"/>
  <c r="Y523" i="7"/>
  <c r="X523" i="7"/>
  <c r="Y515" i="7"/>
  <c r="Z515" i="7"/>
  <c r="AD515" i="7" s="1"/>
  <c r="X515" i="7"/>
  <c r="Z507" i="7"/>
  <c r="AD507" i="7" s="1"/>
  <c r="Y507" i="7"/>
  <c r="X507" i="7"/>
  <c r="Z499" i="7"/>
  <c r="AD499" i="7" s="1"/>
  <c r="Y499" i="7"/>
  <c r="X499" i="7"/>
  <c r="Z491" i="7"/>
  <c r="AD491" i="7" s="1"/>
  <c r="Y491" i="7"/>
  <c r="X491" i="7"/>
  <c r="Y483" i="7"/>
  <c r="Z483" i="7"/>
  <c r="AD483" i="7" s="1"/>
  <c r="X483" i="7"/>
  <c r="Z475" i="7"/>
  <c r="AD475" i="7" s="1"/>
  <c r="Y475" i="7"/>
  <c r="X475" i="7"/>
  <c r="Z467" i="7"/>
  <c r="AD467" i="7" s="1"/>
  <c r="Y467" i="7"/>
  <c r="X467" i="7"/>
  <c r="Z459" i="7"/>
  <c r="AD459" i="7" s="1"/>
  <c r="Y459" i="7"/>
  <c r="X459" i="7"/>
  <c r="Z451" i="7"/>
  <c r="AD451" i="7" s="1"/>
  <c r="Y451" i="7"/>
  <c r="X451" i="7"/>
  <c r="Z443" i="7"/>
  <c r="AD443" i="7" s="1"/>
  <c r="Y443" i="7"/>
  <c r="X443" i="7"/>
  <c r="Z435" i="7"/>
  <c r="AD435" i="7" s="1"/>
  <c r="Y435" i="7"/>
  <c r="X435" i="7"/>
  <c r="Z427" i="7"/>
  <c r="AD427" i="7" s="1"/>
  <c r="Y427" i="7"/>
  <c r="X427" i="7"/>
  <c r="Z419" i="7"/>
  <c r="AD419" i="7" s="1"/>
  <c r="Y419" i="7"/>
  <c r="X419" i="7"/>
  <c r="Z411" i="7"/>
  <c r="AD411" i="7" s="1"/>
  <c r="Y411" i="7"/>
  <c r="X411" i="7"/>
  <c r="Z403" i="7"/>
  <c r="AD403" i="7" s="1"/>
  <c r="Y403" i="7"/>
  <c r="X403" i="7"/>
  <c r="Z395" i="7"/>
  <c r="AD395" i="7" s="1"/>
  <c r="Y395" i="7"/>
  <c r="X395" i="7"/>
  <c r="Y387" i="7"/>
  <c r="Z387" i="7"/>
  <c r="AD387" i="7" s="1"/>
  <c r="X387" i="7"/>
  <c r="Y379" i="7"/>
  <c r="Z379" i="7"/>
  <c r="AD379" i="7" s="1"/>
  <c r="X379" i="7"/>
  <c r="Z371" i="7"/>
  <c r="AD371" i="7" s="1"/>
  <c r="Y371" i="7"/>
  <c r="X371" i="7"/>
  <c r="Z363" i="7"/>
  <c r="AD363" i="7" s="1"/>
  <c r="Y363" i="7"/>
  <c r="X363" i="7"/>
  <c r="Z355" i="7"/>
  <c r="AD355" i="7" s="1"/>
  <c r="Y355" i="7"/>
  <c r="X355" i="7"/>
  <c r="Z347" i="7"/>
  <c r="AD347" i="7" s="1"/>
  <c r="Y347" i="7"/>
  <c r="X347" i="7"/>
  <c r="Y339" i="7"/>
  <c r="Z339" i="7"/>
  <c r="AD339" i="7" s="1"/>
  <c r="X339" i="7"/>
  <c r="Z331" i="7"/>
  <c r="AD331" i="7" s="1"/>
  <c r="Y331" i="7"/>
  <c r="X331" i="7"/>
  <c r="Z323" i="7"/>
  <c r="AD323" i="7" s="1"/>
  <c r="Y323" i="7"/>
  <c r="X323" i="7"/>
  <c r="Z315" i="7"/>
  <c r="AD315" i="7" s="1"/>
  <c r="Y315" i="7"/>
  <c r="X315" i="7"/>
  <c r="Y307" i="7"/>
  <c r="Z307" i="7"/>
  <c r="AD307" i="7" s="1"/>
  <c r="X307" i="7"/>
  <c r="Y299" i="7"/>
  <c r="Z299" i="7"/>
  <c r="AD299" i="7" s="1"/>
  <c r="X299" i="7"/>
  <c r="Z291" i="7"/>
  <c r="AD291" i="7" s="1"/>
  <c r="Y291" i="7"/>
  <c r="X291" i="7"/>
  <c r="Y283" i="7"/>
  <c r="Z283" i="7"/>
  <c r="AD283" i="7" s="1"/>
  <c r="X283" i="7"/>
  <c r="Y275" i="7"/>
  <c r="Z275" i="7"/>
  <c r="AD275" i="7" s="1"/>
  <c r="X275" i="7"/>
  <c r="Z267" i="7"/>
  <c r="AD267" i="7" s="1"/>
  <c r="Y267" i="7"/>
  <c r="X267" i="7"/>
  <c r="Y259" i="7"/>
  <c r="Z259" i="7"/>
  <c r="AD259" i="7" s="1"/>
  <c r="X259" i="7"/>
  <c r="Z251" i="7"/>
  <c r="AD251" i="7" s="1"/>
  <c r="Y251" i="7"/>
  <c r="X251" i="7"/>
  <c r="Y243" i="7"/>
  <c r="Z243" i="7"/>
  <c r="AD243" i="7" s="1"/>
  <c r="X243" i="7"/>
  <c r="Y235" i="7"/>
  <c r="Z235" i="7"/>
  <c r="AD235" i="7" s="1"/>
  <c r="X235" i="7"/>
  <c r="Z227" i="7"/>
  <c r="AD227" i="7" s="1"/>
  <c r="Y227" i="7"/>
  <c r="X227" i="7"/>
  <c r="Z219" i="7"/>
  <c r="AD219" i="7" s="1"/>
  <c r="Y219" i="7"/>
  <c r="X219" i="7"/>
  <c r="Y211" i="7"/>
  <c r="Z211" i="7"/>
  <c r="AD211" i="7" s="1"/>
  <c r="X211" i="7"/>
  <c r="Z203" i="7"/>
  <c r="AD203" i="7" s="1"/>
  <c r="Y203" i="7"/>
  <c r="X203" i="7"/>
  <c r="Z195" i="7"/>
  <c r="AD195" i="7" s="1"/>
  <c r="Y195" i="7"/>
  <c r="X195" i="7"/>
  <c r="Z187" i="7"/>
  <c r="AD187" i="7" s="1"/>
  <c r="Y187" i="7"/>
  <c r="X187" i="7"/>
  <c r="Z179" i="7"/>
  <c r="AD179" i="7" s="1"/>
  <c r="Y179" i="7"/>
  <c r="X179" i="7"/>
  <c r="Z171" i="7"/>
  <c r="AD171" i="7" s="1"/>
  <c r="Y171" i="7"/>
  <c r="X171" i="7"/>
  <c r="Z163" i="7"/>
  <c r="AD163" i="7" s="1"/>
  <c r="Y163" i="7"/>
  <c r="X163" i="7"/>
  <c r="Z155" i="7"/>
  <c r="AD155" i="7" s="1"/>
  <c r="Y155" i="7"/>
  <c r="X155" i="7"/>
  <c r="Z147" i="7"/>
  <c r="AD147" i="7" s="1"/>
  <c r="Y147" i="7"/>
  <c r="X147" i="7"/>
  <c r="Y139" i="7"/>
  <c r="Z139" i="7"/>
  <c r="AD139" i="7" s="1"/>
  <c r="X139" i="7"/>
  <c r="Y131" i="7"/>
  <c r="Z131" i="7"/>
  <c r="AD131" i="7" s="1"/>
  <c r="X131" i="7"/>
  <c r="Z123" i="7"/>
  <c r="AD123" i="7" s="1"/>
  <c r="Y123" i="7"/>
  <c r="X123" i="7"/>
  <c r="Z115" i="7"/>
  <c r="AD115" i="7" s="1"/>
  <c r="Y115" i="7"/>
  <c r="X115" i="7"/>
  <c r="Z107" i="7"/>
  <c r="AD107" i="7" s="1"/>
  <c r="Y107" i="7"/>
  <c r="X107" i="7"/>
  <c r="Y99" i="7"/>
  <c r="Z99" i="7"/>
  <c r="AD99" i="7" s="1"/>
  <c r="X99" i="7"/>
  <c r="Y91" i="7"/>
  <c r="Z91" i="7"/>
  <c r="AD91" i="7" s="1"/>
  <c r="X91" i="7"/>
  <c r="Z714" i="7"/>
  <c r="AD714" i="7" s="1"/>
  <c r="Y714" i="7"/>
  <c r="X714" i="7"/>
  <c r="Z706" i="7"/>
  <c r="AD706" i="7" s="1"/>
  <c r="Y706" i="7"/>
  <c r="X706" i="7"/>
  <c r="Z698" i="7"/>
  <c r="AD698" i="7" s="1"/>
  <c r="Y698" i="7"/>
  <c r="X698" i="7"/>
  <c r="Z690" i="7"/>
  <c r="AD690" i="7" s="1"/>
  <c r="Y690" i="7"/>
  <c r="X690" i="7"/>
  <c r="Z682" i="7"/>
  <c r="AD682" i="7" s="1"/>
  <c r="Y682" i="7"/>
  <c r="X682" i="7"/>
  <c r="Z674" i="7"/>
  <c r="AD674" i="7" s="1"/>
  <c r="Y674" i="7"/>
  <c r="X674" i="7"/>
  <c r="Z666" i="7"/>
  <c r="AD666" i="7" s="1"/>
  <c r="Y666" i="7"/>
  <c r="X666" i="7"/>
  <c r="Z658" i="7"/>
  <c r="AD658" i="7" s="1"/>
  <c r="Y658" i="7"/>
  <c r="X658" i="7"/>
  <c r="Z650" i="7"/>
  <c r="AD650" i="7" s="1"/>
  <c r="Y650" i="7"/>
  <c r="X650" i="7"/>
  <c r="Z642" i="7"/>
  <c r="AD642" i="7" s="1"/>
  <c r="Y642" i="7"/>
  <c r="X642" i="7"/>
  <c r="Z634" i="7"/>
  <c r="AD634" i="7" s="1"/>
  <c r="Y634" i="7"/>
  <c r="X634" i="7"/>
  <c r="Z626" i="7"/>
  <c r="AD626" i="7" s="1"/>
  <c r="Y626" i="7"/>
  <c r="X626" i="7"/>
  <c r="Z618" i="7"/>
  <c r="AD618" i="7" s="1"/>
  <c r="Y618" i="7"/>
  <c r="X618" i="7"/>
  <c r="Z610" i="7"/>
  <c r="AD610" i="7" s="1"/>
  <c r="Y610" i="7"/>
  <c r="X610" i="7"/>
  <c r="Z602" i="7"/>
  <c r="AD602" i="7" s="1"/>
  <c r="Y602" i="7"/>
  <c r="X602" i="7"/>
  <c r="Z594" i="7"/>
  <c r="AD594" i="7" s="1"/>
  <c r="Y594" i="7"/>
  <c r="X594" i="7"/>
  <c r="Z586" i="7"/>
  <c r="AD586" i="7" s="1"/>
  <c r="Y586" i="7"/>
  <c r="X586" i="7"/>
  <c r="Z578" i="7"/>
  <c r="AD578" i="7" s="1"/>
  <c r="Y578" i="7"/>
  <c r="X578" i="7"/>
  <c r="Z570" i="7"/>
  <c r="AD570" i="7" s="1"/>
  <c r="Y570" i="7"/>
  <c r="X570" i="7"/>
  <c r="Z562" i="7"/>
  <c r="AD562" i="7" s="1"/>
  <c r="Y562" i="7"/>
  <c r="X562" i="7"/>
  <c r="Z554" i="7"/>
  <c r="AD554" i="7" s="1"/>
  <c r="Y554" i="7"/>
  <c r="X554" i="7"/>
  <c r="Z546" i="7"/>
  <c r="AD546" i="7" s="1"/>
  <c r="Y546" i="7"/>
  <c r="X546" i="7"/>
  <c r="Y538" i="7"/>
  <c r="Z538" i="7"/>
  <c r="AD538" i="7" s="1"/>
  <c r="X538" i="7"/>
  <c r="Z530" i="7"/>
  <c r="AD530" i="7" s="1"/>
  <c r="Y530" i="7"/>
  <c r="X530" i="7"/>
  <c r="Y522" i="7"/>
  <c r="Z522" i="7"/>
  <c r="AD522" i="7" s="1"/>
  <c r="X522" i="7"/>
  <c r="Z514" i="7"/>
  <c r="AD514" i="7" s="1"/>
  <c r="Y514" i="7"/>
  <c r="X514" i="7"/>
  <c r="Z506" i="7"/>
  <c r="AD506" i="7" s="1"/>
  <c r="Y506" i="7"/>
  <c r="X506" i="7"/>
  <c r="Z498" i="7"/>
  <c r="AD498" i="7" s="1"/>
  <c r="Y498" i="7"/>
  <c r="X498" i="7"/>
  <c r="Z490" i="7"/>
  <c r="AD490" i="7" s="1"/>
  <c r="Y490" i="7"/>
  <c r="X490" i="7"/>
  <c r="Z482" i="7"/>
  <c r="AD482" i="7" s="1"/>
  <c r="Y482" i="7"/>
  <c r="X482" i="7"/>
  <c r="Z474" i="7"/>
  <c r="AD474" i="7" s="1"/>
  <c r="Y474" i="7"/>
  <c r="X474" i="7"/>
  <c r="Z466" i="7"/>
  <c r="AD466" i="7" s="1"/>
  <c r="Y466" i="7"/>
  <c r="X466" i="7"/>
  <c r="Z458" i="7"/>
  <c r="AD458" i="7" s="1"/>
  <c r="Y458" i="7"/>
  <c r="X458" i="7"/>
  <c r="Z450" i="7"/>
  <c r="AD450" i="7" s="1"/>
  <c r="Y450" i="7"/>
  <c r="X450" i="7"/>
  <c r="Z442" i="7"/>
  <c r="AD442" i="7" s="1"/>
  <c r="Y442" i="7"/>
  <c r="X442" i="7"/>
  <c r="Z434" i="7"/>
  <c r="AD434" i="7" s="1"/>
  <c r="Y434" i="7"/>
  <c r="X434" i="7"/>
  <c r="Z426" i="7"/>
  <c r="AD426" i="7" s="1"/>
  <c r="Y426" i="7"/>
  <c r="X426" i="7"/>
  <c r="Z418" i="7"/>
  <c r="AD418" i="7" s="1"/>
  <c r="Y418" i="7"/>
  <c r="X418" i="7"/>
  <c r="Z410" i="7"/>
  <c r="AD410" i="7" s="1"/>
  <c r="AE410" i="7" s="1"/>
  <c r="AF410" i="7" s="1"/>
  <c r="Y410" i="7"/>
  <c r="X410" i="7"/>
  <c r="Z402" i="7"/>
  <c r="AD402" i="7" s="1"/>
  <c r="Y402" i="7"/>
  <c r="X402" i="7"/>
  <c r="Z394" i="7"/>
  <c r="AD394" i="7" s="1"/>
  <c r="Y394" i="7"/>
  <c r="X394" i="7"/>
  <c r="Z386" i="7"/>
  <c r="AD386" i="7" s="1"/>
  <c r="Y386" i="7"/>
  <c r="X386" i="7"/>
  <c r="Z378" i="7"/>
  <c r="AD378" i="7" s="1"/>
  <c r="Y378" i="7"/>
  <c r="X378" i="7"/>
  <c r="Z370" i="7"/>
  <c r="AD370" i="7" s="1"/>
  <c r="Y370" i="7"/>
  <c r="X370" i="7"/>
  <c r="Z362" i="7"/>
  <c r="AD362" i="7" s="1"/>
  <c r="Y362" i="7"/>
  <c r="X362" i="7"/>
  <c r="Z354" i="7"/>
  <c r="AD354" i="7" s="1"/>
  <c r="Y354" i="7"/>
  <c r="X354" i="7"/>
  <c r="Z346" i="7"/>
  <c r="AD346" i="7" s="1"/>
  <c r="AE346" i="7" s="1"/>
  <c r="AF346" i="7" s="1"/>
  <c r="Y346" i="7"/>
  <c r="X346" i="7"/>
  <c r="Z338" i="7"/>
  <c r="AD338" i="7" s="1"/>
  <c r="Y338" i="7"/>
  <c r="X338" i="7"/>
  <c r="Z330" i="7"/>
  <c r="AD330" i="7" s="1"/>
  <c r="Y330" i="7"/>
  <c r="X330" i="7"/>
  <c r="Z322" i="7"/>
  <c r="AD322" i="7" s="1"/>
  <c r="Y322" i="7"/>
  <c r="X322" i="7"/>
  <c r="Z314" i="7"/>
  <c r="AD314" i="7" s="1"/>
  <c r="Y314" i="7"/>
  <c r="X314" i="7"/>
  <c r="Z306" i="7"/>
  <c r="AD306" i="7" s="1"/>
  <c r="Y306" i="7"/>
  <c r="X306" i="7"/>
  <c r="Z298" i="7"/>
  <c r="AD298" i="7" s="1"/>
  <c r="Y298" i="7"/>
  <c r="X298" i="7"/>
  <c r="Z290" i="7"/>
  <c r="AD290" i="7" s="1"/>
  <c r="Y290" i="7"/>
  <c r="X290" i="7"/>
  <c r="Z282" i="7"/>
  <c r="AD282" i="7" s="1"/>
  <c r="AE282" i="7" s="1"/>
  <c r="AF282" i="7" s="1"/>
  <c r="Y282" i="7"/>
  <c r="X282" i="7"/>
  <c r="Z274" i="7"/>
  <c r="AD274" i="7" s="1"/>
  <c r="Y274" i="7"/>
  <c r="X274" i="7"/>
  <c r="Z266" i="7"/>
  <c r="AD266" i="7" s="1"/>
  <c r="Y266" i="7"/>
  <c r="X266" i="7"/>
  <c r="Z258" i="7"/>
  <c r="AD258" i="7" s="1"/>
  <c r="Y258" i="7"/>
  <c r="X258" i="7"/>
  <c r="Z250" i="7"/>
  <c r="AD250" i="7" s="1"/>
  <c r="AE250" i="7" s="1"/>
  <c r="AF250" i="7" s="1"/>
  <c r="Y250" i="7"/>
  <c r="X250" i="7"/>
  <c r="Z242" i="7"/>
  <c r="AD242" i="7" s="1"/>
  <c r="Y242" i="7"/>
  <c r="X242" i="7"/>
  <c r="Z234" i="7"/>
  <c r="AD234" i="7" s="1"/>
  <c r="Y234" i="7"/>
  <c r="X234" i="7"/>
  <c r="Z226" i="7"/>
  <c r="AD226" i="7" s="1"/>
  <c r="Y226" i="7"/>
  <c r="X226" i="7"/>
  <c r="Z218" i="7"/>
  <c r="AD218" i="7" s="1"/>
  <c r="AE218" i="7" s="1"/>
  <c r="AF218" i="7" s="1"/>
  <c r="Y218" i="7"/>
  <c r="X218" i="7"/>
  <c r="Z210" i="7"/>
  <c r="AD210" i="7" s="1"/>
  <c r="Y210" i="7"/>
  <c r="X210" i="7"/>
  <c r="Z202" i="7"/>
  <c r="AD202" i="7" s="1"/>
  <c r="Y202" i="7"/>
  <c r="X202" i="7"/>
  <c r="Z194" i="7"/>
  <c r="AD194" i="7" s="1"/>
  <c r="Y194" i="7"/>
  <c r="X194" i="7"/>
  <c r="Z186" i="7"/>
  <c r="AD186" i="7" s="1"/>
  <c r="AE186" i="7" s="1"/>
  <c r="AF186" i="7" s="1"/>
  <c r="Y186" i="7"/>
  <c r="X186" i="7"/>
  <c r="Z178" i="7"/>
  <c r="AD178" i="7" s="1"/>
  <c r="Y178" i="7"/>
  <c r="X178" i="7"/>
  <c r="Z170" i="7"/>
  <c r="AD170" i="7" s="1"/>
  <c r="Y170" i="7"/>
  <c r="X170" i="7"/>
  <c r="Z162" i="7"/>
  <c r="AD162" i="7" s="1"/>
  <c r="Y162" i="7"/>
  <c r="X162" i="7"/>
  <c r="Z154" i="7"/>
  <c r="AD154" i="7" s="1"/>
  <c r="AE154" i="7" s="1"/>
  <c r="AF154" i="7" s="1"/>
  <c r="Y154" i="7"/>
  <c r="X154" i="7"/>
  <c r="Z146" i="7"/>
  <c r="AD146" i="7" s="1"/>
  <c r="Y146" i="7"/>
  <c r="X146" i="7"/>
  <c r="Z138" i="7"/>
  <c r="AD138" i="7" s="1"/>
  <c r="Y138" i="7"/>
  <c r="X138" i="7"/>
  <c r="Z130" i="7"/>
  <c r="AD130" i="7" s="1"/>
  <c r="Y130" i="7"/>
  <c r="X130" i="7"/>
  <c r="Z122" i="7"/>
  <c r="AD122" i="7" s="1"/>
  <c r="AE122" i="7" s="1"/>
  <c r="AF122" i="7" s="1"/>
  <c r="Y122" i="7"/>
  <c r="X122" i="7"/>
  <c r="Z114" i="7"/>
  <c r="AD114" i="7" s="1"/>
  <c r="Y114" i="7"/>
  <c r="X114" i="7"/>
  <c r="Z106" i="7"/>
  <c r="AD106" i="7" s="1"/>
  <c r="Y106" i="7"/>
  <c r="X106" i="7"/>
  <c r="Z98" i="7"/>
  <c r="AD98" i="7" s="1"/>
  <c r="Y98" i="7"/>
  <c r="X98" i="7"/>
  <c r="Z90" i="7"/>
  <c r="AD90" i="7" s="1"/>
  <c r="AE90" i="7" s="1"/>
  <c r="AF90" i="7" s="1"/>
  <c r="Y90" i="7"/>
  <c r="X90" i="7"/>
  <c r="Z82" i="7"/>
  <c r="AD82" i="7" s="1"/>
  <c r="Y82" i="7"/>
  <c r="X82" i="7"/>
  <c r="Z74" i="7"/>
  <c r="AD74" i="7" s="1"/>
  <c r="Y74" i="7"/>
  <c r="X74" i="7"/>
  <c r="Z66" i="7"/>
  <c r="AD66" i="7" s="1"/>
  <c r="Y66" i="7"/>
  <c r="X66" i="7"/>
  <c r="Z58" i="7"/>
  <c r="AD58" i="7" s="1"/>
  <c r="AE58" i="7" s="1"/>
  <c r="AF58" i="7" s="1"/>
  <c r="Y58" i="7"/>
  <c r="X58" i="7"/>
  <c r="Z50" i="7"/>
  <c r="AD50" i="7" s="1"/>
  <c r="Y50" i="7"/>
  <c r="X50" i="7"/>
  <c r="Z42" i="7"/>
  <c r="AD42" i="7" s="1"/>
  <c r="Y42" i="7"/>
  <c r="X42" i="7"/>
  <c r="Z34" i="7"/>
  <c r="AD34" i="7" s="1"/>
  <c r="Y34" i="7"/>
  <c r="X34" i="7"/>
  <c r="Z26" i="7"/>
  <c r="AD26" i="7" s="1"/>
  <c r="AE26" i="7" s="1"/>
  <c r="AF26" i="7" s="1"/>
  <c r="Y26" i="7"/>
  <c r="X26" i="7"/>
  <c r="Z18" i="7"/>
  <c r="AD18" i="7" s="1"/>
  <c r="Y18" i="7"/>
  <c r="X18" i="7"/>
  <c r="Z10" i="7"/>
  <c r="AD10" i="7" s="1"/>
  <c r="Y10" i="7"/>
  <c r="X10" i="7"/>
  <c r="Y2" i="7"/>
  <c r="X2" i="7"/>
  <c r="Z721" i="7"/>
  <c r="AD721" i="7" s="1"/>
  <c r="Y721" i="7"/>
  <c r="X721" i="7"/>
  <c r="Z713" i="7"/>
  <c r="AD713" i="7" s="1"/>
  <c r="Y713" i="7"/>
  <c r="X713" i="7"/>
  <c r="Z705" i="7"/>
  <c r="AD705" i="7" s="1"/>
  <c r="Y705" i="7"/>
  <c r="X705" i="7"/>
  <c r="Z697" i="7"/>
  <c r="AD697" i="7" s="1"/>
  <c r="Y697" i="7"/>
  <c r="X697" i="7"/>
  <c r="Z689" i="7"/>
  <c r="AD689" i="7" s="1"/>
  <c r="Y689" i="7"/>
  <c r="X689" i="7"/>
  <c r="Z681" i="7"/>
  <c r="AD681" i="7" s="1"/>
  <c r="Y681" i="7"/>
  <c r="X681" i="7"/>
  <c r="Z673" i="7"/>
  <c r="AD673" i="7" s="1"/>
  <c r="Y673" i="7"/>
  <c r="X673" i="7"/>
  <c r="Z665" i="7"/>
  <c r="AD665" i="7" s="1"/>
  <c r="X665" i="7"/>
  <c r="Y665" i="7"/>
  <c r="Z657" i="7"/>
  <c r="AD657" i="7" s="1"/>
  <c r="Y657" i="7"/>
  <c r="X657" i="7"/>
  <c r="Z649" i="7"/>
  <c r="AD649" i="7" s="1"/>
  <c r="Y649" i="7"/>
  <c r="X649" i="7"/>
  <c r="Z641" i="7"/>
  <c r="AD641" i="7" s="1"/>
  <c r="Y641" i="7"/>
  <c r="X641" i="7"/>
  <c r="Z633" i="7"/>
  <c r="AD633" i="7" s="1"/>
  <c r="X633" i="7"/>
  <c r="Y633" i="7"/>
  <c r="Z625" i="7"/>
  <c r="AD625" i="7" s="1"/>
  <c r="Y625" i="7"/>
  <c r="X625" i="7"/>
  <c r="Z617" i="7"/>
  <c r="AD617" i="7" s="1"/>
  <c r="Y617" i="7"/>
  <c r="X617" i="7"/>
  <c r="Z609" i="7"/>
  <c r="AD609" i="7" s="1"/>
  <c r="Y609" i="7"/>
  <c r="X609" i="7"/>
  <c r="Z601" i="7"/>
  <c r="AD601" i="7" s="1"/>
  <c r="X601" i="7"/>
  <c r="Y601" i="7"/>
  <c r="Z593" i="7"/>
  <c r="AD593" i="7" s="1"/>
  <c r="Y593" i="7"/>
  <c r="X593" i="7"/>
  <c r="Z585" i="7"/>
  <c r="AD585" i="7" s="1"/>
  <c r="Y585" i="7"/>
  <c r="X585" i="7"/>
  <c r="Z577" i="7"/>
  <c r="AD577" i="7" s="1"/>
  <c r="Y577" i="7"/>
  <c r="X577" i="7"/>
  <c r="Z720" i="7"/>
  <c r="AD720" i="7" s="1"/>
  <c r="Y720" i="7"/>
  <c r="X720" i="7"/>
  <c r="Z712" i="7"/>
  <c r="AD712" i="7" s="1"/>
  <c r="Y712" i="7"/>
  <c r="X712" i="7"/>
  <c r="Z704" i="7"/>
  <c r="AD704" i="7" s="1"/>
  <c r="Y704" i="7"/>
  <c r="X704" i="7"/>
  <c r="Y696" i="7"/>
  <c r="Z696" i="7"/>
  <c r="AD696" i="7" s="1"/>
  <c r="X696" i="7"/>
  <c r="Z688" i="7"/>
  <c r="AD688" i="7" s="1"/>
  <c r="Y688" i="7"/>
  <c r="X688" i="7"/>
  <c r="Z680" i="7"/>
  <c r="AD680" i="7" s="1"/>
  <c r="Y680" i="7"/>
  <c r="X680" i="7"/>
  <c r="Z672" i="7"/>
  <c r="AD672" i="7" s="1"/>
  <c r="Y672" i="7"/>
  <c r="X672" i="7"/>
  <c r="Z664" i="7"/>
  <c r="AD664" i="7" s="1"/>
  <c r="Y664" i="7"/>
  <c r="X664" i="7"/>
  <c r="Z656" i="7"/>
  <c r="AD656" i="7" s="1"/>
  <c r="Y656" i="7"/>
  <c r="X656" i="7"/>
  <c r="Z648" i="7"/>
  <c r="AD648" i="7" s="1"/>
  <c r="Y648" i="7"/>
  <c r="X648" i="7"/>
  <c r="Z640" i="7"/>
  <c r="AD640" i="7" s="1"/>
  <c r="Y640" i="7"/>
  <c r="X640" i="7"/>
  <c r="Z632" i="7"/>
  <c r="AD632" i="7" s="1"/>
  <c r="Y632" i="7"/>
  <c r="X632" i="7"/>
  <c r="Z624" i="7"/>
  <c r="AD624" i="7" s="1"/>
  <c r="Y624" i="7"/>
  <c r="X624" i="7"/>
  <c r="Z616" i="7"/>
  <c r="AD616" i="7" s="1"/>
  <c r="Y616" i="7"/>
  <c r="X616" i="7"/>
  <c r="Z608" i="7"/>
  <c r="AD608" i="7" s="1"/>
  <c r="Y608" i="7"/>
  <c r="X608" i="7"/>
  <c r="Z600" i="7"/>
  <c r="AD600" i="7" s="1"/>
  <c r="Y600" i="7"/>
  <c r="X600" i="7"/>
  <c r="Z592" i="7"/>
  <c r="AD592" i="7" s="1"/>
  <c r="Y592" i="7"/>
  <c r="X592" i="7"/>
  <c r="Z584" i="7"/>
  <c r="AD584" i="7" s="1"/>
  <c r="Y584" i="7"/>
  <c r="X584" i="7"/>
  <c r="Z576" i="7"/>
  <c r="AD576" i="7" s="1"/>
  <c r="Y576" i="7"/>
  <c r="X576" i="7"/>
  <c r="Z568" i="7"/>
  <c r="AD568" i="7" s="1"/>
  <c r="Y568" i="7"/>
  <c r="X568" i="7"/>
  <c r="Z560" i="7"/>
  <c r="AD560" i="7" s="1"/>
  <c r="Y560" i="7"/>
  <c r="X560" i="7"/>
  <c r="Z552" i="7"/>
  <c r="AD552" i="7" s="1"/>
  <c r="Y552" i="7"/>
  <c r="X552" i="7"/>
  <c r="Y544" i="7"/>
  <c r="X544" i="7"/>
  <c r="Z544" i="7"/>
  <c r="AD544" i="7" s="1"/>
  <c r="Y536" i="7"/>
  <c r="Z536" i="7"/>
  <c r="AD536" i="7" s="1"/>
  <c r="X536" i="7"/>
  <c r="Z528" i="7"/>
  <c r="AD528" i="7" s="1"/>
  <c r="Y528" i="7"/>
  <c r="X528" i="7"/>
  <c r="Z520" i="7"/>
  <c r="AD520" i="7" s="1"/>
  <c r="Y520" i="7"/>
  <c r="X520" i="7"/>
  <c r="Z512" i="7"/>
  <c r="AD512" i="7" s="1"/>
  <c r="Y512" i="7"/>
  <c r="X512" i="7"/>
  <c r="Y504" i="7"/>
  <c r="Z504" i="7"/>
  <c r="AD504" i="7" s="1"/>
  <c r="X504" i="7"/>
  <c r="Z496" i="7"/>
  <c r="AD496" i="7" s="1"/>
  <c r="Y496" i="7"/>
  <c r="X496" i="7"/>
  <c r="Z488" i="7"/>
  <c r="AD488" i="7" s="1"/>
  <c r="Y488" i="7"/>
  <c r="X488" i="7"/>
  <c r="Z480" i="7"/>
  <c r="AD480" i="7" s="1"/>
  <c r="Y480" i="7"/>
  <c r="X480" i="7"/>
  <c r="Z472" i="7"/>
  <c r="AD472" i="7" s="1"/>
  <c r="Y472" i="7"/>
  <c r="X472" i="7"/>
  <c r="Z464" i="7"/>
  <c r="AD464" i="7" s="1"/>
  <c r="Y464" i="7"/>
  <c r="X464" i="7"/>
  <c r="Z456" i="7"/>
  <c r="AD456" i="7" s="1"/>
  <c r="Y456" i="7"/>
  <c r="X456" i="7"/>
  <c r="Y448" i="7"/>
  <c r="Z448" i="7"/>
  <c r="AD448" i="7" s="1"/>
  <c r="X448" i="7"/>
  <c r="Z440" i="7"/>
  <c r="AD440" i="7" s="1"/>
  <c r="Y440" i="7"/>
  <c r="X440" i="7"/>
  <c r="Z432" i="7"/>
  <c r="AD432" i="7" s="1"/>
  <c r="Y432" i="7"/>
  <c r="X432" i="7"/>
  <c r="Z424" i="7"/>
  <c r="AD424" i="7" s="1"/>
  <c r="Y424" i="7"/>
  <c r="X424" i="7"/>
  <c r="Y416" i="7"/>
  <c r="Z416" i="7"/>
  <c r="AD416" i="7" s="1"/>
  <c r="X416" i="7"/>
  <c r="Z408" i="7"/>
  <c r="AD408" i="7" s="1"/>
  <c r="Y408" i="7"/>
  <c r="X408" i="7"/>
  <c r="Y400" i="7"/>
  <c r="Z400" i="7"/>
  <c r="AD400" i="7" s="1"/>
  <c r="X400" i="7"/>
  <c r="Z392" i="7"/>
  <c r="AD392" i="7" s="1"/>
  <c r="Y392" i="7"/>
  <c r="X392" i="7"/>
  <c r="Z384" i="7"/>
  <c r="AD384" i="7" s="1"/>
  <c r="Y384" i="7"/>
  <c r="X384" i="7"/>
  <c r="Z376" i="7"/>
  <c r="AD376" i="7" s="1"/>
  <c r="Y376" i="7"/>
  <c r="X376" i="7"/>
  <c r="Z368" i="7"/>
  <c r="AD368" i="7" s="1"/>
  <c r="Y368" i="7"/>
  <c r="X368" i="7"/>
  <c r="Z360" i="7"/>
  <c r="AD360" i="7" s="1"/>
  <c r="Y360" i="7"/>
  <c r="X360" i="7"/>
  <c r="Z352" i="7"/>
  <c r="AD352" i="7" s="1"/>
  <c r="Y352" i="7"/>
  <c r="X352" i="7"/>
  <c r="Z344" i="7"/>
  <c r="AD344" i="7" s="1"/>
  <c r="Y344" i="7"/>
  <c r="X344" i="7"/>
  <c r="Z336" i="7"/>
  <c r="AD336" i="7" s="1"/>
  <c r="Y336" i="7"/>
  <c r="X336" i="7"/>
  <c r="Z328" i="7"/>
  <c r="AD328" i="7" s="1"/>
  <c r="Y328" i="7"/>
  <c r="X328" i="7"/>
  <c r="Y320" i="7"/>
  <c r="Z320" i="7"/>
  <c r="AD320" i="7" s="1"/>
  <c r="X320" i="7"/>
  <c r="Z312" i="7"/>
  <c r="AD312" i="7" s="1"/>
  <c r="Y312" i="7"/>
  <c r="X312" i="7"/>
  <c r="Z304" i="7"/>
  <c r="AD304" i="7" s="1"/>
  <c r="Y304" i="7"/>
  <c r="X304" i="7"/>
  <c r="Z296" i="7"/>
  <c r="AD296" i="7" s="1"/>
  <c r="X296" i="7"/>
  <c r="Y296" i="7"/>
  <c r="Z288" i="7"/>
  <c r="AD288" i="7" s="1"/>
  <c r="Y288" i="7"/>
  <c r="X288" i="7"/>
  <c r="Z280" i="7"/>
  <c r="AD280" i="7" s="1"/>
  <c r="Y280" i="7"/>
  <c r="X280" i="7"/>
  <c r="Y272" i="7"/>
  <c r="X272" i="7"/>
  <c r="Z272" i="7"/>
  <c r="AD272" i="7" s="1"/>
  <c r="Z264" i="7"/>
  <c r="AD264" i="7" s="1"/>
  <c r="Y264" i="7"/>
  <c r="X264" i="7"/>
  <c r="Z256" i="7"/>
  <c r="AD256" i="7" s="1"/>
  <c r="Y256" i="7"/>
  <c r="X256" i="7"/>
  <c r="Z248" i="7"/>
  <c r="AD248" i="7" s="1"/>
  <c r="Y248" i="7"/>
  <c r="X248" i="7"/>
  <c r="Z240" i="7"/>
  <c r="AD240" i="7" s="1"/>
  <c r="X240" i="7"/>
  <c r="Y240" i="7"/>
  <c r="Z719" i="7"/>
  <c r="AD719" i="7" s="1"/>
  <c r="AE719" i="7" s="1"/>
  <c r="AF719" i="7" s="1"/>
  <c r="X719" i="7"/>
  <c r="Y719" i="7"/>
  <c r="Z711" i="7"/>
  <c r="AD711" i="7" s="1"/>
  <c r="X711" i="7"/>
  <c r="Y711" i="7"/>
  <c r="Z703" i="7"/>
  <c r="AD703" i="7" s="1"/>
  <c r="AE703" i="7" s="1"/>
  <c r="AF703" i="7" s="1"/>
  <c r="Y703" i="7"/>
  <c r="X703" i="7"/>
  <c r="Z695" i="7"/>
  <c r="AD695" i="7" s="1"/>
  <c r="AE695" i="7" s="1"/>
  <c r="AF695" i="7" s="1"/>
  <c r="Y695" i="7"/>
  <c r="X695" i="7"/>
  <c r="Z687" i="7"/>
  <c r="AD687" i="7" s="1"/>
  <c r="AE687" i="7" s="1"/>
  <c r="AF687" i="7" s="1"/>
  <c r="X687" i="7"/>
  <c r="Y687" i="7"/>
  <c r="Z679" i="7"/>
  <c r="AD679" i="7" s="1"/>
  <c r="X679" i="7"/>
  <c r="Y679" i="7"/>
  <c r="Z671" i="7"/>
  <c r="AD671" i="7" s="1"/>
  <c r="Y671" i="7"/>
  <c r="X671" i="7"/>
  <c r="Z663" i="7"/>
  <c r="AD663" i="7" s="1"/>
  <c r="Y663" i="7"/>
  <c r="X663" i="7"/>
  <c r="Y655" i="7"/>
  <c r="Z655" i="7"/>
  <c r="AD655" i="7" s="1"/>
  <c r="X655" i="7"/>
  <c r="Z647" i="7"/>
  <c r="AD647" i="7" s="1"/>
  <c r="Y647" i="7"/>
  <c r="X647" i="7"/>
  <c r="Y639" i="7"/>
  <c r="Z639" i="7"/>
  <c r="AD639" i="7" s="1"/>
  <c r="X639" i="7"/>
  <c r="Z631" i="7"/>
  <c r="AD631" i="7" s="1"/>
  <c r="Y631" i="7"/>
  <c r="X631" i="7"/>
  <c r="Z623" i="7"/>
  <c r="AD623" i="7" s="1"/>
  <c r="Y623" i="7"/>
  <c r="X623" i="7"/>
  <c r="Y615" i="7"/>
  <c r="Z615" i="7"/>
  <c r="AD615" i="7" s="1"/>
  <c r="X615" i="7"/>
  <c r="Z607" i="7"/>
  <c r="AD607" i="7" s="1"/>
  <c r="Y607" i="7"/>
  <c r="X607" i="7"/>
  <c r="Z599" i="7"/>
  <c r="AD599" i="7" s="1"/>
  <c r="Y599" i="7"/>
  <c r="X599" i="7"/>
  <c r="Z591" i="7"/>
  <c r="AD591" i="7" s="1"/>
  <c r="Y591" i="7"/>
  <c r="X591" i="7"/>
  <c r="Z583" i="7"/>
  <c r="AD583" i="7" s="1"/>
  <c r="Y583" i="7"/>
  <c r="X583" i="7"/>
  <c r="Z575" i="7"/>
  <c r="AD575" i="7" s="1"/>
  <c r="Y575" i="7"/>
  <c r="X575" i="7"/>
  <c r="Z567" i="7"/>
  <c r="AD567" i="7" s="1"/>
  <c r="Y567" i="7"/>
  <c r="X567" i="7"/>
  <c r="Y559" i="7"/>
  <c r="Z559" i="7"/>
  <c r="AD559" i="7" s="1"/>
  <c r="X559" i="7"/>
  <c r="Z551" i="7"/>
  <c r="AD551" i="7" s="1"/>
  <c r="Y551" i="7"/>
  <c r="X551" i="7"/>
  <c r="Z543" i="7"/>
  <c r="AD543" i="7" s="1"/>
  <c r="Y543" i="7"/>
  <c r="X543" i="7"/>
  <c r="Z535" i="7"/>
  <c r="AD535" i="7" s="1"/>
  <c r="Y535" i="7"/>
  <c r="X535" i="7"/>
  <c r="Z527" i="7"/>
  <c r="AD527" i="7" s="1"/>
  <c r="Y527" i="7"/>
  <c r="X527" i="7"/>
  <c r="Y519" i="7"/>
  <c r="Z519" i="7"/>
  <c r="AD519" i="7" s="1"/>
  <c r="X519" i="7"/>
  <c r="Z511" i="7"/>
  <c r="AD511" i="7" s="1"/>
  <c r="Y511" i="7"/>
  <c r="X511" i="7"/>
  <c r="Z503" i="7"/>
  <c r="AD503" i="7" s="1"/>
  <c r="Y503" i="7"/>
  <c r="X503" i="7"/>
  <c r="Y495" i="7"/>
  <c r="Z495" i="7"/>
  <c r="AD495" i="7" s="1"/>
  <c r="X495" i="7"/>
  <c r="Y487" i="7"/>
  <c r="Z487" i="7"/>
  <c r="AD487" i="7" s="1"/>
  <c r="X487" i="7"/>
  <c r="Z479" i="7"/>
  <c r="AD479" i="7" s="1"/>
  <c r="Y479" i="7"/>
  <c r="X479" i="7"/>
  <c r="Z471" i="7"/>
  <c r="AD471" i="7" s="1"/>
  <c r="Y471" i="7"/>
  <c r="X471" i="7"/>
  <c r="Y463" i="7"/>
  <c r="Z463" i="7"/>
  <c r="AD463" i="7" s="1"/>
  <c r="X463" i="7"/>
  <c r="Z455" i="7"/>
  <c r="AD455" i="7" s="1"/>
  <c r="Y455" i="7"/>
  <c r="X455" i="7"/>
  <c r="Z447" i="7"/>
  <c r="AD447" i="7" s="1"/>
  <c r="Y447" i="7"/>
  <c r="X447" i="7"/>
  <c r="Z439" i="7"/>
  <c r="AD439" i="7" s="1"/>
  <c r="Y439" i="7"/>
  <c r="X439" i="7"/>
  <c r="Z431" i="7"/>
  <c r="AD431" i="7" s="1"/>
  <c r="Y431" i="7"/>
  <c r="X431" i="7"/>
  <c r="Y423" i="7"/>
  <c r="Z423" i="7"/>
  <c r="AD423" i="7" s="1"/>
  <c r="X423" i="7"/>
  <c r="Z415" i="7"/>
  <c r="AD415" i="7" s="1"/>
  <c r="Y415" i="7"/>
  <c r="X415" i="7"/>
  <c r="Z407" i="7"/>
  <c r="AD407" i="7" s="1"/>
  <c r="Y407" i="7"/>
  <c r="X407" i="7"/>
  <c r="Z399" i="7"/>
  <c r="AD399" i="7" s="1"/>
  <c r="Y399" i="7"/>
  <c r="X399" i="7"/>
  <c r="Z391" i="7"/>
  <c r="AD391" i="7" s="1"/>
  <c r="Y391" i="7"/>
  <c r="X391" i="7"/>
  <c r="Z383" i="7"/>
  <c r="AD383" i="7" s="1"/>
  <c r="Y383" i="7"/>
  <c r="X383" i="7"/>
  <c r="Z375" i="7"/>
  <c r="AD375" i="7" s="1"/>
  <c r="Y375" i="7"/>
  <c r="X375" i="7"/>
  <c r="Y367" i="7"/>
  <c r="Z367" i="7"/>
  <c r="AD367" i="7" s="1"/>
  <c r="X367" i="7"/>
  <c r="Z359" i="7"/>
  <c r="AD359" i="7" s="1"/>
  <c r="Y359" i="7"/>
  <c r="X359" i="7"/>
  <c r="Z351" i="7"/>
  <c r="AD351" i="7" s="1"/>
  <c r="Y351" i="7"/>
  <c r="X351" i="7"/>
  <c r="Z343" i="7"/>
  <c r="AD343" i="7" s="1"/>
  <c r="Y343" i="7"/>
  <c r="X343" i="7"/>
  <c r="Y335" i="7"/>
  <c r="Z335" i="7"/>
  <c r="AD335" i="7" s="1"/>
  <c r="X335" i="7"/>
  <c r="Z327" i="7"/>
  <c r="AD327" i="7" s="1"/>
  <c r="Y327" i="7"/>
  <c r="X327" i="7"/>
  <c r="Z319" i="7"/>
  <c r="AD319" i="7" s="1"/>
  <c r="Y319" i="7"/>
  <c r="X319" i="7"/>
  <c r="Z311" i="7"/>
  <c r="AD311" i="7" s="1"/>
  <c r="Y311" i="7"/>
  <c r="X311" i="7"/>
  <c r="Y303" i="7"/>
  <c r="Z303" i="7"/>
  <c r="AD303" i="7" s="1"/>
  <c r="X303" i="7"/>
  <c r="Z295" i="7"/>
  <c r="AD295" i="7" s="1"/>
  <c r="Y295" i="7"/>
  <c r="X295" i="7"/>
  <c r="Y287" i="7"/>
  <c r="Z287" i="7"/>
  <c r="AD287" i="7" s="1"/>
  <c r="X287" i="7"/>
  <c r="Z279" i="7"/>
  <c r="AD279" i="7" s="1"/>
  <c r="Y279" i="7"/>
  <c r="X279" i="7"/>
  <c r="Z271" i="7"/>
  <c r="AD271" i="7" s="1"/>
  <c r="Y271" i="7"/>
  <c r="X271" i="7"/>
  <c r="Y263" i="7"/>
  <c r="Z263" i="7"/>
  <c r="AD263" i="7" s="1"/>
  <c r="X263" i="7"/>
  <c r="Z255" i="7"/>
  <c r="AD255" i="7" s="1"/>
  <c r="Y255" i="7"/>
  <c r="X255" i="7"/>
  <c r="Z247" i="7"/>
  <c r="AD247" i="7" s="1"/>
  <c r="Y247" i="7"/>
  <c r="X247" i="7"/>
  <c r="Z239" i="7"/>
  <c r="AD239" i="7" s="1"/>
  <c r="Y239" i="7"/>
  <c r="X239" i="7"/>
  <c r="Z231" i="7"/>
  <c r="AD231" i="7" s="1"/>
  <c r="Y231" i="7"/>
  <c r="X231" i="7"/>
  <c r="Z223" i="7"/>
  <c r="AD223" i="7" s="1"/>
  <c r="Y223" i="7"/>
  <c r="X223" i="7"/>
  <c r="Z215" i="7"/>
  <c r="AD215" i="7" s="1"/>
  <c r="Y215" i="7"/>
  <c r="X215" i="7"/>
  <c r="Z207" i="7"/>
  <c r="AD207" i="7" s="1"/>
  <c r="Y207" i="7"/>
  <c r="X207" i="7"/>
  <c r="Z199" i="7"/>
  <c r="AD199" i="7" s="1"/>
  <c r="Y199" i="7"/>
  <c r="X199" i="7"/>
  <c r="Z191" i="7"/>
  <c r="AD191" i="7" s="1"/>
  <c r="Y191" i="7"/>
  <c r="X191" i="7"/>
  <c r="Z183" i="7"/>
  <c r="AD183" i="7" s="1"/>
  <c r="Y183" i="7"/>
  <c r="X183" i="7"/>
  <c r="Z175" i="7"/>
  <c r="AD175" i="7" s="1"/>
  <c r="Y175" i="7"/>
  <c r="X175" i="7"/>
  <c r="Z167" i="7"/>
  <c r="AD167" i="7" s="1"/>
  <c r="Y167" i="7"/>
  <c r="X167" i="7"/>
  <c r="Z159" i="7"/>
  <c r="AD159" i="7" s="1"/>
  <c r="Y159" i="7"/>
  <c r="X159" i="7"/>
  <c r="Z151" i="7"/>
  <c r="AD151" i="7" s="1"/>
  <c r="Y151" i="7"/>
  <c r="X151" i="7"/>
  <c r="Z143" i="7"/>
  <c r="AD143" i="7" s="1"/>
  <c r="Y143" i="7"/>
  <c r="X143" i="7"/>
  <c r="Z135" i="7"/>
  <c r="AD135" i="7" s="1"/>
  <c r="Y135" i="7"/>
  <c r="X135" i="7"/>
  <c r="Z127" i="7"/>
  <c r="AD127" i="7" s="1"/>
  <c r="Y127" i="7"/>
  <c r="X127" i="7"/>
  <c r="Z119" i="7"/>
  <c r="AD119" i="7" s="1"/>
  <c r="Y119" i="7"/>
  <c r="X119" i="7"/>
  <c r="Z111" i="7"/>
  <c r="AD111" i="7" s="1"/>
  <c r="Y111" i="7"/>
  <c r="X111" i="7"/>
  <c r="Z103" i="7"/>
  <c r="AD103" i="7" s="1"/>
  <c r="Y103" i="7"/>
  <c r="X103" i="7"/>
  <c r="Z95" i="7"/>
  <c r="AD95" i="7" s="1"/>
  <c r="Y95" i="7"/>
  <c r="X95" i="7"/>
  <c r="Z87" i="7"/>
  <c r="AD87" i="7" s="1"/>
  <c r="Y87" i="7"/>
  <c r="X87" i="7"/>
  <c r="Z79" i="7"/>
  <c r="AD79" i="7" s="1"/>
  <c r="Y79" i="7"/>
  <c r="X79" i="7"/>
  <c r="Z71" i="7"/>
  <c r="AD71" i="7" s="1"/>
  <c r="Y71" i="7"/>
  <c r="X71" i="7"/>
  <c r="Z63" i="7"/>
  <c r="AD63" i="7" s="1"/>
  <c r="Y63" i="7"/>
  <c r="X63" i="7"/>
  <c r="Z55" i="7"/>
  <c r="AD55" i="7" s="1"/>
  <c r="Y55" i="7"/>
  <c r="X55" i="7"/>
  <c r="Z47" i="7"/>
  <c r="AD47" i="7" s="1"/>
  <c r="Y47" i="7"/>
  <c r="X47" i="7"/>
  <c r="Z39" i="7"/>
  <c r="AD39" i="7" s="1"/>
  <c r="Y39" i="7"/>
  <c r="X39" i="7"/>
  <c r="Z31" i="7"/>
  <c r="AD31" i="7" s="1"/>
  <c r="Y31" i="7"/>
  <c r="X31" i="7"/>
  <c r="Z23" i="7"/>
  <c r="AD23" i="7" s="1"/>
  <c r="Y23" i="7"/>
  <c r="X23" i="7"/>
  <c r="Z15" i="7"/>
  <c r="AD15" i="7" s="1"/>
  <c r="Y15" i="7"/>
  <c r="X15" i="7"/>
  <c r="Z7" i="7"/>
  <c r="AD7" i="7" s="1"/>
  <c r="Y7" i="7"/>
  <c r="X7" i="7"/>
  <c r="Z718" i="7"/>
  <c r="AD718" i="7" s="1"/>
  <c r="X718" i="7"/>
  <c r="Y718" i="7"/>
  <c r="Z710" i="7"/>
  <c r="AD710" i="7" s="1"/>
  <c r="X710" i="7"/>
  <c r="Y710" i="7"/>
  <c r="Z702" i="7"/>
  <c r="AD702" i="7" s="1"/>
  <c r="Y702" i="7"/>
  <c r="X702" i="7"/>
  <c r="Z694" i="7"/>
  <c r="AD694" i="7" s="1"/>
  <c r="Y694" i="7"/>
  <c r="X694" i="7"/>
  <c r="Z686" i="7"/>
  <c r="AD686" i="7" s="1"/>
  <c r="X686" i="7"/>
  <c r="Y686" i="7"/>
  <c r="Z678" i="7"/>
  <c r="AD678" i="7" s="1"/>
  <c r="X678" i="7"/>
  <c r="Y678" i="7"/>
  <c r="Z670" i="7"/>
  <c r="AD670" i="7" s="1"/>
  <c r="Y670" i="7"/>
  <c r="X670" i="7"/>
  <c r="Z662" i="7"/>
  <c r="AD662" i="7" s="1"/>
  <c r="Y662" i="7"/>
  <c r="X662" i="7"/>
  <c r="Z654" i="7"/>
  <c r="AD654" i="7" s="1"/>
  <c r="X654" i="7"/>
  <c r="Y654" i="7"/>
  <c r="Z646" i="7"/>
  <c r="AD646" i="7" s="1"/>
  <c r="X646" i="7"/>
  <c r="Y646" i="7"/>
  <c r="Z638" i="7"/>
  <c r="AD638" i="7" s="1"/>
  <c r="X638" i="7"/>
  <c r="Y638" i="7"/>
  <c r="Z630" i="7"/>
  <c r="AD630" i="7" s="1"/>
  <c r="Y630" i="7"/>
  <c r="X630" i="7"/>
  <c r="Z622" i="7"/>
  <c r="AD622" i="7" s="1"/>
  <c r="X622" i="7"/>
  <c r="Y622" i="7"/>
  <c r="Z614" i="7"/>
  <c r="AD614" i="7" s="1"/>
  <c r="X614" i="7"/>
  <c r="Y614" i="7"/>
  <c r="Z606" i="7"/>
  <c r="AD606" i="7" s="1"/>
  <c r="X606" i="7"/>
  <c r="Y606" i="7"/>
  <c r="Z598" i="7"/>
  <c r="AD598" i="7" s="1"/>
  <c r="Y598" i="7"/>
  <c r="X598" i="7"/>
  <c r="Z590" i="7"/>
  <c r="AD590" i="7" s="1"/>
  <c r="X590" i="7"/>
  <c r="Y590" i="7"/>
  <c r="Z582" i="7"/>
  <c r="AD582" i="7" s="1"/>
  <c r="X582" i="7"/>
  <c r="Y582" i="7"/>
  <c r="Z574" i="7"/>
  <c r="AD574" i="7" s="1"/>
  <c r="X574" i="7"/>
  <c r="Y574" i="7"/>
  <c r="Z566" i="7"/>
  <c r="AD566" i="7" s="1"/>
  <c r="Y566" i="7"/>
  <c r="X566" i="7"/>
  <c r="Z558" i="7"/>
  <c r="AD558" i="7" s="1"/>
  <c r="Y558" i="7"/>
  <c r="X558" i="7"/>
  <c r="Z550" i="7"/>
  <c r="AD550" i="7" s="1"/>
  <c r="X550" i="7"/>
  <c r="Y550" i="7"/>
  <c r="Z542" i="7"/>
  <c r="AD542" i="7" s="1"/>
  <c r="Y542" i="7"/>
  <c r="X542" i="7"/>
  <c r="Y534" i="7"/>
  <c r="Z534" i="7"/>
  <c r="AD534" i="7" s="1"/>
  <c r="X534" i="7"/>
  <c r="Y526" i="7"/>
  <c r="Z526" i="7"/>
  <c r="AD526" i="7" s="1"/>
  <c r="X526" i="7"/>
  <c r="Z518" i="7"/>
  <c r="AD518" i="7" s="1"/>
  <c r="Y518" i="7"/>
  <c r="X518" i="7"/>
  <c r="Z510" i="7"/>
  <c r="AD510" i="7" s="1"/>
  <c r="Y510" i="7"/>
  <c r="X510" i="7"/>
  <c r="Z502" i="7"/>
  <c r="AD502" i="7" s="1"/>
  <c r="Y502" i="7"/>
  <c r="X502" i="7"/>
  <c r="Y494" i="7"/>
  <c r="Z494" i="7"/>
  <c r="AD494" i="7" s="1"/>
  <c r="X494" i="7"/>
  <c r="Z486" i="7"/>
  <c r="AD486" i="7" s="1"/>
  <c r="Y486" i="7"/>
  <c r="X486" i="7"/>
  <c r="Z478" i="7"/>
  <c r="AD478" i="7" s="1"/>
  <c r="Y478" i="7"/>
  <c r="X478" i="7"/>
  <c r="Z470" i="7"/>
  <c r="AD470" i="7" s="1"/>
  <c r="Y470" i="7"/>
  <c r="X470" i="7"/>
  <c r="Z462" i="7"/>
  <c r="AD462" i="7" s="1"/>
  <c r="Y462" i="7"/>
  <c r="X462" i="7"/>
  <c r="Z454" i="7"/>
  <c r="AD454" i="7" s="1"/>
  <c r="Y454" i="7"/>
  <c r="X454" i="7"/>
  <c r="Z446" i="7"/>
  <c r="AD446" i="7" s="1"/>
  <c r="Y446" i="7"/>
  <c r="X446" i="7"/>
  <c r="Y438" i="7"/>
  <c r="Z438" i="7"/>
  <c r="AD438" i="7" s="1"/>
  <c r="X438" i="7"/>
  <c r="Z430" i="7"/>
  <c r="AD430" i="7" s="1"/>
  <c r="Y430" i="7"/>
  <c r="X430" i="7"/>
  <c r="Z422" i="7"/>
  <c r="AD422" i="7" s="1"/>
  <c r="Y422" i="7"/>
  <c r="X422" i="7"/>
  <c r="Z414" i="7"/>
  <c r="AD414" i="7" s="1"/>
  <c r="Y414" i="7"/>
  <c r="X414" i="7"/>
  <c r="Y406" i="7"/>
  <c r="Z406" i="7"/>
  <c r="AD406" i="7" s="1"/>
  <c r="X406" i="7"/>
  <c r="Z398" i="7"/>
  <c r="AD398" i="7" s="1"/>
  <c r="Y398" i="7"/>
  <c r="X398" i="7"/>
  <c r="Z390" i="7"/>
  <c r="AD390" i="7" s="1"/>
  <c r="Y390" i="7"/>
  <c r="X390" i="7"/>
  <c r="Z382" i="7"/>
  <c r="AD382" i="7" s="1"/>
  <c r="Y382" i="7"/>
  <c r="X382" i="7"/>
  <c r="Z374" i="7"/>
  <c r="AD374" i="7" s="1"/>
  <c r="Y374" i="7"/>
  <c r="X374" i="7"/>
  <c r="Z366" i="7"/>
  <c r="AD366" i="7" s="1"/>
  <c r="Y366" i="7"/>
  <c r="X366" i="7"/>
  <c r="Y358" i="7"/>
  <c r="Z358" i="7"/>
  <c r="AD358" i="7" s="1"/>
  <c r="X358" i="7"/>
  <c r="Z350" i="7"/>
  <c r="AD350" i="7" s="1"/>
  <c r="Y350" i="7"/>
  <c r="X350" i="7"/>
  <c r="Z342" i="7"/>
  <c r="AD342" i="7" s="1"/>
  <c r="Y342" i="7"/>
  <c r="X342" i="7"/>
  <c r="Z334" i="7"/>
  <c r="AD334" i="7" s="1"/>
  <c r="Y334" i="7"/>
  <c r="X334" i="7"/>
  <c r="Z326" i="7"/>
  <c r="AD326" i="7" s="1"/>
  <c r="Y326" i="7"/>
  <c r="X326" i="7"/>
  <c r="Z318" i="7"/>
  <c r="AD318" i="7" s="1"/>
  <c r="Y318" i="7"/>
  <c r="X318" i="7"/>
  <c r="Y310" i="7"/>
  <c r="Z310" i="7"/>
  <c r="AD310" i="7" s="1"/>
  <c r="X310" i="7"/>
  <c r="Z302" i="7"/>
  <c r="AD302" i="7" s="1"/>
  <c r="Y302" i="7"/>
  <c r="X302" i="7"/>
  <c r="Z294" i="7"/>
  <c r="AD294" i="7" s="1"/>
  <c r="Y294" i="7"/>
  <c r="X294" i="7"/>
  <c r="Z286" i="7"/>
  <c r="AD286" i="7" s="1"/>
  <c r="Y286" i="7"/>
  <c r="X286" i="7"/>
  <c r="Y278" i="7"/>
  <c r="Z278" i="7"/>
  <c r="AD278" i="7" s="1"/>
  <c r="X278" i="7"/>
  <c r="Z270" i="7"/>
  <c r="AD270" i="7" s="1"/>
  <c r="Y270" i="7"/>
  <c r="X270" i="7"/>
  <c r="Z262" i="7"/>
  <c r="AD262" i="7" s="1"/>
  <c r="Y262" i="7"/>
  <c r="X262" i="7"/>
  <c r="Z254" i="7"/>
  <c r="AD254" i="7" s="1"/>
  <c r="Y254" i="7"/>
  <c r="X254" i="7"/>
  <c r="Y246" i="7"/>
  <c r="Z246" i="7"/>
  <c r="AD246" i="7" s="1"/>
  <c r="X246" i="7"/>
  <c r="Z238" i="7"/>
  <c r="AD238" i="7" s="1"/>
  <c r="Y238" i="7"/>
  <c r="X238" i="7"/>
  <c r="Z230" i="7"/>
  <c r="AD230" i="7" s="1"/>
  <c r="Y230" i="7"/>
  <c r="X230" i="7"/>
  <c r="Z222" i="7"/>
  <c r="AD222" i="7" s="1"/>
  <c r="Y222" i="7"/>
  <c r="X222" i="7"/>
  <c r="Z214" i="7"/>
  <c r="AD214" i="7" s="1"/>
  <c r="Y214" i="7"/>
  <c r="X214" i="7"/>
  <c r="Z206" i="7"/>
  <c r="AD206" i="7" s="1"/>
  <c r="Y206" i="7"/>
  <c r="X206" i="7"/>
  <c r="Y198" i="7"/>
  <c r="Z198" i="7"/>
  <c r="AD198" i="7" s="1"/>
  <c r="X198" i="7"/>
  <c r="Z190" i="7"/>
  <c r="AD190" i="7" s="1"/>
  <c r="Y190" i="7"/>
  <c r="X190" i="7"/>
  <c r="Z182" i="7"/>
  <c r="AD182" i="7" s="1"/>
  <c r="Y182" i="7"/>
  <c r="X182" i="7"/>
  <c r="Y174" i="7"/>
  <c r="Z174" i="7"/>
  <c r="AD174" i="7" s="1"/>
  <c r="X174" i="7"/>
  <c r="Z166" i="7"/>
  <c r="AD166" i="7" s="1"/>
  <c r="Y166" i="7"/>
  <c r="X166" i="7"/>
  <c r="Z158" i="7"/>
  <c r="AD158" i="7" s="1"/>
  <c r="Y158" i="7"/>
  <c r="X158" i="7"/>
  <c r="Y150" i="7"/>
  <c r="Z150" i="7"/>
  <c r="AD150" i="7" s="1"/>
  <c r="X150" i="7"/>
  <c r="Z142" i="7"/>
  <c r="AD142" i="7" s="1"/>
  <c r="Y142" i="7"/>
  <c r="X142" i="7"/>
  <c r="Z134" i="7"/>
  <c r="AD134" i="7" s="1"/>
  <c r="Y134" i="7"/>
  <c r="X134" i="7"/>
  <c r="Z126" i="7"/>
  <c r="AD126" i="7" s="1"/>
  <c r="Y126" i="7"/>
  <c r="X126" i="7"/>
  <c r="Z118" i="7"/>
  <c r="AD118" i="7" s="1"/>
  <c r="Y118" i="7"/>
  <c r="X118" i="7"/>
  <c r="Z110" i="7"/>
  <c r="AD110" i="7" s="1"/>
  <c r="Y110" i="7"/>
  <c r="X110" i="7"/>
  <c r="Z102" i="7"/>
  <c r="AD102" i="7" s="1"/>
  <c r="Y102" i="7"/>
  <c r="X102" i="7"/>
  <c r="Z94" i="7"/>
  <c r="AD94" i="7" s="1"/>
  <c r="Y94" i="7"/>
  <c r="X94" i="7"/>
  <c r="Y86" i="7"/>
  <c r="Z86" i="7"/>
  <c r="AD86" i="7" s="1"/>
  <c r="X86" i="7"/>
  <c r="Y78" i="7"/>
  <c r="Z78" i="7"/>
  <c r="AD78" i="7" s="1"/>
  <c r="X78" i="7"/>
  <c r="Z70" i="7"/>
  <c r="AD70" i="7" s="1"/>
  <c r="Y70" i="7"/>
  <c r="X70" i="7"/>
  <c r="Z62" i="7"/>
  <c r="AD62" i="7" s="1"/>
  <c r="Y62" i="7"/>
  <c r="X62" i="7"/>
  <c r="Z54" i="7"/>
  <c r="AD54" i="7" s="1"/>
  <c r="Y54" i="7"/>
  <c r="X54" i="7"/>
  <c r="Y46" i="7"/>
  <c r="Z46" i="7"/>
  <c r="AD46" i="7" s="1"/>
  <c r="X46" i="7"/>
  <c r="Z38" i="7"/>
  <c r="AD38" i="7" s="1"/>
  <c r="Y38" i="7"/>
  <c r="X38" i="7"/>
  <c r="Z30" i="7"/>
  <c r="AD30" i="7" s="1"/>
  <c r="Y30" i="7"/>
  <c r="X30" i="7"/>
  <c r="Z22" i="7"/>
  <c r="AD22" i="7" s="1"/>
  <c r="Y22" i="7"/>
  <c r="X22" i="7"/>
  <c r="Y14" i="7"/>
  <c r="Z14" i="7"/>
  <c r="AD14" i="7" s="1"/>
  <c r="X14" i="7"/>
  <c r="Z6" i="7"/>
  <c r="AD6" i="7" s="1"/>
  <c r="Y6" i="7"/>
  <c r="X6" i="7"/>
  <c r="Z561" i="7"/>
  <c r="AD561" i="7" s="1"/>
  <c r="Y561" i="7"/>
  <c r="Z553" i="7"/>
  <c r="AD553" i="7" s="1"/>
  <c r="Y553" i="7"/>
  <c r="Z545" i="7"/>
  <c r="AD545" i="7" s="1"/>
  <c r="Y545" i="7"/>
  <c r="Z537" i="7"/>
  <c r="AD537" i="7" s="1"/>
  <c r="Y537" i="7"/>
  <c r="Z529" i="7"/>
  <c r="AD529" i="7" s="1"/>
  <c r="Y529" i="7"/>
  <c r="Z521" i="7"/>
  <c r="AD521" i="7" s="1"/>
  <c r="Y521" i="7"/>
  <c r="Z513" i="7"/>
  <c r="AD513" i="7" s="1"/>
  <c r="Y513" i="7"/>
  <c r="Z505" i="7"/>
  <c r="AD505" i="7" s="1"/>
  <c r="Y505" i="7"/>
  <c r="Z497" i="7"/>
  <c r="AD497" i="7" s="1"/>
  <c r="Y497" i="7"/>
  <c r="Z489" i="7"/>
  <c r="AD489" i="7" s="1"/>
  <c r="Y489" i="7"/>
  <c r="Z481" i="7"/>
  <c r="AD481" i="7" s="1"/>
  <c r="Y481" i="7"/>
  <c r="Y473" i="7"/>
  <c r="Z473" i="7"/>
  <c r="AD473" i="7" s="1"/>
  <c r="Z465" i="7"/>
  <c r="AD465" i="7" s="1"/>
  <c r="Y465" i="7"/>
  <c r="Z457" i="7"/>
  <c r="AD457" i="7" s="1"/>
  <c r="Y457" i="7"/>
  <c r="Z449" i="7"/>
  <c r="AD449" i="7" s="1"/>
  <c r="Y449" i="7"/>
  <c r="Z441" i="7"/>
  <c r="AD441" i="7" s="1"/>
  <c r="Y441" i="7"/>
  <c r="Z433" i="7"/>
  <c r="AD433" i="7" s="1"/>
  <c r="Y433" i="7"/>
  <c r="Z425" i="7"/>
  <c r="AD425" i="7" s="1"/>
  <c r="Y425" i="7"/>
  <c r="Z417" i="7"/>
  <c r="AD417" i="7" s="1"/>
  <c r="Y417" i="7"/>
  <c r="Z409" i="7"/>
  <c r="AD409" i="7" s="1"/>
  <c r="Y409" i="7"/>
  <c r="Z401" i="7"/>
  <c r="AD401" i="7" s="1"/>
  <c r="Y401" i="7"/>
  <c r="Z393" i="7"/>
  <c r="AD393" i="7" s="1"/>
  <c r="Y393" i="7"/>
  <c r="Z385" i="7"/>
  <c r="AD385" i="7" s="1"/>
  <c r="Y385" i="7"/>
  <c r="Z377" i="7"/>
  <c r="AD377" i="7" s="1"/>
  <c r="Y377" i="7"/>
  <c r="Z369" i="7"/>
  <c r="AD369" i="7" s="1"/>
  <c r="Y369" i="7"/>
  <c r="Z361" i="7"/>
  <c r="AD361" i="7" s="1"/>
  <c r="Y361" i="7"/>
  <c r="Z353" i="7"/>
  <c r="AD353" i="7" s="1"/>
  <c r="Y353" i="7"/>
  <c r="Z345" i="7"/>
  <c r="AD345" i="7" s="1"/>
  <c r="Y345" i="7"/>
  <c r="Z337" i="7"/>
  <c r="AD337" i="7" s="1"/>
  <c r="Y337" i="7"/>
  <c r="Z329" i="7"/>
  <c r="AD329" i="7" s="1"/>
  <c r="Y329" i="7"/>
  <c r="Z321" i="7"/>
  <c r="AD321" i="7" s="1"/>
  <c r="Y321" i="7"/>
  <c r="Z313" i="7"/>
  <c r="AD313" i="7" s="1"/>
  <c r="Y313" i="7"/>
  <c r="Z305" i="7"/>
  <c r="AD305" i="7" s="1"/>
  <c r="Y305" i="7"/>
  <c r="Z297" i="7"/>
  <c r="AD297" i="7" s="1"/>
  <c r="Y297" i="7"/>
  <c r="Z289" i="7"/>
  <c r="AD289" i="7" s="1"/>
  <c r="Y289" i="7"/>
  <c r="Z281" i="7"/>
  <c r="AD281" i="7" s="1"/>
  <c r="Y281" i="7"/>
  <c r="Z273" i="7"/>
  <c r="AD273" i="7" s="1"/>
  <c r="Y273" i="7"/>
  <c r="Z265" i="7"/>
  <c r="AD265" i="7" s="1"/>
  <c r="Y265" i="7"/>
  <c r="Z257" i="7"/>
  <c r="AD257" i="7" s="1"/>
  <c r="Y257" i="7"/>
  <c r="Z249" i="7"/>
  <c r="AD249" i="7" s="1"/>
  <c r="Y249" i="7"/>
  <c r="Z241" i="7"/>
  <c r="AD241" i="7" s="1"/>
  <c r="Y241" i="7"/>
  <c r="Z233" i="7"/>
  <c r="AD233" i="7" s="1"/>
  <c r="Y233" i="7"/>
  <c r="Z225" i="7"/>
  <c r="AD225" i="7" s="1"/>
  <c r="Y225" i="7"/>
  <c r="Z217" i="7"/>
  <c r="AD217" i="7" s="1"/>
  <c r="Y217" i="7"/>
  <c r="Z209" i="7"/>
  <c r="AD209" i="7" s="1"/>
  <c r="Y209" i="7"/>
  <c r="Z201" i="7"/>
  <c r="AD201" i="7" s="1"/>
  <c r="Y201" i="7"/>
  <c r="Z193" i="7"/>
  <c r="AD193" i="7" s="1"/>
  <c r="Y193" i="7"/>
  <c r="Z185" i="7"/>
  <c r="AD185" i="7" s="1"/>
  <c r="Y185" i="7"/>
  <c r="Z177" i="7"/>
  <c r="AD177" i="7" s="1"/>
  <c r="Y177" i="7"/>
  <c r="Z169" i="7"/>
  <c r="AD169" i="7" s="1"/>
  <c r="Y169" i="7"/>
  <c r="Z161" i="7"/>
  <c r="AD161" i="7" s="1"/>
  <c r="Y161" i="7"/>
  <c r="Z153" i="7"/>
  <c r="AD153" i="7" s="1"/>
  <c r="Y153" i="7"/>
  <c r="Z145" i="7"/>
  <c r="AD145" i="7" s="1"/>
  <c r="Y145" i="7"/>
  <c r="Z137" i="7"/>
  <c r="AD137" i="7" s="1"/>
  <c r="Y137" i="7"/>
  <c r="Z129" i="7"/>
  <c r="AD129" i="7" s="1"/>
  <c r="Y129" i="7"/>
  <c r="Z121" i="7"/>
  <c r="AD121" i="7" s="1"/>
  <c r="Y121" i="7"/>
  <c r="Z113" i="7"/>
  <c r="AD113" i="7" s="1"/>
  <c r="Y113" i="7"/>
  <c r="Z105" i="7"/>
  <c r="AD105" i="7" s="1"/>
  <c r="Y105" i="7"/>
  <c r="Z97" i="7"/>
  <c r="AD97" i="7" s="1"/>
  <c r="Y97" i="7"/>
  <c r="Z89" i="7"/>
  <c r="AD89" i="7" s="1"/>
  <c r="Y89" i="7"/>
  <c r="Z81" i="7"/>
  <c r="AD81" i="7" s="1"/>
  <c r="Y81" i="7"/>
  <c r="Z73" i="7"/>
  <c r="AD73" i="7" s="1"/>
  <c r="Y73" i="7"/>
  <c r="Z65" i="7"/>
  <c r="AD65" i="7" s="1"/>
  <c r="Y65" i="7"/>
  <c r="Z57" i="7"/>
  <c r="AD57" i="7" s="1"/>
  <c r="Y57" i="7"/>
  <c r="Z49" i="7"/>
  <c r="AD49" i="7" s="1"/>
  <c r="Y49" i="7"/>
  <c r="Z41" i="7"/>
  <c r="AD41" i="7" s="1"/>
  <c r="Y41" i="7"/>
  <c r="Z33" i="7"/>
  <c r="AD33" i="7" s="1"/>
  <c r="Y33" i="7"/>
  <c r="Z25" i="7"/>
  <c r="AD25" i="7" s="1"/>
  <c r="Y25" i="7"/>
  <c r="Z17" i="7"/>
  <c r="AD17" i="7" s="1"/>
  <c r="Y17" i="7"/>
  <c r="Z9" i="7"/>
  <c r="AD9" i="7" s="1"/>
  <c r="Y9" i="7"/>
  <c r="Z232" i="7"/>
  <c r="AD232" i="7" s="1"/>
  <c r="Y232" i="7"/>
  <c r="X232" i="7"/>
  <c r="X224" i="7"/>
  <c r="Y224" i="7"/>
  <c r="Z224" i="7"/>
  <c r="AD224" i="7" s="1"/>
  <c r="Z216" i="7"/>
  <c r="AD216" i="7" s="1"/>
  <c r="Y216" i="7"/>
  <c r="X216" i="7"/>
  <c r="Z208" i="7"/>
  <c r="AD208" i="7" s="1"/>
  <c r="Y208" i="7"/>
  <c r="X208" i="7"/>
  <c r="Z200" i="7"/>
  <c r="AD200" i="7" s="1"/>
  <c r="Y200" i="7"/>
  <c r="X200" i="7"/>
  <c r="Z192" i="7"/>
  <c r="AD192" i="7" s="1"/>
  <c r="Y192" i="7"/>
  <c r="X192" i="7"/>
  <c r="Z184" i="7"/>
  <c r="AD184" i="7" s="1"/>
  <c r="X184" i="7"/>
  <c r="Y184" i="7"/>
  <c r="Z176" i="7"/>
  <c r="AD176" i="7" s="1"/>
  <c r="Y176" i="7"/>
  <c r="X176" i="7"/>
  <c r="Z168" i="7"/>
  <c r="AD168" i="7" s="1"/>
  <c r="X168" i="7"/>
  <c r="Y168" i="7"/>
  <c r="Z160" i="7"/>
  <c r="AD160" i="7" s="1"/>
  <c r="Y160" i="7"/>
  <c r="X160" i="7"/>
  <c r="Z152" i="7"/>
  <c r="AD152" i="7" s="1"/>
  <c r="Y152" i="7"/>
  <c r="X152" i="7"/>
  <c r="Z144" i="7"/>
  <c r="AD144" i="7" s="1"/>
  <c r="Y144" i="7"/>
  <c r="X144" i="7"/>
  <c r="Z136" i="7"/>
  <c r="AD136" i="7" s="1"/>
  <c r="Y136" i="7"/>
  <c r="X136" i="7"/>
  <c r="Z128" i="7"/>
  <c r="AD128" i="7" s="1"/>
  <c r="Y128" i="7"/>
  <c r="X128" i="7"/>
  <c r="Z120" i="7"/>
  <c r="AD120" i="7" s="1"/>
  <c r="Y120" i="7"/>
  <c r="X120" i="7"/>
  <c r="Z112" i="7"/>
  <c r="AD112" i="7" s="1"/>
  <c r="X112" i="7"/>
  <c r="Y112" i="7"/>
  <c r="Z104" i="7"/>
  <c r="AD104" i="7" s="1"/>
  <c r="Y104" i="7"/>
  <c r="X104" i="7"/>
  <c r="Z96" i="7"/>
  <c r="AD96" i="7" s="1"/>
  <c r="X96" i="7"/>
  <c r="Y96" i="7"/>
  <c r="Z88" i="7"/>
  <c r="AD88" i="7" s="1"/>
  <c r="Y88" i="7"/>
  <c r="X88" i="7"/>
  <c r="Z80" i="7"/>
  <c r="AD80" i="7" s="1"/>
  <c r="Y80" i="7"/>
  <c r="X80" i="7"/>
  <c r="Y72" i="7"/>
  <c r="Z72" i="7"/>
  <c r="AD72" i="7" s="1"/>
  <c r="X72" i="7"/>
  <c r="Z64" i="7"/>
  <c r="AD64" i="7" s="1"/>
  <c r="Y64" i="7"/>
  <c r="X64" i="7"/>
  <c r="Z56" i="7"/>
  <c r="AD56" i="7" s="1"/>
  <c r="Y56" i="7"/>
  <c r="X56" i="7"/>
  <c r="Z48" i="7"/>
  <c r="AD48" i="7" s="1"/>
  <c r="X48" i="7"/>
  <c r="Y48" i="7"/>
  <c r="Z40" i="7"/>
  <c r="AD40" i="7" s="1"/>
  <c r="Y40" i="7"/>
  <c r="X40" i="7"/>
  <c r="Z32" i="7"/>
  <c r="AD32" i="7" s="1"/>
  <c r="X32" i="7"/>
  <c r="Y32" i="7"/>
  <c r="Z24" i="7"/>
  <c r="AD24" i="7" s="1"/>
  <c r="Y24" i="7"/>
  <c r="X24" i="7"/>
  <c r="Z16" i="7"/>
  <c r="AD16" i="7" s="1"/>
  <c r="Y16" i="7"/>
  <c r="X16" i="7"/>
  <c r="Z8" i="7"/>
  <c r="AD8" i="7" s="1"/>
  <c r="Y8" i="7"/>
  <c r="X8" i="7"/>
  <c r="X545" i="7"/>
  <c r="X513" i="7"/>
  <c r="X481" i="7"/>
  <c r="X449" i="7"/>
  <c r="X417" i="7"/>
  <c r="X385" i="7"/>
  <c r="X353" i="7"/>
  <c r="X321" i="7"/>
  <c r="X289" i="7"/>
  <c r="X257" i="7"/>
  <c r="X225" i="7"/>
  <c r="X193" i="7"/>
  <c r="X161" i="7"/>
  <c r="X129" i="7"/>
  <c r="X97" i="7"/>
  <c r="X65" i="7"/>
  <c r="X33" i="7"/>
  <c r="X553" i="7"/>
  <c r="X521" i="7"/>
  <c r="X489" i="7"/>
  <c r="X457" i="7"/>
  <c r="X425" i="7"/>
  <c r="X393" i="7"/>
  <c r="X361" i="7"/>
  <c r="X329" i="7"/>
  <c r="X297" i="7"/>
  <c r="X265" i="7"/>
  <c r="X233" i="7"/>
  <c r="X201" i="7"/>
  <c r="X169" i="7"/>
  <c r="X137" i="7"/>
  <c r="X105" i="7"/>
  <c r="X73" i="7"/>
  <c r="X41" i="7"/>
  <c r="X9" i="7"/>
  <c r="Y569" i="7"/>
  <c r="X561" i="7"/>
  <c r="X529" i="7"/>
  <c r="X497" i="7"/>
  <c r="X465" i="7"/>
  <c r="X433" i="7"/>
  <c r="X401" i="7"/>
  <c r="X369" i="7"/>
  <c r="X337" i="7"/>
  <c r="X305" i="7"/>
  <c r="X273" i="7"/>
  <c r="X241" i="7"/>
  <c r="X209" i="7"/>
  <c r="X177" i="7"/>
  <c r="X145" i="7"/>
  <c r="X113" i="7"/>
  <c r="X81" i="7"/>
  <c r="X49" i="7"/>
  <c r="X17" i="7"/>
  <c r="Z83" i="7"/>
  <c r="AD83" i="7" s="1"/>
  <c r="Y83" i="7"/>
  <c r="Z75" i="7"/>
  <c r="AD75" i="7" s="1"/>
  <c r="Y75" i="7"/>
  <c r="Z67" i="7"/>
  <c r="AD67" i="7" s="1"/>
  <c r="Y67" i="7"/>
  <c r="Z59" i="7"/>
  <c r="AD59" i="7" s="1"/>
  <c r="Y59" i="7"/>
  <c r="Z51" i="7"/>
  <c r="AD51" i="7" s="1"/>
  <c r="Y51" i="7"/>
  <c r="Z43" i="7"/>
  <c r="AD43" i="7" s="1"/>
  <c r="Y43" i="7"/>
  <c r="Z35" i="7"/>
  <c r="AD35" i="7" s="1"/>
  <c r="Y35" i="7"/>
  <c r="Z27" i="7"/>
  <c r="AD27" i="7" s="1"/>
  <c r="Y27" i="7"/>
  <c r="Z19" i="7"/>
  <c r="AD19" i="7" s="1"/>
  <c r="Y19" i="7"/>
  <c r="Z11" i="7"/>
  <c r="AD11" i="7" s="1"/>
  <c r="Y11" i="7"/>
  <c r="Z3" i="7"/>
  <c r="AD3" i="7" s="1"/>
  <c r="Y3" i="7"/>
  <c r="X59" i="7"/>
  <c r="X27" i="7"/>
  <c r="X569" i="7"/>
  <c r="X537" i="7"/>
  <c r="X505" i="7"/>
  <c r="X473" i="7"/>
  <c r="X441" i="7"/>
  <c r="X409" i="7"/>
  <c r="X377" i="7"/>
  <c r="X345" i="7"/>
  <c r="X313" i="7"/>
  <c r="X281" i="7"/>
  <c r="X249" i="7"/>
  <c r="X217" i="7"/>
  <c r="X185" i="7"/>
  <c r="X153" i="7"/>
  <c r="X121" i="7"/>
  <c r="X89" i="7"/>
  <c r="X57" i="7"/>
  <c r="X25" i="7"/>
  <c r="K16" i="8"/>
  <c r="L16" i="8"/>
  <c r="AE653" i="7" l="1"/>
  <c r="AF653" i="7" s="1"/>
  <c r="AE109" i="7"/>
  <c r="AF109" i="7" s="1"/>
  <c r="AE509" i="7"/>
  <c r="AF509" i="7" s="1"/>
  <c r="AE348" i="7"/>
  <c r="AF348" i="7" s="1"/>
  <c r="AE501" i="7"/>
  <c r="AF501" i="7" s="1"/>
  <c r="AE627" i="7"/>
  <c r="AF627" i="7" s="1"/>
  <c r="AE4" i="7"/>
  <c r="AF4" i="7" s="1"/>
  <c r="AE3" i="7"/>
  <c r="AF3" i="7" s="1"/>
  <c r="AE720" i="7"/>
  <c r="AF720" i="7" s="1"/>
  <c r="AE27" i="7"/>
  <c r="AF27" i="7" s="1"/>
  <c r="AE83" i="7"/>
  <c r="AF83" i="7" s="1"/>
  <c r="AE139" i="7"/>
  <c r="AF139" i="7" s="1"/>
  <c r="AE146" i="7"/>
  <c r="AF146" i="7" s="1"/>
  <c r="AE362" i="7"/>
  <c r="AF362" i="7" s="1"/>
  <c r="AE645" i="7"/>
  <c r="AF645" i="7" s="1"/>
  <c r="AE32" i="7"/>
  <c r="AF32" i="7" s="1"/>
  <c r="AE6" i="7"/>
  <c r="AF6" i="7" s="1"/>
  <c r="AE55" i="7"/>
  <c r="AF55" i="7" s="1"/>
  <c r="AE119" i="7"/>
  <c r="AF119" i="7" s="1"/>
  <c r="AE601" i="7"/>
  <c r="AF601" i="7" s="1"/>
  <c r="AE568" i="7"/>
  <c r="AF568" i="7" s="1"/>
  <c r="AE371" i="7"/>
  <c r="AF371" i="7" s="1"/>
  <c r="AE517" i="7"/>
  <c r="AF517" i="7" s="1"/>
  <c r="AE638" i="7"/>
  <c r="AF638" i="7" s="1"/>
  <c r="AE64" i="7"/>
  <c r="AF64" i="7" s="1"/>
  <c r="AE36" i="7"/>
  <c r="AF36" i="7" s="1"/>
  <c r="AE308" i="7"/>
  <c r="AF308" i="7" s="1"/>
  <c r="AE554" i="7"/>
  <c r="AF554" i="7" s="1"/>
  <c r="AE697" i="7"/>
  <c r="AF697" i="7" s="1"/>
  <c r="AE74" i="7"/>
  <c r="AF74" i="7" s="1"/>
  <c r="AE332" i="7"/>
  <c r="AF332" i="7" s="1"/>
  <c r="AE523" i="7"/>
  <c r="AF523" i="7" s="1"/>
  <c r="AE643" i="7"/>
  <c r="AF643" i="7" s="1"/>
  <c r="AE24" i="7"/>
  <c r="AF24" i="7" s="1"/>
  <c r="AE12" i="7"/>
  <c r="AF12" i="7" s="1"/>
  <c r="AE268" i="7"/>
  <c r="AF268" i="7" s="1"/>
  <c r="AE443" i="7"/>
  <c r="AF443" i="7" s="1"/>
  <c r="AE572" i="7"/>
  <c r="AF572" i="7" s="1"/>
  <c r="AE683" i="7"/>
  <c r="AF683" i="7" s="1"/>
  <c r="AE5" i="7"/>
  <c r="AF5" i="7" s="1"/>
  <c r="AE61" i="7"/>
  <c r="AF61" i="7" s="1"/>
  <c r="AE437" i="7"/>
  <c r="AF437" i="7" s="1"/>
  <c r="AE185" i="7"/>
  <c r="AF185" i="7" s="1"/>
  <c r="AE401" i="7"/>
  <c r="AF401" i="7" s="1"/>
  <c r="AE609" i="7"/>
  <c r="AF609" i="7" s="1"/>
  <c r="AE486" i="7"/>
  <c r="AF486" i="7" s="1"/>
  <c r="AE84" i="7"/>
  <c r="AF84" i="7" s="1"/>
  <c r="AE322" i="7"/>
  <c r="AF322" i="7" s="1"/>
  <c r="AE514" i="7"/>
  <c r="AF514" i="7" s="1"/>
  <c r="AE646" i="7"/>
  <c r="AF646" i="7" s="1"/>
  <c r="AE34" i="7"/>
  <c r="AF34" i="7" s="1"/>
  <c r="AE634" i="7"/>
  <c r="AF634" i="7" s="1"/>
  <c r="AE607" i="7"/>
  <c r="AF607" i="7" s="1"/>
  <c r="AE169" i="7"/>
  <c r="AF169" i="7" s="1"/>
  <c r="AE408" i="7"/>
  <c r="AF408" i="7" s="1"/>
  <c r="AE472" i="7"/>
  <c r="AF472" i="7" s="1"/>
  <c r="AE520" i="7"/>
  <c r="AF520" i="7" s="1"/>
  <c r="AE394" i="7"/>
  <c r="AF394" i="7" s="1"/>
  <c r="AE533" i="7"/>
  <c r="AF533" i="7" s="1"/>
  <c r="AE652" i="7"/>
  <c r="AF652" i="7" s="1"/>
  <c r="AE128" i="7"/>
  <c r="AF128" i="7" s="1"/>
  <c r="AE68" i="7"/>
  <c r="AF68" i="7" s="1"/>
  <c r="AE331" i="7"/>
  <c r="AF331" i="7" s="1"/>
  <c r="AE586" i="7"/>
  <c r="AF586" i="7" s="1"/>
  <c r="AE705" i="7"/>
  <c r="AF705" i="7" s="1"/>
  <c r="AE506" i="7"/>
  <c r="AF506" i="7" s="1"/>
  <c r="AE43" i="7"/>
  <c r="AF43" i="7" s="1"/>
  <c r="AE147" i="7"/>
  <c r="AF147" i="7" s="1"/>
  <c r="AE243" i="7"/>
  <c r="AF243" i="7" s="1"/>
  <c r="AE381" i="7"/>
  <c r="AF381" i="7" s="1"/>
  <c r="AE22" i="7"/>
  <c r="AF22" i="7" s="1"/>
  <c r="AE430" i="7"/>
  <c r="AF430" i="7" s="1"/>
  <c r="AE494" i="7"/>
  <c r="AF494" i="7" s="1"/>
  <c r="AE49" i="7"/>
  <c r="AF49" i="7" s="1"/>
  <c r="AE553" i="7"/>
  <c r="AF553" i="7" s="1"/>
  <c r="AE7" i="7"/>
  <c r="AF7" i="7" s="1"/>
  <c r="AE135" i="7"/>
  <c r="AF135" i="7" s="1"/>
  <c r="AE671" i="7"/>
  <c r="AF671" i="7" s="1"/>
  <c r="AE201" i="7"/>
  <c r="AF201" i="7" s="1"/>
  <c r="AE8" i="7"/>
  <c r="AF8" i="7" s="1"/>
  <c r="AE232" i="7"/>
  <c r="AF232" i="7" s="1"/>
  <c r="AE344" i="7"/>
  <c r="AF344" i="7" s="1"/>
  <c r="AE137" i="7"/>
  <c r="AF137" i="7" s="1"/>
  <c r="AE412" i="7"/>
  <c r="AF412" i="7" s="1"/>
  <c r="AE549" i="7"/>
  <c r="AF549" i="7" s="1"/>
  <c r="AE677" i="7"/>
  <c r="AF677" i="7" s="1"/>
  <c r="AE192" i="7"/>
  <c r="AF192" i="7" s="1"/>
  <c r="AE100" i="7"/>
  <c r="AF100" i="7" s="1"/>
  <c r="AE372" i="7"/>
  <c r="AF372" i="7" s="1"/>
  <c r="AE614" i="7"/>
  <c r="AF614" i="7" s="1"/>
  <c r="AE713" i="7"/>
  <c r="AF713" i="7" s="1"/>
  <c r="AE51" i="7"/>
  <c r="AF51" i="7" s="1"/>
  <c r="AE251" i="7"/>
  <c r="AF251" i="7" s="1"/>
  <c r="AE197" i="7"/>
  <c r="AF197" i="7" s="1"/>
  <c r="AE325" i="7"/>
  <c r="AF325" i="7" s="1"/>
  <c r="AE681" i="7"/>
  <c r="AF681" i="7" s="1"/>
  <c r="AE222" i="7"/>
  <c r="AF222" i="7" s="1"/>
  <c r="AE262" i="7"/>
  <c r="AF262" i="7" s="1"/>
  <c r="AE318" i="7"/>
  <c r="AF318" i="7" s="1"/>
  <c r="AE374" i="7"/>
  <c r="AF374" i="7" s="1"/>
  <c r="AE438" i="7"/>
  <c r="AF438" i="7" s="1"/>
  <c r="AE566" i="7"/>
  <c r="AF566" i="7" s="1"/>
  <c r="AE313" i="7"/>
  <c r="AF313" i="7" s="1"/>
  <c r="AE391" i="7"/>
  <c r="AF391" i="7" s="1"/>
  <c r="AE623" i="7"/>
  <c r="AF623" i="7" s="1"/>
  <c r="AE240" i="7"/>
  <c r="AF240" i="7" s="1"/>
  <c r="AE656" i="7"/>
  <c r="AF656" i="7" s="1"/>
  <c r="AE177" i="7"/>
  <c r="AF177" i="7" s="1"/>
  <c r="AE435" i="7"/>
  <c r="AF435" i="7" s="1"/>
  <c r="AE565" i="7"/>
  <c r="AF565" i="7" s="1"/>
  <c r="AE688" i="7"/>
  <c r="AF688" i="7" s="1"/>
  <c r="AE256" i="7"/>
  <c r="AF256" i="7" s="1"/>
  <c r="AE132" i="7"/>
  <c r="AF132" i="7" s="1"/>
  <c r="AE395" i="7"/>
  <c r="AF395" i="7" s="1"/>
  <c r="AE628" i="7"/>
  <c r="AF628" i="7" s="1"/>
  <c r="AE721" i="7"/>
  <c r="AF721" i="7" s="1"/>
  <c r="AE211" i="7"/>
  <c r="AF211" i="7" s="1"/>
  <c r="AE141" i="7"/>
  <c r="AF141" i="7" s="1"/>
  <c r="AE269" i="7"/>
  <c r="AF269" i="7" s="1"/>
  <c r="AE397" i="7"/>
  <c r="AF397" i="7" s="1"/>
  <c r="AE166" i="7"/>
  <c r="AF166" i="7" s="1"/>
  <c r="AE382" i="7"/>
  <c r="AF382" i="7" s="1"/>
  <c r="AE510" i="7"/>
  <c r="AF510" i="7" s="1"/>
  <c r="AE113" i="7"/>
  <c r="AF113" i="7" s="1"/>
  <c r="AE617" i="7"/>
  <c r="AF617" i="7" s="1"/>
  <c r="AE399" i="7"/>
  <c r="AF399" i="7" s="1"/>
  <c r="AE455" i="7"/>
  <c r="AF455" i="7" s="1"/>
  <c r="AE519" i="7"/>
  <c r="AF519" i="7" s="1"/>
  <c r="AE567" i="7"/>
  <c r="AF567" i="7" s="1"/>
  <c r="AE264" i="7"/>
  <c r="AF264" i="7" s="1"/>
  <c r="AE360" i="7"/>
  <c r="AF360" i="7" s="1"/>
  <c r="AE664" i="7"/>
  <c r="AF664" i="7" s="1"/>
  <c r="AE457" i="7"/>
  <c r="AF457" i="7" s="1"/>
  <c r="AE284" i="7"/>
  <c r="AF284" i="7" s="1"/>
  <c r="AE453" i="7"/>
  <c r="AF453" i="7" s="1"/>
  <c r="AE581" i="7"/>
  <c r="AF581" i="7" s="1"/>
  <c r="AE696" i="7"/>
  <c r="AF696" i="7" s="1"/>
  <c r="AE320" i="7"/>
  <c r="AF320" i="7" s="1"/>
  <c r="AE164" i="7"/>
  <c r="AF164" i="7" s="1"/>
  <c r="AE436" i="7"/>
  <c r="AF436" i="7" s="1"/>
  <c r="AE66" i="7"/>
  <c r="AF66" i="7" s="1"/>
  <c r="AE219" i="7"/>
  <c r="AF219" i="7" s="1"/>
  <c r="AE267" i="7"/>
  <c r="AF267" i="7" s="1"/>
  <c r="AE85" i="7"/>
  <c r="AF85" i="7" s="1"/>
  <c r="AE213" i="7"/>
  <c r="AF213" i="7" s="1"/>
  <c r="AE341" i="7"/>
  <c r="AF341" i="7" s="1"/>
  <c r="AE110" i="7"/>
  <c r="AF110" i="7" s="1"/>
  <c r="AE343" i="7"/>
  <c r="AF343" i="7" s="1"/>
  <c r="AE48" i="7"/>
  <c r="AF48" i="7" s="1"/>
  <c r="AE144" i="7"/>
  <c r="AF144" i="7" s="1"/>
  <c r="AE600" i="7"/>
  <c r="AF600" i="7" s="1"/>
  <c r="AE680" i="7"/>
  <c r="AF680" i="7" s="1"/>
  <c r="AE673" i="7"/>
  <c r="AF673" i="7" s="1"/>
  <c r="AE642" i="7"/>
  <c r="AF642" i="7" s="1"/>
  <c r="AE252" i="7"/>
  <c r="AF252" i="7" s="1"/>
  <c r="AE710" i="7"/>
  <c r="AF710" i="7" s="1"/>
  <c r="AE388" i="7"/>
  <c r="AF388" i="7" s="1"/>
  <c r="AE411" i="7"/>
  <c r="AF411" i="7" s="1"/>
  <c r="AE499" i="7"/>
  <c r="AF499" i="7" s="1"/>
  <c r="AE563" i="7"/>
  <c r="AF563" i="7" s="1"/>
  <c r="AE307" i="7"/>
  <c r="AF307" i="7" s="1"/>
  <c r="AE469" i="7"/>
  <c r="AF469" i="7" s="1"/>
  <c r="AE597" i="7"/>
  <c r="AF597" i="7" s="1"/>
  <c r="AE704" i="7"/>
  <c r="AF704" i="7" s="1"/>
  <c r="AE576" i="7"/>
  <c r="AF576" i="7" s="1"/>
  <c r="AE11" i="7"/>
  <c r="AF11" i="7" s="1"/>
  <c r="AE275" i="7"/>
  <c r="AF275" i="7" s="1"/>
  <c r="AE54" i="7"/>
  <c r="AF54" i="7" s="1"/>
  <c r="AE182" i="7"/>
  <c r="AF182" i="7" s="1"/>
  <c r="AE590" i="7"/>
  <c r="AF590" i="7" s="1"/>
  <c r="AE167" i="7"/>
  <c r="AF167" i="7" s="1"/>
  <c r="AE231" i="7"/>
  <c r="AF231" i="7" s="1"/>
  <c r="AE287" i="7"/>
  <c r="AF287" i="7" s="1"/>
  <c r="AE248" i="7"/>
  <c r="AF248" i="7" s="1"/>
  <c r="AE616" i="7"/>
  <c r="AF616" i="7" s="1"/>
  <c r="AE289" i="7"/>
  <c r="AF289" i="7" s="1"/>
  <c r="AE505" i="7"/>
  <c r="AF505" i="7" s="1"/>
  <c r="AE330" i="7"/>
  <c r="AF330" i="7" s="1"/>
  <c r="AE485" i="7"/>
  <c r="AF485" i="7" s="1"/>
  <c r="AE613" i="7"/>
  <c r="AF613" i="7" s="1"/>
  <c r="AE712" i="7"/>
  <c r="AF712" i="7" s="1"/>
  <c r="AE666" i="7"/>
  <c r="AF666" i="7" s="1"/>
  <c r="AE228" i="7"/>
  <c r="AF228" i="7" s="1"/>
  <c r="AE490" i="7"/>
  <c r="AF490" i="7" s="1"/>
  <c r="AE678" i="7"/>
  <c r="AF678" i="7" s="1"/>
  <c r="AE19" i="7"/>
  <c r="AF19" i="7" s="1"/>
  <c r="AE75" i="7"/>
  <c r="AF75" i="7" s="1"/>
  <c r="AE187" i="7"/>
  <c r="AF187" i="7" s="1"/>
  <c r="AE165" i="7"/>
  <c r="AF165" i="7" s="1"/>
  <c r="AE126" i="7"/>
  <c r="AF126" i="7" s="1"/>
  <c r="AE534" i="7"/>
  <c r="AF534" i="7" s="1"/>
  <c r="AE295" i="7"/>
  <c r="AF295" i="7" s="1"/>
  <c r="AE105" i="7"/>
  <c r="AF105" i="7" s="1"/>
  <c r="AE353" i="7"/>
  <c r="AF353" i="7" s="1"/>
  <c r="AE329" i="7"/>
  <c r="AF329" i="7" s="1"/>
  <c r="AE91" i="7"/>
  <c r="AF91" i="7" s="1"/>
  <c r="AE195" i="7"/>
  <c r="AF195" i="7" s="1"/>
  <c r="AE227" i="7"/>
  <c r="AF227" i="7" s="1"/>
  <c r="AE259" i="7"/>
  <c r="AF259" i="7" s="1"/>
  <c r="AE106" i="7"/>
  <c r="AF106" i="7" s="1"/>
  <c r="AE355" i="7"/>
  <c r="AF355" i="7" s="1"/>
  <c r="AE539" i="7"/>
  <c r="AF539" i="7" s="1"/>
  <c r="AE654" i="7"/>
  <c r="AF654" i="7" s="1"/>
  <c r="AE88" i="7"/>
  <c r="AF88" i="7" s="1"/>
  <c r="AE44" i="7"/>
  <c r="AF44" i="7" s="1"/>
  <c r="AE292" i="7"/>
  <c r="AF292" i="7" s="1"/>
  <c r="AE460" i="7"/>
  <c r="AF460" i="7" s="1"/>
  <c r="AE588" i="7"/>
  <c r="AF588" i="7" s="1"/>
  <c r="AE691" i="7"/>
  <c r="AF691" i="7" s="1"/>
  <c r="AE13" i="7"/>
  <c r="AF13" i="7" s="1"/>
  <c r="AE69" i="7"/>
  <c r="AF69" i="7" s="1"/>
  <c r="AE117" i="7"/>
  <c r="AF117" i="7" s="1"/>
  <c r="AE173" i="7"/>
  <c r="AF173" i="7" s="1"/>
  <c r="AE221" i="7"/>
  <c r="AF221" i="7" s="1"/>
  <c r="AE277" i="7"/>
  <c r="AF277" i="7" s="1"/>
  <c r="AE333" i="7"/>
  <c r="AF333" i="7" s="1"/>
  <c r="AE389" i="7"/>
  <c r="AF389" i="7" s="1"/>
  <c r="AE445" i="7"/>
  <c r="AF445" i="7" s="1"/>
  <c r="AE217" i="7"/>
  <c r="AF217" i="7" s="1"/>
  <c r="AE433" i="7"/>
  <c r="AF433" i="7" s="1"/>
  <c r="AE641" i="7"/>
  <c r="AF641" i="7" s="1"/>
  <c r="AE178" i="7"/>
  <c r="AF178" i="7" s="1"/>
  <c r="AE380" i="7"/>
  <c r="AF380" i="7" s="1"/>
  <c r="AE525" i="7"/>
  <c r="AF525" i="7" s="1"/>
  <c r="AE659" i="7"/>
  <c r="AF659" i="7" s="1"/>
  <c r="AE96" i="7"/>
  <c r="AF96" i="7" s="1"/>
  <c r="AE14" i="7"/>
  <c r="AF14" i="7" s="1"/>
  <c r="AE62" i="7"/>
  <c r="AF62" i="7" s="1"/>
  <c r="AE118" i="7"/>
  <c r="AF118" i="7" s="1"/>
  <c r="AE174" i="7"/>
  <c r="AF174" i="7" s="1"/>
  <c r="AE270" i="7"/>
  <c r="AF270" i="7" s="1"/>
  <c r="AE326" i="7"/>
  <c r="AF326" i="7" s="1"/>
  <c r="AE542" i="7"/>
  <c r="AF542" i="7" s="1"/>
  <c r="AE598" i="7"/>
  <c r="AF598" i="7" s="1"/>
  <c r="AE129" i="7"/>
  <c r="AF129" i="7" s="1"/>
  <c r="AE345" i="7"/>
  <c r="AF345" i="7" s="1"/>
  <c r="AE585" i="7"/>
  <c r="AF585" i="7" s="1"/>
  <c r="AE116" i="7"/>
  <c r="AF116" i="7" s="1"/>
  <c r="AE340" i="7"/>
  <c r="AF340" i="7" s="1"/>
  <c r="AE530" i="7"/>
  <c r="AF530" i="7" s="1"/>
  <c r="AE660" i="7"/>
  <c r="AF660" i="7" s="1"/>
  <c r="AE98" i="7"/>
  <c r="AF98" i="7" s="1"/>
  <c r="AE63" i="7"/>
  <c r="AF63" i="7" s="1"/>
  <c r="AE127" i="7"/>
  <c r="AF127" i="7" s="1"/>
  <c r="AE175" i="7"/>
  <c r="AF175" i="7" s="1"/>
  <c r="AE239" i="7"/>
  <c r="AF239" i="7" s="1"/>
  <c r="AE351" i="7"/>
  <c r="AF351" i="7" s="1"/>
  <c r="AE407" i="7"/>
  <c r="AF407" i="7" s="1"/>
  <c r="AE463" i="7"/>
  <c r="AF463" i="7" s="1"/>
  <c r="AE575" i="7"/>
  <c r="AF575" i="7" s="1"/>
  <c r="AE631" i="7"/>
  <c r="AF631" i="7" s="1"/>
  <c r="AE679" i="7"/>
  <c r="AF679" i="7" s="1"/>
  <c r="AE385" i="7"/>
  <c r="AF385" i="7" s="1"/>
  <c r="AE312" i="7"/>
  <c r="AF312" i="7" s="1"/>
  <c r="AE168" i="7"/>
  <c r="AF168" i="7" s="1"/>
  <c r="AE424" i="7"/>
  <c r="AF424" i="7" s="1"/>
  <c r="AE584" i="7"/>
  <c r="AF584" i="7" s="1"/>
  <c r="AE624" i="7"/>
  <c r="AF624" i="7" s="1"/>
  <c r="AE361" i="7"/>
  <c r="AF361" i="7" s="1"/>
  <c r="AE529" i="7"/>
  <c r="AF529" i="7" s="1"/>
  <c r="AE188" i="7"/>
  <c r="AF188" i="7" s="1"/>
  <c r="AE220" i="7"/>
  <c r="AF220" i="7" s="1"/>
  <c r="AE370" i="7"/>
  <c r="AF370" i="7" s="1"/>
  <c r="AE386" i="7"/>
  <c r="AF386" i="7" s="1"/>
  <c r="AE483" i="7"/>
  <c r="AF483" i="7" s="1"/>
  <c r="AE484" i="7"/>
  <c r="AF484" i="7" s="1"/>
  <c r="AE675" i="7"/>
  <c r="AF675" i="7" s="1"/>
  <c r="AE387" i="7"/>
  <c r="AF387" i="7" s="1"/>
  <c r="AE196" i="7"/>
  <c r="AF196" i="7" s="1"/>
  <c r="AE458" i="7"/>
  <c r="AF458" i="7" s="1"/>
  <c r="AE667" i="7"/>
  <c r="AF667" i="7" s="1"/>
  <c r="AE130" i="7"/>
  <c r="AF130" i="7" s="1"/>
  <c r="AE59" i="7"/>
  <c r="AF59" i="7" s="1"/>
  <c r="AE99" i="7"/>
  <c r="AF99" i="7" s="1"/>
  <c r="AE138" i="7"/>
  <c r="AF138" i="7" s="1"/>
  <c r="AE396" i="7"/>
  <c r="AF396" i="7" s="1"/>
  <c r="AE555" i="7"/>
  <c r="AF555" i="7" s="1"/>
  <c r="AE668" i="7"/>
  <c r="AF668" i="7" s="1"/>
  <c r="AE152" i="7"/>
  <c r="AF152" i="7" s="1"/>
  <c r="AE76" i="7"/>
  <c r="AF76" i="7" s="1"/>
  <c r="AE315" i="7"/>
  <c r="AF315" i="7" s="1"/>
  <c r="AE476" i="7"/>
  <c r="AF476" i="7" s="1"/>
  <c r="AE604" i="7"/>
  <c r="AF604" i="7" s="1"/>
  <c r="AE699" i="7"/>
  <c r="AF699" i="7" s="1"/>
  <c r="AE125" i="7"/>
  <c r="AF125" i="7" s="1"/>
  <c r="AE181" i="7"/>
  <c r="AF181" i="7" s="1"/>
  <c r="AE229" i="7"/>
  <c r="AF229" i="7" s="1"/>
  <c r="AE285" i="7"/>
  <c r="AF285" i="7" s="1"/>
  <c r="AE17" i="7"/>
  <c r="AF17" i="7" s="1"/>
  <c r="AE210" i="7"/>
  <c r="AF210" i="7" s="1"/>
  <c r="AE403" i="7"/>
  <c r="AF403" i="7" s="1"/>
  <c r="AE541" i="7"/>
  <c r="AF541" i="7" s="1"/>
  <c r="AE670" i="7"/>
  <c r="AF670" i="7" s="1"/>
  <c r="AE160" i="7"/>
  <c r="AF160" i="7" s="1"/>
  <c r="AE70" i="7"/>
  <c r="AF70" i="7" s="1"/>
  <c r="AE230" i="7"/>
  <c r="AF230" i="7" s="1"/>
  <c r="AE278" i="7"/>
  <c r="AF278" i="7" s="1"/>
  <c r="AE334" i="7"/>
  <c r="AF334" i="7" s="1"/>
  <c r="AE550" i="7"/>
  <c r="AF550" i="7" s="1"/>
  <c r="AE606" i="7"/>
  <c r="AF606" i="7" s="1"/>
  <c r="AE161" i="7"/>
  <c r="AF161" i="7" s="1"/>
  <c r="AE377" i="7"/>
  <c r="AF377" i="7" s="1"/>
  <c r="AE148" i="7"/>
  <c r="AF148" i="7" s="1"/>
  <c r="AE363" i="7"/>
  <c r="AF363" i="7" s="1"/>
  <c r="AE562" i="7"/>
  <c r="AF562" i="7" s="1"/>
  <c r="AE674" i="7"/>
  <c r="AF674" i="7" s="1"/>
  <c r="AE162" i="7"/>
  <c r="AF162" i="7" s="1"/>
  <c r="AE71" i="7"/>
  <c r="AF71" i="7" s="1"/>
  <c r="AE183" i="7"/>
  <c r="AF183" i="7" s="1"/>
  <c r="AE247" i="7"/>
  <c r="AF247" i="7" s="1"/>
  <c r="AE359" i="7"/>
  <c r="AF359" i="7" s="1"/>
  <c r="AE415" i="7"/>
  <c r="AF415" i="7" s="1"/>
  <c r="AE471" i="7"/>
  <c r="AF471" i="7" s="1"/>
  <c r="AE527" i="7"/>
  <c r="AF527" i="7" s="1"/>
  <c r="AE583" i="7"/>
  <c r="AF583" i="7" s="1"/>
  <c r="AE639" i="7"/>
  <c r="AF639" i="7" s="1"/>
  <c r="AE25" i="7"/>
  <c r="AF25" i="7" s="1"/>
  <c r="AE409" i="7"/>
  <c r="AF409" i="7" s="1"/>
  <c r="AE384" i="7"/>
  <c r="AF384" i="7" s="1"/>
  <c r="AE72" i="7"/>
  <c r="AF72" i="7" s="1"/>
  <c r="AE176" i="7"/>
  <c r="AF176" i="7" s="1"/>
  <c r="AE432" i="7"/>
  <c r="AF432" i="7" s="1"/>
  <c r="AE480" i="7"/>
  <c r="AF480" i="7" s="1"/>
  <c r="AE528" i="7"/>
  <c r="AF528" i="7" s="1"/>
  <c r="AE632" i="7"/>
  <c r="AF632" i="7" s="1"/>
  <c r="AE393" i="7"/>
  <c r="AF393" i="7" s="1"/>
  <c r="AE347" i="7"/>
  <c r="AF347" i="7" s="1"/>
  <c r="AE364" i="7"/>
  <c r="AF364" i="7" s="1"/>
  <c r="AE467" i="7"/>
  <c r="AF467" i="7" s="1"/>
  <c r="AE314" i="7"/>
  <c r="AF314" i="7" s="1"/>
  <c r="AE547" i="7"/>
  <c r="AF547" i="7" s="1"/>
  <c r="AE548" i="7"/>
  <c r="AF548" i="7" s="1"/>
  <c r="AE283" i="7"/>
  <c r="AF283" i="7" s="1"/>
  <c r="AE564" i="7"/>
  <c r="AF564" i="7" s="1"/>
  <c r="AE194" i="7"/>
  <c r="AF194" i="7" s="1"/>
  <c r="AE67" i="7"/>
  <c r="AF67" i="7" s="1"/>
  <c r="AE107" i="7"/>
  <c r="AF107" i="7" s="1"/>
  <c r="AE203" i="7"/>
  <c r="AF203" i="7" s="1"/>
  <c r="AE235" i="7"/>
  <c r="AF235" i="7" s="1"/>
  <c r="AE170" i="7"/>
  <c r="AF170" i="7" s="1"/>
  <c r="AE419" i="7"/>
  <c r="AF419" i="7" s="1"/>
  <c r="AE571" i="7"/>
  <c r="AF571" i="7" s="1"/>
  <c r="AE682" i="7"/>
  <c r="AF682" i="7" s="1"/>
  <c r="AE216" i="7"/>
  <c r="AF216" i="7" s="1"/>
  <c r="AE108" i="7"/>
  <c r="AF108" i="7" s="1"/>
  <c r="AE338" i="7"/>
  <c r="AF338" i="7" s="1"/>
  <c r="AE492" i="7"/>
  <c r="AF492" i="7" s="1"/>
  <c r="AE619" i="7"/>
  <c r="AF619" i="7" s="1"/>
  <c r="AE707" i="7"/>
  <c r="AF707" i="7" s="1"/>
  <c r="AE21" i="7"/>
  <c r="AF21" i="7" s="1"/>
  <c r="AE77" i="7"/>
  <c r="AF77" i="7" s="1"/>
  <c r="AE133" i="7"/>
  <c r="AF133" i="7" s="1"/>
  <c r="AE189" i="7"/>
  <c r="AF189" i="7" s="1"/>
  <c r="AE237" i="7"/>
  <c r="AF237" i="7" s="1"/>
  <c r="AE293" i="7"/>
  <c r="AF293" i="7" s="1"/>
  <c r="AE65" i="7"/>
  <c r="AF65" i="7" s="1"/>
  <c r="AE241" i="7"/>
  <c r="AF241" i="7" s="1"/>
  <c r="AE465" i="7"/>
  <c r="AF465" i="7" s="1"/>
  <c r="AE242" i="7"/>
  <c r="AF242" i="7" s="1"/>
  <c r="AE426" i="7"/>
  <c r="AF426" i="7" s="1"/>
  <c r="AE557" i="7"/>
  <c r="AF557" i="7" s="1"/>
  <c r="AE684" i="7"/>
  <c r="AF684" i="7" s="1"/>
  <c r="AE224" i="7"/>
  <c r="AF224" i="7" s="1"/>
  <c r="AE78" i="7"/>
  <c r="AF78" i="7" s="1"/>
  <c r="AE238" i="7"/>
  <c r="AF238" i="7" s="1"/>
  <c r="AE286" i="7"/>
  <c r="AF286" i="7" s="1"/>
  <c r="AE342" i="7"/>
  <c r="AF342" i="7" s="1"/>
  <c r="AE390" i="7"/>
  <c r="AF390" i="7" s="1"/>
  <c r="AE446" i="7"/>
  <c r="AF446" i="7" s="1"/>
  <c r="AE502" i="7"/>
  <c r="AF502" i="7" s="1"/>
  <c r="AE558" i="7"/>
  <c r="AF558" i="7" s="1"/>
  <c r="AE33" i="7"/>
  <c r="AF33" i="7" s="1"/>
  <c r="AE193" i="7"/>
  <c r="AF193" i="7" s="1"/>
  <c r="AE417" i="7"/>
  <c r="AF417" i="7" s="1"/>
  <c r="AE180" i="7"/>
  <c r="AF180" i="7" s="1"/>
  <c r="AE404" i="7"/>
  <c r="AF404" i="7" s="1"/>
  <c r="AE578" i="7"/>
  <c r="AF578" i="7" s="1"/>
  <c r="AE685" i="7"/>
  <c r="AF685" i="7" s="1"/>
  <c r="AE226" i="7"/>
  <c r="AF226" i="7" s="1"/>
  <c r="AE15" i="7"/>
  <c r="AF15" i="7" s="1"/>
  <c r="AE79" i="7"/>
  <c r="AF79" i="7" s="1"/>
  <c r="AE191" i="7"/>
  <c r="AF191" i="7" s="1"/>
  <c r="AE255" i="7"/>
  <c r="AF255" i="7" s="1"/>
  <c r="AE303" i="7"/>
  <c r="AF303" i="7" s="1"/>
  <c r="AE367" i="7"/>
  <c r="AF367" i="7" s="1"/>
  <c r="AE423" i="7"/>
  <c r="AF423" i="7" s="1"/>
  <c r="AE479" i="7"/>
  <c r="AF479" i="7" s="1"/>
  <c r="AE535" i="7"/>
  <c r="AF535" i="7" s="1"/>
  <c r="AE591" i="7"/>
  <c r="AF591" i="7" s="1"/>
  <c r="AE647" i="7"/>
  <c r="AF647" i="7" s="1"/>
  <c r="AE41" i="7"/>
  <c r="AF41" i="7" s="1"/>
  <c r="AE233" i="7"/>
  <c r="AF233" i="7" s="1"/>
  <c r="AE441" i="7"/>
  <c r="AF441" i="7" s="1"/>
  <c r="AE625" i="7"/>
  <c r="AF625" i="7" s="1"/>
  <c r="AE640" i="7"/>
  <c r="AF640" i="7" s="1"/>
  <c r="AE80" i="7"/>
  <c r="AF80" i="7" s="1"/>
  <c r="AE200" i="7"/>
  <c r="AF200" i="7" s="1"/>
  <c r="AE272" i="7"/>
  <c r="AF272" i="7" s="1"/>
  <c r="AE440" i="7"/>
  <c r="AF440" i="7" s="1"/>
  <c r="AE488" i="7"/>
  <c r="AF488" i="7" s="1"/>
  <c r="AE536" i="7"/>
  <c r="AF536" i="7" s="1"/>
  <c r="AE592" i="7"/>
  <c r="AF592" i="7" s="1"/>
  <c r="AE648" i="7"/>
  <c r="AF648" i="7" s="1"/>
  <c r="AE9" i="7"/>
  <c r="AF9" i="7" s="1"/>
  <c r="AE209" i="7"/>
  <c r="AF209" i="7" s="1"/>
  <c r="AE425" i="7"/>
  <c r="AF425" i="7" s="1"/>
  <c r="AE561" i="7"/>
  <c r="AF561" i="7" s="1"/>
  <c r="AE451" i="7"/>
  <c r="AF451" i="7" s="1"/>
  <c r="AE452" i="7"/>
  <c r="AF452" i="7" s="1"/>
  <c r="AE531" i="7"/>
  <c r="AF531" i="7" s="1"/>
  <c r="AE474" i="7"/>
  <c r="AF474" i="7" s="1"/>
  <c r="AE611" i="7"/>
  <c r="AF611" i="7" s="1"/>
  <c r="AE612" i="7"/>
  <c r="AF612" i="7" s="1"/>
  <c r="AE500" i="7"/>
  <c r="AF500" i="7" s="1"/>
  <c r="AE428" i="7"/>
  <c r="AF428" i="7" s="1"/>
  <c r="AE651" i="7"/>
  <c r="AF651" i="7" s="1"/>
  <c r="AE260" i="7"/>
  <c r="AF260" i="7" s="1"/>
  <c r="AE522" i="7"/>
  <c r="AF522" i="7" s="1"/>
  <c r="AE689" i="7"/>
  <c r="AF689" i="7" s="1"/>
  <c r="AE258" i="7"/>
  <c r="AF258" i="7" s="1"/>
  <c r="AE115" i="7"/>
  <c r="AF115" i="7" s="1"/>
  <c r="AE155" i="7"/>
  <c r="AF155" i="7" s="1"/>
  <c r="AE202" i="7"/>
  <c r="AF202" i="7" s="1"/>
  <c r="AE459" i="7"/>
  <c r="AF459" i="7" s="1"/>
  <c r="AE587" i="7"/>
  <c r="AF587" i="7" s="1"/>
  <c r="AE690" i="7"/>
  <c r="AF690" i="7" s="1"/>
  <c r="AE280" i="7"/>
  <c r="AF280" i="7" s="1"/>
  <c r="AE140" i="7"/>
  <c r="AF140" i="7" s="1"/>
  <c r="AE356" i="7"/>
  <c r="AF356" i="7" s="1"/>
  <c r="AE508" i="7"/>
  <c r="AF508" i="7" s="1"/>
  <c r="AE630" i="7"/>
  <c r="AF630" i="7" s="1"/>
  <c r="AE715" i="7"/>
  <c r="AF715" i="7" s="1"/>
  <c r="AE29" i="7"/>
  <c r="AF29" i="7" s="1"/>
  <c r="AE245" i="7"/>
  <c r="AF245" i="7" s="1"/>
  <c r="AE301" i="7"/>
  <c r="AF301" i="7" s="1"/>
  <c r="AE349" i="7"/>
  <c r="AF349" i="7" s="1"/>
  <c r="AE405" i="7"/>
  <c r="AF405" i="7" s="1"/>
  <c r="AE89" i="7"/>
  <c r="AF89" i="7" s="1"/>
  <c r="AE273" i="7"/>
  <c r="AF273" i="7" s="1"/>
  <c r="AE18" i="7"/>
  <c r="AF18" i="7" s="1"/>
  <c r="AE274" i="7"/>
  <c r="AF274" i="7" s="1"/>
  <c r="AE444" i="7"/>
  <c r="AF444" i="7" s="1"/>
  <c r="AE573" i="7"/>
  <c r="AF573" i="7" s="1"/>
  <c r="AE692" i="7"/>
  <c r="AF692" i="7" s="1"/>
  <c r="AE288" i="7"/>
  <c r="AF288" i="7" s="1"/>
  <c r="AE30" i="7"/>
  <c r="AF30" i="7" s="1"/>
  <c r="AE86" i="7"/>
  <c r="AF86" i="7" s="1"/>
  <c r="AE134" i="7"/>
  <c r="AF134" i="7" s="1"/>
  <c r="AE190" i="7"/>
  <c r="AF190" i="7" s="1"/>
  <c r="AE294" i="7"/>
  <c r="AF294" i="7" s="1"/>
  <c r="AE350" i="7"/>
  <c r="AF350" i="7" s="1"/>
  <c r="AE398" i="7"/>
  <c r="AF398" i="7" s="1"/>
  <c r="AE454" i="7"/>
  <c r="AF454" i="7" s="1"/>
  <c r="AE225" i="7"/>
  <c r="AF225" i="7" s="1"/>
  <c r="AE449" i="7"/>
  <c r="AF449" i="7" s="1"/>
  <c r="AE649" i="7"/>
  <c r="AF649" i="7" s="1"/>
  <c r="AE212" i="7"/>
  <c r="AF212" i="7" s="1"/>
  <c r="AE427" i="7"/>
  <c r="AF427" i="7" s="1"/>
  <c r="AE594" i="7"/>
  <c r="AF594" i="7" s="1"/>
  <c r="AE693" i="7"/>
  <c r="AF693" i="7" s="1"/>
  <c r="AE290" i="7"/>
  <c r="AF290" i="7" s="1"/>
  <c r="AE23" i="7"/>
  <c r="AF23" i="7" s="1"/>
  <c r="AE87" i="7"/>
  <c r="AF87" i="7" s="1"/>
  <c r="AE143" i="7"/>
  <c r="AF143" i="7" s="1"/>
  <c r="AE199" i="7"/>
  <c r="AF199" i="7" s="1"/>
  <c r="AE263" i="7"/>
  <c r="AF263" i="7" s="1"/>
  <c r="AE311" i="7"/>
  <c r="AF311" i="7" s="1"/>
  <c r="AE375" i="7"/>
  <c r="AF375" i="7" s="1"/>
  <c r="AE487" i="7"/>
  <c r="AF487" i="7" s="1"/>
  <c r="AE543" i="7"/>
  <c r="AF543" i="7" s="1"/>
  <c r="AE599" i="7"/>
  <c r="AF599" i="7" s="1"/>
  <c r="AE73" i="7"/>
  <c r="AF73" i="7" s="1"/>
  <c r="AE257" i="7"/>
  <c r="AF257" i="7" s="1"/>
  <c r="AE657" i="7"/>
  <c r="AF657" i="7" s="1"/>
  <c r="AE208" i="7"/>
  <c r="AF208" i="7" s="1"/>
  <c r="AE296" i="7"/>
  <c r="AF296" i="7" s="1"/>
  <c r="AE368" i="7"/>
  <c r="AF368" i="7" s="1"/>
  <c r="AE456" i="7"/>
  <c r="AF456" i="7" s="1"/>
  <c r="AE496" i="7"/>
  <c r="AF496" i="7" s="1"/>
  <c r="AE249" i="7"/>
  <c r="AF249" i="7" s="1"/>
  <c r="AE515" i="7"/>
  <c r="AF515" i="7" s="1"/>
  <c r="AE516" i="7"/>
  <c r="AF516" i="7" s="1"/>
  <c r="AE595" i="7"/>
  <c r="AF595" i="7" s="1"/>
  <c r="AE546" i="7"/>
  <c r="AF546" i="7" s="1"/>
  <c r="AE661" i="7"/>
  <c r="AF661" i="7" s="1"/>
  <c r="AE662" i="7"/>
  <c r="AF662" i="7" s="1"/>
  <c r="AE676" i="7"/>
  <c r="AF676" i="7" s="1"/>
  <c r="AE596" i="7"/>
  <c r="AF596" i="7" s="1"/>
  <c r="AE416" i="7"/>
  <c r="AF416" i="7" s="1"/>
  <c r="AE123" i="7"/>
  <c r="AF123" i="7" s="1"/>
  <c r="AE163" i="7"/>
  <c r="AF163" i="7" s="1"/>
  <c r="AE234" i="7"/>
  <c r="AF234" i="7" s="1"/>
  <c r="AE475" i="7"/>
  <c r="AF475" i="7" s="1"/>
  <c r="AE603" i="7"/>
  <c r="AF603" i="7" s="1"/>
  <c r="AE698" i="7"/>
  <c r="AF698" i="7" s="1"/>
  <c r="AE418" i="7"/>
  <c r="AF418" i="7" s="1"/>
  <c r="AE172" i="7"/>
  <c r="AF172" i="7" s="1"/>
  <c r="AE379" i="7"/>
  <c r="AF379" i="7" s="1"/>
  <c r="AE524" i="7"/>
  <c r="AF524" i="7" s="1"/>
  <c r="AE644" i="7"/>
  <c r="AF644" i="7" s="1"/>
  <c r="AE352" i="7"/>
  <c r="AF352" i="7" s="1"/>
  <c r="AE37" i="7"/>
  <c r="AF37" i="7" s="1"/>
  <c r="AE253" i="7"/>
  <c r="AF253" i="7" s="1"/>
  <c r="AE309" i="7"/>
  <c r="AF309" i="7" s="1"/>
  <c r="AE357" i="7"/>
  <c r="AF357" i="7" s="1"/>
  <c r="AE413" i="7"/>
  <c r="AF413" i="7" s="1"/>
  <c r="AE121" i="7"/>
  <c r="AF121" i="7" s="1"/>
  <c r="AE305" i="7"/>
  <c r="AF305" i="7" s="1"/>
  <c r="AE513" i="7"/>
  <c r="AF513" i="7" s="1"/>
  <c r="AE50" i="7"/>
  <c r="AF50" i="7" s="1"/>
  <c r="AE298" i="7"/>
  <c r="AF298" i="7" s="1"/>
  <c r="AE461" i="7"/>
  <c r="AF461" i="7" s="1"/>
  <c r="AE589" i="7"/>
  <c r="AF589" i="7" s="1"/>
  <c r="AE700" i="7"/>
  <c r="AF700" i="7" s="1"/>
  <c r="AE354" i="7"/>
  <c r="AF354" i="7" s="1"/>
  <c r="AE38" i="7"/>
  <c r="AF38" i="7" s="1"/>
  <c r="AE94" i="7"/>
  <c r="AF94" i="7" s="1"/>
  <c r="AE142" i="7"/>
  <c r="AF142" i="7" s="1"/>
  <c r="AE198" i="7"/>
  <c r="AF198" i="7" s="1"/>
  <c r="AE246" i="7"/>
  <c r="AF246" i="7" s="1"/>
  <c r="AE302" i="7"/>
  <c r="AF302" i="7" s="1"/>
  <c r="AE358" i="7"/>
  <c r="AF358" i="7" s="1"/>
  <c r="AE406" i="7"/>
  <c r="AF406" i="7" s="1"/>
  <c r="AE462" i="7"/>
  <c r="AF462" i="7" s="1"/>
  <c r="AE265" i="7"/>
  <c r="AF265" i="7" s="1"/>
  <c r="AE489" i="7"/>
  <c r="AF489" i="7" s="1"/>
  <c r="AE665" i="7"/>
  <c r="AF665" i="7" s="1"/>
  <c r="AE244" i="7"/>
  <c r="AF244" i="7" s="1"/>
  <c r="AE466" i="7"/>
  <c r="AF466" i="7" s="1"/>
  <c r="AE610" i="7"/>
  <c r="AF610" i="7" s="1"/>
  <c r="AE701" i="7"/>
  <c r="AF701" i="7" s="1"/>
  <c r="AE378" i="7"/>
  <c r="AF378" i="7" s="1"/>
  <c r="AE31" i="7"/>
  <c r="AF31" i="7" s="1"/>
  <c r="AE95" i="7"/>
  <c r="AF95" i="7" s="1"/>
  <c r="AE151" i="7"/>
  <c r="AF151" i="7" s="1"/>
  <c r="AE207" i="7"/>
  <c r="AF207" i="7" s="1"/>
  <c r="AE319" i="7"/>
  <c r="AF319" i="7" s="1"/>
  <c r="AE383" i="7"/>
  <c r="AF383" i="7" s="1"/>
  <c r="AE431" i="7"/>
  <c r="AF431" i="7" s="1"/>
  <c r="AE495" i="7"/>
  <c r="AF495" i="7" s="1"/>
  <c r="AE655" i="7"/>
  <c r="AF655" i="7" s="1"/>
  <c r="AE281" i="7"/>
  <c r="AF281" i="7" s="1"/>
  <c r="AE473" i="7"/>
  <c r="AF473" i="7" s="1"/>
  <c r="AE56" i="7"/>
  <c r="AF56" i="7" s="1"/>
  <c r="AE104" i="7"/>
  <c r="AF104" i="7" s="1"/>
  <c r="AE304" i="7"/>
  <c r="AF304" i="7" s="1"/>
  <c r="AE376" i="7"/>
  <c r="AF376" i="7" s="1"/>
  <c r="AE552" i="7"/>
  <c r="AF552" i="7" s="1"/>
  <c r="AE57" i="7"/>
  <c r="AF57" i="7" s="1"/>
  <c r="AE593" i="7"/>
  <c r="AF593" i="7" s="1"/>
  <c r="AE579" i="7"/>
  <c r="AF579" i="7" s="1"/>
  <c r="AE580" i="7"/>
  <c r="AF580" i="7" s="1"/>
  <c r="AE650" i="7"/>
  <c r="AF650" i="7" s="1"/>
  <c r="AE570" i="7"/>
  <c r="AF570" i="7" s="1"/>
  <c r="AE711" i="7"/>
  <c r="AF711" i="7" s="1"/>
  <c r="AE718" i="7"/>
  <c r="AF718" i="7" s="1"/>
  <c r="AE323" i="7"/>
  <c r="AF323" i="7" s="1"/>
  <c r="AE28" i="7"/>
  <c r="AF28" i="7" s="1"/>
  <c r="AE131" i="7"/>
  <c r="AF131" i="7" s="1"/>
  <c r="AE171" i="7"/>
  <c r="AF171" i="7" s="1"/>
  <c r="AE10" i="7"/>
  <c r="AF10" i="7" s="1"/>
  <c r="AE266" i="7"/>
  <c r="AF266" i="7" s="1"/>
  <c r="AE491" i="7"/>
  <c r="AF491" i="7" s="1"/>
  <c r="AE618" i="7"/>
  <c r="AF618" i="7" s="1"/>
  <c r="AE706" i="7"/>
  <c r="AF706" i="7" s="1"/>
  <c r="AE512" i="7"/>
  <c r="AF512" i="7" s="1"/>
  <c r="AE204" i="7"/>
  <c r="AF204" i="7" s="1"/>
  <c r="AE402" i="7"/>
  <c r="AF402" i="7" s="1"/>
  <c r="AE540" i="7"/>
  <c r="AF540" i="7" s="1"/>
  <c r="AE658" i="7"/>
  <c r="AF658" i="7" s="1"/>
  <c r="AE442" i="7"/>
  <c r="AF442" i="7" s="1"/>
  <c r="AE45" i="7"/>
  <c r="AF45" i="7" s="1"/>
  <c r="AE93" i="7"/>
  <c r="AF93" i="7" s="1"/>
  <c r="AE149" i="7"/>
  <c r="AF149" i="7" s="1"/>
  <c r="AE205" i="7"/>
  <c r="AF205" i="7" s="1"/>
  <c r="AE261" i="7"/>
  <c r="AF261" i="7" s="1"/>
  <c r="AE317" i="7"/>
  <c r="AF317" i="7" s="1"/>
  <c r="AE365" i="7"/>
  <c r="AF365" i="7" s="1"/>
  <c r="AE421" i="7"/>
  <c r="AF421" i="7" s="1"/>
  <c r="AE153" i="7"/>
  <c r="AF153" i="7" s="1"/>
  <c r="AE337" i="7"/>
  <c r="AF337" i="7" s="1"/>
  <c r="AE545" i="7"/>
  <c r="AF545" i="7" s="1"/>
  <c r="AE82" i="7"/>
  <c r="AF82" i="7" s="1"/>
  <c r="AE316" i="7"/>
  <c r="AF316" i="7" s="1"/>
  <c r="AE477" i="7"/>
  <c r="AF477" i="7" s="1"/>
  <c r="AE605" i="7"/>
  <c r="AF605" i="7" s="1"/>
  <c r="AE708" i="7"/>
  <c r="AF708" i="7" s="1"/>
  <c r="AE448" i="7"/>
  <c r="AF448" i="7" s="1"/>
  <c r="AE46" i="7"/>
  <c r="AF46" i="7" s="1"/>
  <c r="AE102" i="7"/>
  <c r="AF102" i="7" s="1"/>
  <c r="AE150" i="7"/>
  <c r="AF150" i="7" s="1"/>
  <c r="AE206" i="7"/>
  <c r="AF206" i="7" s="1"/>
  <c r="AE254" i="7"/>
  <c r="AF254" i="7" s="1"/>
  <c r="AE310" i="7"/>
  <c r="AF310" i="7" s="1"/>
  <c r="AE366" i="7"/>
  <c r="AF366" i="7" s="1"/>
  <c r="AE414" i="7"/>
  <c r="AF414" i="7" s="1"/>
  <c r="AE470" i="7"/>
  <c r="AF470" i="7" s="1"/>
  <c r="AE518" i="7"/>
  <c r="AF518" i="7" s="1"/>
  <c r="AE574" i="7"/>
  <c r="AF574" i="7" s="1"/>
  <c r="AE81" i="7"/>
  <c r="AF81" i="7" s="1"/>
  <c r="AE297" i="7"/>
  <c r="AF297" i="7" s="1"/>
  <c r="AE521" i="7"/>
  <c r="AF521" i="7" s="1"/>
  <c r="AE20" i="7"/>
  <c r="AF20" i="7" s="1"/>
  <c r="AE276" i="7"/>
  <c r="AF276" i="7" s="1"/>
  <c r="AE482" i="7"/>
  <c r="AF482" i="7" s="1"/>
  <c r="AE621" i="7"/>
  <c r="AF621" i="7" s="1"/>
  <c r="AE709" i="7"/>
  <c r="AF709" i="7" s="1"/>
  <c r="AE450" i="7"/>
  <c r="AF450" i="7" s="1"/>
  <c r="AE39" i="7"/>
  <c r="AF39" i="7" s="1"/>
  <c r="AE103" i="7"/>
  <c r="AF103" i="7" s="1"/>
  <c r="AE159" i="7"/>
  <c r="AF159" i="7" s="1"/>
  <c r="AE215" i="7"/>
  <c r="AF215" i="7" s="1"/>
  <c r="AE271" i="7"/>
  <c r="AF271" i="7" s="1"/>
  <c r="AE327" i="7"/>
  <c r="AF327" i="7" s="1"/>
  <c r="AE439" i="7"/>
  <c r="AF439" i="7" s="1"/>
  <c r="AE503" i="7"/>
  <c r="AF503" i="7" s="1"/>
  <c r="AE551" i="7"/>
  <c r="AF551" i="7" s="1"/>
  <c r="AE663" i="7"/>
  <c r="AF663" i="7" s="1"/>
  <c r="AE321" i="7"/>
  <c r="AF321" i="7" s="1"/>
  <c r="AE497" i="7"/>
  <c r="AF497" i="7" s="1"/>
  <c r="AE120" i="7"/>
  <c r="AF120" i="7" s="1"/>
  <c r="AE16" i="7"/>
  <c r="AF16" i="7" s="1"/>
  <c r="AE112" i="7"/>
  <c r="AF112" i="7" s="1"/>
  <c r="AE328" i="7"/>
  <c r="AF328" i="7" s="1"/>
  <c r="AE392" i="7"/>
  <c r="AF392" i="7" s="1"/>
  <c r="AE464" i="7"/>
  <c r="AF464" i="7" s="1"/>
  <c r="AE504" i="7"/>
  <c r="AF504" i="7" s="1"/>
  <c r="AE560" i="7"/>
  <c r="AF560" i="7" s="1"/>
  <c r="AE97" i="7"/>
  <c r="AF97" i="7" s="1"/>
  <c r="AE633" i="7"/>
  <c r="AF633" i="7" s="1"/>
  <c r="AE636" i="7"/>
  <c r="AF636" i="7" s="1"/>
  <c r="AE637" i="7"/>
  <c r="AF637" i="7" s="1"/>
  <c r="AE702" i="7"/>
  <c r="AF702" i="7" s="1"/>
  <c r="AE60" i="7"/>
  <c r="AF60" i="7" s="1"/>
  <c r="AE92" i="7"/>
  <c r="AF92" i="7" s="1"/>
  <c r="AE622" i="7"/>
  <c r="AF622" i="7" s="1"/>
  <c r="AE532" i="7"/>
  <c r="AF532" i="7" s="1"/>
  <c r="AE434" i="7"/>
  <c r="AF434" i="7" s="1"/>
  <c r="AE672" i="7"/>
  <c r="AF672" i="7" s="1"/>
  <c r="AE35" i="7"/>
  <c r="AF35" i="7" s="1"/>
  <c r="AE179" i="7"/>
  <c r="AF179" i="7" s="1"/>
  <c r="AE42" i="7"/>
  <c r="AF42" i="7" s="1"/>
  <c r="AE291" i="7"/>
  <c r="AF291" i="7" s="1"/>
  <c r="AE507" i="7"/>
  <c r="AF507" i="7" s="1"/>
  <c r="AE629" i="7"/>
  <c r="AF629" i="7" s="1"/>
  <c r="AE714" i="7"/>
  <c r="AF714" i="7" s="1"/>
  <c r="AE602" i="7"/>
  <c r="AF602" i="7" s="1"/>
  <c r="AE236" i="7"/>
  <c r="AF236" i="7" s="1"/>
  <c r="AE420" i="7"/>
  <c r="AF420" i="7" s="1"/>
  <c r="AE556" i="7"/>
  <c r="AF556" i="7" s="1"/>
  <c r="AE669" i="7"/>
  <c r="AF669" i="7" s="1"/>
  <c r="AE608" i="7"/>
  <c r="AF608" i="7" s="1"/>
  <c r="AE53" i="7"/>
  <c r="AF53" i="7" s="1"/>
  <c r="AE101" i="7"/>
  <c r="AF101" i="7" s="1"/>
  <c r="AE157" i="7"/>
  <c r="AF157" i="7" s="1"/>
  <c r="AE373" i="7"/>
  <c r="AF373" i="7" s="1"/>
  <c r="AE429" i="7"/>
  <c r="AF429" i="7" s="1"/>
  <c r="AE369" i="7"/>
  <c r="AF369" i="7" s="1"/>
  <c r="AE577" i="7"/>
  <c r="AF577" i="7" s="1"/>
  <c r="AE114" i="7"/>
  <c r="AF114" i="7" s="1"/>
  <c r="AE339" i="7"/>
  <c r="AF339" i="7" s="1"/>
  <c r="AE493" i="7"/>
  <c r="AF493" i="7" s="1"/>
  <c r="AE620" i="7"/>
  <c r="AF620" i="7" s="1"/>
  <c r="AE716" i="7"/>
  <c r="AF716" i="7" s="1"/>
  <c r="AE538" i="7"/>
  <c r="AF538" i="7" s="1"/>
  <c r="AE158" i="7"/>
  <c r="AF158" i="7" s="1"/>
  <c r="AE214" i="7"/>
  <c r="AF214" i="7" s="1"/>
  <c r="AE422" i="7"/>
  <c r="AF422" i="7" s="1"/>
  <c r="AE478" i="7"/>
  <c r="AF478" i="7" s="1"/>
  <c r="AE526" i="7"/>
  <c r="AF526" i="7" s="1"/>
  <c r="AE582" i="7"/>
  <c r="AF582" i="7" s="1"/>
  <c r="AE52" i="7"/>
  <c r="AF52" i="7" s="1"/>
  <c r="AE299" i="7"/>
  <c r="AF299" i="7" s="1"/>
  <c r="AE498" i="7"/>
  <c r="AF498" i="7" s="1"/>
  <c r="AE635" i="7"/>
  <c r="AF635" i="7" s="1"/>
  <c r="AE717" i="7"/>
  <c r="AF717" i="7" s="1"/>
  <c r="AE544" i="7"/>
  <c r="AF544" i="7" s="1"/>
  <c r="AE47" i="7"/>
  <c r="AF47" i="7" s="1"/>
  <c r="AE111" i="7"/>
  <c r="AF111" i="7" s="1"/>
  <c r="AE223" i="7"/>
  <c r="AF223" i="7" s="1"/>
  <c r="AE279" i="7"/>
  <c r="AF279" i="7" s="1"/>
  <c r="AE335" i="7"/>
  <c r="AF335" i="7" s="1"/>
  <c r="AE447" i="7"/>
  <c r="AF447" i="7" s="1"/>
  <c r="AE511" i="7"/>
  <c r="AF511" i="7" s="1"/>
  <c r="AE559" i="7"/>
  <c r="AF559" i="7" s="1"/>
  <c r="AE615" i="7"/>
  <c r="AF615" i="7" s="1"/>
  <c r="AE145" i="7"/>
  <c r="AF145" i="7" s="1"/>
  <c r="AE537" i="7"/>
  <c r="AF537" i="7" s="1"/>
  <c r="AE184" i="7"/>
  <c r="AF184" i="7" s="1"/>
  <c r="AE40" i="7"/>
  <c r="AF40" i="7" s="1"/>
  <c r="AE136" i="7"/>
  <c r="AF136" i="7" s="1"/>
  <c r="AE336" i="7"/>
  <c r="AF336" i="7" s="1"/>
  <c r="AE400" i="7"/>
  <c r="AF400" i="7" s="1"/>
  <c r="AE481" i="7"/>
  <c r="AF481" i="7" s="1"/>
  <c r="AE686" i="7"/>
  <c r="AF686" i="7" s="1"/>
  <c r="AE694" i="7"/>
  <c r="AF694" i="7" s="1"/>
  <c r="AE300" i="7"/>
  <c r="AF300" i="7" s="1"/>
  <c r="AE306" i="7"/>
  <c r="AF306" i="7" s="1"/>
  <c r="AE156" i="7"/>
  <c r="AF156" i="7" s="1"/>
  <c r="AE324" i="7"/>
  <c r="AF324" i="7" s="1"/>
  <c r="AE626" i="7"/>
  <c r="AF626" i="7" s="1"/>
</calcChain>
</file>

<file path=xl/sharedStrings.xml><?xml version="1.0" encoding="utf-8"?>
<sst xmlns="http://schemas.openxmlformats.org/spreadsheetml/2006/main" count="31286" uniqueCount="1441">
  <si>
    <t>Excel Portfolio Project #1 — Northstar Retail Sales Analysis</t>
  </si>
  <si>
    <t>Business Scenario</t>
  </si>
  <si>
    <t>You are a junior data analyst at Northstar Retail Canada. Management wants a 2025 performance review showing sales, profit, customers, products, channels, returns and performance versus monthly targets. The raw export is intentionally messy. Your job is to clean it, validate it, analyze it and build an executive Excel dashboard.</t>
  </si>
  <si>
    <t>Your Build — Do NOT skip steps</t>
  </si>
  <si>
    <t>Stage</t>
  </si>
  <si>
    <t>What you should build</t>
  </si>
  <si>
    <t>Core Excel concepts</t>
  </si>
  <si>
    <t>1. Audit</t>
  </si>
  <si>
    <t>Check row count, blanks, duplicate Order_IDs, inconsistent categories, key quality.</t>
  </si>
  <si>
    <t>COUNTIF/COUNTIFS, filters, conditional formatting</t>
  </si>
  <si>
    <t>2. Clean</t>
  </si>
  <si>
    <t>Create a new Cleaned_Data sheet. Normalize spaces/text and standardize categories.</t>
  </si>
  <si>
    <t>TRIM, CLEAN, SUBSTITUTE, UPPER/LOWER/PROPER, IF</t>
  </si>
  <si>
    <t>3. Parse</t>
  </si>
  <si>
    <t>Extract Customer Name, City and Segment from Customer_Info.</t>
  </si>
  <si>
    <t>FIND, MID, LEFT, RIGHT, LEN — including finding the 2nd comma</t>
  </si>
  <si>
    <t>4. Enrich</t>
  </si>
  <si>
    <t>Bring Product, Category, Unit Cost, Region and customer segment into Cleaned_Data.</t>
  </si>
  <si>
    <t>XLOOKUP; then redo one lookup with INDEX+MATCH</t>
  </si>
  <si>
    <t>5. Calculate</t>
  </si>
  <si>
    <t>Create Gross Sales, Discount Amount, Net Sales, Total Cost, Profit, Profit Margin.</t>
  </si>
  <si>
    <t>Arithmetic, IF/IFERROR, absolute/relative references</t>
  </si>
  <si>
    <t>6. Date fields</t>
  </si>
  <si>
    <t>Create Month, Month Number, Quarter and Year.</t>
  </si>
  <si>
    <t>YEAR, MONTH, TEXT, date logic</t>
  </si>
  <si>
    <t>7. Analyze</t>
  </si>
  <si>
    <t>Answer the business questions below using PivotTables and/or SUMIFS/COUNTIFS.</t>
  </si>
  <si>
    <t>PivotTables, SUMIFS, COUNTIFS, aggregation</t>
  </si>
  <si>
    <t>8. Dashboard</t>
  </si>
  <si>
    <t>Build one-page dashboard with KPIs + charts + filters/slicers.</t>
  </si>
  <si>
    <t>PivotCharts, charts, KPI design, formatting</t>
  </si>
  <si>
    <t>9. QA</t>
  </si>
  <si>
    <t>Reconcile dashboard totals to cleaned transactions and document assumptions.</t>
  </si>
  <si>
    <t>Data validation, error checks, reconciliation</t>
  </si>
  <si>
    <t>10. GitHub</t>
  </si>
  <si>
    <t>Publish workbook + README + screenshots + key findings.</t>
  </si>
  <si>
    <t>Portfolio storytelling</t>
  </si>
  <si>
    <t>Business Questions Your Analysis Must Answer</t>
  </si>
  <si>
    <t>1</t>
  </si>
  <si>
    <t>What were total Net Sales, Profit, Profit Margin and unique Orders in 2025?</t>
  </si>
  <si>
    <t>2</t>
  </si>
  <si>
    <t>Which months beat or missed sales and profit targets?</t>
  </si>
  <si>
    <t>3</t>
  </si>
  <si>
    <t>Which product categories and products generated the most sales and profit?</t>
  </si>
  <si>
    <t>4</t>
  </si>
  <si>
    <t>Which regions and customer segments are most valuable?</t>
  </si>
  <si>
    <t>5</t>
  </si>
  <si>
    <t>How do Online, Retail Store and Marketplace channels compare?</t>
  </si>
  <si>
    <t>6</t>
  </si>
  <si>
    <t>Which products have high sales but weak profit margin?</t>
  </si>
  <si>
    <t>7</t>
  </si>
  <si>
    <t>Do larger discounts appear to improve revenue at the expense of margin?</t>
  </si>
  <si>
    <t>8</t>
  </si>
  <si>
    <t>Which channels/regions have the highest return rate?</t>
  </si>
  <si>
    <t>9</t>
  </si>
  <si>
    <t>What are the top 10 customers by Net Sales?</t>
  </si>
  <si>
    <t>10</t>
  </si>
  <si>
    <t>What 3 actions would you recommend to management based on your analysis?</t>
  </si>
  <si>
    <t>Final GitHub Deliverables</t>
  </si>
  <si>
    <t>File</t>
  </si>
  <si>
    <t>Purpose</t>
  </si>
  <si>
    <t>Northstar_Retail_Analysis.xlsx</t>
  </si>
  <si>
    <t>Your completed cleaned data, analysis and dashboard.</t>
  </si>
  <si>
    <t>README.md</t>
  </si>
  <si>
    <t>Business problem, cleaning steps, analysis, findings and recommendations.</t>
  </si>
  <si>
    <t>dashboard.png</t>
  </si>
  <si>
    <t>Screenshot of your final dashboard for the repo landing page.</t>
  </si>
  <si>
    <t>Optional: cleaned_sales.csv</t>
  </si>
  <si>
    <t>Cleaned dataset for future SQL/Python reuse.</t>
  </si>
  <si>
    <t>Order_ID</t>
  </si>
  <si>
    <t>Order_Date</t>
  </si>
  <si>
    <t>Customer_ID</t>
  </si>
  <si>
    <t>Product_ID</t>
  </si>
  <si>
    <t>Customer_Info</t>
  </si>
  <si>
    <t>Store_Raw</t>
  </si>
  <si>
    <t>Salesperson</t>
  </si>
  <si>
    <t>Channel_Raw</t>
  </si>
  <si>
    <t>Quantity</t>
  </si>
  <si>
    <t>Unit_Price</t>
  </si>
  <si>
    <t>Discount_Pct</t>
  </si>
  <si>
    <t>Payment_Method_Raw</t>
  </si>
  <si>
    <t>Delivery_Days</t>
  </si>
  <si>
    <t>Return_Status</t>
  </si>
  <si>
    <t>ORD-2025-00001</t>
  </si>
  <si>
    <t>C0113</t>
  </si>
  <si>
    <t>P1025</t>
  </si>
  <si>
    <t>Olivia Johnson, Surrey, Consumer</t>
  </si>
  <si>
    <t>Online Fulfillment</t>
  </si>
  <si>
    <t>J. Tremblay</t>
  </si>
  <si>
    <t>Online</t>
  </si>
  <si>
    <t>PayPal</t>
  </si>
  <si>
    <t>No</t>
  </si>
  <si>
    <t>ORD-2025-00002</t>
  </si>
  <si>
    <t>C0084</t>
  </si>
  <si>
    <t>P1033</t>
  </si>
  <si>
    <t>Ryan Clark, Montreal, Corporate</t>
  </si>
  <si>
    <t>L. Chen</t>
  </si>
  <si>
    <t>Retail Store</t>
  </si>
  <si>
    <t>Debit Card</t>
  </si>
  <si>
    <t>ORD-2025-00003</t>
  </si>
  <si>
    <t>C0003</t>
  </si>
  <si>
    <t>P1021</t>
  </si>
  <si>
    <t>Amelia Young, Ottawa, Corporate</t>
  </si>
  <si>
    <t>Vancouver West</t>
  </si>
  <si>
    <t>N. Brown</t>
  </si>
  <si>
    <t>Marketplace</t>
  </si>
  <si>
    <t>Credit Card</t>
  </si>
  <si>
    <t>ORD-2025-00004</t>
  </si>
  <si>
    <t>C0071</t>
  </si>
  <si>
    <t>P1032</t>
  </si>
  <si>
    <t>Ethan Lee, Surrey, Consumer</t>
  </si>
  <si>
    <t>Montreal Central</t>
  </si>
  <si>
    <t>ORD-2025-00005</t>
  </si>
  <si>
    <t>C0083</t>
  </si>
  <si>
    <t>P1034</t>
  </si>
  <si>
    <t>Amine King, Edmonton, Consumer</t>
  </si>
  <si>
    <t>Toronto Downtown</t>
  </si>
  <si>
    <t>A. Morgan</t>
  </si>
  <si>
    <t>ORD-2025-00006</t>
  </si>
  <si>
    <t>C0057</t>
  </si>
  <si>
    <t>P1015</t>
  </si>
  <si>
    <t>Adam Khan, Edmonton, Small Business</t>
  </si>
  <si>
    <t>E. Roy</t>
  </si>
  <si>
    <t>ORD-2025-00007</t>
  </si>
  <si>
    <t>C0021</t>
  </si>
  <si>
    <t>P1027</t>
  </si>
  <si>
    <t>Nora King, Halifax, Corporate</t>
  </si>
  <si>
    <t>ORD-2025-00008</t>
  </si>
  <si>
    <t>C0015</t>
  </si>
  <si>
    <t>Zoe Singh, Halifax, Consumer</t>
  </si>
  <si>
    <t>M. Wilson</t>
  </si>
  <si>
    <t>ORD-2025-00009</t>
  </si>
  <si>
    <t>C0104</t>
  </si>
  <si>
    <t>P1039</t>
  </si>
  <si>
    <t>Ava Scott, Edmonton, Corporate</t>
  </si>
  <si>
    <t>ORD-2025-00010</t>
  </si>
  <si>
    <t>P1003</t>
  </si>
  <si>
    <t>ORD-2025-00011</t>
  </si>
  <si>
    <t>C0106</t>
  </si>
  <si>
    <t>P1012</t>
  </si>
  <si>
    <t>Liam Gagnon, Ottawa, Small Business</t>
  </si>
  <si>
    <t>ORD-2025-00012</t>
  </si>
  <si>
    <t>C0002</t>
  </si>
  <si>
    <t>P1038</t>
  </si>
  <si>
    <t>Ryan Johnson, Montreal, Small Business</t>
  </si>
  <si>
    <t>Calgary North</t>
  </si>
  <si>
    <t>Gift  Card</t>
  </si>
  <si>
    <t>Yes</t>
  </si>
  <si>
    <t>ORD-2025-00013</t>
  </si>
  <si>
    <t>P1011</t>
  </si>
  <si>
    <t>ORD-2025-00014</t>
  </si>
  <si>
    <t>C0014</t>
  </si>
  <si>
    <t>P1008</t>
  </si>
  <si>
    <t>Zoe Scott, Montreal, Small Business</t>
  </si>
  <si>
    <t>Gift Card</t>
  </si>
  <si>
    <t>ORD-2025-00015</t>
  </si>
  <si>
    <t>C0112</t>
  </si>
  <si>
    <t>P1009</t>
  </si>
  <si>
    <t>Ava Bennett, Halifax, Consumer</t>
  </si>
  <si>
    <t>ORD-2025-00016</t>
  </si>
  <si>
    <t>C0073</t>
  </si>
  <si>
    <t>Olivia Singh, Mississauga, Consumer</t>
  </si>
  <si>
    <t>ORD-2025-00017</t>
  </si>
  <si>
    <t>ORD-2025-00018</t>
  </si>
  <si>
    <t>C0032</t>
  </si>
  <si>
    <t>P1024</t>
  </si>
  <si>
    <t>Nora Bennett, Surrey, Consumer</t>
  </si>
  <si>
    <t>MARKETPLACE</t>
  </si>
  <si>
    <t>ORD-2025-00019</t>
  </si>
  <si>
    <t>C0064</t>
  </si>
  <si>
    <t>Amine Khan, Edmonton, Consumer</t>
  </si>
  <si>
    <t>S. Patel</t>
  </si>
  <si>
    <t>ORD-2025-00020</t>
  </si>
  <si>
    <t>C0077</t>
  </si>
  <si>
    <t>P1002</t>
  </si>
  <si>
    <t>Amine Taylor, Surrey, Small Business</t>
  </si>
  <si>
    <t>ORD-2025-00021</t>
  </si>
  <si>
    <t>C0041</t>
  </si>
  <si>
    <t>Amine Chen, Halifax, Small Business</t>
  </si>
  <si>
    <t>ORD-2025-00022</t>
  </si>
  <si>
    <t>C0085</t>
  </si>
  <si>
    <t>P1007</t>
  </si>
  <si>
    <t>Yasmine Clark, Calgary, Consumer</t>
  </si>
  <si>
    <t>R. Singh</t>
  </si>
  <si>
    <t>ORD-2025-00023</t>
  </si>
  <si>
    <t>C0036</t>
  </si>
  <si>
    <t>Sarah Wilson, Montreal, Corporate</t>
  </si>
  <si>
    <t>Vancouver  West</t>
  </si>
  <si>
    <t>ORD-2025-00024</t>
  </si>
  <si>
    <t>C0054</t>
  </si>
  <si>
    <t>P1004</t>
  </si>
  <si>
    <t>Maya Hall , Surrey , Small Business</t>
  </si>
  <si>
    <t>ORD-2025-00025</t>
  </si>
  <si>
    <t>C0023</t>
  </si>
  <si>
    <t>P1029</t>
  </si>
  <si>
    <t>Ryan Gagnon, Ottawa, Small Business</t>
  </si>
  <si>
    <t>ORD-2025-00026</t>
  </si>
  <si>
    <t>C0091</t>
  </si>
  <si>
    <t>Leo Taylor, Victoria, Small Business</t>
  </si>
  <si>
    <t>ORD-2025-00027</t>
  </si>
  <si>
    <t>C0118</t>
  </si>
  <si>
    <t>Ryan Smith, Victoria, Small Business</t>
  </si>
  <si>
    <t>ORD-2025-00028</t>
  </si>
  <si>
    <t>C0029</t>
  </si>
  <si>
    <t>Olivia White , Victoria , Consumer</t>
  </si>
  <si>
    <t>ORD-2025-00029</t>
  </si>
  <si>
    <t>C0061</t>
  </si>
  <si>
    <t>Zoe Hall, Vancouver, Consumer</t>
  </si>
  <si>
    <t>ORD-2025-00030</t>
  </si>
  <si>
    <t>C0005</t>
  </si>
  <si>
    <t>P1040</t>
  </si>
  <si>
    <t>Yasmine Taylor, Calgary, Consumer</t>
  </si>
  <si>
    <t>ORD-2025-00031</t>
  </si>
  <si>
    <t>C0001</t>
  </si>
  <si>
    <t>Ethan Roy, Halifax, Consumer</t>
  </si>
  <si>
    <t>ORD-2025-00032</t>
  </si>
  <si>
    <t>C0065</t>
  </si>
  <si>
    <t>P1006</t>
  </si>
  <si>
    <t>Mia Wilson, Quebec City, Consumer</t>
  </si>
  <si>
    <t>ORD-2025-00033</t>
  </si>
  <si>
    <t>C0067</t>
  </si>
  <si>
    <t>P1018</t>
  </si>
  <si>
    <t>Leo Bennett, Mississauga, Consumer</t>
  </si>
  <si>
    <t>Montreal  Central</t>
  </si>
  <si>
    <t>ORD-2025-00034</t>
  </si>
  <si>
    <t>C0110</t>
  </si>
  <si>
    <t>P1010</t>
  </si>
  <si>
    <t>Sarah Smith, Laval, Consumer</t>
  </si>
  <si>
    <t>ONLINE</t>
  </si>
  <si>
    <t>ORD-2025-00035</t>
  </si>
  <si>
    <t>C0063</t>
  </si>
  <si>
    <t>P1037</t>
  </si>
  <si>
    <t>Adam Singh, Laval, Small Business</t>
  </si>
  <si>
    <t>Retail  Store</t>
  </si>
  <si>
    <t>ORD-2025-00036</t>
  </si>
  <si>
    <t>ORD-2025-00037</t>
  </si>
  <si>
    <t>C0102</t>
  </si>
  <si>
    <t>Adam Roy, Edmonton, Corporate</t>
  </si>
  <si>
    <t>ORD-2025-00038</t>
  </si>
  <si>
    <t>C0089</t>
  </si>
  <si>
    <t>Lucas Martin, Vancouver, Consumer</t>
  </si>
  <si>
    <t>ORD-2025-00039</t>
  </si>
  <si>
    <t>ORD-2025-00040</t>
  </si>
  <si>
    <t>C0048</t>
  </si>
  <si>
    <t>P1005</t>
  </si>
  <si>
    <t>Amelia Brown, Quebec City, Corporate</t>
  </si>
  <si>
    <t>retail store</t>
  </si>
  <si>
    <t>ORD-2025-00041</t>
  </si>
  <si>
    <t>C0012</t>
  </si>
  <si>
    <t>P1022</t>
  </si>
  <si>
    <t>Daniel Taylor, Victoria, Corporate</t>
  </si>
  <si>
    <t>ORD-2025-00042</t>
  </si>
  <si>
    <t>P1019</t>
  </si>
  <si>
    <t>CC</t>
  </si>
  <si>
    <t>ORD-2025-00043</t>
  </si>
  <si>
    <t>P1014</t>
  </si>
  <si>
    <t>ORD-2025-00044</t>
  </si>
  <si>
    <t>C0068</t>
  </si>
  <si>
    <t>Yasmine Martin, Calgary, Consumer</t>
  </si>
  <si>
    <t>ORD-2025-00045</t>
  </si>
  <si>
    <t>C0076</t>
  </si>
  <si>
    <t>P1031</t>
  </si>
  <si>
    <t>Maya Taylor , Saskatoon , Corporate</t>
  </si>
  <si>
    <t>ORD-2025-00046</t>
  </si>
  <si>
    <t>ORD-2025-00047</t>
  </si>
  <si>
    <t>C0020</t>
  </si>
  <si>
    <t>Nora Khan, Mississauga, Consumer</t>
  </si>
  <si>
    <t>ORD-2025-00048</t>
  </si>
  <si>
    <t>C0043</t>
  </si>
  <si>
    <t>Ava Brown, Ottawa, Small Business</t>
  </si>
  <si>
    <t>ORD-2025-00049</t>
  </si>
  <si>
    <t>P1026</t>
  </si>
  <si>
    <t>ORD-2025-00050</t>
  </si>
  <si>
    <t>C0066</t>
  </si>
  <si>
    <t>Noah Clark, Laval, Consumer</t>
  </si>
  <si>
    <t>ORD-2025-00051</t>
  </si>
  <si>
    <t>ORD-2025-00052</t>
  </si>
  <si>
    <t>P1001</t>
  </si>
  <si>
    <t>ORD-2025-00053</t>
  </si>
  <si>
    <t>C0069</t>
  </si>
  <si>
    <t>Sarah White, Ottawa, Consumer</t>
  </si>
  <si>
    <t>ORD-2025-00054</t>
  </si>
  <si>
    <t>ORD-2025-00055</t>
  </si>
  <si>
    <t>C0033</t>
  </si>
  <si>
    <t>Maya Hall, Winnipeg, Consumer</t>
  </si>
  <si>
    <t>ORD-2025-00056</t>
  </si>
  <si>
    <t>C0098</t>
  </si>
  <si>
    <t>Nora Young, Winnipeg, Consumer</t>
  </si>
  <si>
    <t>ORD-2025-00057</t>
  </si>
  <si>
    <t>ORD-2025-00058</t>
  </si>
  <si>
    <t>C0116</t>
  </si>
  <si>
    <t>Lucas Brown , Mississauga , Corporate</t>
  </si>
  <si>
    <t>ORD-2025-00059</t>
  </si>
  <si>
    <t>C0007</t>
  </si>
  <si>
    <t>Lucas Wilson , Ottawa , Consumer</t>
  </si>
  <si>
    <t>ORD-2025-00060</t>
  </si>
  <si>
    <t>C0040</t>
  </si>
  <si>
    <t>Ethan Young, Surrey, Consumer</t>
  </si>
  <si>
    <t>ORD-2025-00061</t>
  </si>
  <si>
    <t>ORD-2025-00062</t>
  </si>
  <si>
    <t>C0016</t>
  </si>
  <si>
    <t>Nora Singh, Calgary, Consumer</t>
  </si>
  <si>
    <t>ORD-2025-00063</t>
  </si>
  <si>
    <t>P1036</t>
  </si>
  <si>
    <t>ORD-2025-00064</t>
  </si>
  <si>
    <t>C0055</t>
  </si>
  <si>
    <t>Sarah Scott, Surrey, Consumer</t>
  </si>
  <si>
    <t>ORD-2025-00065</t>
  </si>
  <si>
    <t>online</t>
  </si>
  <si>
    <t>ORD-2025-00066</t>
  </si>
  <si>
    <t>Toronto  Downtown</t>
  </si>
  <si>
    <t>ORD-2025-00067</t>
  </si>
  <si>
    <t>ORD-2025-00068</t>
  </si>
  <si>
    <t>C0080</t>
  </si>
  <si>
    <t>Sarah Smith, Mississauga, Corporate</t>
  </si>
  <si>
    <t>ORD-2025-00069</t>
  </si>
  <si>
    <t>C0075</t>
  </si>
  <si>
    <t>Amelia Wilson, Vancouver, Consumer</t>
  </si>
  <si>
    <t>ORD-2025-00070</t>
  </si>
  <si>
    <t>C0013</t>
  </si>
  <si>
    <t>Amelia Martin, Quebec City, Small Business</t>
  </si>
  <si>
    <t>ORD-2025-00071</t>
  </si>
  <si>
    <t>C0119</t>
  </si>
  <si>
    <t>P1023</t>
  </si>
  <si>
    <t>Liam Chen , Winnipeg , Consumer</t>
  </si>
  <si>
    <t>ORD-2025-00072</t>
  </si>
  <si>
    <t>C0092</t>
  </si>
  <si>
    <t>Lucas Tremblay, Saskatoon, Consumer</t>
  </si>
  <si>
    <t>ORD-2025-00073</t>
  </si>
  <si>
    <t>ORD-2025-00074</t>
  </si>
  <si>
    <t>C0108</t>
  </si>
  <si>
    <t>Noah Lee , Surrey , Consumer</t>
  </si>
  <si>
    <t>ORD-2025-00075</t>
  </si>
  <si>
    <t>ORD-2025-00076</t>
  </si>
  <si>
    <t>ORD-2025-00077</t>
  </si>
  <si>
    <t>C0037</t>
  </si>
  <si>
    <t>Lucas Scott, Victoria, Small Business</t>
  </si>
  <si>
    <t>ORD-2025-00078</t>
  </si>
  <si>
    <t>C0047</t>
  </si>
  <si>
    <t>Amine King, Victoria, Consumer</t>
  </si>
  <si>
    <t>ORD-2025-00079</t>
  </si>
  <si>
    <t>ORD-2025-00080</t>
  </si>
  <si>
    <t>ORD-2025-00081</t>
  </si>
  <si>
    <t>C0114</t>
  </si>
  <si>
    <t>Olivia Johnson, Ottawa, Consumer</t>
  </si>
  <si>
    <t>ORD-2025-00082</t>
  </si>
  <si>
    <t>P1030</t>
  </si>
  <si>
    <t>ORD-2025-00083</t>
  </si>
  <si>
    <t>ORD-2025-00084</t>
  </si>
  <si>
    <t>C0088</t>
  </si>
  <si>
    <t>Olivia Bennett, Vancouver, Small Business</t>
  </si>
  <si>
    <t>ORD-2025-00085</t>
  </si>
  <si>
    <t>ORD-2025-00086</t>
  </si>
  <si>
    <t>Credit  Card</t>
  </si>
  <si>
    <t>ORD-2025-00087</t>
  </si>
  <si>
    <t>ORD-2025-00088</t>
  </si>
  <si>
    <t>C0008</t>
  </si>
  <si>
    <t>Mia Wilson, Calgary, Consumer</t>
  </si>
  <si>
    <t>ORD-2025-00089</t>
  </si>
  <si>
    <t>C0044</t>
  </si>
  <si>
    <t>P1020</t>
  </si>
  <si>
    <t>Nora Young, Vancouver, Corporate</t>
  </si>
  <si>
    <t>ORD-2025-00090</t>
  </si>
  <si>
    <t>C0025</t>
  </si>
  <si>
    <t>Emma Gagnon, Surrey, Corporate</t>
  </si>
  <si>
    <t>ORD-2025-00091</t>
  </si>
  <si>
    <t>C0117</t>
  </si>
  <si>
    <t>Ethan Hall, Vancouver, Consumer</t>
  </si>
  <si>
    <t>ORD-2025-00092</t>
  </si>
  <si>
    <t>Paypal</t>
  </si>
  <si>
    <t>ORD-2025-00093</t>
  </si>
  <si>
    <t>C0049</t>
  </si>
  <si>
    <t>Olivia Scott, Quebec City, Consumer</t>
  </si>
  <si>
    <t>ORD-2025-00094</t>
  </si>
  <si>
    <t>C0035</t>
  </si>
  <si>
    <t>Amelia Scott, Edmonton, Small Business</t>
  </si>
  <si>
    <t>ORD-2025-00095</t>
  </si>
  <si>
    <t>ORD-2025-00096</t>
  </si>
  <si>
    <t>ORD-2025-00097</t>
  </si>
  <si>
    <t>C0072</t>
  </si>
  <si>
    <t>Ryan Bennett, Montreal, Corporate</t>
  </si>
  <si>
    <t>ORD-2025-00098</t>
  </si>
  <si>
    <t>ORD-2025-00099</t>
  </si>
  <si>
    <t>ORD-2025-00100</t>
  </si>
  <si>
    <t>ORD-2025-00101</t>
  </si>
  <si>
    <t>ORD-2025-00102</t>
  </si>
  <si>
    <t>C0009</t>
  </si>
  <si>
    <t>Ethan Tremblay , Mississauga , Corporate</t>
  </si>
  <si>
    <t>ORD-2025-00103</t>
  </si>
  <si>
    <t>C0103</t>
  </si>
  <si>
    <t>Zoe Singh, Saskatoon, Corporate</t>
  </si>
  <si>
    <t>ORD-2025-00104</t>
  </si>
  <si>
    <t>Mia Wilson , Quebec City , Consumer</t>
  </si>
  <si>
    <t>ORD-2025-00105</t>
  </si>
  <si>
    <t>Lucas Wilson, Ottawa, Consumer</t>
  </si>
  <si>
    <t>ORD-2025-00106</t>
  </si>
  <si>
    <t>C0058</t>
  </si>
  <si>
    <t>Mia Singh, Laval, Consumer</t>
  </si>
  <si>
    <t>ORD-2025-00107</t>
  </si>
  <si>
    <t>C0090</t>
  </si>
  <si>
    <t>Nora Young, Montreal, Small Business</t>
  </si>
  <si>
    <t>ORD-2025-00108</t>
  </si>
  <si>
    <t>C0010</t>
  </si>
  <si>
    <t>Ethan Martin, Victoria, Corporate</t>
  </si>
  <si>
    <t>ORD-2025-00109</t>
  </si>
  <si>
    <t>ORD-2025-00110</t>
  </si>
  <si>
    <t>C0038</t>
  </si>
  <si>
    <t>Noah Brown, Montreal, Consumer</t>
  </si>
  <si>
    <t>ORD-2025-00111</t>
  </si>
  <si>
    <t>ORD-2025-00112</t>
  </si>
  <si>
    <t>C0093</t>
  </si>
  <si>
    <t>Ethan Roy, Winnipeg, Consumer</t>
  </si>
  <si>
    <t>ORD-2025-00113</t>
  </si>
  <si>
    <t>ORD-2025-00114</t>
  </si>
  <si>
    <t>C0052</t>
  </si>
  <si>
    <t>Liam Bennett, Edmonton, Corporate</t>
  </si>
  <si>
    <t>ORD-2025-00115</t>
  </si>
  <si>
    <t>C0079</t>
  </si>
  <si>
    <t>P1028</t>
  </si>
  <si>
    <t>Sophia Scott, Ottawa, Consumer</t>
  </si>
  <si>
    <t>ORD-2025-00116</t>
  </si>
  <si>
    <t>ORD-2025-00117</t>
  </si>
  <si>
    <t>gift card</t>
  </si>
  <si>
    <t>ORD-2025-00118</t>
  </si>
  <si>
    <t>Noah Lee, Surrey, Consumer</t>
  </si>
  <si>
    <t>ORD-2025-00119</t>
  </si>
  <si>
    <t>ORD-2025-00120</t>
  </si>
  <si>
    <t>C0062</t>
  </si>
  <si>
    <t>Yasmine Scott, Toronto, Consumer</t>
  </si>
  <si>
    <t>ORD-2025-00121</t>
  </si>
  <si>
    <t>C0056</t>
  </si>
  <si>
    <t>Sarah Wilson, Halifax, Consumer</t>
  </si>
  <si>
    <t>PAYPAL</t>
  </si>
  <si>
    <t>ORD-2025-00122</t>
  </si>
  <si>
    <t>ORD-2025-00123</t>
  </si>
  <si>
    <t>Amine Khan , Edmonton , Consumer</t>
  </si>
  <si>
    <t>ORD-2025-00124</t>
  </si>
  <si>
    <t>ORD-2025-00125</t>
  </si>
  <si>
    <t>C0028</t>
  </si>
  <si>
    <t>Mia Clark, Victoria, Consumer</t>
  </si>
  <si>
    <t>ORD-2025-00126</t>
  </si>
  <si>
    <t>credit card</t>
  </si>
  <si>
    <t>ORD-2025-00127</t>
  </si>
  <si>
    <t>ORD-2025-00128</t>
  </si>
  <si>
    <t>ORD-2025-00129</t>
  </si>
  <si>
    <t>ORD-2025-00130</t>
  </si>
  <si>
    <t>ORD-2025-00131</t>
  </si>
  <si>
    <t>ORD-2025-00132</t>
  </si>
  <si>
    <t>C0074</t>
  </si>
  <si>
    <t>Sophia Chen , Vancouver , Corporate</t>
  </si>
  <si>
    <t>ORD-2025-00133</t>
  </si>
  <si>
    <t>ORD-2025-00134</t>
  </si>
  <si>
    <t>ORD-2025-00135</t>
  </si>
  <si>
    <t>C0070</t>
  </si>
  <si>
    <t>Sophia Young, Halifax, Corporate</t>
  </si>
  <si>
    <t>ORD-2025-00136</t>
  </si>
  <si>
    <t>ORD-2025-00137</t>
  </si>
  <si>
    <t>Maya Hall, Surrey, Small Business</t>
  </si>
  <si>
    <t>ORD-2025-00138</t>
  </si>
  <si>
    <t>ORD-2025-00139</t>
  </si>
  <si>
    <t>ORD-2025-00140</t>
  </si>
  <si>
    <t>ORD-2025-00141</t>
  </si>
  <si>
    <t>ORD-2025-00142</t>
  </si>
  <si>
    <t>C0030</t>
  </si>
  <si>
    <t>Emma Lee, Calgary, Corporate</t>
  </si>
  <si>
    <t>ORD-2025-00143</t>
  </si>
  <si>
    <t>C0096</t>
  </si>
  <si>
    <t>Ryan Roy, Laval, Corporate</t>
  </si>
  <si>
    <t>ORD-2025-00144</t>
  </si>
  <si>
    <t>P1035</t>
  </si>
  <si>
    <t>Liam Chen, Winnipeg, Consumer</t>
  </si>
  <si>
    <t>ORD-2025-00145</t>
  </si>
  <si>
    <t>C0018</t>
  </si>
  <si>
    <t>Sophia Tremblay, Laval, Small Business</t>
  </si>
  <si>
    <t>ORD-2025-00146</t>
  </si>
  <si>
    <t>ORD-2025-00147</t>
  </si>
  <si>
    <t>ORD-2025-00148</t>
  </si>
  <si>
    <t>ORD-2025-00149</t>
  </si>
  <si>
    <t>market place</t>
  </si>
  <si>
    <t>ORD-2025-00150</t>
  </si>
  <si>
    <t>C0053</t>
  </si>
  <si>
    <t>Ryan Lee, Laval, Consumer</t>
  </si>
  <si>
    <t>ORD-2025-00151</t>
  </si>
  <si>
    <t>ORD-2025-00152</t>
  </si>
  <si>
    <t>ORD-2025-00153</t>
  </si>
  <si>
    <t>ORD-2025-00154</t>
  </si>
  <si>
    <t>ORD-2025-00155</t>
  </si>
  <si>
    <t>C0105</t>
  </si>
  <si>
    <t>Liam Martin , Calgary , Consumer</t>
  </si>
  <si>
    <t>ORD-2025-00156</t>
  </si>
  <si>
    <t>ORD-2025-00157</t>
  </si>
  <si>
    <t>C0045</t>
  </si>
  <si>
    <t>Lucas Chen, Ottawa, Corporate</t>
  </si>
  <si>
    <t>ORD-2025-00158</t>
  </si>
  <si>
    <t>C0017</t>
  </si>
  <si>
    <t>Yasmine Khan, Mississauga, Corporate</t>
  </si>
  <si>
    <t>ORD-2025-00159</t>
  </si>
  <si>
    <t>C0022</t>
  </si>
  <si>
    <t>Adam White, Victoria, Consumer</t>
  </si>
  <si>
    <t>ORD-2025-00160</t>
  </si>
  <si>
    <t>C0059</t>
  </si>
  <si>
    <t>Lucas Chen, Vancouver, Corporate</t>
  </si>
  <si>
    <t>ORD-2025-00161</t>
  </si>
  <si>
    <t>P1013</t>
  </si>
  <si>
    <t>Debit  Card</t>
  </si>
  <si>
    <t>ORD-2025-00162</t>
  </si>
  <si>
    <t>ORD-2025-00163</t>
  </si>
  <si>
    <t>C0078</t>
  </si>
  <si>
    <t>Sarah Smith, Edmonton, Corporate</t>
  </si>
  <si>
    <t>ORD-2025-00164</t>
  </si>
  <si>
    <t>ORD-2025-00165</t>
  </si>
  <si>
    <t>ORD-2025-00166</t>
  </si>
  <si>
    <t>C0082</t>
  </si>
  <si>
    <t>Ryan King, Winnipeg, Small Business</t>
  </si>
  <si>
    <t>ORD-2025-00167</t>
  </si>
  <si>
    <t>ORD-2025-00168</t>
  </si>
  <si>
    <t>C0120</t>
  </si>
  <si>
    <t>Ethan King, Mississauga, Small Business</t>
  </si>
  <si>
    <t>ORD-2025-00169</t>
  </si>
  <si>
    <t>ORD-2025-00170</t>
  </si>
  <si>
    <t>P1017</t>
  </si>
  <si>
    <t>debit card</t>
  </si>
  <si>
    <t>ORD-2025-00171</t>
  </si>
  <si>
    <t>C0115</t>
  </si>
  <si>
    <t>Nora Lee, Calgary, Consumer</t>
  </si>
  <si>
    <t>ORD-2025-00172</t>
  </si>
  <si>
    <t>ORD-2025-00173</t>
  </si>
  <si>
    <t>ORD-2025-00174</t>
  </si>
  <si>
    <t>ORD-2025-00175</t>
  </si>
  <si>
    <t>ORD-2025-00176</t>
  </si>
  <si>
    <t>ORD-2025-00177</t>
  </si>
  <si>
    <t>C0042</t>
  </si>
  <si>
    <t>Emma King, Quebec City, Consumer</t>
  </si>
  <si>
    <t>ORD-2025-00178</t>
  </si>
  <si>
    <t>ORD-2025-00179</t>
  </si>
  <si>
    <t>ORD-2025-00180</t>
  </si>
  <si>
    <t>C0039</t>
  </si>
  <si>
    <t>ORD-2025-00181</t>
  </si>
  <si>
    <t>C0086</t>
  </si>
  <si>
    <t>Adam Gagnon, Winnipeg, Consumer</t>
  </si>
  <si>
    <t>ORD-2025-00182</t>
  </si>
  <si>
    <t>ORD-2025-00183</t>
  </si>
  <si>
    <t>ORD-2025-00184</t>
  </si>
  <si>
    <t>C0031</t>
  </si>
  <si>
    <t>Leo Gagnon, Surrey, Small Business</t>
  </si>
  <si>
    <t>ORD-2025-00185</t>
  </si>
  <si>
    <t>ORD-2025-00186</t>
  </si>
  <si>
    <t>ORD-2025-00187</t>
  </si>
  <si>
    <t>C0099</t>
  </si>
  <si>
    <t>Amine Gagnon , Laval , Small Business</t>
  </si>
  <si>
    <t>ORD-2025-00188</t>
  </si>
  <si>
    <t>C0094</t>
  </si>
  <si>
    <t>Mia Singh, Quebec City, Consumer</t>
  </si>
  <si>
    <t>ORD-2025-00189</t>
  </si>
  <si>
    <t>ORD-2025-00190</t>
  </si>
  <si>
    <t>ORD-2025-00191</t>
  </si>
  <si>
    <t>ORD-2025-00192</t>
  </si>
  <si>
    <t>ORD-2025-00193</t>
  </si>
  <si>
    <t>ORD-2025-00194</t>
  </si>
  <si>
    <t>ORD-2025-00195</t>
  </si>
  <si>
    <t>Lucas Martin , Vancouver , Consumer</t>
  </si>
  <si>
    <t>ORD-2025-00196</t>
  </si>
  <si>
    <t>Maya Taylor, Saskatoon, Corporate</t>
  </si>
  <si>
    <t>ORD-2025-00197</t>
  </si>
  <si>
    <t>C0095</t>
  </si>
  <si>
    <t>Maya White, Quebec City, Corporate</t>
  </si>
  <si>
    <t>ORD-2025-00198</t>
  </si>
  <si>
    <t>ORD-2025-00199</t>
  </si>
  <si>
    <t>ORD-2025-00200</t>
  </si>
  <si>
    <t>C0087</t>
  </si>
  <si>
    <t>Daniel Johnson, Halifax, Consumer</t>
  </si>
  <si>
    <t>ORD-2025-00201</t>
  </si>
  <si>
    <t>ORD-2025-00202</t>
  </si>
  <si>
    <t>Olivia White, Victoria, Consumer</t>
  </si>
  <si>
    <t>ORD-2025-00203</t>
  </si>
  <si>
    <t>ORD-2025-00204</t>
  </si>
  <si>
    <t>Ethan Tremblay, Mississauga, Corporate</t>
  </si>
  <si>
    <t>ORD-2025-00205</t>
  </si>
  <si>
    <t>ORD-2025-00206</t>
  </si>
  <si>
    <t>ORD-2025-00207</t>
  </si>
  <si>
    <t>ORD-2025-00208</t>
  </si>
  <si>
    <t>ORD-2025-00209</t>
  </si>
  <si>
    <t>ORD-2025-00210</t>
  </si>
  <si>
    <t>ORD-2025-00211</t>
  </si>
  <si>
    <t>ORD-2025-00212</t>
  </si>
  <si>
    <t>Amine Gagnon, Laval, Small Business</t>
  </si>
  <si>
    <t>ORD-2025-00213</t>
  </si>
  <si>
    <t>ORD-2025-00214</t>
  </si>
  <si>
    <t>ORD-2025-00215</t>
  </si>
  <si>
    <t>Leo Gagnon , Surrey , Small Business</t>
  </si>
  <si>
    <t>ORD-2025-00216</t>
  </si>
  <si>
    <t>ORD-2025-00217</t>
  </si>
  <si>
    <t>ORD-2025-00218</t>
  </si>
  <si>
    <t>ORD-2025-00219</t>
  </si>
  <si>
    <t>C0027</t>
  </si>
  <si>
    <t>Nora Wilson, Toronto, Small Business</t>
  </si>
  <si>
    <t>ORD-2025-00220</t>
  </si>
  <si>
    <t>C0004</t>
  </si>
  <si>
    <t>Mia Bennett, Laval, Consumer</t>
  </si>
  <si>
    <t>ORD-2025-00221</t>
  </si>
  <si>
    <t>C0109</t>
  </si>
  <si>
    <t>Emma Wilson, Victoria, Consumer</t>
  </si>
  <si>
    <t>ORD-2025-00222</t>
  </si>
  <si>
    <t>ORD-2025-00223</t>
  </si>
  <si>
    <t>ORD-2025-00224</t>
  </si>
  <si>
    <t>ORD-2025-00225</t>
  </si>
  <si>
    <t>ORD-2025-00226</t>
  </si>
  <si>
    <t>ORD-2025-00227</t>
  </si>
  <si>
    <t>ORD-2025-00228</t>
  </si>
  <si>
    <t>ORD-2025-00229</t>
  </si>
  <si>
    <t>C0051</t>
  </si>
  <si>
    <t>Daniel Brown, Vancouver, Small Business</t>
  </si>
  <si>
    <t>ORD-2025-00230</t>
  </si>
  <si>
    <t>C0060</t>
  </si>
  <si>
    <t>Sarah Wilson , Quebec City , Corporate</t>
  </si>
  <si>
    <t>ORD-2025-00231</t>
  </si>
  <si>
    <t>Sarah Smith , Laval , Consumer</t>
  </si>
  <si>
    <t>ORD-2025-00232</t>
  </si>
  <si>
    <t>ORD-2025-00233</t>
  </si>
  <si>
    <t>ORD-2025-00234</t>
  </si>
  <si>
    <t>ORD-2025-00235</t>
  </si>
  <si>
    <t>ORD-2025-00236</t>
  </si>
  <si>
    <t>ORD-2025-00237</t>
  </si>
  <si>
    <t>ORD-2025-00238</t>
  </si>
  <si>
    <t>ORD-2025-00239</t>
  </si>
  <si>
    <t>ORD-2025-00240</t>
  </si>
  <si>
    <t>ORD-2025-00241</t>
  </si>
  <si>
    <t>ORD-2025-00242</t>
  </si>
  <si>
    <t>ORD-2025-00243</t>
  </si>
  <si>
    <t>Olivia Johnson , Surrey , Consumer</t>
  </si>
  <si>
    <t>ORD-2025-00244</t>
  </si>
  <si>
    <t>ORD-2025-00245</t>
  </si>
  <si>
    <t>ORD-2025-00246</t>
  </si>
  <si>
    <t>ORD-2025-00247</t>
  </si>
  <si>
    <t>ORD-2025-00248</t>
  </si>
  <si>
    <t>Emma Wilson , Victoria , Consumer</t>
  </si>
  <si>
    <t>ORD-2025-00249</t>
  </si>
  <si>
    <t>C0024</t>
  </si>
  <si>
    <t>Ryan King, Mississauga, Consumer</t>
  </si>
  <si>
    <t>ORD-2025-00250</t>
  </si>
  <si>
    <t>ORD-2025-00251</t>
  </si>
  <si>
    <t>ORD-2025-00252</t>
  </si>
  <si>
    <t>ORD-2025-00253</t>
  </si>
  <si>
    <t>ORD-2025-00254</t>
  </si>
  <si>
    <t>C0011</t>
  </si>
  <si>
    <t>Ethan Hall, Quebec City, Consumer</t>
  </si>
  <si>
    <t>ORD-2025-00255</t>
  </si>
  <si>
    <t>C0050</t>
  </si>
  <si>
    <t>Sarah Singh, Mississauga, Consumer</t>
  </si>
  <si>
    <t>ORD-2025-00256</t>
  </si>
  <si>
    <t>ORD-2025-00257</t>
  </si>
  <si>
    <t>ORD-2025-00258</t>
  </si>
  <si>
    <t>ORD-2025-00259</t>
  </si>
  <si>
    <t>C0100</t>
  </si>
  <si>
    <t>Yasmine Smith, Mississauga, Consumer</t>
  </si>
  <si>
    <t>Online  Fulfillment</t>
  </si>
  <si>
    <t>ORD-2025-00260</t>
  </si>
  <si>
    <t>ORD-2025-00261</t>
  </si>
  <si>
    <t>ORD-2025-00262</t>
  </si>
  <si>
    <t>ORD-2025-00263</t>
  </si>
  <si>
    <t>ORD-2025-00264</t>
  </si>
  <si>
    <t>C0111</t>
  </si>
  <si>
    <t>Noah Khan, Halifax, Consumer</t>
  </si>
  <si>
    <t>ORD-2025-00265</t>
  </si>
  <si>
    <t>ORD-2025-00266</t>
  </si>
  <si>
    <t>ORD-2025-00267</t>
  </si>
  <si>
    <t>ORD-2025-00268</t>
  </si>
  <si>
    <t>ORD-2025-00269</t>
  </si>
  <si>
    <t>ORD-2025-00270</t>
  </si>
  <si>
    <t>ORD-2025-00271</t>
  </si>
  <si>
    <t>C0107</t>
  </si>
  <si>
    <t>Ava Lee, Calgary, Small Business</t>
  </si>
  <si>
    <t>ORD-2025-00272</t>
  </si>
  <si>
    <t>ORD-2025-00273</t>
  </si>
  <si>
    <t>ORD-2025-00274</t>
  </si>
  <si>
    <t>C0101</t>
  </si>
  <si>
    <t>Noah Martin, Saskatoon, Small Business</t>
  </si>
  <si>
    <t>ORD-2025-00275</t>
  </si>
  <si>
    <t>Daniel Taylor , Victoria , Corporate</t>
  </si>
  <si>
    <t>ORD-2025-00276</t>
  </si>
  <si>
    <t>ORD-2025-00277</t>
  </si>
  <si>
    <t>ORD-2025-00278</t>
  </si>
  <si>
    <t>Amine Chen , Halifax , Small Business</t>
  </si>
  <si>
    <t>ORD-2025-00279</t>
  </si>
  <si>
    <t>ORD-2025-00280</t>
  </si>
  <si>
    <t>ORD-2025-00281</t>
  </si>
  <si>
    <t>ORD-2025-00282</t>
  </si>
  <si>
    <t>ORD-2025-00283</t>
  </si>
  <si>
    <t>ORD-2025-00284</t>
  </si>
  <si>
    <t>ORD-2025-00285</t>
  </si>
  <si>
    <t>ORD-2025-00286</t>
  </si>
  <si>
    <t>ORD-2025-00287</t>
  </si>
  <si>
    <t>ORD-2025-00288</t>
  </si>
  <si>
    <t>ORD-2025-00289</t>
  </si>
  <si>
    <t>ORD-2025-00290</t>
  </si>
  <si>
    <t>C0019</t>
  </si>
  <si>
    <t>Lucas Taylor, Montreal, Small Business</t>
  </si>
  <si>
    <t>ORD-2025-00291</t>
  </si>
  <si>
    <t>ORD-2025-00292</t>
  </si>
  <si>
    <t>C0097</t>
  </si>
  <si>
    <t>Sarah Khan, Montreal, Consumer</t>
  </si>
  <si>
    <t>ORD-2025-00293</t>
  </si>
  <si>
    <t>ORD-2025-00294</t>
  </si>
  <si>
    <t>ORD-2025-00295</t>
  </si>
  <si>
    <t>ORD-2025-00296</t>
  </si>
  <si>
    <t>ORD-2025-00297</t>
  </si>
  <si>
    <t>C0006</t>
  </si>
  <si>
    <t>Nora Wilson, Laval, Consumer</t>
  </si>
  <si>
    <t>ORD-2025-00298</t>
  </si>
  <si>
    <t>ORD-2025-00299</t>
  </si>
  <si>
    <t>Sarah Wilson, Quebec City, Corporate</t>
  </si>
  <si>
    <t>ORD-2025-00300</t>
  </si>
  <si>
    <t>ORD-2025-00301</t>
  </si>
  <si>
    <t>ORD-2025-00302</t>
  </si>
  <si>
    <t>ORD-2025-00303</t>
  </si>
  <si>
    <t>ORD-2025-00304</t>
  </si>
  <si>
    <t>ORD-2025-00305</t>
  </si>
  <si>
    <t>ORD-2025-00306</t>
  </si>
  <si>
    <t>ORD-2025-00307</t>
  </si>
  <si>
    <t>ORD-2025-00308</t>
  </si>
  <si>
    <t>ORD-2025-00309</t>
  </si>
  <si>
    <t>ORD-2025-00310</t>
  </si>
  <si>
    <t>ORD-2025-00311</t>
  </si>
  <si>
    <t>ORD-2025-00312</t>
  </si>
  <si>
    <t>ORD-2025-00313</t>
  </si>
  <si>
    <t>ORD-2025-00314</t>
  </si>
  <si>
    <t>ORD-2025-00315</t>
  </si>
  <si>
    <t>ORD-2025-00316</t>
  </si>
  <si>
    <t>ORD-2025-00317</t>
  </si>
  <si>
    <t>ORD-2025-00318</t>
  </si>
  <si>
    <t>ORD-2025-00319</t>
  </si>
  <si>
    <t>ORD-2025-00320</t>
  </si>
  <si>
    <t>Lucas Brown, Mississauga, Corporate</t>
  </si>
  <si>
    <t>ORD-2025-00321</t>
  </si>
  <si>
    <t>ORD-2025-00322</t>
  </si>
  <si>
    <t>ORD-2025-00323</t>
  </si>
  <si>
    <t>ORD-2025-00324</t>
  </si>
  <si>
    <t>ORD-2025-00325</t>
  </si>
  <si>
    <t>P1016</t>
  </si>
  <si>
    <t>ORD-2025-00326</t>
  </si>
  <si>
    <t>ORD-2025-00327</t>
  </si>
  <si>
    <t>ORD-2025-00328</t>
  </si>
  <si>
    <t>ORD-2025-00329</t>
  </si>
  <si>
    <t>ORD-2025-00330</t>
  </si>
  <si>
    <t>ORD-2025-00331</t>
  </si>
  <si>
    <t>ORD-2025-00332</t>
  </si>
  <si>
    <t>ORD-2025-00333</t>
  </si>
  <si>
    <t>ORD-2025-00334</t>
  </si>
  <si>
    <t>ORD-2025-00335</t>
  </si>
  <si>
    <t>ORD-2025-00336</t>
  </si>
  <si>
    <t>ORD-2025-00337</t>
  </si>
  <si>
    <t>ORD-2025-00338</t>
  </si>
  <si>
    <t>ORD-2025-00339</t>
  </si>
  <si>
    <t>ORD-2025-00340</t>
  </si>
  <si>
    <t>ORD-2025-00341</t>
  </si>
  <si>
    <t>ORD-2025-00342</t>
  </si>
  <si>
    <t>ORD-2025-00343</t>
  </si>
  <si>
    <t>ORD-2025-00344</t>
  </si>
  <si>
    <t>C0034</t>
  </si>
  <si>
    <t>Noah Tremblay, Toronto, Corporate</t>
  </si>
  <si>
    <t>ORD-2025-00345</t>
  </si>
  <si>
    <t>ORD-2025-00346</t>
  </si>
  <si>
    <t>ORD-2025-00347</t>
  </si>
  <si>
    <t>ORD-2025-00348</t>
  </si>
  <si>
    <t>ORD-2025-00349</t>
  </si>
  <si>
    <t>ORD-2025-00350</t>
  </si>
  <si>
    <t>ORD-2025-00351</t>
  </si>
  <si>
    <t>ORD-2025-00352</t>
  </si>
  <si>
    <t>Leo Taylor , Victoria , Small Business</t>
  </si>
  <si>
    <t>ORD-2025-00353</t>
  </si>
  <si>
    <t>ORD-2025-00354</t>
  </si>
  <si>
    <t>ORD-2025-00355</t>
  </si>
  <si>
    <t>ORD-2025-00356</t>
  </si>
  <si>
    <t>Ryan Lee , Laval , Consumer</t>
  </si>
  <si>
    <t>ORD-2025-00357</t>
  </si>
  <si>
    <t>ORD-2025-00358</t>
  </si>
  <si>
    <t>ORD-2025-00359</t>
  </si>
  <si>
    <t>ORD-2025-00360</t>
  </si>
  <si>
    <t>ORD-2025-00361</t>
  </si>
  <si>
    <t>ORD-2025-00362</t>
  </si>
  <si>
    <t>ORD-2025-00363</t>
  </si>
  <si>
    <t>ORD-2025-00364</t>
  </si>
  <si>
    <t>ORD-2025-00365</t>
  </si>
  <si>
    <t>ORD-2025-00366</t>
  </si>
  <si>
    <t>ORD-2025-00367</t>
  </si>
  <si>
    <t>ORD-2025-00368</t>
  </si>
  <si>
    <t>ORD-2025-00369</t>
  </si>
  <si>
    <t>ORD-2025-00370</t>
  </si>
  <si>
    <t>ORD-2025-00371</t>
  </si>
  <si>
    <t>ORD-2025-00372</t>
  </si>
  <si>
    <t>Sophia Chen, Vancouver, Corporate</t>
  </si>
  <si>
    <t>ORD-2025-00373</t>
  </si>
  <si>
    <t>ORD-2025-00374</t>
  </si>
  <si>
    <t>ORD-2025-00375</t>
  </si>
  <si>
    <t>ORD-2025-00376</t>
  </si>
  <si>
    <t>ORD-2025-00377</t>
  </si>
  <si>
    <t>ORD-2025-00378</t>
  </si>
  <si>
    <t>ORD-2025-00379</t>
  </si>
  <si>
    <t>ORD-2025-00380</t>
  </si>
  <si>
    <t>ORD-2025-00381</t>
  </si>
  <si>
    <t>ORD-2025-00382</t>
  </si>
  <si>
    <t>ORD-2025-00383</t>
  </si>
  <si>
    <t>ORD-2025-00384</t>
  </si>
  <si>
    <t>ORD-2025-00385</t>
  </si>
  <si>
    <t>ORD-2025-00386</t>
  </si>
  <si>
    <t>ORD-2025-00387</t>
  </si>
  <si>
    <t>Liam Martin, Calgary, Consumer</t>
  </si>
  <si>
    <t>ORD-2025-00388</t>
  </si>
  <si>
    <t>ORD-2025-00389</t>
  </si>
  <si>
    <t>C0046</t>
  </si>
  <si>
    <t>Amelia Bennett, Laval, Consumer</t>
  </si>
  <si>
    <t>ORD-2025-00390</t>
  </si>
  <si>
    <t>ORD-2025-00391</t>
  </si>
  <si>
    <t>ORD-2025-00392</t>
  </si>
  <si>
    <t>ORD-2025-00393</t>
  </si>
  <si>
    <t>ORD-2025-00394</t>
  </si>
  <si>
    <t>ORD-2025-00395</t>
  </si>
  <si>
    <t>ORD-2025-00396</t>
  </si>
  <si>
    <t>ORD-2025-00397</t>
  </si>
  <si>
    <t>ORD-2025-00398</t>
  </si>
  <si>
    <t>ORD-2025-00399</t>
  </si>
  <si>
    <t>ORD-2025-00400</t>
  </si>
  <si>
    <t>ORD-2025-00401</t>
  </si>
  <si>
    <t>Zoe Hall , Vancouver , Consumer</t>
  </si>
  <si>
    <t>ORD-2025-00402</t>
  </si>
  <si>
    <t>Amelia Scott , Edmonton , Small Business</t>
  </si>
  <si>
    <t>ORD-2025-00403</t>
  </si>
  <si>
    <t>Zoe Scott , Montreal , Small Business</t>
  </si>
  <si>
    <t>ORD-2025-00404</t>
  </si>
  <si>
    <t>ORD-2025-00405</t>
  </si>
  <si>
    <t>ORD-2025-00406</t>
  </si>
  <si>
    <t>ORD-2025-00407</t>
  </si>
  <si>
    <t>ORD-2025-00408</t>
  </si>
  <si>
    <t>ORD-2025-00409</t>
  </si>
  <si>
    <t>ORD-2025-00410</t>
  </si>
  <si>
    <t>ORD-2025-00411</t>
  </si>
  <si>
    <t>ORD-2025-00412</t>
  </si>
  <si>
    <t>ORD-2025-00413</t>
  </si>
  <si>
    <t>ORD-2025-00414</t>
  </si>
  <si>
    <t>ORD-2025-00415</t>
  </si>
  <si>
    <t>ORD-2025-00416</t>
  </si>
  <si>
    <t>ORD-2025-00417</t>
  </si>
  <si>
    <t>ORD-2025-00418</t>
  </si>
  <si>
    <t>Nora Wilson , Laval , Consumer</t>
  </si>
  <si>
    <t>ORD-2025-00419</t>
  </si>
  <si>
    <t>ORD-2025-00420</t>
  </si>
  <si>
    <t>Lucas Chen , Vancouver , Corporate</t>
  </si>
  <si>
    <t>ORD-2025-00421</t>
  </si>
  <si>
    <t>ORD-2025-00422</t>
  </si>
  <si>
    <t>Calgary  North</t>
  </si>
  <si>
    <t>ORD-2025-00423</t>
  </si>
  <si>
    <t>C0026</t>
  </si>
  <si>
    <t>Adam Hall, Surrey, Corporate</t>
  </si>
  <si>
    <t>ORD-2025-00424</t>
  </si>
  <si>
    <t>ORD-2025-00425</t>
  </si>
  <si>
    <t>ORD-2025-00426</t>
  </si>
  <si>
    <t>ORD-2025-00427</t>
  </si>
  <si>
    <t>ORD-2025-00428</t>
  </si>
  <si>
    <t>ORD-2025-00429</t>
  </si>
  <si>
    <t>ORD-2025-00430</t>
  </si>
  <si>
    <t>ORD-2025-00431</t>
  </si>
  <si>
    <t>ORD-2025-00432</t>
  </si>
  <si>
    <t>ORD-2025-00433</t>
  </si>
  <si>
    <t>ORD-2025-00434</t>
  </si>
  <si>
    <t>ORD-2025-00435</t>
  </si>
  <si>
    <t>ORD-2025-00436</t>
  </si>
  <si>
    <t>ORD-2025-00437</t>
  </si>
  <si>
    <t>ORD-2025-00438</t>
  </si>
  <si>
    <t>ORD-2025-00439</t>
  </si>
  <si>
    <t>ORD-2025-00440</t>
  </si>
  <si>
    <t>ORD-2025-00441</t>
  </si>
  <si>
    <t>ORD-2025-00442</t>
  </si>
  <si>
    <t>ORD-2025-00443</t>
  </si>
  <si>
    <t>ORD-2025-00444</t>
  </si>
  <si>
    <t>ORD-2025-00445</t>
  </si>
  <si>
    <t>ORD-2025-00446</t>
  </si>
  <si>
    <t>ORD-2025-00447</t>
  </si>
  <si>
    <t>ORD-2025-00448</t>
  </si>
  <si>
    <t>ORD-2025-00449</t>
  </si>
  <si>
    <t>ORD-2025-00450</t>
  </si>
  <si>
    <t>ORD-2025-00451</t>
  </si>
  <si>
    <t>ORD-2025-00452</t>
  </si>
  <si>
    <t>Mia Clark , Victoria , Consumer</t>
  </si>
  <si>
    <t>ORD-2025-00453</t>
  </si>
  <si>
    <t>ORD-2025-00454</t>
  </si>
  <si>
    <t>ORD-2025-00455</t>
  </si>
  <si>
    <t>ORD-2025-00456</t>
  </si>
  <si>
    <t>ORD-2025-00457</t>
  </si>
  <si>
    <t>ORD-2025-00458</t>
  </si>
  <si>
    <t>ORD-2025-00459</t>
  </si>
  <si>
    <t>ORD-2025-00460</t>
  </si>
  <si>
    <t>ORD-2025-00461</t>
  </si>
  <si>
    <t>ORD-2025-00462</t>
  </si>
  <si>
    <t>ORD-2025-00463</t>
  </si>
  <si>
    <t>ORD-2025-00464</t>
  </si>
  <si>
    <t>ORD-2025-00465</t>
  </si>
  <si>
    <t>ORD-2025-00466</t>
  </si>
  <si>
    <t>ORD-2025-00467</t>
  </si>
  <si>
    <t>ORD-2025-00468</t>
  </si>
  <si>
    <t>ORD-2025-00469</t>
  </si>
  <si>
    <t>ORD-2025-00470</t>
  </si>
  <si>
    <t>ORD-2025-00471</t>
  </si>
  <si>
    <t>ORD-2025-00472</t>
  </si>
  <si>
    <t>ORD-2025-00473</t>
  </si>
  <si>
    <t>ORD-2025-00474</t>
  </si>
  <si>
    <t>ORD-2025-00475</t>
  </si>
  <si>
    <t>ORD-2025-00476</t>
  </si>
  <si>
    <t>Ethan Roy , Halifax , Consumer</t>
  </si>
  <si>
    <t>ORD-2025-00477</t>
  </si>
  <si>
    <t>Adam Singh , Laval , Small Business</t>
  </si>
  <si>
    <t>ORD-2025-00478</t>
  </si>
  <si>
    <t>ORD-2025-00479</t>
  </si>
  <si>
    <t>ORD-2025-00480</t>
  </si>
  <si>
    <t>ORD-2025-00481</t>
  </si>
  <si>
    <t>ORD-2025-00482</t>
  </si>
  <si>
    <t>ORD-2025-00483</t>
  </si>
  <si>
    <t>ORD-2025-00484</t>
  </si>
  <si>
    <t>ORD-2025-00485</t>
  </si>
  <si>
    <t>ORD-2025-00486</t>
  </si>
  <si>
    <t>ORD-2025-00487</t>
  </si>
  <si>
    <t>ORD-2025-00488</t>
  </si>
  <si>
    <t>ORD-2025-00489</t>
  </si>
  <si>
    <t>ORD-2025-00490</t>
  </si>
  <si>
    <t>ORD-2025-00491</t>
  </si>
  <si>
    <t>ORD-2025-00492</t>
  </si>
  <si>
    <t>ORD-2025-00493</t>
  </si>
  <si>
    <t>ORD-2025-00494</t>
  </si>
  <si>
    <t>ORD-2025-00495</t>
  </si>
  <si>
    <t>ORD-2025-00496</t>
  </si>
  <si>
    <t>ORD-2025-00497</t>
  </si>
  <si>
    <t>ORD-2025-00498</t>
  </si>
  <si>
    <t>ORD-2025-00499</t>
  </si>
  <si>
    <t>ORD-2025-00500</t>
  </si>
  <si>
    <t>C0081</t>
  </si>
  <si>
    <t>Yasmine Bennett, Saskatoon, Small Business</t>
  </si>
  <si>
    <t>ORD-2025-00501</t>
  </si>
  <si>
    <t>ORD-2025-00502</t>
  </si>
  <si>
    <t>ORD-2025-00503</t>
  </si>
  <si>
    <t>ORD-2025-00504</t>
  </si>
  <si>
    <t>ORD-2025-00505</t>
  </si>
  <si>
    <t>ORD-2025-00506</t>
  </si>
  <si>
    <t>ORD-2025-00507</t>
  </si>
  <si>
    <t>ORD-2025-00508</t>
  </si>
  <si>
    <t>ORD-2025-00509</t>
  </si>
  <si>
    <t>ORD-2025-00510</t>
  </si>
  <si>
    <t>ORD-2025-00511</t>
  </si>
  <si>
    <t>ORD-2025-00512</t>
  </si>
  <si>
    <t>ORD-2025-00513</t>
  </si>
  <si>
    <t>ORD-2025-00514</t>
  </si>
  <si>
    <t>ORD-2025-00515</t>
  </si>
  <si>
    <t>Yasmine Martin , Calgary , Consumer</t>
  </si>
  <si>
    <t>ORD-2025-00516</t>
  </si>
  <si>
    <t>ORD-2025-00517</t>
  </si>
  <si>
    <t>ORD-2025-00518</t>
  </si>
  <si>
    <t>ORD-2025-00519</t>
  </si>
  <si>
    <t>ORD-2025-00520</t>
  </si>
  <si>
    <t>ORD-2025-00521</t>
  </si>
  <si>
    <t>ORD-2025-00522</t>
  </si>
  <si>
    <t>ORD-2025-00523</t>
  </si>
  <si>
    <t>ORD-2025-00524</t>
  </si>
  <si>
    <t>ORD-2025-00525</t>
  </si>
  <si>
    <t>ORD-2025-00526</t>
  </si>
  <si>
    <t>ORD-2025-00527</t>
  </si>
  <si>
    <t>ORD-2025-00528</t>
  </si>
  <si>
    <t>ORD-2025-00529</t>
  </si>
  <si>
    <t>ORD-2025-00530</t>
  </si>
  <si>
    <t>ORD-2025-00531</t>
  </si>
  <si>
    <t>ORD-2025-00532</t>
  </si>
  <si>
    <t>ORD-2025-00533</t>
  </si>
  <si>
    <t>ORD-2025-00534</t>
  </si>
  <si>
    <t>ORD-2025-00535</t>
  </si>
  <si>
    <t>ORD-2025-00536</t>
  </si>
  <si>
    <t>ORD-2025-00537</t>
  </si>
  <si>
    <t>Ava Bennett , Halifax , Consumer</t>
  </si>
  <si>
    <t>ORD-2025-00538</t>
  </si>
  <si>
    <t>ORD-2025-00539</t>
  </si>
  <si>
    <t>Adam Khan , Edmonton , Small Business</t>
  </si>
  <si>
    <t>ORD-2025-00540</t>
  </si>
  <si>
    <t>ORD-2025-00541</t>
  </si>
  <si>
    <t>ORD-2025-00542</t>
  </si>
  <si>
    <t>ORD-2025-00543</t>
  </si>
  <si>
    <t>Nora Young , Vancouver , Corporate</t>
  </si>
  <si>
    <t>ORD-2025-00544</t>
  </si>
  <si>
    <t>ORD-2025-00545</t>
  </si>
  <si>
    <t>ORD-2025-00546</t>
  </si>
  <si>
    <t>ORD-2025-00547</t>
  </si>
  <si>
    <t>ORD-2025-00548</t>
  </si>
  <si>
    <t>ORD-2025-00549</t>
  </si>
  <si>
    <t>ORD-2025-00550</t>
  </si>
  <si>
    <t>ORD-2025-00551</t>
  </si>
  <si>
    <t>ORD-2025-00552</t>
  </si>
  <si>
    <t>ORD-2025-00553</t>
  </si>
  <si>
    <t>ORD-2025-00554</t>
  </si>
  <si>
    <t>ORD-2025-00555</t>
  </si>
  <si>
    <t>ORD-2025-00556</t>
  </si>
  <si>
    <t>ORD-2025-00557</t>
  </si>
  <si>
    <t>ORD-2025-00558</t>
  </si>
  <si>
    <t>ORD-2025-00559</t>
  </si>
  <si>
    <t>ORD-2025-00560</t>
  </si>
  <si>
    <t>ORD-2025-00561</t>
  </si>
  <si>
    <t>ORD-2025-00562</t>
  </si>
  <si>
    <t>ORD-2025-00563</t>
  </si>
  <si>
    <t>ORD-2025-00564</t>
  </si>
  <si>
    <t>ORD-2025-00565</t>
  </si>
  <si>
    <t>ORD-2025-00566</t>
  </si>
  <si>
    <t>ORD-2025-00567</t>
  </si>
  <si>
    <t>Ethan Martin , Victoria , Corporate</t>
  </si>
  <si>
    <t>ORD-2025-00568</t>
  </si>
  <si>
    <t>ORD-2025-00569</t>
  </si>
  <si>
    <t>ORD-2025-00570</t>
  </si>
  <si>
    <t>ORD-2025-00571</t>
  </si>
  <si>
    <t>ORD-2025-00572</t>
  </si>
  <si>
    <t>ORD-2025-00573</t>
  </si>
  <si>
    <t>ORD-2025-00574</t>
  </si>
  <si>
    <t>ORD-2025-00575</t>
  </si>
  <si>
    <t>ORD-2025-00576</t>
  </si>
  <si>
    <t>ORD-2025-00577</t>
  </si>
  <si>
    <t>ORD-2025-00578</t>
  </si>
  <si>
    <t>ORD-2025-00579</t>
  </si>
  <si>
    <t>ORD-2025-00580</t>
  </si>
  <si>
    <t>ORD-2025-00581</t>
  </si>
  <si>
    <t>Adam Hall , Surrey , Corporate</t>
  </si>
  <si>
    <t>ORD-2025-00582</t>
  </si>
  <si>
    <t>ORD-2025-00583</t>
  </si>
  <si>
    <t>ORD-2025-00584</t>
  </si>
  <si>
    <t>ORD-2025-00585</t>
  </si>
  <si>
    <t>ORD-2025-00586</t>
  </si>
  <si>
    <t>ORD-2025-00587</t>
  </si>
  <si>
    <t>ORD-2025-00588</t>
  </si>
  <si>
    <t>ORD-2025-00589</t>
  </si>
  <si>
    <t>ORD-2025-00590</t>
  </si>
  <si>
    <t>ORD-2025-00591</t>
  </si>
  <si>
    <t>Adam White , Victoria , Consumer</t>
  </si>
  <si>
    <t>ORD-2025-00592</t>
  </si>
  <si>
    <t>ORD-2025-00593</t>
  </si>
  <si>
    <t>ORD-2025-00594</t>
  </si>
  <si>
    <t>ORD-2025-00595</t>
  </si>
  <si>
    <t>ORD-2025-00596</t>
  </si>
  <si>
    <t>ORD-2025-00597</t>
  </si>
  <si>
    <t>ORD-2025-00598</t>
  </si>
  <si>
    <t>ORD-2025-00599</t>
  </si>
  <si>
    <t>ORD-2025-00600</t>
  </si>
  <si>
    <t>ORD-2025-00601</t>
  </si>
  <si>
    <t>ORD-2025-00602</t>
  </si>
  <si>
    <t>ORD-2025-00603</t>
  </si>
  <si>
    <t>ORD-2025-00604</t>
  </si>
  <si>
    <t>ORD-2025-00605</t>
  </si>
  <si>
    <t>ORD-2025-00606</t>
  </si>
  <si>
    <t>ORD-2025-00607</t>
  </si>
  <si>
    <t>ORD-2025-00608</t>
  </si>
  <si>
    <t>ORD-2025-00609</t>
  </si>
  <si>
    <t>Lucas Scott , Victoria , Small Business</t>
  </si>
  <si>
    <t>ORD-2025-00610</t>
  </si>
  <si>
    <t>ORD-2025-00611</t>
  </si>
  <si>
    <t>ORD-2025-00612</t>
  </si>
  <si>
    <t>ORD-2025-00613</t>
  </si>
  <si>
    <t>ORD-2025-00614</t>
  </si>
  <si>
    <t>ORD-2025-00615</t>
  </si>
  <si>
    <t>ORD-2025-00616</t>
  </si>
  <si>
    <t>ORD-2025-00617</t>
  </si>
  <si>
    <t>ORD-2025-00618</t>
  </si>
  <si>
    <t>ORD-2025-00619</t>
  </si>
  <si>
    <t>ORD-2025-00620</t>
  </si>
  <si>
    <t>ORD-2025-00621</t>
  </si>
  <si>
    <t>ORD-2025-00622</t>
  </si>
  <si>
    <t>ORD-2025-00623</t>
  </si>
  <si>
    <t>ORD-2025-00624</t>
  </si>
  <si>
    <t>ORD-2025-00625</t>
  </si>
  <si>
    <t>ORD-2025-00626</t>
  </si>
  <si>
    <t>Maya White , Quebec City , Corporate</t>
  </si>
  <si>
    <t>ORD-2025-00627</t>
  </si>
  <si>
    <t>ORD-2025-00628</t>
  </si>
  <si>
    <t>ORD-2025-00629</t>
  </si>
  <si>
    <t>Amine King , Edmonton , Consumer</t>
  </si>
  <si>
    <t>ORD-2025-00630</t>
  </si>
  <si>
    <t>ORD-2025-00631</t>
  </si>
  <si>
    <t>ORD-2025-00632</t>
  </si>
  <si>
    <t>ORD-2025-00633</t>
  </si>
  <si>
    <t>Noah Brown , Montreal , Consumer</t>
  </si>
  <si>
    <t>ORD-2025-00634</t>
  </si>
  <si>
    <t>ORD-2025-00635</t>
  </si>
  <si>
    <t>Ava Scott , Edmonton , Corporate</t>
  </si>
  <si>
    <t>ORD-2025-00636</t>
  </si>
  <si>
    <t>ORD-2025-00637</t>
  </si>
  <si>
    <t>ORD-2025-00638</t>
  </si>
  <si>
    <t>ORD-2025-00639</t>
  </si>
  <si>
    <t>ORD-2025-00640</t>
  </si>
  <si>
    <t>ORD-2025-00641</t>
  </si>
  <si>
    <t>ORD-2025-00642</t>
  </si>
  <si>
    <t>ORD-2025-00643</t>
  </si>
  <si>
    <t>Adam Roy , Edmonton , Corporate</t>
  </si>
  <si>
    <t>ORD-2025-00644</t>
  </si>
  <si>
    <t>ORD-2025-00645</t>
  </si>
  <si>
    <t>ORD-2025-00646</t>
  </si>
  <si>
    <t>ORD-2025-00647</t>
  </si>
  <si>
    <t>Nora King , Halifax , Corporate</t>
  </si>
  <si>
    <t>ORD-2025-00648</t>
  </si>
  <si>
    <t>ORD-2025-00649</t>
  </si>
  <si>
    <t>ORD-2025-00650</t>
  </si>
  <si>
    <t>Adam Gagnon , Winnipeg , Consumer</t>
  </si>
  <si>
    <t>ORD-2025-00651</t>
  </si>
  <si>
    <t>ORD-2025-00652</t>
  </si>
  <si>
    <t>ORD-2025-00653</t>
  </si>
  <si>
    <t>ORD-2025-00654</t>
  </si>
  <si>
    <t>ORD-2025-00655</t>
  </si>
  <si>
    <t>ORD-2025-00656</t>
  </si>
  <si>
    <t>ORD-2025-00657</t>
  </si>
  <si>
    <t>ORD-2025-00658</t>
  </si>
  <si>
    <t>ORD-2025-00659</t>
  </si>
  <si>
    <t>ORD-2025-00660</t>
  </si>
  <si>
    <t>Ryan Roy , Laval , Corporate</t>
  </si>
  <si>
    <t>ORD-2025-00661</t>
  </si>
  <si>
    <t>ORD-2025-00662</t>
  </si>
  <si>
    <t>ORD-2025-00663</t>
  </si>
  <si>
    <t>Nora Wilson , Toronto , Small Business</t>
  </si>
  <si>
    <t>ORD-2025-00664</t>
  </si>
  <si>
    <t>ORD-2025-00665</t>
  </si>
  <si>
    <t>ORD-2025-00666</t>
  </si>
  <si>
    <t>ORD-2025-00667</t>
  </si>
  <si>
    <t>ORD-2025-00668</t>
  </si>
  <si>
    <t>ORD-2025-00669</t>
  </si>
  <si>
    <t>ORD-2025-00670</t>
  </si>
  <si>
    <t>ORD-2025-00671</t>
  </si>
  <si>
    <t>ORD-2025-00672</t>
  </si>
  <si>
    <t>ORD-2025-00673</t>
  </si>
  <si>
    <t>ORD-2025-00674</t>
  </si>
  <si>
    <t>ORD-2025-00675</t>
  </si>
  <si>
    <t>ORD-2025-00676</t>
  </si>
  <si>
    <t>ORD-2025-00677</t>
  </si>
  <si>
    <t>ORD-2025-00678</t>
  </si>
  <si>
    <t>ORD-2025-00679</t>
  </si>
  <si>
    <t>ORD-2025-00680</t>
  </si>
  <si>
    <t>ORD-2025-00681</t>
  </si>
  <si>
    <t>ORD-2025-00682</t>
  </si>
  <si>
    <t>ORD-2025-00683</t>
  </si>
  <si>
    <t>ORD-2025-00684</t>
  </si>
  <si>
    <t>ORD-2025-00685</t>
  </si>
  <si>
    <t>ORD-2025-00686</t>
  </si>
  <si>
    <t>ORD-2025-00687</t>
  </si>
  <si>
    <t>ORD-2025-00688</t>
  </si>
  <si>
    <t>ORD-2025-00689</t>
  </si>
  <si>
    <t>ORD-2025-00690</t>
  </si>
  <si>
    <t>ORD-2025-00691</t>
  </si>
  <si>
    <t>ORD-2025-00692</t>
  </si>
  <si>
    <t>ORD-2025-00693</t>
  </si>
  <si>
    <t>ORD-2025-00694</t>
  </si>
  <si>
    <t>ORD-2025-00695</t>
  </si>
  <si>
    <t>ORD-2025-00696</t>
  </si>
  <si>
    <t>ORD-2025-00697</t>
  </si>
  <si>
    <t>ORD-2025-00698</t>
  </si>
  <si>
    <t>ORD-2025-00699</t>
  </si>
  <si>
    <t>ORD-2025-00700</t>
  </si>
  <si>
    <t>ORD-2025-00701</t>
  </si>
  <si>
    <t>ORD-2025-00702</t>
  </si>
  <si>
    <t>ORD-2025-00703</t>
  </si>
  <si>
    <t>ORD-2025-00704</t>
  </si>
  <si>
    <t>ORD-2025-00705</t>
  </si>
  <si>
    <t>ORD-2025-00706</t>
  </si>
  <si>
    <t>ORD-2025-00707</t>
  </si>
  <si>
    <t>ORD-2025-00708</t>
  </si>
  <si>
    <t>ORD-2025-00709</t>
  </si>
  <si>
    <t>ORD-2025-00710</t>
  </si>
  <si>
    <t>Ethan King , Mississauga , Small Business</t>
  </si>
  <si>
    <t>ORD-2025-00711</t>
  </si>
  <si>
    <t>ORD-2025-00712</t>
  </si>
  <si>
    <t>ORD-2025-00713</t>
  </si>
  <si>
    <t>ORD-2025-00714</t>
  </si>
  <si>
    <t>ORD-2025-00715</t>
  </si>
  <si>
    <t>ORD-2025-00716</t>
  </si>
  <si>
    <t>ORD-2025-00717</t>
  </si>
  <si>
    <t>ORD-2025-00718</t>
  </si>
  <si>
    <t>ORD-2025-00719</t>
  </si>
  <si>
    <t>ORD-2025-00720</t>
  </si>
  <si>
    <t>Product_Name</t>
  </si>
  <si>
    <t>Category</t>
  </si>
  <si>
    <t>Subcategory</t>
  </si>
  <si>
    <t>Unit_Cost</t>
  </si>
  <si>
    <t>List_Price</t>
  </si>
  <si>
    <t>Supplier</t>
  </si>
  <si>
    <t>Headphones</t>
  </si>
  <si>
    <t>Electronics</t>
  </si>
  <si>
    <t>Prairie Distribution</t>
  </si>
  <si>
    <t>Keyboard</t>
  </si>
  <si>
    <t>UrbanSource</t>
  </si>
  <si>
    <t>Mouse</t>
  </si>
  <si>
    <t>Pacific Imports</t>
  </si>
  <si>
    <t>Webcam</t>
  </si>
  <si>
    <t>Maple Supply Co.</t>
  </si>
  <si>
    <t>Portable SSD</t>
  </si>
  <si>
    <t>USB-C Hub</t>
  </si>
  <si>
    <t>Monitor</t>
  </si>
  <si>
    <t>Smart Speaker</t>
  </si>
  <si>
    <t>Notebook</t>
  </si>
  <si>
    <t>Office</t>
  </si>
  <si>
    <t>Desk Lamp</t>
  </si>
  <si>
    <t>Office Chair</t>
  </si>
  <si>
    <t>Standing Desk</t>
  </si>
  <si>
    <t>Whiteboard</t>
  </si>
  <si>
    <t>Document Shredder</t>
  </si>
  <si>
    <t>Desk Organizer</t>
  </si>
  <si>
    <t>Northern Wholesale</t>
  </si>
  <si>
    <t>Printer</t>
  </si>
  <si>
    <t>Coffee Maker</t>
  </si>
  <si>
    <t>Home</t>
  </si>
  <si>
    <t>Air Fryer</t>
  </si>
  <si>
    <t>Vacuum</t>
  </si>
  <si>
    <t>Blender</t>
  </si>
  <si>
    <t>Kettle</t>
  </si>
  <si>
    <t>Humidifier</t>
  </si>
  <si>
    <t>Toaster</t>
  </si>
  <si>
    <t>Food Scale</t>
  </si>
  <si>
    <t>Yoga Mat</t>
  </si>
  <si>
    <t>Fitness</t>
  </si>
  <si>
    <t>Resistance Bands</t>
  </si>
  <si>
    <t>Kettlebell</t>
  </si>
  <si>
    <t>Foam Roller</t>
  </si>
  <si>
    <t>Jump Rope</t>
  </si>
  <si>
    <t>Pull-up Bar</t>
  </si>
  <si>
    <t>Dumbbell Set</t>
  </si>
  <si>
    <t>Gym Bag</t>
  </si>
  <si>
    <t>Backpack</t>
  </si>
  <si>
    <t>Accessories</t>
  </si>
  <si>
    <t>Laptop Sleeve</t>
  </si>
  <si>
    <t>Phone Stand</t>
  </si>
  <si>
    <t>Power Bank</t>
  </si>
  <si>
    <t>Cable Set</t>
  </si>
  <si>
    <t>Water Bottle</t>
  </si>
  <si>
    <t>Travel Adapter</t>
  </si>
  <si>
    <t>Desk Pad</t>
  </si>
  <si>
    <t>Customer_Name</t>
  </si>
  <si>
    <t>City</t>
  </si>
  <si>
    <t>Region</t>
  </si>
  <si>
    <t>Segment</t>
  </si>
  <si>
    <t>Signup_Date</t>
  </si>
  <si>
    <t>Ethan Roy</t>
  </si>
  <si>
    <t>Halifax</t>
  </si>
  <si>
    <t>Nova Scotia</t>
  </si>
  <si>
    <t>Consumer</t>
  </si>
  <si>
    <t>Ryan Johnson</t>
  </si>
  <si>
    <t>Montreal</t>
  </si>
  <si>
    <t>Quebec</t>
  </si>
  <si>
    <t>Small Business</t>
  </si>
  <si>
    <t>Amelia Young</t>
  </si>
  <si>
    <t>Ottawa</t>
  </si>
  <si>
    <t>Ontario</t>
  </si>
  <si>
    <t>Corporate</t>
  </si>
  <si>
    <t>Mia Bennett</t>
  </si>
  <si>
    <t>Laval</t>
  </si>
  <si>
    <t>Yasmine Taylor</t>
  </si>
  <si>
    <t>Calgary</t>
  </si>
  <si>
    <t>Alberta</t>
  </si>
  <si>
    <t>Nora Wilson</t>
  </si>
  <si>
    <t>Lucas Wilson</t>
  </si>
  <si>
    <t>Mia Wilson</t>
  </si>
  <si>
    <t>Ethan Tremblay</t>
  </si>
  <si>
    <t>Mississauga</t>
  </si>
  <si>
    <t>Ethan Martin</t>
  </si>
  <si>
    <t>Victoria</t>
  </si>
  <si>
    <t>British Columbia</t>
  </si>
  <si>
    <t>Ethan Hall</t>
  </si>
  <si>
    <t>Quebec City</t>
  </si>
  <si>
    <t>Daniel Taylor</t>
  </si>
  <si>
    <t>Amelia Martin</t>
  </si>
  <si>
    <t>Zoe Scott</t>
  </si>
  <si>
    <t>Zoe Singh</t>
  </si>
  <si>
    <t>Nora Singh</t>
  </si>
  <si>
    <t>Yasmine Khan</t>
  </si>
  <si>
    <t>Sophia Tremblay</t>
  </si>
  <si>
    <t>Lucas Taylor</t>
  </si>
  <si>
    <t>Nora Khan</t>
  </si>
  <si>
    <t>Nora King</t>
  </si>
  <si>
    <t>Adam White</t>
  </si>
  <si>
    <t>Ryan Gagnon</t>
  </si>
  <si>
    <t>Ryan King</t>
  </si>
  <si>
    <t>Emma Gagnon</t>
  </si>
  <si>
    <t>Surrey</t>
  </si>
  <si>
    <t>Adam Hall</t>
  </si>
  <si>
    <t>Toronto</t>
  </si>
  <si>
    <t>Mia Clark</t>
  </si>
  <si>
    <t>Olivia White</t>
  </si>
  <si>
    <t>Emma Lee</t>
  </si>
  <si>
    <t>Leo Gagnon</t>
  </si>
  <si>
    <t>Nora Bennett</t>
  </si>
  <si>
    <t>Maya Hall</t>
  </si>
  <si>
    <t>Winnipeg</t>
  </si>
  <si>
    <t>Manitoba</t>
  </si>
  <si>
    <t>Noah Tremblay</t>
  </si>
  <si>
    <t>Amelia Scott</t>
  </si>
  <si>
    <t>Edmonton</t>
  </si>
  <si>
    <t>Sarah Wilson</t>
  </si>
  <si>
    <t>Lucas Scott</t>
  </si>
  <si>
    <t>Noah Brown</t>
  </si>
  <si>
    <t>Ethan Young</t>
  </si>
  <si>
    <t>Amine Chen</t>
  </si>
  <si>
    <t>Emma King</t>
  </si>
  <si>
    <t>Ava Brown</t>
  </si>
  <si>
    <t>Nora Young</t>
  </si>
  <si>
    <t>Vancouver</t>
  </si>
  <si>
    <t>Lucas Chen</t>
  </si>
  <si>
    <t>Amelia Bennett</t>
  </si>
  <si>
    <t>Amine King</t>
  </si>
  <si>
    <t>Amelia Brown</t>
  </si>
  <si>
    <t>Olivia Scott</t>
  </si>
  <si>
    <t>Sarah Singh</t>
  </si>
  <si>
    <t>Daniel Brown</t>
  </si>
  <si>
    <t>Liam Bennett</t>
  </si>
  <si>
    <t>Ryan Lee</t>
  </si>
  <si>
    <t>Sarah Scott</t>
  </si>
  <si>
    <t>Adam Khan</t>
  </si>
  <si>
    <t>Mia Singh</t>
  </si>
  <si>
    <t>Zoe Hall</t>
  </si>
  <si>
    <t>Yasmine Scott</t>
  </si>
  <si>
    <t>Adam Singh</t>
  </si>
  <si>
    <t>Amine Khan</t>
  </si>
  <si>
    <t>Noah Clark</t>
  </si>
  <si>
    <t>Leo Bennett</t>
  </si>
  <si>
    <t>Yasmine Martin</t>
  </si>
  <si>
    <t>Sarah White</t>
  </si>
  <si>
    <t>Sophia Young</t>
  </si>
  <si>
    <t>Ethan Lee</t>
  </si>
  <si>
    <t>Ryan Bennett</t>
  </si>
  <si>
    <t>Olivia Singh</t>
  </si>
  <si>
    <t>Sophia Chen</t>
  </si>
  <si>
    <t>Amelia Wilson</t>
  </si>
  <si>
    <t>Maya Taylor</t>
  </si>
  <si>
    <t>Saskatoon</t>
  </si>
  <si>
    <t>Saskatchewan</t>
  </si>
  <si>
    <t>Amine Taylor</t>
  </si>
  <si>
    <t>Sarah Smith</t>
  </si>
  <si>
    <t>Sophia Scott</t>
  </si>
  <si>
    <t>Yasmine Bennett</t>
  </si>
  <si>
    <t>Ryan Clark</t>
  </si>
  <si>
    <t>Yasmine Clark</t>
  </si>
  <si>
    <t>Adam Gagnon</t>
  </si>
  <si>
    <t>Daniel Johnson</t>
  </si>
  <si>
    <t>Olivia Bennett</t>
  </si>
  <si>
    <t>Lucas Martin</t>
  </si>
  <si>
    <t>Leo Taylor</t>
  </si>
  <si>
    <t>Lucas Tremblay</t>
  </si>
  <si>
    <t>Maya White</t>
  </si>
  <si>
    <t>Ryan Roy</t>
  </si>
  <si>
    <t>Sarah Khan</t>
  </si>
  <si>
    <t>Amine Gagnon</t>
  </si>
  <si>
    <t>Yasmine Smith</t>
  </si>
  <si>
    <t>Noah Martin</t>
  </si>
  <si>
    <t>Adam Roy</t>
  </si>
  <si>
    <t>Ava Scott</t>
  </si>
  <si>
    <t>Liam Martin</t>
  </si>
  <si>
    <t>Liam Gagnon</t>
  </si>
  <si>
    <t>Ava Lee</t>
  </si>
  <si>
    <t>Noah Lee</t>
  </si>
  <si>
    <t>Emma Wilson</t>
  </si>
  <si>
    <t>Noah Khan</t>
  </si>
  <si>
    <t>Ava Bennett</t>
  </si>
  <si>
    <t>Olivia Johnson</t>
  </si>
  <si>
    <t>Nora Lee</t>
  </si>
  <si>
    <t>Lucas Brown</t>
  </si>
  <si>
    <t>Ryan Smith</t>
  </si>
  <si>
    <t>Liam Chen</t>
  </si>
  <si>
    <t>Ethan King</t>
  </si>
  <si>
    <t>Month</t>
  </si>
  <si>
    <t>Sales_Target</t>
  </si>
  <si>
    <t>Profit_Target</t>
  </si>
  <si>
    <t>Orders_Target</t>
  </si>
  <si>
    <t>Sheet</t>
  </si>
  <si>
    <t>Field</t>
  </si>
  <si>
    <t>Meaning / Expected Use</t>
  </si>
  <si>
    <t>Raw_Sales</t>
  </si>
  <si>
    <t>Transaction identifier; use it to detect duplicates.</t>
  </si>
  <si>
    <t>Order date. Create Month, Quarter, Year fields from it.</t>
  </si>
  <si>
    <t>Customer key. Some values contain accidental spaces.</t>
  </si>
  <si>
    <t>Product key. Some values contain accidental spaces.</t>
  </si>
  <si>
    <t>Combined Name, City, Segment text. Practice FIND/MID/TRIM.</t>
  </si>
  <si>
    <t>Store/location text with intentional spacing issues.</t>
  </si>
  <si>
    <t>Sales channel with inconsistent capitalization/spelling/spacing.</t>
  </si>
  <si>
    <t>Units sold.</t>
  </si>
  <si>
    <t>Actual unit selling price before discount.</t>
  </si>
  <si>
    <t>Discount rate.</t>
  </si>
  <si>
    <t>Payment method with inconsistent labels and some blanks.</t>
  </si>
  <si>
    <t>Days from order to delivery/collection.</t>
  </si>
  <si>
    <t>Whether the order was returned.</t>
  </si>
  <si>
    <t>Products</t>
  </si>
  <si>
    <t>Product cost; use lookup to calculate cost and profit.</t>
  </si>
  <si>
    <t>Customers</t>
  </si>
  <si>
    <t>Region / Segment</t>
  </si>
  <si>
    <t>Use lookup to enrich transactions and analyze customers.</t>
  </si>
  <si>
    <t>Monthly_Targets</t>
  </si>
  <si>
    <t>Targets</t>
  </si>
  <si>
    <t>Compare actual sales/profit/orders against monthly business goals.</t>
  </si>
  <si>
    <t>Channel_Clean</t>
  </si>
  <si>
    <t>Product_ID_Clean</t>
  </si>
  <si>
    <t>Customer_ID_Clean</t>
  </si>
  <si>
    <t>Store_Clean</t>
  </si>
  <si>
    <t>Payment_Method_Clean</t>
  </si>
  <si>
    <t>Order_ID_Count</t>
  </si>
  <si>
    <t>Customer_Name_Extracted</t>
  </si>
  <si>
    <t>City_Extracted</t>
  </si>
  <si>
    <t>Segment_Extracted</t>
  </si>
  <si>
    <t>Gross_Sales</t>
  </si>
  <si>
    <t>Discount_Amount</t>
  </si>
  <si>
    <t>Net_Sales</t>
  </si>
  <si>
    <t>Total_Cost</t>
  </si>
  <si>
    <t>Profit</t>
  </si>
  <si>
    <t>Profit_Margin</t>
  </si>
  <si>
    <t>Year</t>
  </si>
  <si>
    <t>Month_Number</t>
  </si>
  <si>
    <t>Month_Name</t>
  </si>
  <si>
    <t>Quarter</t>
  </si>
  <si>
    <t>Return_Flag</t>
  </si>
  <si>
    <t>Étiquettes de lignes</t>
  </si>
  <si>
    <t>Somme de Profit</t>
  </si>
  <si>
    <t>Total général</t>
  </si>
  <si>
    <t>Somme de Net_Sales</t>
  </si>
  <si>
    <t>Non renseigné</t>
  </si>
  <si>
    <t>Target_Month</t>
  </si>
  <si>
    <t>Écart_vs_Objectif</t>
  </si>
  <si>
    <t>Taux_Atteinte_Objectif</t>
  </si>
  <si>
    <t>août</t>
  </si>
  <si>
    <t>Q3</t>
  </si>
  <si>
    <t>mai</t>
  </si>
  <si>
    <t>Q2</t>
  </si>
  <si>
    <t>avril</t>
  </si>
  <si>
    <t>juillet</t>
  </si>
  <si>
    <t>mars</t>
  </si>
  <si>
    <t>Q1</t>
  </si>
  <si>
    <t>janvier</t>
  </si>
  <si>
    <t>novembre</t>
  </si>
  <si>
    <t>Q4</t>
  </si>
  <si>
    <t>décembre</t>
  </si>
  <si>
    <t>juin</t>
  </si>
  <si>
    <t>février</t>
  </si>
  <si>
    <t>octobre</t>
  </si>
  <si>
    <t>septembre</t>
  </si>
  <si>
    <t>Moyenne de Return_Flag</t>
  </si>
  <si>
    <t>Performance commerciale 2025 — ventes, profit, objectifs et retours</t>
  </si>
  <si>
    <t>Northstar Retail | Tableau de bord de performance commerciale</t>
  </si>
  <si>
    <t>Ventes nettes</t>
  </si>
  <si>
    <t>Profit total</t>
  </si>
  <si>
    <t>Commandes totales</t>
  </si>
  <si>
    <t>Atteinte de l’objectif</t>
  </si>
  <si>
    <r>
      <rPr>
        <b/>
        <sz val="18"/>
        <rFont val="Carlito"/>
      </rPr>
      <t xml:space="preserve">POINTS CLÉS — VUE GLOBALE
</t>
    </r>
    <r>
      <rPr>
        <sz val="18"/>
        <rFont val="Carlito"/>
      </rPr>
      <t xml:space="preserve">• La région la plus performante est </t>
    </r>
    <r>
      <rPr>
        <b/>
        <sz val="18"/>
        <rFont val="Carlito"/>
      </rPr>
      <t>British Columbia</t>
    </r>
    <r>
      <rPr>
        <sz val="18"/>
        <rFont val="Carlito"/>
      </rPr>
      <t xml:space="preserve">, avec  </t>
    </r>
    <r>
      <rPr>
        <b/>
        <sz val="18"/>
        <rFont val="Carlito"/>
      </rPr>
      <t>83660 $</t>
    </r>
    <r>
      <rPr>
        <sz val="18"/>
        <rFont val="Carlito"/>
      </rPr>
      <t xml:space="preserve">,de ventes nettes.
• Office présente le taux de retour le plus élevé : </t>
    </r>
    <r>
      <rPr>
        <b/>
        <sz val="18"/>
        <rFont val="Carlito"/>
      </rPr>
      <t>10.2%</t>
    </r>
    <r>
      <rPr>
        <sz val="18"/>
        <rFont val="Carlito"/>
      </rPr>
      <t xml:space="preserve">.
• Le meilleur taux d’atteinte mensuel est observé en  : </t>
    </r>
    <r>
      <rPr>
        <b/>
        <sz val="18"/>
        <rFont val="Carlito"/>
      </rPr>
      <t>Janvier : 58%</t>
    </r>
    <r>
      <rPr>
        <sz val="18"/>
        <rFont val="Carlito"/>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</si>
</sst>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numFmt numFmtId="165" formatCode="yyyy\-mm\-dd"/>
    <numFmt numFmtId="166" formatCode="mmm\-yyyy"/>
    <numFmt numFmtId="167" formatCode="\$#,##0"/>
    <numFmt numFmtId="168" formatCode="#,##0.00\ &quot;€&quot;"/>
    <numFmt numFmtId="169" formatCode="0.0%"/>
  </numFmts>
  <fonts count="10">
    <font>
      <sz val="11"/>
      <name val="Carlito"/>
    </font>
    <font>
      <b/>
      <sz val="11"/>
      <color rgb="FFFFFFFF"/>
      <name val="Carlito"/>
    </font>
    <font>
      <b/>
      <sz val="16"/>
      <color rgb="FFFFFFFF"/>
      <name val="Carlito"/>
    </font>
    <font>
      <b/>
      <sz val="11"/>
      <color rgb="FF17365D"/>
      <name val="Carlito"/>
    </font>
    <font>
      <sz val="11"/>
      <name val="Carlito"/>
    </font>
    <font>
      <sz val="11"/>
      <color theme="1"/>
      <name val="Carlito"/>
    </font>
    <font>
      <sz val="16"/>
      <color theme="0"/>
      <name val="Carlito"/>
    </font>
    <font>
      <sz val="11"/>
      <color theme="2"/>
      <name val="Carlito"/>
    </font>
    <font>
      <b/>
      <sz val="18"/>
      <name val="Carlito"/>
    </font>
    <font>
      <sz val="18"/>
      <name val="Carlito"/>
    </font>
  </fonts>
  <fills count="12">
    <fill>
      <patternFill patternType="none"/>
    </fill>
    <fill>
      <patternFill patternType="gray125"/>
    </fill>
    <fill>
      <patternFill patternType="solid">
        <fgColor rgb="FF4472C4"/>
      </patternFill>
    </fill>
    <fill>
      <patternFill patternType="solid">
        <fgColor rgb="FF17365D"/>
      </patternFill>
    </fill>
    <fill>
      <patternFill patternType="solid">
        <fgColor rgb="FFD9EAF7"/>
      </patternFill>
    </fill>
    <fill>
      <patternFill patternType="solid">
        <fgColor theme="4" tint="0.399975585192419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theme="5"/>
        <bgColor indexed="64"/>
      </patternFill>
    </fill>
  </fills>
  <borders count="10">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0" fontId="1" fillId="2" borderId="0" xfId="0" applyNumberFormat="1" applyFont="1" applyFill="1" applyBorder="1" applyAlignment="1">
      <alignment horizontal="center" vertical="center" wrapText="1"/>
    </xf>
    <xf numFmtId="164" fontId="0" fillId="0" borderId="0" xfId="0" applyNumberFormat="1" applyFont="1" applyFill="1" applyBorder="1"/>
    <xf numFmtId="165" fontId="0" fillId="0" borderId="0" xfId="0" applyNumberFormat="1" applyFont="1" applyFill="1" applyBorder="1"/>
    <xf numFmtId="9" fontId="0" fillId="0" borderId="0" xfId="0" applyNumberFormat="1" applyFont="1" applyFill="1" applyBorder="1"/>
    <xf numFmtId="166" fontId="0" fillId="0" borderId="0" xfId="0" applyNumberFormat="1" applyFont="1" applyFill="1" applyBorder="1"/>
    <xf numFmtId="167" fontId="0" fillId="0" borderId="0" xfId="0" applyNumberFormat="1" applyFont="1" applyFill="1" applyBorder="1"/>
    <xf numFmtId="0" fontId="0" fillId="0" borderId="0" xfId="0" applyNumberFormat="1" applyFont="1" applyFill="1" applyBorder="1" applyAlignment="1">
      <alignment wrapText="1"/>
    </xf>
    <xf numFmtId="0" fontId="0" fillId="0" borderId="0" xfId="0" applyNumberFormat="1"/>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4" fontId="0" fillId="0" borderId="0" xfId="0" applyNumberFormat="1"/>
    <xf numFmtId="168" fontId="0" fillId="0" borderId="0" xfId="0" applyNumberFormat="1"/>
    <xf numFmtId="169" fontId="0" fillId="0" borderId="0" xfId="0" applyNumberFormat="1"/>
    <xf numFmtId="169" fontId="0" fillId="0" borderId="0" xfId="1" applyNumberFormat="1" applyFont="1"/>
    <xf numFmtId="0" fontId="0" fillId="0" borderId="0" xfId="0" applyAlignment="1"/>
    <xf numFmtId="0" fontId="3" fillId="4" borderId="0" xfId="0" applyNumberFormat="1" applyFont="1" applyFill="1" applyBorder="1" applyAlignment="1">
      <alignment vertical="center"/>
    </xf>
    <xf numFmtId="0" fontId="2" fillId="3" borderId="0" xfId="0" applyNumberFormat="1" applyFont="1" applyFill="1" applyBorder="1" applyAlignment="1">
      <alignment horizontal="left" vertical="center"/>
    </xf>
    <xf numFmtId="0" fontId="0" fillId="0" borderId="0" xfId="0" applyNumberFormat="1" applyFont="1" applyFill="1" applyBorder="1" applyAlignment="1">
      <alignment vertical="top" wrapText="1"/>
    </xf>
    <xf numFmtId="0" fontId="0" fillId="10" borderId="3" xfId="0" applyFill="1" applyBorder="1" applyAlignment="1">
      <alignment wrapText="1"/>
    </xf>
    <xf numFmtId="0" fontId="0" fillId="10" borderId="4" xfId="0" applyFill="1" applyBorder="1" applyAlignment="1">
      <alignment wrapText="1"/>
    </xf>
    <xf numFmtId="0" fontId="0" fillId="10" borderId="5" xfId="0" applyFill="1" applyBorder="1" applyAlignment="1">
      <alignment wrapText="1"/>
    </xf>
    <xf numFmtId="0" fontId="0" fillId="10" borderId="1" xfId="0" applyFill="1" applyBorder="1" applyAlignment="1">
      <alignment wrapText="1"/>
    </xf>
    <xf numFmtId="0" fontId="0" fillId="10" borderId="6" xfId="0" applyFill="1" applyBorder="1" applyAlignment="1">
      <alignment wrapText="1"/>
    </xf>
    <xf numFmtId="0" fontId="0" fillId="10" borderId="7" xfId="0" applyFill="1" applyBorder="1" applyAlignment="1">
      <alignment wrapText="1"/>
    </xf>
    <xf numFmtId="0" fontId="0" fillId="10" borderId="8" xfId="0" applyFill="1" applyBorder="1" applyAlignment="1">
      <alignment wrapText="1"/>
    </xf>
    <xf numFmtId="0" fontId="0" fillId="10" borderId="9" xfId="0" applyFill="1" applyBorder="1" applyAlignment="1">
      <alignment wrapText="1"/>
    </xf>
    <xf numFmtId="0" fontId="6" fillId="5" borderId="0" xfId="0" applyFont="1"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168" fontId="0" fillId="0" borderId="0" xfId="0" applyNumberFormat="1" applyAlignment="1">
      <alignment horizontal="center"/>
    </xf>
    <xf numFmtId="0" fontId="0" fillId="0" borderId="0" xfId="0" applyAlignment="1">
      <alignment horizontal="center"/>
    </xf>
    <xf numFmtId="9" fontId="0" fillId="0" borderId="0" xfId="1" applyFont="1" applyAlignment="1">
      <alignment horizontal="center"/>
    </xf>
    <xf numFmtId="0" fontId="7" fillId="11" borderId="0" xfId="0" applyFont="1" applyFill="1" applyAlignment="1">
      <alignment vertical="top"/>
    </xf>
    <xf numFmtId="0" fontId="5" fillId="11" borderId="0" xfId="0" applyFont="1" applyFill="1" applyAlignment="1">
      <alignment vertical="top"/>
    </xf>
    <xf numFmtId="0" fontId="9" fillId="10" borderId="2" xfId="0" applyFont="1" applyFill="1" applyBorder="1" applyAlignment="1">
      <alignment wrapText="1"/>
    </xf>
  </cellXfs>
  <cellStyles count="2">
    <cellStyle name="Normal" xfId="0" builtinId="0"/>
    <cellStyle name="Pourcentage" xfId="1" builtinId="5"/>
  </cellStyles>
  <dxfs count="25">
    <dxf>
      <numFmt numFmtId="19" formatCode="dd/mm/yyyy"/>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[Northstar_Retail_Analysis (Enregistré automatiquement).xlsx]Analysis!Tableau croisé dynamique4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Ventes et profit par région</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9.6564692966188428E-2"/>
          <c:y val="0.1605377960804065"/>
          <c:w val="0.85201164080233827"/>
          <c:h val="0.46027738798325413"/>
        </c:manualLayout>
      </c:layout>
      <c:barChart>
        <c:barDir val="col"/>
        <c:grouping val="clustered"/>
        <c:varyColors val="0"/>
        <c:ser>
          <c:idx val="0"/>
          <c:order val="0"/>
          <c:tx>
            <c:strRef>
              <c:f>Analysis!$B$20</c:f>
              <c:strCache>
                <c:ptCount val="1"/>
                <c:pt idx="0">
                  <c:v>Somme de Net_Sales</c:v>
                </c:pt>
              </c:strCache>
            </c:strRef>
          </c:tx>
          <c:spPr>
            <a:solidFill>
              <a:schemeClr val="accent1"/>
            </a:solidFill>
            <a:ln>
              <a:noFill/>
            </a:ln>
            <a:effectLst/>
          </c:spPr>
          <c:invertIfNegative val="0"/>
          <c:cat>
            <c:strRef>
              <c:f>Analysis!$A$21:$A$28</c:f>
              <c:strCache>
                <c:ptCount val="7"/>
                <c:pt idx="0">
                  <c:v>British Columbia</c:v>
                </c:pt>
                <c:pt idx="1">
                  <c:v>Quebec</c:v>
                </c:pt>
                <c:pt idx="2">
                  <c:v>Ontario</c:v>
                </c:pt>
                <c:pt idx="3">
                  <c:v>Alberta</c:v>
                </c:pt>
                <c:pt idx="4">
                  <c:v>Nova Scotia</c:v>
                </c:pt>
                <c:pt idx="5">
                  <c:v>Manitoba</c:v>
                </c:pt>
                <c:pt idx="6">
                  <c:v>Saskatchewan</c:v>
                </c:pt>
              </c:strCache>
            </c:strRef>
          </c:cat>
          <c:val>
            <c:numRef>
              <c:f>Analysis!$B$21:$B$28</c:f>
              <c:numCache>
                <c:formatCode>General</c:formatCode>
                <c:ptCount val="7"/>
                <c:pt idx="0">
                  <c:v>83660.343000000066</c:v>
                </c:pt>
                <c:pt idx="1">
                  <c:v>76281.695499999987</c:v>
                </c:pt>
                <c:pt idx="2">
                  <c:v>55456.890000000021</c:v>
                </c:pt>
                <c:pt idx="3">
                  <c:v>39540.695500000031</c:v>
                </c:pt>
                <c:pt idx="4">
                  <c:v>21377.3295</c:v>
                </c:pt>
                <c:pt idx="5">
                  <c:v>13613.973000000002</c:v>
                </c:pt>
                <c:pt idx="6">
                  <c:v>10220.334499999999</c:v>
                </c:pt>
              </c:numCache>
            </c:numRef>
          </c:val>
        </c:ser>
        <c:ser>
          <c:idx val="1"/>
          <c:order val="1"/>
          <c:tx>
            <c:strRef>
              <c:f>Analysis!$C$20</c:f>
              <c:strCache>
                <c:ptCount val="1"/>
                <c:pt idx="0">
                  <c:v>Somme de Profit</c:v>
                </c:pt>
              </c:strCache>
            </c:strRef>
          </c:tx>
          <c:spPr>
            <a:solidFill>
              <a:schemeClr val="accent2"/>
            </a:solidFill>
            <a:ln>
              <a:noFill/>
            </a:ln>
            <a:effectLst/>
          </c:spPr>
          <c:invertIfNegative val="0"/>
          <c:cat>
            <c:strRef>
              <c:f>Analysis!$A$21:$A$28</c:f>
              <c:strCache>
                <c:ptCount val="7"/>
                <c:pt idx="0">
                  <c:v>British Columbia</c:v>
                </c:pt>
                <c:pt idx="1">
                  <c:v>Quebec</c:v>
                </c:pt>
                <c:pt idx="2">
                  <c:v>Ontario</c:v>
                </c:pt>
                <c:pt idx="3">
                  <c:v>Alberta</c:v>
                </c:pt>
                <c:pt idx="4">
                  <c:v>Nova Scotia</c:v>
                </c:pt>
                <c:pt idx="5">
                  <c:v>Manitoba</c:v>
                </c:pt>
                <c:pt idx="6">
                  <c:v>Saskatchewan</c:v>
                </c:pt>
              </c:strCache>
            </c:strRef>
          </c:cat>
          <c:val>
            <c:numRef>
              <c:f>Analysis!$C$21:$C$28</c:f>
              <c:numCache>
                <c:formatCode>General</c:formatCode>
                <c:ptCount val="7"/>
                <c:pt idx="0">
                  <c:v>32237.08300000001</c:v>
                </c:pt>
                <c:pt idx="1">
                  <c:v>29358.895499999991</c:v>
                </c:pt>
                <c:pt idx="2">
                  <c:v>20293.149999999994</c:v>
                </c:pt>
                <c:pt idx="3">
                  <c:v>14332.865500000002</c:v>
                </c:pt>
                <c:pt idx="4">
                  <c:v>8279.1494999999995</c:v>
                </c:pt>
                <c:pt idx="5">
                  <c:v>5173.9830000000002</c:v>
                </c:pt>
                <c:pt idx="6">
                  <c:v>3463.7244999999998</c:v>
                </c:pt>
              </c:numCache>
            </c:numRef>
          </c:val>
        </c:ser>
        <c:dLbls>
          <c:showLegendKey val="0"/>
          <c:showVal val="0"/>
          <c:showCatName val="0"/>
          <c:showSerName val="0"/>
          <c:showPercent val="0"/>
          <c:showBubbleSize val="0"/>
        </c:dLbls>
        <c:gapWidth val="219"/>
        <c:overlap val="-27"/>
        <c:axId val="615805680"/>
        <c:axId val="615811664"/>
      </c:barChart>
      <c:catAx>
        <c:axId val="61580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11664"/>
        <c:crosses val="autoZero"/>
        <c:auto val="1"/>
        <c:lblAlgn val="ctr"/>
        <c:lblOffset val="100"/>
        <c:noMultiLvlLbl val="0"/>
      </c:catAx>
      <c:valAx>
        <c:axId val="61581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056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[Northstar_Retail_Analysis (Enregistré automatiquement).xlsx]Analysis!Tableau croisé dynamique5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Taux de retour par catégorie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Analysis!$F$20</c:f>
              <c:strCache>
                <c:ptCount val="1"/>
                <c:pt idx="0">
                  <c:v>Total</c:v>
                </c:pt>
              </c:strCache>
            </c:strRef>
          </c:tx>
          <c:spPr>
            <a:solidFill>
              <a:schemeClr val="accent1"/>
            </a:solidFill>
            <a:ln>
              <a:noFill/>
            </a:ln>
            <a:effectLst/>
          </c:spPr>
          <c:invertIfNegative val="0"/>
          <c:cat>
            <c:strRef>
              <c:f>Analysis!$E$21:$E$26</c:f>
              <c:strCache>
                <c:ptCount val="5"/>
                <c:pt idx="0">
                  <c:v>Accessories</c:v>
                </c:pt>
                <c:pt idx="1">
                  <c:v>Electronics</c:v>
                </c:pt>
                <c:pt idx="2">
                  <c:v>Fitness</c:v>
                </c:pt>
                <c:pt idx="3">
                  <c:v>Home</c:v>
                </c:pt>
                <c:pt idx="4">
                  <c:v>Office</c:v>
                </c:pt>
              </c:strCache>
            </c:strRef>
          </c:cat>
          <c:val>
            <c:numRef>
              <c:f>Analysis!$F$21:$F$26</c:f>
              <c:numCache>
                <c:formatCode>0.0%</c:formatCode>
                <c:ptCount val="5"/>
                <c:pt idx="0">
                  <c:v>6.1224489795918366E-2</c:v>
                </c:pt>
                <c:pt idx="1">
                  <c:v>0.10135135135135136</c:v>
                </c:pt>
                <c:pt idx="2">
                  <c:v>5.2631578947368418E-2</c:v>
                </c:pt>
                <c:pt idx="3">
                  <c:v>7.5342465753424653E-2</c:v>
                </c:pt>
                <c:pt idx="4">
                  <c:v>0.10236220472440945</c:v>
                </c:pt>
              </c:numCache>
            </c:numRef>
          </c:val>
        </c:ser>
        <c:dLbls>
          <c:showLegendKey val="0"/>
          <c:showVal val="0"/>
          <c:showCatName val="0"/>
          <c:showSerName val="0"/>
          <c:showPercent val="0"/>
          <c:showBubbleSize val="0"/>
        </c:dLbls>
        <c:gapWidth val="182"/>
        <c:axId val="615809488"/>
        <c:axId val="615810576"/>
      </c:barChart>
      <c:catAx>
        <c:axId val="61580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10576"/>
        <c:crosses val="autoZero"/>
        <c:auto val="1"/>
        <c:lblAlgn val="ctr"/>
        <c:lblOffset val="100"/>
        <c:noMultiLvlLbl val="0"/>
      </c:catAx>
      <c:valAx>
        <c:axId val="6158105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09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[Northstar_Retail_Analysis (Enregistré automatiquement).xlsx]Analysis!Tableau croisé dynamique6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Évolution mensuelle des ventes nettes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Analysis!$N$3</c:f>
              <c:strCache>
                <c:ptCount val="1"/>
                <c:pt idx="0">
                  <c:v>Total</c:v>
                </c:pt>
              </c:strCache>
            </c:strRef>
          </c:tx>
          <c:spPr>
            <a:solidFill>
              <a:schemeClr val="accent1"/>
            </a:solidFill>
            <a:ln>
              <a:noFill/>
            </a:ln>
            <a:effectLst/>
          </c:spPr>
          <c:invertIfNegative val="0"/>
          <c:cat>
            <c:strRef>
              <c:f>Analysis!$M$4:$M$16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Analysis!$N$4:$N$16</c:f>
              <c:numCache>
                <c:formatCode>General</c:formatCode>
                <c:ptCount val="12"/>
                <c:pt idx="0">
                  <c:v>31702.062999999998</c:v>
                </c:pt>
                <c:pt idx="1">
                  <c:v>27095.088500000002</c:v>
                </c:pt>
                <c:pt idx="2">
                  <c:v>25880.701999999997</c:v>
                </c:pt>
                <c:pt idx="3">
                  <c:v>22955.643500000002</c:v>
                </c:pt>
                <c:pt idx="4">
                  <c:v>27801.915499999999</c:v>
                </c:pt>
                <c:pt idx="5">
                  <c:v>19397.3995</c:v>
                </c:pt>
                <c:pt idx="6">
                  <c:v>24262.9035</c:v>
                </c:pt>
                <c:pt idx="7">
                  <c:v>24991.073499999999</c:v>
                </c:pt>
                <c:pt idx="8">
                  <c:v>20135.739000000012</c:v>
                </c:pt>
                <c:pt idx="9">
                  <c:v>25102.286</c:v>
                </c:pt>
                <c:pt idx="10">
                  <c:v>27689.658999999996</c:v>
                </c:pt>
                <c:pt idx="11">
                  <c:v>23136.78799999999</c:v>
                </c:pt>
              </c:numCache>
            </c:numRef>
          </c:val>
        </c:ser>
        <c:dLbls>
          <c:showLegendKey val="0"/>
          <c:showVal val="0"/>
          <c:showCatName val="0"/>
          <c:showSerName val="0"/>
          <c:showPercent val="0"/>
          <c:showBubbleSize val="0"/>
        </c:dLbls>
        <c:gapWidth val="219"/>
        <c:overlap val="-27"/>
        <c:axId val="615812208"/>
        <c:axId val="615800240"/>
      </c:barChart>
      <c:catAx>
        <c:axId val="61581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00240"/>
        <c:crosses val="autoZero"/>
        <c:auto val="1"/>
        <c:lblAlgn val="ctr"/>
        <c:lblOffset val="100"/>
        <c:noMultiLvlLbl val="0"/>
      </c:catAx>
      <c:valAx>
        <c:axId val="61580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1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9</xdr:row>
      <xdr:rowOff>0</xdr:rowOff>
    </xdr:from>
    <xdr:to>
      <xdr:col>12</xdr:col>
      <xdr:colOff>27542</xdr:colOff>
      <xdr:row>24</xdr:row>
      <xdr:rowOff>128530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5</xdr:col>
      <xdr:colOff>304800</xdr:colOff>
      <xdr:row>42</xdr:row>
      <xdr:rowOff>114300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18506</xdr:colOff>
      <xdr:row>1</xdr:row>
      <xdr:rowOff>47897</xdr:rowOff>
    </xdr:from>
    <xdr:to>
      <xdr:col>15</xdr:col>
      <xdr:colOff>140426</xdr:colOff>
      <xdr:row>8</xdr:row>
      <xdr:rowOff>9796</xdr:rowOff>
    </xdr:to>
    <mc:AlternateContent xmlns:mc="http://schemas.openxmlformats.org/markup-compatibility/2006">
      <mc:Choice xmlns:a14="http://schemas.microsoft.com/office/drawing/2010/main" Requires="a14">
        <xdr:graphicFrame macro="">
          <xdr:nvGraphicFramePr>
            <xdr:cNvPr id="5" name="Channel_Clean"/>
            <xdr:cNvGraphicFramePr/>
          </xdr:nvGraphicFramePr>
          <xdr:xfrm>
            <a:off x="0" y="0"/>
            <a:ext cx="0" cy="0"/>
          </xdr:xfrm>
          <a:graphic>
            <a:graphicData uri="http://schemas.microsoft.com/office/drawing/2010/slicer">
              <sle:slicer xmlns:sle="http://schemas.microsoft.com/office/drawing/2010/slicer" name="Channel_Clean"/>
            </a:graphicData>
          </a:graphic>
        </xdr:graphicFrame>
      </mc:Choice>
      <mc:Fallback>
        <xdr:sp macro="" textlink="">
          <xdr:nvSpPr>
            <xdr:cNvPr id="0" name=""/>
            <xdr:cNvSpPr>
              <a:spLocks noTextEdit="1"/>
            </xdr:cNvSpPr>
          </xdr:nvSpPr>
          <xdr:spPr>
            <a:xfrm>
              <a:off x="11056620" y="222068"/>
              <a:ext cx="1820092" cy="1181099"/>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13</xdr:col>
      <xdr:colOff>15240</xdr:colOff>
      <xdr:row>20</xdr:row>
      <xdr:rowOff>130630</xdr:rowOff>
    </xdr:from>
    <xdr:to>
      <xdr:col>15</xdr:col>
      <xdr:colOff>137160</xdr:colOff>
      <xdr:row>30</xdr:row>
      <xdr:rowOff>144308</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053354" y="3614059"/>
              <a:ext cx="1820092" cy="1766278"/>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13</xdr:col>
      <xdr:colOff>15240</xdr:colOff>
      <xdr:row>7</xdr:row>
      <xdr:rowOff>119743</xdr:rowOff>
    </xdr:from>
    <xdr:to>
      <xdr:col>15</xdr:col>
      <xdr:colOff>137160</xdr:colOff>
      <xdr:row>20</xdr:row>
      <xdr:rowOff>137161</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14734" y="1403091"/>
              <a:ext cx="1829534" cy="2222745"/>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0</xdr:col>
      <xdr:colOff>0</xdr:colOff>
      <xdr:row>9</xdr:row>
      <xdr:rowOff>0</xdr:rowOff>
    </xdr:from>
    <xdr:to>
      <xdr:col>5</xdr:col>
      <xdr:colOff>304800</xdr:colOff>
      <xdr:row>24</xdr:row>
      <xdr:rowOff>114300</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287.576275231484" createdVersion="5" refreshedVersion="5" minRefreshableVersion="3" recordCount="720">
  <cacheSource type="worksheet">
    <worksheetSource name="RawSalesTable6"/>
  </cacheSource>
  <cacheFields count="38">
    <cacheField name="Order_ID" numFmtId="0">
      <sharedItems/>
    </cacheField>
    <cacheField name="Order_Date" numFmtId="165">
      <sharedItems containsSemiMixedTypes="0" containsNonDate="0" containsDate="1" containsString="0" minDate="2025-01-01T00:00:00" maxDate="2026-01-01T00:00:00"/>
    </cacheField>
    <cacheField name="Customer_ID" numFmtId="0">
      <sharedItems/>
    </cacheField>
    <cacheField name="Product_ID" numFmtId="0">
      <sharedItems/>
    </cacheField>
    <cacheField name="Customer_Info" numFmtId="0">
      <sharedItems/>
    </cacheField>
    <cacheField name="Store_Raw" numFmtId="0">
      <sharedItems/>
    </cacheField>
    <cacheField name="Salesperson" numFmtId="0">
      <sharedItems/>
    </cacheField>
    <cacheField name="Channel_Raw" numFmtId="0">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28.79" maxValue="440.76"/>
    </cacheField>
    <cacheField name="Discount_Pct" numFmtId="9">
      <sharedItems containsSemiMixedTypes="0" containsString="0" containsNumber="1" minValue="0" maxValue="0.25"/>
    </cacheField>
    <cacheField name="Payment_Method_Raw" numFmtId="0">
      <sharedItems containsBlank="1"/>
    </cacheField>
    <cacheField name="Delivery_Days" numFmtId="0">
      <sharedItems containsSemiMixedTypes="0" containsString="0" containsNumber="1" containsInteger="1" minValue="0" maxValue="9"/>
    </cacheField>
    <cacheField name="Return_Status" numFmtId="0">
      <sharedItems/>
    </cacheField>
    <cacheField name="Channel_Clean" numFmtId="0">
      <sharedItems/>
    </cacheField>
    <cacheField name="Product_ID_Clean" numFmtId="0">
      <sharedItems/>
    </cacheField>
    <cacheField name="Customer_ID_Clean" numFmtId="0">
      <sharedItems/>
    </cacheField>
    <cacheField name="Store_Clean" numFmtId="0">
      <sharedItems/>
    </cacheField>
    <cacheField name="Payment_Method_Clean" numFmtId="0">
      <sharedItems/>
    </cacheField>
    <cacheField name="Order_ID_Count" numFmtId="0">
      <sharedItems containsSemiMixedTypes="0" containsString="0" containsNumber="1" containsInteger="1" minValue="1" maxValue="1"/>
    </cacheField>
    <cacheField name="Customer_Name_Extracted" numFmtId="0">
      <sharedItems/>
    </cacheField>
    <cacheField name="City_Extracted" numFmtId="0">
      <sharedItems/>
    </cacheField>
    <cacheField name="Segment_Extracted" numFmtId="0">
      <sharedItems/>
    </cacheField>
    <cacheField name="Product_Name" numFmtId="0">
      <sharedItems/>
    </cacheField>
    <cacheField name="Category" numFmtId="0">
      <sharedItems count="5">
        <s v="Fitness"/>
        <s v="Accessories"/>
        <s v="Home"/>
        <s v="Office"/>
        <s v="Electronics"/>
      </sharedItems>
    </cacheField>
    <cacheField name="Unit_Cost" numFmtId="0">
      <sharedItems containsSemiMixedTypes="0" containsString="0" containsNumber="1" minValue="14.58" maxValue="254.6"/>
    </cacheField>
    <cacheField name="Gross_Sales" numFmtId="0">
      <sharedItems containsSemiMixedTypes="0" containsString="0" containsNumber="1" minValue="29.28" maxValue="1888.75"/>
    </cacheField>
    <cacheField name="Discount_Amount" numFmtId="0">
      <sharedItems containsSemiMixedTypes="0" containsString="0" containsNumber="1" minValue="0" maxValue="357.37"/>
    </cacheField>
    <cacheField name="Net_Sales" numFmtId="0">
      <sharedItems containsSemiMixedTypes="0" containsString="0" containsNumber="1" minValue="22.822499999999998" maxValue="1869.5500000000002" count="719">
        <n v="321.89"/>
        <n v="1074.9780000000001"/>
        <n v="604.34"/>
        <n v="177.91200000000001"/>
        <n v="151.79"/>
        <n v="751.5"/>
        <n v="140.37749999999997"/>
        <n v="608.12"/>
        <n v="317.0625"/>
        <n v="155.38200000000001"/>
        <n v="238.70999999999998"/>
        <n v="239.07599999999999"/>
        <n v="82.73"/>
        <n v="229.96800000000002"/>
        <n v="1103.328"/>
        <n v="361.37"/>
        <n v="65.45"/>
        <n v="214.52"/>
        <n v="1072.1100000000001"/>
        <n v="74.955000000000013"/>
        <n v="709.27"/>
        <n v="339.65"/>
        <n v="188.518"/>
        <n v="554.78"/>
        <n v="387.8"/>
        <n v="756.11250000000007"/>
        <n v="130.78649999999999"/>
        <n v="105.19199999999999"/>
        <n v="218.99699999999999"/>
        <n v="306.45099999999996"/>
        <n v="305.59199999999998"/>
        <n v="99.63"/>
        <n v="24.208000000000002"/>
        <n v="215.08"/>
        <n v="1055.6399999999999"/>
        <n v="372.82499999999999"/>
        <n v="132.608"/>
        <n v="168.75"/>
        <n v="117.18"/>
        <n v="217.34100000000001"/>
        <n v="825.41700000000003"/>
        <n v="489.61099999999999"/>
        <n v="1223.55"/>
        <n v="83.33"/>
        <n v="891.97199999999998"/>
        <n v="299.83"/>
        <n v="436.14"/>
        <n v="219.71999999999997"/>
        <n v="509.25599999999997"/>
        <n v="275.96699999999998"/>
        <n v="616.16999999999996"/>
        <n v="315.27199999999999"/>
        <n v="525.53800000000001"/>
        <n v="155.66999999999999"/>
        <n v="286.47899999999998"/>
        <n v="280.20249999999999"/>
        <n v="687.45"/>
        <n v="455.488"/>
        <n v="192.5335"/>
        <n v="922.94999999999993"/>
        <n v="1056.375"/>
        <n v="565.72199999999998"/>
        <n v="306.26"/>
        <n v="1028.6125"/>
        <n v="502.17600000000004"/>
        <n v="907.89"/>
        <n v="203.95999999999998"/>
        <n v="427.822"/>
        <n v="169.3"/>
        <n v="391.05899999999997"/>
        <n v="351.6"/>
        <n v="31.95"/>
        <n v="137.08799999999999"/>
        <n v="587.61599999999999"/>
        <n v="442.84"/>
        <n v="55.841000000000001"/>
        <n v="564.29999999999995"/>
        <n v="172.43100000000001"/>
        <n v="235.55"/>
        <n v="614.14200000000005"/>
        <n v="128.57599999999999"/>
        <n v="1178.6649999999997"/>
        <n v="203.94"/>
        <n v="342.73"/>
        <n v="180.196"/>
        <n v="493.86700000000002"/>
        <n v="102.119"/>
        <n v="89.4285"/>
        <n v="122.47399999999999"/>
        <n v="297.36399999999998"/>
        <n v="341.69400000000002"/>
        <n v="86.215500000000006"/>
        <n v="252.84249999999997"/>
        <n v="333.024"/>
        <n v="350.44"/>
        <n v="74.38"/>
        <n v="225.35"/>
        <n v="570.44000000000005"/>
        <n v="96.49799999999999"/>
        <n v="179.23100000000002"/>
        <n v="285.47500000000002"/>
        <n v="189.42000000000002"/>
        <n v="202.22650000000002"/>
        <n v="59.08"/>
        <n v="257.42699999999996"/>
        <n v="312.99"/>
        <n v="79.47"/>
        <n v="645.86400000000003"/>
        <n v="243.7"/>
        <n v="28.167499999999997"/>
        <n v="944.68"/>
        <n v="390.38400000000001"/>
        <n v="394.596"/>
        <n v="749.68299999999999"/>
        <n v="1869.5500000000002"/>
        <n v="924.66000000000008"/>
        <n v="25.202500000000001"/>
        <n v="325.9735"/>
        <n v="159.52000000000001"/>
        <n v="141.661"/>
        <n v="193.21"/>
        <n v="265.20999999999998"/>
        <n v="32.64"/>
        <n v="703.62"/>
        <n v="754.65000000000009"/>
        <n v="106.24"/>
        <n v="308.44799999999998"/>
        <n v="139.059"/>
        <n v="339.47"/>
        <n v="1060.5420000000001"/>
        <n v="735.08399999999995"/>
        <n v="316.97700000000003"/>
        <n v="412.10050000000001"/>
        <n v="90.287999999999997"/>
        <n v="136.60049999999998"/>
        <n v="134.97300000000001"/>
        <n v="500.99200000000002"/>
        <n v="818.60550000000001"/>
        <n v="1197.8"/>
        <n v="317.3"/>
        <n v="150.18"/>
        <n v="670.74"/>
        <n v="314.86"/>
        <n v="85.899000000000001"/>
        <n v="214.15499999999997"/>
        <n v="318.14100000000002"/>
        <n v="215.00399999999999"/>
        <n v="157.91999999999999"/>
        <n v="184.041"/>
        <n v="239.84800000000001"/>
        <n v="84.1755"/>
        <n v="466.24"/>
        <n v="303.44"/>
        <n v="396.12"/>
        <n v="768.39750000000004"/>
        <n v="272.68"/>
        <n v="856.4129999999999"/>
        <n v="357.14"/>
        <n v="325.73"/>
        <n v="41.505000000000003"/>
        <n v="110.11750000000001"/>
        <n v="82.85"/>
        <n v="324.77999999999997"/>
        <n v="301.12150000000003"/>
        <n v="334.50900000000001"/>
        <n v="578.72249999999997"/>
        <n v="780.24900000000002"/>
        <n v="116.34"/>
        <n v="469.52800000000002"/>
        <n v="361.49399999999997"/>
        <n v="590.21600000000001"/>
        <n v="525.97699999999998"/>
        <n v="326.88549999999998"/>
        <n v="389.99"/>
        <n v="1234.3599999999999"/>
        <n v="372.42"/>
        <n v="189.87299999999999"/>
        <n v="1024.8899999999999"/>
        <n v="405.01350000000002"/>
        <n v="587.32799999999997"/>
        <n v="94.38300000000001"/>
        <n v="122.16999999999999"/>
        <n v="201.87200000000001"/>
        <n v="321.54000000000002"/>
        <n v="828.03599999999994"/>
        <n v="317.25"/>
        <n v="216.08"/>
        <n v="839.09699999999998"/>
        <n v="933.51750000000004"/>
        <n v="165.76"/>
        <n v="223.416"/>
        <n v="388.92599999999999"/>
        <n v="391.77600000000001"/>
        <n v="572.66"/>
        <n v="665.16"/>
        <n v="442.5"/>
        <n v="29.43"/>
        <n v="70.033999999999992"/>
        <n v="465.86099999999999"/>
        <n v="737.846"/>
        <n v="89.436999999999998"/>
        <n v="200.52600000000001"/>
        <n v="227.57249999999999"/>
        <n v="1027.98"/>
        <n v="165.24799999999999"/>
        <n v="328.44"/>
        <n v="861.52"/>
        <n v="376.44"/>
        <n v="53.747999999999998"/>
        <n v="1019.0609999999999"/>
        <n v="663.93600000000004"/>
        <n v="371.09"/>
        <n v="68.346000000000004"/>
        <n v="313.10000000000002"/>
        <n v="74.944500000000005"/>
        <n v="1054.96"/>
        <n v="456.11400000000003"/>
        <n v="1367.164"/>
        <n v="606.54"/>
        <n v="129.33600000000001"/>
        <n v="159.88"/>
        <n v="498.68999999999994"/>
        <n v="288.22399999999999"/>
        <n v="505.00799999999998"/>
        <n v="694.34999999999991"/>
        <n v="55.31"/>
        <n v="609.78"/>
        <n v="442.65600000000006"/>
        <n v="22.822499999999998"/>
        <n v="181.00749999999999"/>
        <n v="1701.3999999999999"/>
        <n v="127.035"/>
        <n v="149.01300000000001"/>
        <n v="268.18200000000002"/>
        <n v="287.45300000000003"/>
        <n v="23.84"/>
        <n v="40.01"/>
        <n v="851.76"/>
        <n v="82.62"/>
        <n v="192.10499999999999"/>
        <n v="68.536000000000001"/>
        <n v="73.227500000000006"/>
        <n v="413.649"/>
        <n v="641.29950000000008"/>
        <n v="746.6"/>
        <n v="359.5"/>
        <n v="749.48399999999992"/>
        <n v="174.03"/>
        <n v="159.03"/>
        <n v="346.59000000000003"/>
        <n v="296.18"/>
        <n v="599.89599999999996"/>
        <n v="108.30000000000001"/>
        <n v="91.683000000000007"/>
        <n v="699.66"/>
        <n v="343.83"/>
        <n v="910.05250000000012"/>
        <n v="445.23199999999997"/>
        <n v="1153.509"/>
        <n v="535.89599999999996"/>
        <n v="263.916"/>
        <n v="177.99"/>
        <n v="104.04"/>
        <n v="336.63600000000002"/>
        <n v="751.94400000000007"/>
        <n v="715.96749999999997"/>
        <n v="488.58499999999998"/>
        <n v="744.49800000000005"/>
        <n v="246.64450000000002"/>
        <n v="500.22"/>
        <n v="570.94000000000005"/>
        <n v="848.13149999999996"/>
        <n v="613.59749999999985"/>
        <n v="382.47950000000003"/>
        <n v="254.79000000000002"/>
        <n v="481.488"/>
        <n v="762.4"/>
        <n v="810.32"/>
        <n v="132.36350000000002"/>
        <n v="615.28"/>
        <n v="199.54599999999999"/>
        <n v="304.029"/>
        <n v="862.44000000000017"/>
        <n v="662.84"/>
        <n v="307.8"/>
        <n v="584.49"/>
        <n v="476.52"/>
        <n v="249.82350000000002"/>
        <n v="274.36"/>
        <n v="201.46"/>
        <n v="281.99599999999998"/>
        <n v="230.64000000000001"/>
        <n v="58.373999999999995"/>
        <n v="29.557499999999997"/>
        <n v="64.710499999999996"/>
        <n v="551.88799999999992"/>
        <n v="80.688000000000002"/>
        <n v="114.54749999999999"/>
        <n v="316.62"/>
        <n v="585.78899999999999"/>
        <n v="456.89400000000001"/>
        <n v="185.589"/>
        <n v="402.91399999999999"/>
        <n v="120.75"/>
        <n v="79.12"/>
        <n v="861.08399999999995"/>
        <n v="402.76"/>
        <n v="341.39"/>
        <n v="644.02800000000002"/>
        <n v="238.79900000000001"/>
        <n v="160.06550000000001"/>
        <n v="156.845"/>
        <n v="355.21199999999999"/>
        <n v="240.89600000000002"/>
        <n v="121.24849999999999"/>
        <n v="320.33999999999997"/>
        <n v="317.4615"/>
        <n v="312.75200000000001"/>
        <n v="1359.48"/>
        <n v="456.62000000000006"/>
        <n v="732.30750000000012"/>
        <n v="319.33799999999997"/>
        <n v="214.03500000000003"/>
        <n v="860.4"/>
        <n v="705.75749999999994"/>
        <n v="215.29"/>
        <n v="275.39549999999997"/>
        <n v="1679.75"/>
        <n v="309.58199999999999"/>
        <n v="775.74400000000003"/>
        <n v="739.04"/>
        <n v="732.58100000000002"/>
        <n v="958.5"/>
        <n v="50.894999999999996"/>
        <n v="528.89599999999996"/>
        <n v="199.40799999999999"/>
        <n v="120.0625"/>
        <n v="280.99"/>
        <n v="109.58399999999999"/>
        <n v="758.44650000000001"/>
        <n v="192.042"/>
        <n v="1379.36"/>
        <n v="588.98099999999999"/>
        <n v="351.13"/>
        <n v="536.5"/>
        <n v="224.85550000000001"/>
        <n v="428.02199999999999"/>
        <n v="1015.96"/>
        <n v="53.343000000000004"/>
        <n v="231.80949999999999"/>
        <n v="767.46"/>
        <n v="329"/>
        <n v="322.37299999999999"/>
        <n v="325.346"/>
        <n v="509.90399999999994"/>
        <n v="239.31"/>
        <n v="246.07199999999997"/>
        <n v="153.792"/>
        <n v="619.76900000000001"/>
        <n v="30.172000000000001"/>
        <n v="1465.08"/>
        <n v="116.45"/>
        <n v="588.38700000000006"/>
        <n v="243.13"/>
        <n v="265.83999999999997"/>
        <n v="481.26"/>
        <n v="470.99099999999999"/>
        <n v="188.37"/>
        <n v="246.94400000000002"/>
        <n v="516.40800000000002"/>
        <n v="318.03149999999999"/>
        <n v="205.62"/>
        <n v="213.19899999999998"/>
        <n v="309.16800000000001"/>
        <n v="636.15800000000002"/>
        <n v="533.42599999999993"/>
        <n v="499.03499999999997"/>
        <n v="792.10050000000001"/>
        <n v="117.96"/>
        <n v="306"/>
        <n v="232.24649999999997"/>
        <n v="262.65600000000001"/>
        <n v="738.3"/>
        <n v="743.02499999999998"/>
        <n v="151.30000000000001"/>
        <n v="569.29499999999996"/>
        <n v="223.94"/>
        <n v="92.997"/>
        <n v="146.01499999999999"/>
        <n v="906.61350000000004"/>
        <n v="363.00099999999998"/>
        <n v="506.31200000000001"/>
        <n v="335.79"/>
        <n v="1143.96"/>
        <n v="1254.7840000000001"/>
        <n v="75.842999999999989"/>
        <n v="219.72549999999998"/>
        <n v="316.32"/>
        <n v="1318.8600000000001"/>
        <n v="1319.88"/>
        <n v="100.282"/>
        <n v="411.6"/>
        <n v="62.36"/>
        <n v="232.95750000000001"/>
        <n v="257.363"/>
        <n v="54.072000000000003"/>
        <n v="1404.1759999999999"/>
        <n v="273.12"/>
        <n v="225.54750000000001"/>
        <n v="1257.4559999999999"/>
        <n v="54.86"/>
        <n v="810.64"/>
        <n v="632.26"/>
        <n v="983.08"/>
        <n v="85.38"/>
        <n v="303.56"/>
        <n v="415.39499999999998"/>
        <n v="58.896000000000001"/>
        <n v="371.07"/>
        <n v="382.06799999999998"/>
        <n v="132.47999999999999"/>
        <n v="394.3"/>
        <n v="213.09300000000002"/>
        <n v="98.92"/>
        <n v="1301.9939999999999"/>
        <n v="1141.29"/>
        <n v="703.38"/>
        <n v="638.78"/>
        <n v="186.95999999999998"/>
        <n v="273.05"/>
        <n v="60.352499999999999"/>
        <n v="111.32100000000001"/>
        <n v="161.27000000000001"/>
        <n v="319.91449999999998"/>
        <n v="1784.25"/>
        <n v="1040.7375"/>
        <n v="302.3"/>
        <n v="94.259"/>
        <n v="184.73050000000001"/>
        <n v="229.4915"/>
        <n v="708.68999999999994"/>
        <n v="382.34"/>
        <n v="233.27099999999999"/>
        <n v="310.58150000000001"/>
        <n v="196.34399999999999"/>
        <n v="950.42699999999991"/>
        <n v="207.392"/>
        <n v="79.0685"/>
        <n v="349.88800000000003"/>
        <n v="263.44"/>
        <n v="97.650500000000008"/>
        <n v="267.72800000000001"/>
        <n v="270.19900000000001"/>
        <n v="203.87"/>
        <n v="226.40600000000001"/>
        <n v="400.06400000000002"/>
        <n v="560.51199999999994"/>
        <n v="568.48500000000001"/>
        <n v="447.12700000000001"/>
        <n v="749.601"/>
        <n v="392.21"/>
        <n v="279.77"/>
        <n v="77.917500000000004"/>
        <n v="246.05099999999999"/>
        <n v="265.72500000000002"/>
        <n v="252.23"/>
        <n v="437.76"/>
        <n v="803.22450000000003"/>
        <n v="380.08"/>
        <n v="1118.3399999999999"/>
        <n v="705.21600000000001"/>
        <n v="113.53449999999999"/>
        <n v="61.667999999999992"/>
        <n v="249.95099999999999"/>
        <n v="267.12"/>
        <n v="723.024"/>
        <n v="890.43300000000011"/>
        <n v="172.38849999999999"/>
        <n v="257.72000000000003"/>
        <n v="334.65"/>
        <n v="458.334"/>
        <n v="713.54500000000007"/>
        <n v="381.32"/>
        <n v="206.53199999999998"/>
        <n v="231.28"/>
        <n v="218.71800000000002"/>
        <n v="237"/>
        <n v="405.24599999999998"/>
        <n v="236.35999999999999"/>
        <n v="399.73149999999998"/>
        <n v="176.18"/>
        <n v="822.69"/>
        <n v="360.8"/>
        <n v="276.72800000000001"/>
        <n v="383.971"/>
        <n v="345.435"/>
        <n v="262.8"/>
        <n v="170.5"/>
        <n v="787.64400000000001"/>
        <n v="225.64000000000001"/>
        <n v="207.65699999999998"/>
        <n v="326.2"/>
        <n v="282.60000000000002"/>
        <n v="222.399"/>
        <n v="153.26350000000002"/>
        <n v="1139.6199999999999"/>
        <n v="409.98"/>
        <n v="608.25600000000009"/>
        <n v="249.77"/>
        <n v="139.44"/>
        <n v="339.35400000000004"/>
        <n v="316.77999999999997"/>
        <n v="250.10999999999999"/>
        <n v="729.44999999999993"/>
        <n v="203.84100000000001"/>
        <n v="1421.694"/>
        <n v="114.012"/>
        <n v="357.68850000000003"/>
        <n v="273.78000000000003"/>
        <n v="329.04200000000003"/>
        <n v="832.56"/>
        <n v="333.27"/>
        <n v="100.9375"/>
        <n v="596.36"/>
        <n v="463.95150000000001"/>
        <n v="318.27"/>
        <n v="176.154"/>
        <n v="223.66800000000001"/>
        <n v="298.58500000000004"/>
        <n v="400.01"/>
        <n v="149.84100000000001"/>
        <n v="340.51799999999997"/>
        <n v="100.41900000000001"/>
        <n v="116.64000000000001"/>
        <n v="898.92"/>
        <n v="630.66600000000005"/>
        <n v="112.48"/>
        <n v="232.61100000000002"/>
        <n v="66.072000000000003"/>
        <n v="156.56"/>
        <n v="191.25"/>
        <n v="244.511"/>
        <n v="118.313"/>
        <n v="614.48"/>
        <n v="85.730999999999995"/>
        <n v="263.81"/>
        <n v="785.80800000000011"/>
        <n v="34.446999999999996"/>
        <n v="495.55199999999996"/>
        <n v="277.2765"/>
        <n v="314.67"/>
        <n v="250.61"/>
        <n v="636.41999999999996"/>
        <n v="1536.3875"/>
        <n v="313.12299999999999"/>
        <n v="712.80000000000007"/>
        <n v="878.48400000000004"/>
        <n v="428.94"/>
        <n v="75.572999999999993"/>
        <n v="495.36800000000005"/>
        <n v="243.42000000000002"/>
        <n v="697.73700000000008"/>
        <n v="72.593999999999994"/>
        <n v="301.2"/>
        <n v="348.97"/>
        <n v="71.340500000000006"/>
        <n v="768"/>
        <n v="704.87099999999998"/>
        <n v="119.85000000000001"/>
        <n v="151.864"/>
        <n v="357.78000000000003"/>
        <n v="298.7"/>
        <n v="508.68799999999999"/>
        <n v="1322.48"/>
        <n v="707.31299999999999"/>
        <n v="144.74200000000002"/>
        <n v="538.11800000000005"/>
        <n v="190.15199999999999"/>
        <n v="216.72800000000001"/>
        <n v="638.52300000000002"/>
        <n v="60.704999999999998"/>
        <n v="31.224"/>
        <n v="358.35900000000004"/>
        <n v="834.85050000000001"/>
        <n v="36.51"/>
        <n v="157.27250000000001"/>
        <n v="242.19"/>
        <n v="97.498499999999993"/>
        <n v="500.32"/>
        <n v="270.89249999999998"/>
        <n v="568.66700000000003"/>
        <n v="860.09999999999991"/>
        <n v="204.51600000000002"/>
        <n v="789.72"/>
        <n v="198.24"/>
        <n v="260.39999999999998"/>
        <n v="457.72500000000002"/>
        <n v="407.98"/>
        <n v="424.1"/>
        <n v="216.98000000000002"/>
        <n v="740.35200000000009"/>
        <n v="124.038"/>
        <n v="337.6585"/>
        <n v="66.816000000000003"/>
        <n v="415.02"/>
        <n v="95.805000000000007"/>
        <n v="27.157499999999999"/>
        <n v="54.15"/>
        <n v="261.99099999999999"/>
        <n v="217.72799999999998"/>
        <n v="397.30900000000003"/>
        <n v="117.16499999999999"/>
        <n v="380.87400000000002"/>
        <n v="126.75"/>
        <n v="214.51499999999999"/>
        <n v="1593.665"/>
        <n v="675.23400000000004"/>
        <n v="297.24"/>
        <n v="209.62399999999997"/>
        <n v="1147.5999999999999"/>
        <n v="54.701000000000001"/>
        <n v="324.9665"/>
        <n v="76.12"/>
        <n v="560.70000000000005"/>
        <n v="1148.616"/>
        <n v="592.16"/>
        <n v="357.77949999999998"/>
        <n v="546.70500000000004"/>
        <n v="494.89600000000002"/>
        <n v="370.32"/>
        <n v="295.52"/>
        <n v="159.22"/>
        <n v="206.4"/>
        <n v="222.381"/>
        <n v="604.62750000000005"/>
        <n v="104.67749999999999"/>
        <n v="312.1875"/>
        <n v="1318.106"/>
        <n v="844.93799999999987"/>
        <n v="410.36199999999997"/>
        <n v="1098.33"/>
        <n v="122.63"/>
        <n v="379.66"/>
        <n v="328.14"/>
        <n v="554.44499999999994"/>
        <n v="294.37199999999996"/>
        <n v="613.77600000000007"/>
        <n v="504.84000000000003"/>
        <n v="526.26"/>
        <n v="184.66499999999999"/>
        <n v="66.262500000000003"/>
        <n v="904.63799999999992"/>
        <n v="272.07"/>
        <n v="38.159999999999997"/>
        <n v="1294.6860000000001"/>
        <n v="747.86"/>
        <n v="712.67099999999994"/>
        <n v="76.835999999999999"/>
        <n v="370.17500000000001"/>
        <n v="201.40199999999999"/>
        <n v="99.27"/>
        <n v="806.08799999999997"/>
        <n v="386.72099999999995"/>
        <n v="548.40600000000006"/>
        <n v="304.22800000000001"/>
        <n v="1699.875"/>
        <n v="70.838999999999999"/>
        <n v="300.91699999999997"/>
        <n v="130.648"/>
        <n v="365.46"/>
        <n v="333.13"/>
        <n v="255.79050000000001"/>
        <n v="539.07000000000005"/>
        <n v="176.49900000000002"/>
        <n v="394.96100000000001"/>
        <n v="262.608"/>
        <n v="23.423999999999999"/>
        <n v="645.65800000000002"/>
        <n v="1053.8"/>
        <n v="798.12"/>
        <n v="122.7655"/>
        <n v="832.572"/>
        <n v="171.88499999999999"/>
        <n v="210.285"/>
        <n v="631.38599999999997"/>
        <n v="240.35"/>
        <n v="444.43100000000004"/>
        <n v="530.15699999999993"/>
        <n v="296.70400000000001"/>
        <n v="217.87199999999999"/>
        <n v="1103.73"/>
        <n v="278.28899999999999"/>
        <n v="798.22800000000007"/>
        <n v="704.94"/>
        <n v="1091.9100000000001"/>
        <n v="82.58"/>
        <n v="134.16299999999998"/>
        <n v="814.49549999999999"/>
        <n v="253.04499999999999"/>
        <n v="466.44600000000003"/>
        <n v="623.86500000000001"/>
        <n v="566.79"/>
        <n v="564.96"/>
        <n v="859.08600000000001"/>
        <n v="1314.68"/>
        <n v="312.39999999999998"/>
        <n v="644.57500000000005"/>
        <n v="115.26299999999999"/>
        <n v="859.81649999999991"/>
        <n v="153"/>
        <n v="1174.8175000000001"/>
        <n v="204.10399999999998"/>
        <n v="276.64"/>
        <n v="423.61500000000001"/>
        <n v="492.84"/>
        <n v="166.12799999999999"/>
        <n v="299.10000000000002"/>
        <n v="308.49"/>
        <n v="233.81799999999998"/>
      </sharedItems>
    </cacheField>
    <cacheField name="Total_Cost" numFmtId="0">
      <sharedItems containsSemiMixedTypes="0" containsString="0" containsNumber="1" minValue="14.58" maxValue="1273"/>
    </cacheField>
    <cacheField name="Profit" numFmtId="0">
      <sharedItems containsSemiMixedTypes="0" containsString="0" containsNumber="1" minValue="6.0574999999999974" maxValue="936.99999999999989" count="718">
        <n v="124.55999999999997"/>
        <n v="464.77800000000002"/>
        <n v="324.62"/>
        <n v="45.192000000000007"/>
        <n v="72.839999999999989"/>
        <n v="279.98"/>
        <n v="62.467499999999973"/>
        <n v="303.02"/>
        <n v="87.202499999999986"/>
        <n v="48.981999999999999"/>
        <n v="103.19999999999999"/>
        <n v="119.916"/>
        <n v="43.470000000000006"/>
        <n v="91.968000000000018"/>
        <n v="398.80799999999999"/>
        <n v="125.61000000000001"/>
        <n v="20.28"/>
        <n v="122.38000000000001"/>
        <n v="152.67000000000007"/>
        <n v="27.955000000000013"/>
        <n v="237.75"/>
        <n v="115.17999999999998"/>
        <n v="96.378"/>
        <n v="245.32"/>
        <n v="185.8"/>
        <n v="82.7025000000001"/>
        <n v="61.78649999999999"/>
        <n v="34.691999999999993"/>
        <n v="101.21699999999998"/>
        <n v="128.88099999999997"/>
        <n v="75.731999999999971"/>
        <n v="27.629999999999995"/>
        <n v="9.6280000000000019"/>
        <n v="87.870000000000019"/>
        <n v="455.15999999999985"/>
        <n v="146.97499999999997"/>
        <n v="26.207999999999998"/>
        <n v="62.349999999999994"/>
        <n v="46.680000000000007"/>
        <n v="86.15100000000001"/>
        <n v="346.07700000000006"/>
        <n v="115.73099999999999"/>
        <n v="635.29999999999995"/>
        <n v="38.159999999999997"/>
        <n v="365.05200000000002"/>
        <n v="123.69999999999999"/>
        <n v="173.76"/>
        <n v="32.779999999999973"/>
        <n v="91.656000000000006"/>
        <n v="78.636999999999972"/>
        <n v="313.16999999999996"/>
        <n v="60.671999999999997"/>
        <n v="245.81799999999998"/>
        <n v="49.269999999999982"/>
        <n v="133.92899999999997"/>
        <n v="104.07249999999999"/>
        <n v="293.88000000000005"/>
        <n v="81.608000000000004"/>
        <n v="74.883499999999998"/>
        <n v="394.55999999999995"/>
        <n v="400.42499999999995"/>
        <n v="286.00199999999995"/>
        <n v="152.32"/>
        <n v="392.5625"/>
        <n v="104.01600000000008"/>
        <n v="450.23999999999995"/>
        <n v="84.799999999999983"/>
        <n v="165.44200000000001"/>
        <n v="78.960000000000008"/>
        <n v="151.38899999999998"/>
        <n v="198.72000000000003"/>
        <n v="17.369999999999997"/>
        <n v="30.687999999999988"/>
        <n v="187.29599999999999"/>
        <n v="188.42"/>
        <n v="29.871000000000002"/>
        <n v="259.19999999999993"/>
        <n v="28.431000000000012"/>
        <n v="117.9"/>
        <n v="165.20200000000006"/>
        <n v="51.605999999999995"/>
        <n v="551.66499999999974"/>
        <n v="76.73"/>
        <n v="189.85000000000002"/>
        <n v="79.195999999999998"/>
        <n v="230.40700000000004"/>
        <n v="50.179000000000002"/>
        <n v="43.358499999999999"/>
        <n v="47.553999999999988"/>
        <n v="67.503999999999962"/>
        <n v="105.93400000000003"/>
        <n v="14.215500000000006"/>
        <n v="133.68249999999998"/>
        <n v="96.173999999999978"/>
        <n v="95.84"/>
        <n v="27.379999999999995"/>
        <n v="98.14"/>
        <n v="260.98000000000008"/>
        <n v="50.42799999999999"/>
        <n v="78.231000000000023"/>
        <n v="145.61500000000001"/>
        <n v="77.04000000000002"/>
        <n v="75.016500000000022"/>
        <n v="29.919999999999998"/>
        <n v="81.296999999999969"/>
        <n v="160.44"/>
        <n v="34.299999999999997"/>
        <n v="136.66400000000004"/>
        <n v="126.04999999999998"/>
        <n v="13.587499999999997"/>
        <n v="439.67999999999995"/>
        <n v="155.084"/>
        <n v="154.92600000000002"/>
        <n v="270.34300000000002"/>
        <n v="809.45"/>
        <n v="397.74000000000012"/>
        <n v="10.6225"/>
        <n v="96.113499999999988"/>
        <n v="53.120000000000005"/>
        <n v="51.320999999999998"/>
        <n v="60.490000000000009"/>
        <n v="133.47999999999999"/>
        <n v="9.14"/>
        <n v="254.68"/>
        <n v="369.80000000000007"/>
        <n v="60.169999999999995"/>
        <n v="83.97799999999998"/>
        <n v="32.658999999999992"/>
        <n v="115.00000000000003"/>
        <n v="460.06200000000013"/>
        <n v="204.20399999999995"/>
        <n v="164.09700000000004"/>
        <n v="172.43050000000002"/>
        <n v="46.547999999999995"/>
        <n v="57.65049999999998"/>
        <n v="56.02300000000001"/>
        <n v="75.391999999999996"/>
        <n v="354.41550000000007"/>
        <n v="408.4799999999999"/>
        <n v="163.36000000000001"/>
        <n v="71.23"/>
        <n v="221.8"/>
        <n v="160.92000000000002"/>
        <n v="26.048999999999999"/>
        <n v="82.424999999999983"/>
        <n v="117.98100000000002"/>
        <n v="83.813999999999993"/>
        <n v="51.519999999999982"/>
        <n v="42.518000000000001"/>
        <n v="38.105499999999999"/>
        <n v="230.94"/>
        <n v="145.54"/>
        <n v="156.45000000000002"/>
        <n v="78.817499999999995"/>
        <n v="75.349999999999994"/>
        <n v="264.42299999999989"/>
        <n v="132.66999999999999"/>
        <n v="148.16000000000003"/>
        <n v="15.535000000000004"/>
        <n v="24.387500000000003"/>
        <n v="37.679999999999993"/>
        <n v="94.919999999999959"/>
        <n v="148.24150000000003"/>
        <n v="79.90900000000002"/>
        <n v="233.72249999999997"/>
        <n v="251.85900000000004"/>
        <n v="64.400000000000006"/>
        <n v="218.72800000000001"/>
        <n v="120.33399999999997"/>
        <n v="195.55599999999998"/>
        <n v="287.65699999999998"/>
        <n v="126.72549999999998"/>
        <n v="154.23000000000002"/>
        <n v="674.91999999999985"/>
        <n v="131.26000000000002"/>
        <n v="57.152999999999992"/>
        <n v="335.30999999999983"/>
        <n v="168.1635"/>
        <n v="232.18799999999999"/>
        <n v="48.313000000000009"/>
        <n v="36.439999999999984"/>
        <n v="70.682000000000016"/>
        <n v="183.33"/>
        <n v="236.04599999999994"/>
        <n v="164.7"/>
        <n v="86.230000000000018"/>
        <n v="381.44699999999995"/>
        <n v="474.87750000000005"/>
        <n v="88.789999999999992"/>
        <n v="36.475999999999999"/>
        <n v="134.506"/>
        <n v="72.575999999999965"/>
        <n v="263.2"/>
        <n v="359.4"/>
        <n v="143.25"/>
        <n v="14.85"/>
        <n v="23.033999999999992"/>
        <n v="234.95099999999999"/>
        <n v="266.32600000000002"/>
        <n v="43.366999999999997"/>
        <n v="73.316000000000017"/>
        <n v="92.0625"/>
        <n v="338.4"/>
        <n v="32.527999999999992"/>
        <n v="175.56"/>
        <n v="352.68"/>
        <n v="121.84"/>
        <n v="24.587999999999997"/>
        <n v="383.00099999999986"/>
        <n v="181.61600000000004"/>
        <n v="159.06999999999996"/>
        <n v="21.346000000000004"/>
        <n v="160.55000000000001"/>
        <n v="15.094500000000004"/>
        <n v="307.20000000000005"/>
        <n v="193.73400000000004"/>
        <n v="447.72399999999993"/>
        <n v="251.39999999999998"/>
        <n v="52.366000000000014"/>
        <n v="82.91"/>
        <n v="267.77999999999997"/>
        <n v="76.203999999999979"/>
        <n v="106.84800000000001"/>
        <n v="318.14999999999986"/>
        <n v="29.340000000000003"/>
        <n v="215.11999999999995"/>
        <n v="166.65600000000006"/>
        <n v="8.2424999999999979"/>
        <n v="80.007499999999993"/>
        <n v="936.99999999999989"/>
        <n v="58.034999999999997"/>
        <n v="71.103000000000009"/>
        <n v="70.852000000000004"/>
        <n v="134.57300000000004"/>
        <n v="9.26"/>
        <n v="16.509999999999998"/>
        <n v="327"/>
        <n v="36.550000000000004"/>
        <n v="91.10499999999999"/>
        <n v="8.6859999999999999"/>
        <n v="13.377500000000005"/>
        <n v="135.24900000000002"/>
        <n v="246.10950000000014"/>
        <n v="264.28000000000003"/>
        <n v="135.03"/>
        <n v="270.14399999999995"/>
        <n v="96.12"/>
        <n v="39.33"/>
        <n v="110.83000000000004"/>
        <n v="156.32"/>
        <n v="199.57599999999996"/>
        <n v="37.800000000000011"/>
        <n v="19.683000000000007"/>
        <n v="239.93999999999994"/>
        <n v="143.66999999999999"/>
        <n v="214.05250000000012"/>
        <n v="92.97199999999998"/>
        <n v="434.49900000000002"/>
        <n v="118.29599999999999"/>
        <n v="111.36599999999999"/>
        <n v="33.990000000000009"/>
        <n v="57.970000000000006"/>
        <n v="124.61600000000001"/>
        <n v="159.95400000000006"/>
        <n v="183.96749999999997"/>
        <n v="258.23500000000001"/>
        <n v="280.30800000000011"/>
        <n v="94.094500000000011"/>
        <n v="249.42000000000002"/>
        <n v="218.68000000000006"/>
        <n v="256.14149999999995"/>
        <n v="52.777499999999918"/>
        <n v="146.71950000000004"/>
        <n v="137.01000000000002"/>
        <n v="126.34800000000001"/>
        <n v="253.2"/>
        <n v="330.98000000000008"/>
        <n v="63.363500000000016"/>
        <n v="307.39999999999998"/>
        <n v="81.895999999999987"/>
        <n v="151.149"/>
        <n v="189.0300000000002"/>
        <n v="203.12"/>
        <n v="110.47"/>
        <n v="281.49"/>
        <n v="241.21999999999997"/>
        <n v="73.693500000000029"/>
        <n v="155.20000000000002"/>
        <n v="109.32000000000001"/>
        <n v="128.05599999999998"/>
        <n v="72.740000000000009"/>
        <n v="20.913999999999994"/>
        <n v="6.0574999999999974"/>
        <n v="25.450499999999998"/>
        <n v="246.12799999999993"/>
        <n v="8.6880000000000024"/>
        <n v="37.577499999999986"/>
        <n v="163.74"/>
        <n v="191.12899999999996"/>
        <n v="218.57400000000001"/>
        <n v="58.379000000000005"/>
        <n v="218.63399999999999"/>
        <n v="50.25"/>
        <n v="39.860000000000007"/>
        <n v="334.16399999999999"/>
        <n v="137.32"/>
        <n v="111.52999999999997"/>
        <n v="248.83800000000008"/>
        <n v="80.899000000000001"/>
        <n v="83.095500000000015"/>
        <n v="37.144999999999996"/>
        <n v="153.21199999999999"/>
        <n v="88.346000000000004"/>
        <n v="35.518499999999989"/>
        <n v="90.479999999999961"/>
        <n v="87.601499999999987"/>
        <n v="76.992000000000019"/>
        <n v="440.03999999999996"/>
        <n v="82.740000000000066"/>
        <n v="273.66750000000013"/>
        <n v="89.477999999999952"/>
        <n v="74.835000000000036"/>
        <n v="381.06"/>
        <n v="235.50749999999994"/>
        <n v="88.08"/>
        <n v="135.53549999999996"/>
        <n v="557.40000000000009"/>
        <n v="79.72199999999998"/>
        <n v="218.94400000000007"/>
        <n v="314.99999999999994"/>
        <n v="253.24100000000004"/>
        <n v="488.25"/>
        <n v="24.924999999999997"/>
        <n v="223.13599999999997"/>
        <n v="81.757999999999981"/>
        <n v="51.0625"/>
        <n v="104.86000000000001"/>
        <n v="30.633999999999986"/>
        <n v="294.25650000000007"/>
        <n v="99.902000000000001"/>
        <n v="459.91999999999985"/>
        <n v="236.721"/>
        <n v="139.10999999999999"/>
        <n v="176.5"/>
        <n v="99.455500000000001"/>
        <n v="164.56200000000001"/>
        <n v="268.20000000000005"/>
        <n v="27.373000000000005"/>
        <n v="100.61949999999999"/>
        <n v="372.2700000000001"/>
        <n v="116.19999999999999"/>
        <n v="169.49299999999999"/>
        <n v="123.346"/>
        <n v="136.02399999999994"/>
        <n v="121.53"/>
        <n v="93.521999999999963"/>
        <n v="63.451999999999998"/>
        <n v="170.82900000000001"/>
        <n v="15.592000000000001"/>
        <n v="616.99999999999989"/>
        <n v="47.45"/>
        <n v="188.06700000000006"/>
        <n v="111.94"/>
        <n v="115.99999999999997"/>
        <n v="126.12"/>
        <n v="151.79099999999994"/>
        <n v="87.37"/>
        <n v="90.194000000000017"/>
        <n v="134.77800000000002"/>
        <n v="102.03149999999999"/>
        <n v="113.48"/>
        <n v="73.998999999999995"/>
        <n v="73.408000000000015"/>
        <n v="322.65800000000002"/>
        <n v="228.32599999999991"/>
        <n v="125.15499999999997"/>
        <n v="327.91050000000007"/>
        <n v="59.639999999999993"/>
        <n v="90"/>
        <n v="96.736499999999978"/>
        <n v="81.975999999999999"/>
        <n v="289.35999999999996"/>
        <n v="238.02499999999998"/>
        <n v="72.350000000000009"/>
        <n v="266.29499999999996"/>
        <n v="84.740000000000009"/>
        <n v="20.997"/>
        <n v="39.614999999999981"/>
        <n v="447.97350000000006"/>
        <n v="84.600999999999999"/>
        <n v="132.43200000000002"/>
        <n v="123.77000000000001"/>
        <n v="439.44000000000005"/>
        <n v="236.38400000000013"/>
        <n v="30.672999999999988"/>
        <n v="80.525499999999994"/>
        <n v="162.38"/>
        <n v="599.85000000000014"/>
        <n v="708.36000000000013"/>
        <n v="54.211999999999996"/>
        <n v="171.93000000000004"/>
        <n v="24.9"/>
        <n v="35.627499999999998"/>
        <n v="44.562999999999988"/>
        <n v="16.612000000000002"/>
        <n v="556.09599999999989"/>
        <n v="153.96"/>
        <n v="93.817500000000024"/>
        <n v="314.41599999999994"/>
        <n v="28.89"/>
        <n v="331.3"/>
        <n v="277.12"/>
        <n v="456.16000000000008"/>
        <n v="40.209999999999994"/>
        <n v="151.01"/>
        <n v="177.07499999999999"/>
        <n v="21.436"/>
        <n v="169.07"/>
        <n v="103.66800000000001"/>
        <n v="55.509999999999991"/>
        <n v="154.63000000000002"/>
        <n v="73.893000000000029"/>
        <n v="13.189999999999998"/>
        <n v="382.55399999999986"/>
        <n v="417.80999999999995"/>
        <n v="194.18"/>
        <n v="325.27999999999997"/>
        <n v="74.579999999999984"/>
        <n v="118.32000000000002"/>
        <n v="21.092500000000001"/>
        <n v="25.591000000000008"/>
        <n v="54.870000000000005"/>
        <n v="78.754499999999979"/>
        <n v="578.45000000000005"/>
        <n v="106.03749999999991"/>
        <n v="104.97"/>
        <n v="22.259"/>
        <n v="45.530500000000018"/>
        <n v="110.33150000000001"/>
        <n v="291.08999999999997"/>
        <n v="116.89999999999998"/>
        <n v="107.87099999999998"/>
        <n v="98.561499999999995"/>
        <n v="65.153999999999996"/>
        <n v="314.36699999999985"/>
        <n v="88.231999999999999"/>
        <n v="39.808500000000002"/>
        <n v="61.888000000000034"/>
        <n v="76.5"/>
        <n v="25.650500000000008"/>
        <n v="37.867999999999995"/>
        <n v="112.29900000000001"/>
        <n v="102.87"/>
        <n v="76.566000000000003"/>
        <n v="145.64400000000003"/>
        <n v="254.75199999999995"/>
        <n v="192.28499999999997"/>
        <n v="168.72700000000003"/>
        <n v="221.21100000000001"/>
        <n v="137.60999999999999"/>
        <n v="125.03999999999999"/>
        <n v="31.847500000000004"/>
        <n v="126.89099999999999"/>
        <n v="68.39500000000001"/>
        <n v="134.57999999999998"/>
        <n v="200.90999999999997"/>
        <n v="383.64449999999999"/>
        <n v="125.47999999999999"/>
        <n v="558.89999999999986"/>
        <n v="225.87600000000003"/>
        <n v="44.534499999999994"/>
        <n v="24.207999999999991"/>
        <n v="52.620999999999981"/>
        <n v="51.120000000000005"/>
        <n v="243.68400000000003"/>
        <n v="420.18300000000011"/>
        <n v="39.668499999999995"/>
        <n v="119.72000000000003"/>
        <n v="56.25"/>
        <n v="194.87400000000002"/>
        <n v="204.34500000000008"/>
        <n v="179.32"/>
        <n v="88.881999999999977"/>
        <n v="92.080000000000013"/>
        <n v="47.25800000000001"/>
        <n v="60.870000000000005"/>
        <n v="154.44599999999997"/>
        <n v="39.029999999999973"/>
        <n v="160.0615"/>
        <n v="56.480000000000004"/>
        <n v="358.50000000000011"/>
        <n v="136.33000000000001"/>
        <n v="123.84800000000001"/>
        <n v="118.53100000000001"/>
        <n v="67.035000000000025"/>
        <n v="124.80000000000001"/>
        <n v="50.8"/>
        <n v="254.93399999999997"/>
        <n v="70.910000000000025"/>
        <n v="90.006999999999977"/>
        <n v="128.86999999999998"/>
        <n v="70.580000000000013"/>
        <n v="96.998999999999995"/>
        <n v="76.293500000000023"/>
        <n v="529.41999999999985"/>
        <n v="144.54000000000002"/>
        <n v="294.75600000000009"/>
        <n v="130.61000000000001"/>
        <n v="60.489999999999995"/>
        <n v="137.35400000000004"/>
        <n v="176.91999999999996"/>
        <n v="95.38"/>
        <n v="137.45999999999992"/>
        <n v="76.631000000000014"/>
        <n v="523.81399999999996"/>
        <n v="39.091999999999999"/>
        <n v="120.83850000000001"/>
        <n v="135.57000000000002"/>
        <n v="148.36200000000002"/>
        <n v="353.21999999999997"/>
        <n v="28.9375"/>
        <n v="241.22000000000003"/>
        <n v="233.04150000000001"/>
        <n v="120.93999999999997"/>
        <n v="75.153999999999996"/>
        <n v="52.207999999999998"/>
        <n v="158.72500000000002"/>
        <n v="164.25"/>
        <n v="72.871000000000009"/>
        <n v="104.75799999999998"/>
        <n v="29.919000000000011"/>
        <n v="46.140000000000015"/>
        <n v="370.53"/>
        <n v="230.34600000000006"/>
        <n v="60.540000000000006"/>
        <n v="94.611000000000018"/>
        <n v="20.902000000000001"/>
        <n v="66.22"/>
        <n v="90.25"/>
        <n v="112.78100000000001"/>
        <n v="32.582999999999998"/>
        <n v="306.60000000000002"/>
        <n v="13.730999999999995"/>
        <n v="76.87"/>
        <n v="253.09800000000007"/>
        <n v="10.946999999999996"/>
        <n v="97.391999999999996"/>
        <n v="122.54650000000001"/>
        <n v="157.92000000000002"/>
        <n v="119.42000000000002"/>
        <n v="331.31999999999994"/>
        <n v="648.53750000000014"/>
        <n v="71.962999999999994"/>
        <n v="242.55000000000007"/>
        <n v="286.49400000000003"/>
        <n v="189.27"/>
        <n v="30.402999999999992"/>
        <n v="257.04800000000006"/>
        <n v="107.91000000000003"/>
        <n v="248.79700000000008"/>
        <n v="12.743999999999993"/>
        <n v="103.86999999999998"/>
        <n v="148.81000000000003"/>
        <n v="32.080500000000008"/>
        <n v="285.68"/>
        <n v="225.53100000000001"/>
        <n v="49.350000000000009"/>
        <n v="19.144000000000005"/>
        <n v="100.59000000000003"/>
        <n v="158.83999999999997"/>
        <n v="202.928"/>
        <n v="710.96"/>
        <n v="313.74299999999999"/>
        <n v="65.792000000000016"/>
        <n v="112.51800000000003"/>
        <n v="58.961999999999989"/>
        <n v="61.998000000000019"/>
        <n v="285.57299999999998"/>
        <n v="31.544999999999998"/>
        <n v="7.7240000000000002"/>
        <n v="146.33900000000003"/>
        <n v="302.14049999999997"/>
        <n v="13.009999999999998"/>
        <n v="50.872500000000002"/>
        <n v="110.46000000000001"/>
        <n v="51.428499999999993"/>
        <n v="236.86"/>
        <n v="83.952499999999986"/>
        <n v="255.16700000000003"/>
        <n v="395.90999999999997"/>
        <n v="86.866000000000014"/>
        <n v="258.84000000000003"/>
        <n v="67.050000000000011"/>
        <n v="35.929999999999978"/>
        <n v="219.40500000000003"/>
        <n v="142.54000000000002"/>
        <n v="222.10000000000002"/>
        <n v="99.330000000000013"/>
        <n v="148.36200000000008"/>
        <n v="45.087999999999994"/>
        <n v="83.058500000000009"/>
        <n v="6.9660000000000011"/>
        <n v="213.01999999999998"/>
        <n v="49.735000000000007"/>
        <n v="12.577499999999999"/>
        <n v="28.18"/>
        <n v="142.83099999999999"/>
        <n v="92.327999999999975"/>
        <n v="131.86900000000003"/>
        <n v="40.194999999999993"/>
        <n v="92.874000000000024"/>
        <n v="41.019999999999996"/>
        <n v="59.784999999999997"/>
        <n v="533.56499999999983"/>
        <n v="166.03400000000005"/>
        <n v="31.800000000000011"/>
        <n v="22.683999999999969"/>
        <n v="437.31999999999994"/>
        <n v="25.541"/>
        <n v="112.94649999999999"/>
        <n v="29.120000000000005"/>
        <n v="135.10000000000002"/>
        <n v="521.61599999999999"/>
        <n v="282.7"/>
        <n v="103.17949999999999"/>
        <n v="146.38500000000005"/>
        <n v="142.63600000000002"/>
        <n v="170.16"/>
        <n v="119.38999999999999"/>
        <n v="80.7"/>
        <n v="19.460000000000008"/>
        <n v="96.980999999999995"/>
        <n v="301.62750000000005"/>
        <n v="35.677499999999995"/>
        <n v="105.1875"/>
        <n v="398.66599999999994"/>
        <n v="425.35799999999983"/>
        <n v="155.94199999999998"/>
        <n v="497.84999999999991"/>
        <n v="36.899999999999991"/>
        <n v="125.06000000000003"/>
        <n v="115.33999999999997"/>
        <n v="156.28499999999997"/>
        <n v="81.571999999999946"/>
        <n v="308.01600000000008"/>
        <n v="45.120000000000005"/>
        <n v="262.8"/>
        <n v="32.22999999999999"/>
        <n v="67.014999999999986"/>
        <n v="28.802500000000002"/>
        <n v="140.83799999999997"/>
        <n v="117.34"/>
        <n v="14.659999999999997"/>
        <n v="351.64600000000019"/>
        <n v="298.92"/>
        <n v="288.63099999999991"/>
        <n v="37.576000000000001"/>
        <n v="91.775000000000034"/>
        <n v="62.201999999999998"/>
        <n v="27.269999999999996"/>
        <n v="347.44799999999998"/>
        <n v="149.87099999999992"/>
        <n v="243.30600000000004"/>
        <n v="164.36799999999999"/>
        <n v="426.875"/>
        <n v="25.668999999999997"/>
        <n v="100.75699999999998"/>
        <n v="53.677999999999997"/>
        <n v="114.65999999999997"/>
        <n v="176.38"/>
        <n v="103.2405"/>
        <n v="157.44000000000005"/>
        <n v="75.499000000000024"/>
        <n v="132.58100000000002"/>
        <n v="32.74799999999999"/>
        <n v="8.8439999999999994"/>
        <n v="185.93799999999999"/>
        <n v="390.19999999999993"/>
        <n v="326.60000000000002"/>
        <n v="43.8155"/>
        <n v="412.99199999999996"/>
        <n v="54.234999999999985"/>
        <n v="23.344999999999999"/>
        <n v="122.18599999999998"/>
        <n v="114.94999999999999"/>
        <n v="206.11100000000005"/>
        <n v="156.27699999999993"/>
        <n v="143.82400000000001"/>
        <n v="46.411999999999978"/>
        <n v="430.32000000000005"/>
        <n v="140.07899999999998"/>
        <n v="289.38800000000009"/>
        <n v="304.62000000000006"/>
        <n v="368.43000000000006"/>
        <n v="22.729999999999997"/>
        <n v="55.21299999999998"/>
        <n v="355.85550000000001"/>
        <n v="76.914999999999992"/>
        <n v="156.98600000000005"/>
        <n v="310.36500000000001"/>
        <n v="95.269999999999982"/>
        <n v="249.16000000000003"/>
        <n v="401.43599999999998"/>
        <n v="687.68000000000006"/>
        <n v="125.09999999999997"/>
        <n v="338.81500000000005"/>
        <n v="46.262999999999991"/>
        <n v="440.23649999999986"/>
        <n v="46.599999999999994"/>
        <n v="547.81750000000011"/>
        <n v="84.943999999999988"/>
        <n v="136.77999999999997"/>
        <n v="49.735000000000014"/>
        <n v="149.91999999999996"/>
        <n v="53.74799999999999"/>
        <n v="144.37000000000003"/>
        <n v="155.94"/>
        <n v="75.917999999999978"/>
      </sharedItems>
    </cacheField>
    <cacheField name="Profit_Margin" numFmtId="9">
      <sharedItems containsSemiMixedTypes="0" containsString="0" containsNumber="1" minValue="8.6013225282045525E-2" maxValue="0.57048293865373856"/>
    </cacheField>
    <cacheField name="Year" numFmtId="0">
      <sharedItems containsSemiMixedTypes="0" containsString="0" containsNumber="1" containsInteger="1" minValue="2025" maxValue="2025"/>
    </cacheField>
    <cacheField name="Month_Number" numFmtId="0">
      <sharedItems containsSemiMixedTypes="0" containsString="0" containsNumber="1" containsInteger="1" minValue="1" maxValue="12" count="12">
        <n v="9"/>
        <n v="5"/>
        <n v="2"/>
        <n v="1"/>
        <n v="3"/>
        <n v="6"/>
        <n v="12"/>
        <n v="8"/>
        <n v="11"/>
        <n v="4"/>
        <n v="7"/>
        <n v="10"/>
      </sharedItems>
    </cacheField>
    <cacheField name="Month_Name" numFmtId="0">
      <sharedItems/>
    </cacheField>
    <cacheField name="Quarter" numFmtId="0">
      <sharedItems/>
    </cacheField>
    <cacheField name="Region" numFmtId="0">
      <sharedItems/>
    </cacheField>
    <cacheField name="Return_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287.72505335648" createdVersion="5" refreshedVersion="5" minRefreshableVersion="3" recordCount="720">
  <cacheSource type="worksheet">
    <worksheetSource name="RawSalesTable6[[Channel_Clean]:[Return_Flag]]"/>
  </cacheSource>
  <cacheFields count="24">
    <cacheField name="Channel_Clean" numFmtId="0">
      <sharedItems count="3">
        <s v="Online"/>
        <s v="Retail Store"/>
        <s v="Marketplace"/>
      </sharedItems>
    </cacheField>
    <cacheField name="Product_ID_Clean" numFmtId="0">
      <sharedItems/>
    </cacheField>
    <cacheField name="Customer_ID_Clean" numFmtId="0">
      <sharedItems/>
    </cacheField>
    <cacheField name="Store_Clean" numFmtId="0">
      <sharedItems/>
    </cacheField>
    <cacheField name="Payment_Method_Clean" numFmtId="0">
      <sharedItems/>
    </cacheField>
    <cacheField name="Order_ID_Count" numFmtId="0">
      <sharedItems containsSemiMixedTypes="0" containsString="0" containsNumber="1" containsInteger="1" minValue="1" maxValue="1"/>
    </cacheField>
    <cacheField name="Customer_Name_Extracted" numFmtId="0">
      <sharedItems/>
    </cacheField>
    <cacheField name="City_Extracted" numFmtId="0">
      <sharedItems/>
    </cacheField>
    <cacheField name="Segment_Extracted" numFmtId="0">
      <sharedItems/>
    </cacheField>
    <cacheField name="Product_Name" numFmtId="0">
      <sharedItems/>
    </cacheField>
    <cacheField name="Category" numFmtId="0">
      <sharedItems count="5">
        <s v="Fitness"/>
        <s v="Accessories"/>
        <s v="Home"/>
        <s v="Office"/>
        <s v="Electronics"/>
      </sharedItems>
    </cacheField>
    <cacheField name="Unit_Cost" numFmtId="0">
      <sharedItems containsSemiMixedTypes="0" containsString="0" containsNumber="1" minValue="14.58" maxValue="254.6"/>
    </cacheField>
    <cacheField name="Gross_Sales" numFmtId="0">
      <sharedItems containsSemiMixedTypes="0" containsString="0" containsNumber="1" minValue="29.28" maxValue="1888.75"/>
    </cacheField>
    <cacheField name="Discount_Amount" numFmtId="0">
      <sharedItems containsSemiMixedTypes="0" containsString="0" containsNumber="1" minValue="0" maxValue="357.37"/>
    </cacheField>
    <cacheField name="Net_Sales" numFmtId="0">
      <sharedItems containsSemiMixedTypes="0" containsString="0" containsNumber="1" minValue="22.822499999999998" maxValue="1869.5500000000002" count="719">
        <n v="321.89"/>
        <n v="1074.9780000000001"/>
        <n v="604.34"/>
        <n v="177.91200000000001"/>
        <n v="151.79"/>
        <n v="751.5"/>
        <n v="140.37749999999997"/>
        <n v="608.12"/>
        <n v="317.0625"/>
        <n v="155.38200000000001"/>
        <n v="238.70999999999998"/>
        <n v="239.07599999999999"/>
        <n v="82.73"/>
        <n v="229.96800000000002"/>
        <n v="1103.328"/>
        <n v="361.37"/>
        <n v="65.45"/>
        <n v="214.52"/>
        <n v="1072.1100000000001"/>
        <n v="74.955000000000013"/>
        <n v="709.27"/>
        <n v="339.65"/>
        <n v="188.518"/>
        <n v="554.78"/>
        <n v="387.8"/>
        <n v="756.11250000000007"/>
        <n v="130.78649999999999"/>
        <n v="105.19199999999999"/>
        <n v="218.99699999999999"/>
        <n v="306.45099999999996"/>
        <n v="305.59199999999998"/>
        <n v="99.63"/>
        <n v="24.208000000000002"/>
        <n v="215.08"/>
        <n v="1055.6399999999999"/>
        <n v="372.82499999999999"/>
        <n v="132.608"/>
        <n v="168.75"/>
        <n v="117.18"/>
        <n v="217.34100000000001"/>
        <n v="825.41700000000003"/>
        <n v="489.61099999999999"/>
        <n v="1223.55"/>
        <n v="83.33"/>
        <n v="891.97199999999998"/>
        <n v="299.83"/>
        <n v="436.14"/>
        <n v="219.71999999999997"/>
        <n v="509.25599999999997"/>
        <n v="275.96699999999998"/>
        <n v="616.16999999999996"/>
        <n v="315.27199999999999"/>
        <n v="525.53800000000001"/>
        <n v="155.66999999999999"/>
        <n v="286.47899999999998"/>
        <n v="280.20249999999999"/>
        <n v="687.45"/>
        <n v="455.488"/>
        <n v="192.5335"/>
        <n v="922.94999999999993"/>
        <n v="1056.375"/>
        <n v="565.72199999999998"/>
        <n v="306.26"/>
        <n v="1028.6125"/>
        <n v="502.17600000000004"/>
        <n v="907.89"/>
        <n v="203.95999999999998"/>
        <n v="427.822"/>
        <n v="169.3"/>
        <n v="391.05899999999997"/>
        <n v="351.6"/>
        <n v="31.95"/>
        <n v="137.08799999999999"/>
        <n v="587.61599999999999"/>
        <n v="442.84"/>
        <n v="55.841000000000001"/>
        <n v="564.29999999999995"/>
        <n v="172.43100000000001"/>
        <n v="235.55"/>
        <n v="614.14200000000005"/>
        <n v="128.57599999999999"/>
        <n v="1178.6649999999997"/>
        <n v="203.94"/>
        <n v="342.73"/>
        <n v="180.196"/>
        <n v="493.86700000000002"/>
        <n v="102.119"/>
        <n v="89.4285"/>
        <n v="122.47399999999999"/>
        <n v="297.36399999999998"/>
        <n v="341.69400000000002"/>
        <n v="86.215500000000006"/>
        <n v="252.84249999999997"/>
        <n v="333.024"/>
        <n v="350.44"/>
        <n v="74.38"/>
        <n v="225.35"/>
        <n v="570.44000000000005"/>
        <n v="96.49799999999999"/>
        <n v="179.23100000000002"/>
        <n v="285.47500000000002"/>
        <n v="189.42000000000002"/>
        <n v="202.22650000000002"/>
        <n v="59.08"/>
        <n v="257.42699999999996"/>
        <n v="312.99"/>
        <n v="79.47"/>
        <n v="645.86400000000003"/>
        <n v="243.7"/>
        <n v="28.167499999999997"/>
        <n v="944.68"/>
        <n v="390.38400000000001"/>
        <n v="394.596"/>
        <n v="749.68299999999999"/>
        <n v="1869.5500000000002"/>
        <n v="924.66000000000008"/>
        <n v="25.202500000000001"/>
        <n v="325.9735"/>
        <n v="159.52000000000001"/>
        <n v="141.661"/>
        <n v="193.21"/>
        <n v="265.20999999999998"/>
        <n v="32.64"/>
        <n v="703.62"/>
        <n v="754.65000000000009"/>
        <n v="106.24"/>
        <n v="308.44799999999998"/>
        <n v="139.059"/>
        <n v="339.47"/>
        <n v="1060.5420000000001"/>
        <n v="735.08399999999995"/>
        <n v="316.97700000000003"/>
        <n v="412.10050000000001"/>
        <n v="90.287999999999997"/>
        <n v="136.60049999999998"/>
        <n v="134.97300000000001"/>
        <n v="500.99200000000002"/>
        <n v="818.60550000000001"/>
        <n v="1197.8"/>
        <n v="317.3"/>
        <n v="150.18"/>
        <n v="670.74"/>
        <n v="314.86"/>
        <n v="85.899000000000001"/>
        <n v="214.15499999999997"/>
        <n v="318.14100000000002"/>
        <n v="215.00399999999999"/>
        <n v="157.91999999999999"/>
        <n v="184.041"/>
        <n v="239.84800000000001"/>
        <n v="84.1755"/>
        <n v="466.24"/>
        <n v="303.44"/>
        <n v="396.12"/>
        <n v="768.39750000000004"/>
        <n v="272.68"/>
        <n v="856.4129999999999"/>
        <n v="357.14"/>
        <n v="325.73"/>
        <n v="41.505000000000003"/>
        <n v="110.11750000000001"/>
        <n v="82.85"/>
        <n v="324.77999999999997"/>
        <n v="301.12150000000003"/>
        <n v="334.50900000000001"/>
        <n v="578.72249999999997"/>
        <n v="780.24900000000002"/>
        <n v="116.34"/>
        <n v="469.52800000000002"/>
        <n v="361.49399999999997"/>
        <n v="590.21600000000001"/>
        <n v="525.97699999999998"/>
        <n v="326.88549999999998"/>
        <n v="389.99"/>
        <n v="1234.3599999999999"/>
        <n v="372.42"/>
        <n v="189.87299999999999"/>
        <n v="1024.8899999999999"/>
        <n v="405.01350000000002"/>
        <n v="587.32799999999997"/>
        <n v="94.38300000000001"/>
        <n v="122.16999999999999"/>
        <n v="201.87200000000001"/>
        <n v="321.54000000000002"/>
        <n v="828.03599999999994"/>
        <n v="317.25"/>
        <n v="216.08"/>
        <n v="839.09699999999998"/>
        <n v="933.51750000000004"/>
        <n v="165.76"/>
        <n v="223.416"/>
        <n v="388.92599999999999"/>
        <n v="391.77600000000001"/>
        <n v="572.66"/>
        <n v="665.16"/>
        <n v="442.5"/>
        <n v="29.43"/>
        <n v="70.033999999999992"/>
        <n v="465.86099999999999"/>
        <n v="737.846"/>
        <n v="89.436999999999998"/>
        <n v="200.52600000000001"/>
        <n v="227.57249999999999"/>
        <n v="1027.98"/>
        <n v="165.24799999999999"/>
        <n v="328.44"/>
        <n v="861.52"/>
        <n v="376.44"/>
        <n v="53.747999999999998"/>
        <n v="1019.0609999999999"/>
        <n v="663.93600000000004"/>
        <n v="371.09"/>
        <n v="68.346000000000004"/>
        <n v="313.10000000000002"/>
        <n v="74.944500000000005"/>
        <n v="1054.96"/>
        <n v="456.11400000000003"/>
        <n v="1367.164"/>
        <n v="606.54"/>
        <n v="129.33600000000001"/>
        <n v="159.88"/>
        <n v="498.68999999999994"/>
        <n v="288.22399999999999"/>
        <n v="505.00799999999998"/>
        <n v="694.34999999999991"/>
        <n v="55.31"/>
        <n v="609.78"/>
        <n v="442.65600000000006"/>
        <n v="22.822499999999998"/>
        <n v="181.00749999999999"/>
        <n v="1701.3999999999999"/>
        <n v="127.035"/>
        <n v="149.01300000000001"/>
        <n v="268.18200000000002"/>
        <n v="287.45300000000003"/>
        <n v="23.84"/>
        <n v="40.01"/>
        <n v="851.76"/>
        <n v="82.62"/>
        <n v="192.10499999999999"/>
        <n v="68.536000000000001"/>
        <n v="73.227500000000006"/>
        <n v="413.649"/>
        <n v="641.29950000000008"/>
        <n v="746.6"/>
        <n v="359.5"/>
        <n v="749.48399999999992"/>
        <n v="174.03"/>
        <n v="159.03"/>
        <n v="346.59000000000003"/>
        <n v="296.18"/>
        <n v="599.89599999999996"/>
        <n v="108.30000000000001"/>
        <n v="91.683000000000007"/>
        <n v="699.66"/>
        <n v="343.83"/>
        <n v="910.05250000000012"/>
        <n v="445.23199999999997"/>
        <n v="1153.509"/>
        <n v="535.89599999999996"/>
        <n v="263.916"/>
        <n v="177.99"/>
        <n v="104.04"/>
        <n v="336.63600000000002"/>
        <n v="751.94400000000007"/>
        <n v="715.96749999999997"/>
        <n v="488.58499999999998"/>
        <n v="744.49800000000005"/>
        <n v="246.64450000000002"/>
        <n v="500.22"/>
        <n v="570.94000000000005"/>
        <n v="848.13149999999996"/>
        <n v="613.59749999999985"/>
        <n v="382.47950000000003"/>
        <n v="254.79000000000002"/>
        <n v="481.488"/>
        <n v="762.4"/>
        <n v="810.32"/>
        <n v="132.36350000000002"/>
        <n v="615.28"/>
        <n v="199.54599999999999"/>
        <n v="304.029"/>
        <n v="862.44000000000017"/>
        <n v="662.84"/>
        <n v="307.8"/>
        <n v="584.49"/>
        <n v="476.52"/>
        <n v="249.82350000000002"/>
        <n v="274.36"/>
        <n v="201.46"/>
        <n v="281.99599999999998"/>
        <n v="230.64000000000001"/>
        <n v="58.373999999999995"/>
        <n v="29.557499999999997"/>
        <n v="64.710499999999996"/>
        <n v="551.88799999999992"/>
        <n v="80.688000000000002"/>
        <n v="114.54749999999999"/>
        <n v="316.62"/>
        <n v="585.78899999999999"/>
        <n v="456.89400000000001"/>
        <n v="185.589"/>
        <n v="402.91399999999999"/>
        <n v="120.75"/>
        <n v="79.12"/>
        <n v="861.08399999999995"/>
        <n v="402.76"/>
        <n v="341.39"/>
        <n v="644.02800000000002"/>
        <n v="238.79900000000001"/>
        <n v="160.06550000000001"/>
        <n v="156.845"/>
        <n v="355.21199999999999"/>
        <n v="240.89600000000002"/>
        <n v="121.24849999999999"/>
        <n v="320.33999999999997"/>
        <n v="317.4615"/>
        <n v="312.75200000000001"/>
        <n v="1359.48"/>
        <n v="456.62000000000006"/>
        <n v="732.30750000000012"/>
        <n v="319.33799999999997"/>
        <n v="214.03500000000003"/>
        <n v="860.4"/>
        <n v="705.75749999999994"/>
        <n v="215.29"/>
        <n v="275.39549999999997"/>
        <n v="1679.75"/>
        <n v="309.58199999999999"/>
        <n v="775.74400000000003"/>
        <n v="739.04"/>
        <n v="732.58100000000002"/>
        <n v="958.5"/>
        <n v="50.894999999999996"/>
        <n v="528.89599999999996"/>
        <n v="199.40799999999999"/>
        <n v="120.0625"/>
        <n v="280.99"/>
        <n v="109.58399999999999"/>
        <n v="758.44650000000001"/>
        <n v="192.042"/>
        <n v="1379.36"/>
        <n v="588.98099999999999"/>
        <n v="351.13"/>
        <n v="536.5"/>
        <n v="224.85550000000001"/>
        <n v="428.02199999999999"/>
        <n v="1015.96"/>
        <n v="53.343000000000004"/>
        <n v="231.80949999999999"/>
        <n v="767.46"/>
        <n v="329"/>
        <n v="322.37299999999999"/>
        <n v="325.346"/>
        <n v="509.90399999999994"/>
        <n v="239.31"/>
        <n v="246.07199999999997"/>
        <n v="153.792"/>
        <n v="619.76900000000001"/>
        <n v="30.172000000000001"/>
        <n v="1465.08"/>
        <n v="116.45"/>
        <n v="588.38700000000006"/>
        <n v="243.13"/>
        <n v="265.83999999999997"/>
        <n v="481.26"/>
        <n v="470.99099999999999"/>
        <n v="188.37"/>
        <n v="246.94400000000002"/>
        <n v="516.40800000000002"/>
        <n v="318.03149999999999"/>
        <n v="205.62"/>
        <n v="213.19899999999998"/>
        <n v="309.16800000000001"/>
        <n v="636.15800000000002"/>
        <n v="533.42599999999993"/>
        <n v="499.03499999999997"/>
        <n v="792.10050000000001"/>
        <n v="117.96"/>
        <n v="306"/>
        <n v="232.24649999999997"/>
        <n v="262.65600000000001"/>
        <n v="738.3"/>
        <n v="743.02499999999998"/>
        <n v="151.30000000000001"/>
        <n v="569.29499999999996"/>
        <n v="223.94"/>
        <n v="92.997"/>
        <n v="146.01499999999999"/>
        <n v="906.61350000000004"/>
        <n v="363.00099999999998"/>
        <n v="506.31200000000001"/>
        <n v="335.79"/>
        <n v="1143.96"/>
        <n v="1254.7840000000001"/>
        <n v="75.842999999999989"/>
        <n v="219.72549999999998"/>
        <n v="316.32"/>
        <n v="1318.8600000000001"/>
        <n v="1319.88"/>
        <n v="100.282"/>
        <n v="411.6"/>
        <n v="62.36"/>
        <n v="232.95750000000001"/>
        <n v="257.363"/>
        <n v="54.072000000000003"/>
        <n v="1404.1759999999999"/>
        <n v="273.12"/>
        <n v="225.54750000000001"/>
        <n v="1257.4559999999999"/>
        <n v="54.86"/>
        <n v="810.64"/>
        <n v="632.26"/>
        <n v="983.08"/>
        <n v="85.38"/>
        <n v="303.56"/>
        <n v="415.39499999999998"/>
        <n v="58.896000000000001"/>
        <n v="371.07"/>
        <n v="382.06799999999998"/>
        <n v="132.47999999999999"/>
        <n v="394.3"/>
        <n v="213.09300000000002"/>
        <n v="98.92"/>
        <n v="1301.9939999999999"/>
        <n v="1141.29"/>
        <n v="703.38"/>
        <n v="638.78"/>
        <n v="186.95999999999998"/>
        <n v="273.05"/>
        <n v="60.352499999999999"/>
        <n v="111.32100000000001"/>
        <n v="161.27000000000001"/>
        <n v="319.91449999999998"/>
        <n v="1784.25"/>
        <n v="1040.7375"/>
        <n v="302.3"/>
        <n v="94.259"/>
        <n v="184.73050000000001"/>
        <n v="229.4915"/>
        <n v="708.68999999999994"/>
        <n v="382.34"/>
        <n v="233.27099999999999"/>
        <n v="310.58150000000001"/>
        <n v="196.34399999999999"/>
        <n v="950.42699999999991"/>
        <n v="207.392"/>
        <n v="79.0685"/>
        <n v="349.88800000000003"/>
        <n v="263.44"/>
        <n v="97.650500000000008"/>
        <n v="267.72800000000001"/>
        <n v="270.19900000000001"/>
        <n v="203.87"/>
        <n v="226.40600000000001"/>
        <n v="400.06400000000002"/>
        <n v="560.51199999999994"/>
        <n v="568.48500000000001"/>
        <n v="447.12700000000001"/>
        <n v="749.601"/>
        <n v="392.21"/>
        <n v="279.77"/>
        <n v="77.917500000000004"/>
        <n v="246.05099999999999"/>
        <n v="265.72500000000002"/>
        <n v="252.23"/>
        <n v="437.76"/>
        <n v="803.22450000000003"/>
        <n v="380.08"/>
        <n v="1118.3399999999999"/>
        <n v="705.21600000000001"/>
        <n v="113.53449999999999"/>
        <n v="61.667999999999992"/>
        <n v="249.95099999999999"/>
        <n v="267.12"/>
        <n v="723.024"/>
        <n v="890.43300000000011"/>
        <n v="172.38849999999999"/>
        <n v="257.72000000000003"/>
        <n v="334.65"/>
        <n v="458.334"/>
        <n v="713.54500000000007"/>
        <n v="381.32"/>
        <n v="206.53199999999998"/>
        <n v="231.28"/>
        <n v="218.71800000000002"/>
        <n v="237"/>
        <n v="405.24599999999998"/>
        <n v="236.35999999999999"/>
        <n v="399.73149999999998"/>
        <n v="176.18"/>
        <n v="822.69"/>
        <n v="360.8"/>
        <n v="276.72800000000001"/>
        <n v="383.971"/>
        <n v="345.435"/>
        <n v="262.8"/>
        <n v="170.5"/>
        <n v="787.64400000000001"/>
        <n v="225.64000000000001"/>
        <n v="207.65699999999998"/>
        <n v="326.2"/>
        <n v="282.60000000000002"/>
        <n v="222.399"/>
        <n v="153.26350000000002"/>
        <n v="1139.6199999999999"/>
        <n v="409.98"/>
        <n v="608.25600000000009"/>
        <n v="249.77"/>
        <n v="139.44"/>
        <n v="339.35400000000004"/>
        <n v="316.77999999999997"/>
        <n v="250.10999999999999"/>
        <n v="729.44999999999993"/>
        <n v="203.84100000000001"/>
        <n v="1421.694"/>
        <n v="114.012"/>
        <n v="357.68850000000003"/>
        <n v="273.78000000000003"/>
        <n v="329.04200000000003"/>
        <n v="832.56"/>
        <n v="333.27"/>
        <n v="100.9375"/>
        <n v="596.36"/>
        <n v="463.95150000000001"/>
        <n v="318.27"/>
        <n v="176.154"/>
        <n v="223.66800000000001"/>
        <n v="298.58500000000004"/>
        <n v="400.01"/>
        <n v="149.84100000000001"/>
        <n v="340.51799999999997"/>
        <n v="100.41900000000001"/>
        <n v="116.64000000000001"/>
        <n v="898.92"/>
        <n v="630.66600000000005"/>
        <n v="112.48"/>
        <n v="232.61100000000002"/>
        <n v="66.072000000000003"/>
        <n v="156.56"/>
        <n v="191.25"/>
        <n v="244.511"/>
        <n v="118.313"/>
        <n v="614.48"/>
        <n v="85.730999999999995"/>
        <n v="263.81"/>
        <n v="785.80800000000011"/>
        <n v="34.446999999999996"/>
        <n v="495.55199999999996"/>
        <n v="277.2765"/>
        <n v="314.67"/>
        <n v="250.61"/>
        <n v="636.41999999999996"/>
        <n v="1536.3875"/>
        <n v="313.12299999999999"/>
        <n v="712.80000000000007"/>
        <n v="878.48400000000004"/>
        <n v="428.94"/>
        <n v="75.572999999999993"/>
        <n v="495.36800000000005"/>
        <n v="243.42000000000002"/>
        <n v="697.73700000000008"/>
        <n v="72.593999999999994"/>
        <n v="301.2"/>
        <n v="348.97"/>
        <n v="71.340500000000006"/>
        <n v="768"/>
        <n v="704.87099999999998"/>
        <n v="119.85000000000001"/>
        <n v="151.864"/>
        <n v="357.78000000000003"/>
        <n v="298.7"/>
        <n v="508.68799999999999"/>
        <n v="1322.48"/>
        <n v="707.31299999999999"/>
        <n v="144.74200000000002"/>
        <n v="538.11800000000005"/>
        <n v="190.15199999999999"/>
        <n v="216.72800000000001"/>
        <n v="638.52300000000002"/>
        <n v="60.704999999999998"/>
        <n v="31.224"/>
        <n v="358.35900000000004"/>
        <n v="834.85050000000001"/>
        <n v="36.51"/>
        <n v="157.27250000000001"/>
        <n v="242.19"/>
        <n v="97.498499999999993"/>
        <n v="500.32"/>
        <n v="270.89249999999998"/>
        <n v="568.66700000000003"/>
        <n v="860.09999999999991"/>
        <n v="204.51600000000002"/>
        <n v="789.72"/>
        <n v="198.24"/>
        <n v="260.39999999999998"/>
        <n v="457.72500000000002"/>
        <n v="407.98"/>
        <n v="424.1"/>
        <n v="216.98000000000002"/>
        <n v="740.35200000000009"/>
        <n v="124.038"/>
        <n v="337.6585"/>
        <n v="66.816000000000003"/>
        <n v="415.02"/>
        <n v="95.805000000000007"/>
        <n v="27.157499999999999"/>
        <n v="54.15"/>
        <n v="261.99099999999999"/>
        <n v="217.72799999999998"/>
        <n v="397.30900000000003"/>
        <n v="117.16499999999999"/>
        <n v="380.87400000000002"/>
        <n v="126.75"/>
        <n v="214.51499999999999"/>
        <n v="1593.665"/>
        <n v="675.23400000000004"/>
        <n v="297.24"/>
        <n v="209.62399999999997"/>
        <n v="1147.5999999999999"/>
        <n v="54.701000000000001"/>
        <n v="324.9665"/>
        <n v="76.12"/>
        <n v="560.70000000000005"/>
        <n v="1148.616"/>
        <n v="592.16"/>
        <n v="357.77949999999998"/>
        <n v="546.70500000000004"/>
        <n v="494.89600000000002"/>
        <n v="370.32"/>
        <n v="295.52"/>
        <n v="159.22"/>
        <n v="206.4"/>
        <n v="222.381"/>
        <n v="604.62750000000005"/>
        <n v="104.67749999999999"/>
        <n v="312.1875"/>
        <n v="1318.106"/>
        <n v="844.93799999999987"/>
        <n v="410.36199999999997"/>
        <n v="1098.33"/>
        <n v="122.63"/>
        <n v="379.66"/>
        <n v="328.14"/>
        <n v="554.44499999999994"/>
        <n v="294.37199999999996"/>
        <n v="613.77600000000007"/>
        <n v="504.84000000000003"/>
        <n v="526.26"/>
        <n v="184.66499999999999"/>
        <n v="66.262500000000003"/>
        <n v="904.63799999999992"/>
        <n v="272.07"/>
        <n v="38.159999999999997"/>
        <n v="1294.6860000000001"/>
        <n v="747.86"/>
        <n v="712.67099999999994"/>
        <n v="76.835999999999999"/>
        <n v="370.17500000000001"/>
        <n v="201.40199999999999"/>
        <n v="99.27"/>
        <n v="806.08799999999997"/>
        <n v="386.72099999999995"/>
        <n v="548.40600000000006"/>
        <n v="304.22800000000001"/>
        <n v="1699.875"/>
        <n v="70.838999999999999"/>
        <n v="300.91699999999997"/>
        <n v="130.648"/>
        <n v="365.46"/>
        <n v="333.13"/>
        <n v="255.79050000000001"/>
        <n v="539.07000000000005"/>
        <n v="176.49900000000002"/>
        <n v="394.96100000000001"/>
        <n v="262.608"/>
        <n v="23.423999999999999"/>
        <n v="645.65800000000002"/>
        <n v="1053.8"/>
        <n v="798.12"/>
        <n v="122.7655"/>
        <n v="832.572"/>
        <n v="171.88499999999999"/>
        <n v="210.285"/>
        <n v="631.38599999999997"/>
        <n v="240.35"/>
        <n v="444.43100000000004"/>
        <n v="530.15699999999993"/>
        <n v="296.70400000000001"/>
        <n v="217.87199999999999"/>
        <n v="1103.73"/>
        <n v="278.28899999999999"/>
        <n v="798.22800000000007"/>
        <n v="704.94"/>
        <n v="1091.9100000000001"/>
        <n v="82.58"/>
        <n v="134.16299999999998"/>
        <n v="814.49549999999999"/>
        <n v="253.04499999999999"/>
        <n v="466.44600000000003"/>
        <n v="623.86500000000001"/>
        <n v="566.79"/>
        <n v="564.96"/>
        <n v="859.08600000000001"/>
        <n v="1314.68"/>
        <n v="312.39999999999998"/>
        <n v="644.57500000000005"/>
        <n v="115.26299999999999"/>
        <n v="859.81649999999991"/>
        <n v="153"/>
        <n v="1174.8175000000001"/>
        <n v="204.10399999999998"/>
        <n v="276.64"/>
        <n v="423.61500000000001"/>
        <n v="492.84"/>
        <n v="166.12799999999999"/>
        <n v="299.10000000000002"/>
        <n v="308.49"/>
        <n v="233.81799999999998"/>
      </sharedItems>
    </cacheField>
    <cacheField name="Total_Cost" numFmtId="0">
      <sharedItems containsSemiMixedTypes="0" containsString="0" containsNumber="1" minValue="14.58" maxValue="1273"/>
    </cacheField>
    <cacheField name="Profit" numFmtId="0">
      <sharedItems containsSemiMixedTypes="0" containsString="0" containsNumber="1" minValue="6.0574999999999974" maxValue="936.99999999999989" count="718">
        <n v="124.55999999999997"/>
        <n v="464.77800000000002"/>
        <n v="324.62"/>
        <n v="45.192000000000007"/>
        <n v="72.839999999999989"/>
        <n v="279.98"/>
        <n v="62.467499999999973"/>
        <n v="303.02"/>
        <n v="87.202499999999986"/>
        <n v="48.981999999999999"/>
        <n v="103.19999999999999"/>
        <n v="119.916"/>
        <n v="43.470000000000006"/>
        <n v="91.968000000000018"/>
        <n v="398.80799999999999"/>
        <n v="125.61000000000001"/>
        <n v="20.28"/>
        <n v="122.38000000000001"/>
        <n v="152.67000000000007"/>
        <n v="27.955000000000013"/>
        <n v="237.75"/>
        <n v="115.17999999999998"/>
        <n v="96.378"/>
        <n v="245.32"/>
        <n v="185.8"/>
        <n v="82.7025000000001"/>
        <n v="61.78649999999999"/>
        <n v="34.691999999999993"/>
        <n v="101.21699999999998"/>
        <n v="128.88099999999997"/>
        <n v="75.731999999999971"/>
        <n v="27.629999999999995"/>
        <n v="9.6280000000000019"/>
        <n v="87.870000000000019"/>
        <n v="455.15999999999985"/>
        <n v="146.97499999999997"/>
        <n v="26.207999999999998"/>
        <n v="62.349999999999994"/>
        <n v="46.680000000000007"/>
        <n v="86.15100000000001"/>
        <n v="346.07700000000006"/>
        <n v="115.73099999999999"/>
        <n v="635.29999999999995"/>
        <n v="38.159999999999997"/>
        <n v="365.05200000000002"/>
        <n v="123.69999999999999"/>
        <n v="173.76"/>
        <n v="32.779999999999973"/>
        <n v="91.656000000000006"/>
        <n v="78.636999999999972"/>
        <n v="313.16999999999996"/>
        <n v="60.671999999999997"/>
        <n v="245.81799999999998"/>
        <n v="49.269999999999982"/>
        <n v="133.92899999999997"/>
        <n v="104.07249999999999"/>
        <n v="293.88000000000005"/>
        <n v="81.608000000000004"/>
        <n v="74.883499999999998"/>
        <n v="394.55999999999995"/>
        <n v="400.42499999999995"/>
        <n v="286.00199999999995"/>
        <n v="152.32"/>
        <n v="392.5625"/>
        <n v="104.01600000000008"/>
        <n v="450.23999999999995"/>
        <n v="84.799999999999983"/>
        <n v="165.44200000000001"/>
        <n v="78.960000000000008"/>
        <n v="151.38899999999998"/>
        <n v="198.72000000000003"/>
        <n v="17.369999999999997"/>
        <n v="30.687999999999988"/>
        <n v="187.29599999999999"/>
        <n v="188.42"/>
        <n v="29.871000000000002"/>
        <n v="259.19999999999993"/>
        <n v="28.431000000000012"/>
        <n v="117.9"/>
        <n v="165.20200000000006"/>
        <n v="51.605999999999995"/>
        <n v="551.66499999999974"/>
        <n v="76.73"/>
        <n v="189.85000000000002"/>
        <n v="79.195999999999998"/>
        <n v="230.40700000000004"/>
        <n v="50.179000000000002"/>
        <n v="43.358499999999999"/>
        <n v="47.553999999999988"/>
        <n v="67.503999999999962"/>
        <n v="105.93400000000003"/>
        <n v="14.215500000000006"/>
        <n v="133.68249999999998"/>
        <n v="96.173999999999978"/>
        <n v="95.84"/>
        <n v="27.379999999999995"/>
        <n v="98.14"/>
        <n v="260.98000000000008"/>
        <n v="50.42799999999999"/>
        <n v="78.231000000000023"/>
        <n v="145.61500000000001"/>
        <n v="77.04000000000002"/>
        <n v="75.016500000000022"/>
        <n v="29.919999999999998"/>
        <n v="81.296999999999969"/>
        <n v="160.44"/>
        <n v="34.299999999999997"/>
        <n v="136.66400000000004"/>
        <n v="126.04999999999998"/>
        <n v="13.587499999999997"/>
        <n v="439.67999999999995"/>
        <n v="155.084"/>
        <n v="154.92600000000002"/>
        <n v="270.34300000000002"/>
        <n v="809.45"/>
        <n v="397.74000000000012"/>
        <n v="10.6225"/>
        <n v="96.113499999999988"/>
        <n v="53.120000000000005"/>
        <n v="51.320999999999998"/>
        <n v="60.490000000000009"/>
        <n v="133.47999999999999"/>
        <n v="9.14"/>
        <n v="254.68"/>
        <n v="369.80000000000007"/>
        <n v="60.169999999999995"/>
        <n v="83.97799999999998"/>
        <n v="32.658999999999992"/>
        <n v="115.00000000000003"/>
        <n v="460.06200000000013"/>
        <n v="204.20399999999995"/>
        <n v="164.09700000000004"/>
        <n v="172.43050000000002"/>
        <n v="46.547999999999995"/>
        <n v="57.65049999999998"/>
        <n v="56.02300000000001"/>
        <n v="75.391999999999996"/>
        <n v="354.41550000000007"/>
        <n v="408.4799999999999"/>
        <n v="163.36000000000001"/>
        <n v="71.23"/>
        <n v="221.8"/>
        <n v="160.92000000000002"/>
        <n v="26.048999999999999"/>
        <n v="82.424999999999983"/>
        <n v="117.98100000000002"/>
        <n v="83.813999999999993"/>
        <n v="51.519999999999982"/>
        <n v="42.518000000000001"/>
        <n v="38.105499999999999"/>
        <n v="230.94"/>
        <n v="145.54"/>
        <n v="156.45000000000002"/>
        <n v="78.817499999999995"/>
        <n v="75.349999999999994"/>
        <n v="264.42299999999989"/>
        <n v="132.66999999999999"/>
        <n v="148.16000000000003"/>
        <n v="15.535000000000004"/>
        <n v="24.387500000000003"/>
        <n v="37.679999999999993"/>
        <n v="94.919999999999959"/>
        <n v="148.24150000000003"/>
        <n v="79.90900000000002"/>
        <n v="233.72249999999997"/>
        <n v="251.85900000000004"/>
        <n v="64.400000000000006"/>
        <n v="218.72800000000001"/>
        <n v="120.33399999999997"/>
        <n v="195.55599999999998"/>
        <n v="287.65699999999998"/>
        <n v="126.72549999999998"/>
        <n v="154.23000000000002"/>
        <n v="674.91999999999985"/>
        <n v="131.26000000000002"/>
        <n v="57.152999999999992"/>
        <n v="335.30999999999983"/>
        <n v="168.1635"/>
        <n v="232.18799999999999"/>
        <n v="48.313000000000009"/>
        <n v="36.439999999999984"/>
        <n v="70.682000000000016"/>
        <n v="183.33"/>
        <n v="236.04599999999994"/>
        <n v="164.7"/>
        <n v="86.230000000000018"/>
        <n v="381.44699999999995"/>
        <n v="474.87750000000005"/>
        <n v="88.789999999999992"/>
        <n v="36.475999999999999"/>
        <n v="134.506"/>
        <n v="72.575999999999965"/>
        <n v="263.2"/>
        <n v="359.4"/>
        <n v="143.25"/>
        <n v="14.85"/>
        <n v="23.033999999999992"/>
        <n v="234.95099999999999"/>
        <n v="266.32600000000002"/>
        <n v="43.366999999999997"/>
        <n v="73.316000000000017"/>
        <n v="92.0625"/>
        <n v="338.4"/>
        <n v="32.527999999999992"/>
        <n v="175.56"/>
        <n v="352.68"/>
        <n v="121.84"/>
        <n v="24.587999999999997"/>
        <n v="383.00099999999986"/>
        <n v="181.61600000000004"/>
        <n v="159.06999999999996"/>
        <n v="21.346000000000004"/>
        <n v="160.55000000000001"/>
        <n v="15.094500000000004"/>
        <n v="307.20000000000005"/>
        <n v="193.73400000000004"/>
        <n v="447.72399999999993"/>
        <n v="251.39999999999998"/>
        <n v="52.366000000000014"/>
        <n v="82.91"/>
        <n v="267.77999999999997"/>
        <n v="76.203999999999979"/>
        <n v="106.84800000000001"/>
        <n v="318.14999999999986"/>
        <n v="29.340000000000003"/>
        <n v="215.11999999999995"/>
        <n v="166.65600000000006"/>
        <n v="8.2424999999999979"/>
        <n v="80.007499999999993"/>
        <n v="936.99999999999989"/>
        <n v="58.034999999999997"/>
        <n v="71.103000000000009"/>
        <n v="70.852000000000004"/>
        <n v="134.57300000000004"/>
        <n v="9.26"/>
        <n v="16.509999999999998"/>
        <n v="327"/>
        <n v="36.550000000000004"/>
        <n v="91.10499999999999"/>
        <n v="8.6859999999999999"/>
        <n v="13.377500000000005"/>
        <n v="135.24900000000002"/>
        <n v="246.10950000000014"/>
        <n v="264.28000000000003"/>
        <n v="135.03"/>
        <n v="270.14399999999995"/>
        <n v="96.12"/>
        <n v="39.33"/>
        <n v="110.83000000000004"/>
        <n v="156.32"/>
        <n v="199.57599999999996"/>
        <n v="37.800000000000011"/>
        <n v="19.683000000000007"/>
        <n v="239.93999999999994"/>
        <n v="143.66999999999999"/>
        <n v="214.05250000000012"/>
        <n v="92.97199999999998"/>
        <n v="434.49900000000002"/>
        <n v="118.29599999999999"/>
        <n v="111.36599999999999"/>
        <n v="33.990000000000009"/>
        <n v="57.970000000000006"/>
        <n v="124.61600000000001"/>
        <n v="159.95400000000006"/>
        <n v="183.96749999999997"/>
        <n v="258.23500000000001"/>
        <n v="280.30800000000011"/>
        <n v="94.094500000000011"/>
        <n v="249.42000000000002"/>
        <n v="218.68000000000006"/>
        <n v="256.14149999999995"/>
        <n v="52.777499999999918"/>
        <n v="146.71950000000004"/>
        <n v="137.01000000000002"/>
        <n v="126.34800000000001"/>
        <n v="253.2"/>
        <n v="330.98000000000008"/>
        <n v="63.363500000000016"/>
        <n v="307.39999999999998"/>
        <n v="81.895999999999987"/>
        <n v="151.149"/>
        <n v="189.0300000000002"/>
        <n v="203.12"/>
        <n v="110.47"/>
        <n v="281.49"/>
        <n v="241.21999999999997"/>
        <n v="73.693500000000029"/>
        <n v="155.20000000000002"/>
        <n v="109.32000000000001"/>
        <n v="128.05599999999998"/>
        <n v="72.740000000000009"/>
        <n v="20.913999999999994"/>
        <n v="6.0574999999999974"/>
        <n v="25.450499999999998"/>
        <n v="246.12799999999993"/>
        <n v="8.6880000000000024"/>
        <n v="37.577499999999986"/>
        <n v="163.74"/>
        <n v="191.12899999999996"/>
        <n v="218.57400000000001"/>
        <n v="58.379000000000005"/>
        <n v="218.63399999999999"/>
        <n v="50.25"/>
        <n v="39.860000000000007"/>
        <n v="334.16399999999999"/>
        <n v="137.32"/>
        <n v="111.52999999999997"/>
        <n v="248.83800000000008"/>
        <n v="80.899000000000001"/>
        <n v="83.095500000000015"/>
        <n v="37.144999999999996"/>
        <n v="153.21199999999999"/>
        <n v="88.346000000000004"/>
        <n v="35.518499999999989"/>
        <n v="90.479999999999961"/>
        <n v="87.601499999999987"/>
        <n v="76.992000000000019"/>
        <n v="440.03999999999996"/>
        <n v="82.740000000000066"/>
        <n v="273.66750000000013"/>
        <n v="89.477999999999952"/>
        <n v="74.835000000000036"/>
        <n v="381.06"/>
        <n v="235.50749999999994"/>
        <n v="88.08"/>
        <n v="135.53549999999996"/>
        <n v="557.40000000000009"/>
        <n v="79.72199999999998"/>
        <n v="218.94400000000007"/>
        <n v="314.99999999999994"/>
        <n v="253.24100000000004"/>
        <n v="488.25"/>
        <n v="24.924999999999997"/>
        <n v="223.13599999999997"/>
        <n v="81.757999999999981"/>
        <n v="51.0625"/>
        <n v="104.86000000000001"/>
        <n v="30.633999999999986"/>
        <n v="294.25650000000007"/>
        <n v="99.902000000000001"/>
        <n v="459.91999999999985"/>
        <n v="236.721"/>
        <n v="139.10999999999999"/>
        <n v="176.5"/>
        <n v="99.455500000000001"/>
        <n v="164.56200000000001"/>
        <n v="268.20000000000005"/>
        <n v="27.373000000000005"/>
        <n v="100.61949999999999"/>
        <n v="372.2700000000001"/>
        <n v="116.19999999999999"/>
        <n v="169.49299999999999"/>
        <n v="123.346"/>
        <n v="136.02399999999994"/>
        <n v="121.53"/>
        <n v="93.521999999999963"/>
        <n v="63.451999999999998"/>
        <n v="170.82900000000001"/>
        <n v="15.592000000000001"/>
        <n v="616.99999999999989"/>
        <n v="47.45"/>
        <n v="188.06700000000006"/>
        <n v="111.94"/>
        <n v="115.99999999999997"/>
        <n v="126.12"/>
        <n v="151.79099999999994"/>
        <n v="87.37"/>
        <n v="90.194000000000017"/>
        <n v="134.77800000000002"/>
        <n v="102.03149999999999"/>
        <n v="113.48"/>
        <n v="73.998999999999995"/>
        <n v="73.408000000000015"/>
        <n v="322.65800000000002"/>
        <n v="228.32599999999991"/>
        <n v="125.15499999999997"/>
        <n v="327.91050000000007"/>
        <n v="59.639999999999993"/>
        <n v="90"/>
        <n v="96.736499999999978"/>
        <n v="81.975999999999999"/>
        <n v="289.35999999999996"/>
        <n v="238.02499999999998"/>
        <n v="72.350000000000009"/>
        <n v="266.29499999999996"/>
        <n v="84.740000000000009"/>
        <n v="20.997"/>
        <n v="39.614999999999981"/>
        <n v="447.97350000000006"/>
        <n v="84.600999999999999"/>
        <n v="132.43200000000002"/>
        <n v="123.77000000000001"/>
        <n v="439.44000000000005"/>
        <n v="236.38400000000013"/>
        <n v="30.672999999999988"/>
        <n v="80.525499999999994"/>
        <n v="162.38"/>
        <n v="599.85000000000014"/>
        <n v="708.36000000000013"/>
        <n v="54.211999999999996"/>
        <n v="171.93000000000004"/>
        <n v="24.9"/>
        <n v="35.627499999999998"/>
        <n v="44.562999999999988"/>
        <n v="16.612000000000002"/>
        <n v="556.09599999999989"/>
        <n v="153.96"/>
        <n v="93.817500000000024"/>
        <n v="314.41599999999994"/>
        <n v="28.89"/>
        <n v="331.3"/>
        <n v="277.12"/>
        <n v="456.16000000000008"/>
        <n v="40.209999999999994"/>
        <n v="151.01"/>
        <n v="177.07499999999999"/>
        <n v="21.436"/>
        <n v="169.07"/>
        <n v="103.66800000000001"/>
        <n v="55.509999999999991"/>
        <n v="154.63000000000002"/>
        <n v="73.893000000000029"/>
        <n v="13.189999999999998"/>
        <n v="382.55399999999986"/>
        <n v="417.80999999999995"/>
        <n v="194.18"/>
        <n v="325.27999999999997"/>
        <n v="74.579999999999984"/>
        <n v="118.32000000000002"/>
        <n v="21.092500000000001"/>
        <n v="25.591000000000008"/>
        <n v="54.870000000000005"/>
        <n v="78.754499999999979"/>
        <n v="578.45000000000005"/>
        <n v="106.03749999999991"/>
        <n v="104.97"/>
        <n v="22.259"/>
        <n v="45.530500000000018"/>
        <n v="110.33150000000001"/>
        <n v="291.08999999999997"/>
        <n v="116.89999999999998"/>
        <n v="107.87099999999998"/>
        <n v="98.561499999999995"/>
        <n v="65.153999999999996"/>
        <n v="314.36699999999985"/>
        <n v="88.231999999999999"/>
        <n v="39.808500000000002"/>
        <n v="61.888000000000034"/>
        <n v="76.5"/>
        <n v="25.650500000000008"/>
        <n v="37.867999999999995"/>
        <n v="112.29900000000001"/>
        <n v="102.87"/>
        <n v="76.566000000000003"/>
        <n v="145.64400000000003"/>
        <n v="254.75199999999995"/>
        <n v="192.28499999999997"/>
        <n v="168.72700000000003"/>
        <n v="221.21100000000001"/>
        <n v="137.60999999999999"/>
        <n v="125.03999999999999"/>
        <n v="31.847500000000004"/>
        <n v="126.89099999999999"/>
        <n v="68.39500000000001"/>
        <n v="134.57999999999998"/>
        <n v="200.90999999999997"/>
        <n v="383.64449999999999"/>
        <n v="125.47999999999999"/>
        <n v="558.89999999999986"/>
        <n v="225.87600000000003"/>
        <n v="44.534499999999994"/>
        <n v="24.207999999999991"/>
        <n v="52.620999999999981"/>
        <n v="51.120000000000005"/>
        <n v="243.68400000000003"/>
        <n v="420.18300000000011"/>
        <n v="39.668499999999995"/>
        <n v="119.72000000000003"/>
        <n v="56.25"/>
        <n v="194.87400000000002"/>
        <n v="204.34500000000008"/>
        <n v="179.32"/>
        <n v="88.881999999999977"/>
        <n v="92.080000000000013"/>
        <n v="47.25800000000001"/>
        <n v="60.870000000000005"/>
        <n v="154.44599999999997"/>
        <n v="39.029999999999973"/>
        <n v="160.0615"/>
        <n v="56.480000000000004"/>
        <n v="358.50000000000011"/>
        <n v="136.33000000000001"/>
        <n v="123.84800000000001"/>
        <n v="118.53100000000001"/>
        <n v="67.035000000000025"/>
        <n v="124.80000000000001"/>
        <n v="50.8"/>
        <n v="254.93399999999997"/>
        <n v="70.910000000000025"/>
        <n v="90.006999999999977"/>
        <n v="128.86999999999998"/>
        <n v="70.580000000000013"/>
        <n v="96.998999999999995"/>
        <n v="76.293500000000023"/>
        <n v="529.41999999999985"/>
        <n v="144.54000000000002"/>
        <n v="294.75600000000009"/>
        <n v="130.61000000000001"/>
        <n v="60.489999999999995"/>
        <n v="137.35400000000004"/>
        <n v="176.91999999999996"/>
        <n v="95.38"/>
        <n v="137.45999999999992"/>
        <n v="76.631000000000014"/>
        <n v="523.81399999999996"/>
        <n v="39.091999999999999"/>
        <n v="120.83850000000001"/>
        <n v="135.57000000000002"/>
        <n v="148.36200000000002"/>
        <n v="353.21999999999997"/>
        <n v="28.9375"/>
        <n v="241.22000000000003"/>
        <n v="233.04150000000001"/>
        <n v="120.93999999999997"/>
        <n v="75.153999999999996"/>
        <n v="52.207999999999998"/>
        <n v="158.72500000000002"/>
        <n v="164.25"/>
        <n v="72.871000000000009"/>
        <n v="104.75799999999998"/>
        <n v="29.919000000000011"/>
        <n v="46.140000000000015"/>
        <n v="370.53"/>
        <n v="230.34600000000006"/>
        <n v="60.540000000000006"/>
        <n v="94.611000000000018"/>
        <n v="20.902000000000001"/>
        <n v="66.22"/>
        <n v="90.25"/>
        <n v="112.78100000000001"/>
        <n v="32.582999999999998"/>
        <n v="306.60000000000002"/>
        <n v="13.730999999999995"/>
        <n v="76.87"/>
        <n v="253.09800000000007"/>
        <n v="10.946999999999996"/>
        <n v="97.391999999999996"/>
        <n v="122.54650000000001"/>
        <n v="157.92000000000002"/>
        <n v="119.42000000000002"/>
        <n v="331.31999999999994"/>
        <n v="648.53750000000014"/>
        <n v="71.962999999999994"/>
        <n v="242.55000000000007"/>
        <n v="286.49400000000003"/>
        <n v="189.27"/>
        <n v="30.402999999999992"/>
        <n v="257.04800000000006"/>
        <n v="107.91000000000003"/>
        <n v="248.79700000000008"/>
        <n v="12.743999999999993"/>
        <n v="103.86999999999998"/>
        <n v="148.81000000000003"/>
        <n v="32.080500000000008"/>
        <n v="285.68"/>
        <n v="225.53100000000001"/>
        <n v="49.350000000000009"/>
        <n v="19.144000000000005"/>
        <n v="100.59000000000003"/>
        <n v="158.83999999999997"/>
        <n v="202.928"/>
        <n v="710.96"/>
        <n v="313.74299999999999"/>
        <n v="65.792000000000016"/>
        <n v="112.51800000000003"/>
        <n v="58.961999999999989"/>
        <n v="61.998000000000019"/>
        <n v="285.57299999999998"/>
        <n v="31.544999999999998"/>
        <n v="7.7240000000000002"/>
        <n v="146.33900000000003"/>
        <n v="302.14049999999997"/>
        <n v="13.009999999999998"/>
        <n v="50.872500000000002"/>
        <n v="110.46000000000001"/>
        <n v="51.428499999999993"/>
        <n v="236.86"/>
        <n v="83.952499999999986"/>
        <n v="255.16700000000003"/>
        <n v="395.90999999999997"/>
        <n v="86.866000000000014"/>
        <n v="258.84000000000003"/>
        <n v="67.050000000000011"/>
        <n v="35.929999999999978"/>
        <n v="219.40500000000003"/>
        <n v="142.54000000000002"/>
        <n v="222.10000000000002"/>
        <n v="99.330000000000013"/>
        <n v="148.36200000000008"/>
        <n v="45.087999999999994"/>
        <n v="83.058500000000009"/>
        <n v="6.9660000000000011"/>
        <n v="213.01999999999998"/>
        <n v="49.735000000000007"/>
        <n v="12.577499999999999"/>
        <n v="28.18"/>
        <n v="142.83099999999999"/>
        <n v="92.327999999999975"/>
        <n v="131.86900000000003"/>
        <n v="40.194999999999993"/>
        <n v="92.874000000000024"/>
        <n v="41.019999999999996"/>
        <n v="59.784999999999997"/>
        <n v="533.56499999999983"/>
        <n v="166.03400000000005"/>
        <n v="31.800000000000011"/>
        <n v="22.683999999999969"/>
        <n v="437.31999999999994"/>
        <n v="25.541"/>
        <n v="112.94649999999999"/>
        <n v="29.120000000000005"/>
        <n v="135.10000000000002"/>
        <n v="521.61599999999999"/>
        <n v="282.7"/>
        <n v="103.17949999999999"/>
        <n v="146.38500000000005"/>
        <n v="142.63600000000002"/>
        <n v="170.16"/>
        <n v="119.38999999999999"/>
        <n v="80.7"/>
        <n v="19.460000000000008"/>
        <n v="96.980999999999995"/>
        <n v="301.62750000000005"/>
        <n v="35.677499999999995"/>
        <n v="105.1875"/>
        <n v="398.66599999999994"/>
        <n v="425.35799999999983"/>
        <n v="155.94199999999998"/>
        <n v="497.84999999999991"/>
        <n v="36.899999999999991"/>
        <n v="125.06000000000003"/>
        <n v="115.33999999999997"/>
        <n v="156.28499999999997"/>
        <n v="81.571999999999946"/>
        <n v="308.01600000000008"/>
        <n v="45.120000000000005"/>
        <n v="262.8"/>
        <n v="32.22999999999999"/>
        <n v="67.014999999999986"/>
        <n v="28.802500000000002"/>
        <n v="140.83799999999997"/>
        <n v="117.34"/>
        <n v="14.659999999999997"/>
        <n v="351.64600000000019"/>
        <n v="298.92"/>
        <n v="288.63099999999991"/>
        <n v="37.576000000000001"/>
        <n v="91.775000000000034"/>
        <n v="62.201999999999998"/>
        <n v="27.269999999999996"/>
        <n v="347.44799999999998"/>
        <n v="149.87099999999992"/>
        <n v="243.30600000000004"/>
        <n v="164.36799999999999"/>
        <n v="426.875"/>
        <n v="25.668999999999997"/>
        <n v="100.75699999999998"/>
        <n v="53.677999999999997"/>
        <n v="114.65999999999997"/>
        <n v="176.38"/>
        <n v="103.2405"/>
        <n v="157.44000000000005"/>
        <n v="75.499000000000024"/>
        <n v="132.58100000000002"/>
        <n v="32.74799999999999"/>
        <n v="8.8439999999999994"/>
        <n v="185.93799999999999"/>
        <n v="390.19999999999993"/>
        <n v="326.60000000000002"/>
        <n v="43.8155"/>
        <n v="412.99199999999996"/>
        <n v="54.234999999999985"/>
        <n v="23.344999999999999"/>
        <n v="122.18599999999998"/>
        <n v="114.94999999999999"/>
        <n v="206.11100000000005"/>
        <n v="156.27699999999993"/>
        <n v="143.82400000000001"/>
        <n v="46.411999999999978"/>
        <n v="430.32000000000005"/>
        <n v="140.07899999999998"/>
        <n v="289.38800000000009"/>
        <n v="304.62000000000006"/>
        <n v="368.43000000000006"/>
        <n v="22.729999999999997"/>
        <n v="55.21299999999998"/>
        <n v="355.85550000000001"/>
        <n v="76.914999999999992"/>
        <n v="156.98600000000005"/>
        <n v="310.36500000000001"/>
        <n v="95.269999999999982"/>
        <n v="249.16000000000003"/>
        <n v="401.43599999999998"/>
        <n v="687.68000000000006"/>
        <n v="125.09999999999997"/>
        <n v="338.81500000000005"/>
        <n v="46.262999999999991"/>
        <n v="440.23649999999986"/>
        <n v="46.599999999999994"/>
        <n v="547.81750000000011"/>
        <n v="84.943999999999988"/>
        <n v="136.77999999999997"/>
        <n v="49.735000000000014"/>
        <n v="149.91999999999996"/>
        <n v="53.74799999999999"/>
        <n v="144.37000000000003"/>
        <n v="155.94"/>
        <n v="75.917999999999978"/>
      </sharedItems>
    </cacheField>
    <cacheField name="Profit_Margin" numFmtId="9">
      <sharedItems containsSemiMixedTypes="0" containsString="0" containsNumber="1" minValue="8.6013225282045525E-2" maxValue="0.57048293865373856"/>
    </cacheField>
    <cacheField name="Year" numFmtId="0">
      <sharedItems containsSemiMixedTypes="0" containsString="0" containsNumber="1" containsInteger="1" minValue="2025" maxValue="2025"/>
    </cacheField>
    <cacheField name="Month_Number" numFmtId="0">
      <sharedItems containsSemiMixedTypes="0" containsString="0" containsNumber="1" containsInteger="1" minValue="1" maxValue="12" count="12">
        <n v="9"/>
        <n v="5"/>
        <n v="2"/>
        <n v="1"/>
        <n v="3"/>
        <n v="6"/>
        <n v="12"/>
        <n v="8"/>
        <n v="11"/>
        <n v="4"/>
        <n v="7"/>
        <n v="10"/>
      </sharedItems>
    </cacheField>
    <cacheField name="Month_Name" numFmtId="0">
      <sharedItems/>
    </cacheField>
    <cacheField name="Quarter" numFmtId="0">
      <sharedItems/>
    </cacheField>
    <cacheField name="Region" numFmtId="0">
      <sharedItems count="7">
        <s v="British Columbia"/>
        <s v="Quebec"/>
        <s v="Ontario"/>
        <s v="Alberta"/>
        <s v="Nova Scotia"/>
        <s v="Saskatchewan"/>
        <s v="Manitoba"/>
      </sharedItems>
    </cacheField>
    <cacheField name="Retur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20">
  <r>
    <s v="ORD-2025-00001"/>
    <d v="2025-09-21T00:00:00"/>
    <s v="C0113"/>
    <s v="P1025"/>
    <s v="Olivia Johnson, Surrey, Consumer"/>
    <s v="Online Fulfillment"/>
    <s v="J. Tremblay"/>
    <s v="Online"/>
    <n v="1"/>
    <n v="321.89"/>
    <n v="0"/>
    <s v="PayPal"/>
    <n v="1"/>
    <s v="No"/>
    <s v="Online"/>
    <s v="P1025"/>
    <s v="C0113"/>
    <s v="Online Fulfillment"/>
    <s v="Paypal"/>
    <n v="1"/>
    <s v="Olivia Johnson"/>
    <s v="Surrey"/>
    <s v="Consumer"/>
    <s v="Yoga Mat"/>
    <x v="0"/>
    <n v="197.33"/>
    <n v="321.89"/>
    <n v="0"/>
    <x v="0"/>
    <n v="197.33"/>
    <x v="0"/>
    <n v="0.38696449097517777"/>
    <n v="2025"/>
    <x v="0"/>
    <s v="septembre"/>
    <s v="Q3"/>
    <s v="British Columbia"/>
    <n v="0"/>
  </r>
  <r>
    <s v="ORD-2025-00002"/>
    <d v="2025-05-24T00:00:00"/>
    <s v="C0084"/>
    <s v="P1033"/>
    <s v="Ryan Clark, Montreal, Corporate"/>
    <s v="Online Fulfillment"/>
    <s v="L. Chen"/>
    <s v="Retail Store"/>
    <n v="4"/>
    <n v="316.17"/>
    <n v="0.15"/>
    <s v="Debit Card"/>
    <n v="3"/>
    <s v="No"/>
    <s v="Retail Store"/>
    <s v="P1033"/>
    <s v="C0084"/>
    <s v="Online Fulfillment"/>
    <s v="Debit Card"/>
    <n v="1"/>
    <s v="Ryan Clark"/>
    <s v="Montreal"/>
    <s v="Corporate"/>
    <s v="Backpack"/>
    <x v="1"/>
    <n v="152.55000000000001"/>
    <n v="1264.68"/>
    <n v="189.702"/>
    <x v="1"/>
    <n v="610.20000000000005"/>
    <x v="1"/>
    <n v="0.43236047621439694"/>
    <n v="2025"/>
    <x v="1"/>
    <s v="mai"/>
    <s v="Q2"/>
    <s v="Quebec"/>
    <n v="0"/>
  </r>
  <r>
    <s v="ORD-2025-00003"/>
    <d v="2025-02-06T00:00:00"/>
    <s v="C0003"/>
    <s v="P1021"/>
    <s v="Amelia Young, Ottawa, Corporate"/>
    <s v="Vancouver West"/>
    <s v="N. Brown"/>
    <s v="Marketplace"/>
    <n v="2"/>
    <n v="302.17"/>
    <n v="0"/>
    <s v="Credit Card"/>
    <n v="7"/>
    <s v="No"/>
    <s v="Marketplace"/>
    <s v="P1021"/>
    <s v="C0003"/>
    <s v="Vancouver West"/>
    <s v="Credit Card"/>
    <n v="1"/>
    <s v="Amelia Young"/>
    <s v="Ottawa"/>
    <s v="Corporate"/>
    <s v="Kettle"/>
    <x v="2"/>
    <n v="139.86000000000001"/>
    <n v="604.34"/>
    <n v="0"/>
    <x v="2"/>
    <n v="279.72000000000003"/>
    <x v="2"/>
    <n v="0.53714796306714763"/>
    <n v="2025"/>
    <x v="2"/>
    <s v="février"/>
    <s v="Q1"/>
    <s v="Ontario"/>
    <n v="0"/>
  </r>
  <r>
    <s v="ORD-2025-00004"/>
    <d v="2025-01-30T00:00:00"/>
    <s v="C0071"/>
    <s v="P1032"/>
    <s v="Ethan Lee, Surrey, Consumer"/>
    <s v="Montreal Central"/>
    <s v="J. Tremblay"/>
    <s v="Online"/>
    <n v="1"/>
    <n v="197.68"/>
    <n v="0.1"/>
    <s v="PayPal"/>
    <n v="3"/>
    <s v="No"/>
    <s v="Online"/>
    <s v="P1032"/>
    <s v="C0071"/>
    <s v="Montreal Central"/>
    <s v="Paypal"/>
    <n v="1"/>
    <s v="Ethan Lee"/>
    <s v="Surrey"/>
    <s v="Consumer"/>
    <s v="Gym Bag"/>
    <x v="0"/>
    <n v="132.72"/>
    <n v="197.68"/>
    <n v="19.768000000000001"/>
    <x v="3"/>
    <n v="132.72"/>
    <x v="3"/>
    <n v="0.25401322001888577"/>
    <n v="2025"/>
    <x v="3"/>
    <s v="janvier"/>
    <s v="Q1"/>
    <s v="British Columbia"/>
    <n v="0"/>
  </r>
  <r>
    <s v="ORD-2025-00005"/>
    <d v="2025-03-16T00:00:00"/>
    <s v="C0083"/>
    <s v="P1034"/>
    <s v="Amine King, Edmonton, Consumer"/>
    <s v="Toronto Downtown"/>
    <s v="A. Morgan"/>
    <s v="Online"/>
    <n v="1"/>
    <n v="151.79"/>
    <n v="0"/>
    <s v="Credit Card"/>
    <n v="2"/>
    <s v="No"/>
    <s v="Online"/>
    <s v="P1034"/>
    <s v="C0083"/>
    <s v="Toronto Downtown"/>
    <s v="Credit Card"/>
    <n v="1"/>
    <s v="Amine King"/>
    <s v="Edmonton"/>
    <s v="Consumer"/>
    <s v="Laptop Sleeve"/>
    <x v="1"/>
    <n v="78.95"/>
    <n v="151.79"/>
    <n v="0"/>
    <x v="4"/>
    <n v="78.95"/>
    <x v="4"/>
    <n v="0.47987350945385066"/>
    <n v="2025"/>
    <x v="4"/>
    <s v="mars"/>
    <s v="Q1"/>
    <s v="Alberta"/>
    <n v="0"/>
  </r>
  <r>
    <s v="ORD-2025-00006"/>
    <d v="2025-01-15T00:00:00"/>
    <s v="C0057"/>
    <s v="P1015"/>
    <s v="Adam Khan, Edmonton, Small Business"/>
    <s v="Toronto Downtown"/>
    <s v="E. Roy"/>
    <s v="Retail Store"/>
    <n v="2"/>
    <n v="375.75"/>
    <n v="0"/>
    <s v="Credit Card"/>
    <n v="2"/>
    <s v="No"/>
    <s v="Retail Store"/>
    <s v="P1015"/>
    <s v="C0057"/>
    <s v="Toronto Downtown"/>
    <s v="Credit Card"/>
    <n v="1"/>
    <s v="Adam Khan"/>
    <s v="Edmonton"/>
    <s v="Small Business"/>
    <s v="Desk Organizer"/>
    <x v="3"/>
    <n v="235.76"/>
    <n v="751.5"/>
    <n v="0"/>
    <x v="5"/>
    <n v="471.52"/>
    <x v="5"/>
    <n v="0.37256154357950766"/>
    <n v="2025"/>
    <x v="3"/>
    <s v="janvier"/>
    <s v="Q1"/>
    <s v="Alberta"/>
    <n v="0"/>
  </r>
  <r>
    <s v="ORD-2025-00007"/>
    <d v="2025-06-22T00:00:00"/>
    <s v="C0021"/>
    <s v="P1027"/>
    <s v="Nora King, Halifax, Corporate"/>
    <s v="Montreal Central"/>
    <s v="J. Tremblay"/>
    <s v="Retail Store"/>
    <n v="3"/>
    <n v="55.05"/>
    <n v="0.15"/>
    <s v="Debit Card"/>
    <n v="1"/>
    <s v="No"/>
    <s v="Retail Store"/>
    <s v="P1027"/>
    <s v="C0021"/>
    <s v="Montreal Central"/>
    <s v="Debit Card"/>
    <n v="1"/>
    <s v="Nora King"/>
    <s v="Halifax"/>
    <s v="Corporate"/>
    <s v="Kettlebell"/>
    <x v="0"/>
    <n v="25.97"/>
    <n v="165.14999999999998"/>
    <n v="24.772499999999997"/>
    <x v="6"/>
    <n v="77.91"/>
    <x v="6"/>
    <n v="0.44499652722124261"/>
    <n v="2025"/>
    <x v="5"/>
    <s v="juin"/>
    <s v="Q2"/>
    <s v="Nova Scotia"/>
    <n v="0"/>
  </r>
  <r>
    <s v="ORD-2025-00008"/>
    <d v="2025-02-23T00:00:00"/>
    <s v="C0015"/>
    <s v="P1033"/>
    <s v="Zoe Singh, Halifax, Consumer"/>
    <s v="Toronto Downtown"/>
    <s v="M. Wilson"/>
    <s v="Online"/>
    <n v="2"/>
    <n v="304.06"/>
    <n v="0"/>
    <s v="PayPal"/>
    <n v="3"/>
    <s v="No"/>
    <s v="Online"/>
    <s v="P1033"/>
    <s v="C0015"/>
    <s v="Toronto Downtown"/>
    <s v="Paypal"/>
    <n v="1"/>
    <s v="Zoe Singh"/>
    <s v="Halifax"/>
    <s v="Consumer"/>
    <s v="Backpack"/>
    <x v="1"/>
    <n v="152.55000000000001"/>
    <n v="608.12"/>
    <n v="0"/>
    <x v="7"/>
    <n v="305.10000000000002"/>
    <x v="7"/>
    <n v="0.49828981122146943"/>
    <n v="2025"/>
    <x v="2"/>
    <s v="février"/>
    <s v="Q1"/>
    <s v="Nova Scotia"/>
    <n v="0"/>
  </r>
  <r>
    <s v="ORD-2025-00009"/>
    <d v="2025-12-23T00:00:00"/>
    <s v="C0104"/>
    <s v="P1039"/>
    <s v="Ava Scott, Edmonton, Corporate"/>
    <s v="Montreal Central"/>
    <s v="A. Morgan"/>
    <s v="Retail Store"/>
    <n v="1"/>
    <n v="333.75"/>
    <n v="0.05"/>
    <s v="PayPal"/>
    <n v="3"/>
    <s v="No"/>
    <s v="Retail Store"/>
    <s v="P1039"/>
    <s v="C0104"/>
    <s v="Montreal Central"/>
    <s v="Paypal"/>
    <n v="1"/>
    <s v="Ava Scott"/>
    <s v="Edmonton"/>
    <s v="Corporate"/>
    <s v="Travel Adapter"/>
    <x v="1"/>
    <n v="229.86"/>
    <n v="333.75"/>
    <n v="16.6875"/>
    <x v="8"/>
    <n v="229.86"/>
    <x v="8"/>
    <n v="0.27503252513305732"/>
    <n v="2025"/>
    <x v="6"/>
    <s v="décembre"/>
    <s v="Q4"/>
    <s v="Alberta"/>
    <n v="0"/>
  </r>
  <r>
    <s v="ORD-2025-00010"/>
    <d v="2025-06-25T00:00:00"/>
    <s v="C0104"/>
    <s v="P1003"/>
    <s v="Ava Scott, Edmonton, Corporate"/>
    <s v="Vancouver West"/>
    <s v="E. Roy"/>
    <s v="Online"/>
    <n v="1"/>
    <n v="163.56"/>
    <n v="0.05"/>
    <s v="Credit Card"/>
    <n v="7"/>
    <s v="No"/>
    <s v="Online"/>
    <s v="P1003"/>
    <s v="C0104"/>
    <s v="Vancouver West"/>
    <s v="Credit Card"/>
    <n v="1"/>
    <s v="Ava Scott"/>
    <s v="Edmonton"/>
    <s v="Corporate"/>
    <s v="Mouse"/>
    <x v="4"/>
    <n v="106.4"/>
    <n v="163.56"/>
    <n v="8.1780000000000008"/>
    <x v="9"/>
    <n v="106.4"/>
    <x v="9"/>
    <n v="0.31523599902176569"/>
    <n v="2025"/>
    <x v="5"/>
    <s v="juin"/>
    <s v="Q2"/>
    <s v="Alberta"/>
    <n v="0"/>
  </r>
  <r>
    <s v="ORD-2025-00011"/>
    <d v="2025-12-25T00:00:00"/>
    <s v="C0106"/>
    <s v="P1012"/>
    <s v="Liam Gagnon, Ottawa, Small Business"/>
    <s v="Toronto Downtown"/>
    <s v="J. Tremblay"/>
    <s v="Online"/>
    <n v="3"/>
    <n v="79.569999999999993"/>
    <n v="0"/>
    <s v="PayPal"/>
    <n v="3"/>
    <s v="No"/>
    <s v="Online"/>
    <s v="P1012"/>
    <s v="C0106"/>
    <s v="Toronto Downtown"/>
    <s v="Paypal"/>
    <n v="1"/>
    <s v="Liam Gagnon"/>
    <s v="Ottawa"/>
    <s v="Small Business"/>
    <s v="Standing Desk"/>
    <x v="3"/>
    <n v="45.17"/>
    <n v="238.70999999999998"/>
    <n v="0"/>
    <x v="10"/>
    <n v="135.51"/>
    <x v="10"/>
    <n v="0.43232374010305391"/>
    <n v="2025"/>
    <x v="6"/>
    <s v="décembre"/>
    <s v="Q4"/>
    <s v="Ontario"/>
    <n v="0"/>
  </r>
  <r>
    <s v="ORD-2025-00012"/>
    <d v="2025-06-08T00:00:00"/>
    <s v="C0002"/>
    <s v="P1038"/>
    <s v="Ryan Johnson, Montreal, Small Business"/>
    <s v="Calgary North"/>
    <s v="L. Chen"/>
    <s v="Online"/>
    <n v="1"/>
    <n v="265.64"/>
    <n v="0.1"/>
    <s v="Gift  Card"/>
    <n v="9"/>
    <s v="Yes"/>
    <s v="Online"/>
    <s v="P1038"/>
    <s v="C0002"/>
    <s v="Calgary North"/>
    <s v="Gift Card"/>
    <n v="1"/>
    <s v="Ryan Johnson"/>
    <s v="Montreal"/>
    <s v="Small Business"/>
    <s v="Water Bottle"/>
    <x v="1"/>
    <n v="119.16"/>
    <n v="265.64"/>
    <n v="26.564"/>
    <x v="11"/>
    <n v="119.16"/>
    <x v="11"/>
    <n v="0.50158108718566485"/>
    <n v="2025"/>
    <x v="5"/>
    <s v="juin"/>
    <s v="Q2"/>
    <s v="Quebec"/>
    <n v="1"/>
  </r>
  <r>
    <s v="ORD-2025-00013"/>
    <d v="2025-06-18T00:00:00"/>
    <s v="C0071"/>
    <s v="P1011"/>
    <s v="Ethan Lee, Surrey, Consumer"/>
    <s v="Toronto Downtown"/>
    <s v="L. Chen"/>
    <s v="Retail Store"/>
    <n v="1"/>
    <n v="82.73"/>
    <n v="0"/>
    <s v="Debit Card"/>
    <n v="3"/>
    <s v="No"/>
    <s v="Retail Store"/>
    <s v="P1011"/>
    <s v="C0071"/>
    <s v="Toronto Downtown"/>
    <s v="Debit Card"/>
    <n v="1"/>
    <s v="Ethan Lee"/>
    <s v="Surrey"/>
    <s v="Consumer"/>
    <s v="Office Chair"/>
    <x v="3"/>
    <n v="39.26"/>
    <n v="82.73"/>
    <n v="0"/>
    <x v="12"/>
    <n v="39.26"/>
    <x v="12"/>
    <n v="0.52544421612474324"/>
    <n v="2025"/>
    <x v="5"/>
    <s v="juin"/>
    <s v="Q2"/>
    <s v="British Columbia"/>
    <n v="0"/>
  </r>
  <r>
    <s v="ORD-2025-00014"/>
    <d v="2025-06-12T00:00:00"/>
    <s v="C0014"/>
    <s v="P1008"/>
    <s v="Zoe Scott, Montreal, Small Business"/>
    <s v="Vancouver West"/>
    <s v="L. Chen"/>
    <s v="Online"/>
    <n v="2"/>
    <n v="127.76"/>
    <n v="0.1"/>
    <s v="Gift Card"/>
    <n v="8"/>
    <s v="No"/>
    <s v="Online"/>
    <s v="P1008"/>
    <s v="C0014"/>
    <s v="Vancouver West"/>
    <s v="Gift Card"/>
    <n v="1"/>
    <s v="Zoe Scott"/>
    <s v="Montreal"/>
    <s v="Small Business"/>
    <s v="Smart Speaker"/>
    <x v="4"/>
    <n v="69"/>
    <n v="255.52"/>
    <n v="25.552000000000003"/>
    <x v="13"/>
    <n v="138"/>
    <x v="13"/>
    <n v="0.39991651012314761"/>
    <n v="2025"/>
    <x v="5"/>
    <s v="juin"/>
    <s v="Q2"/>
    <s v="Quebec"/>
    <n v="0"/>
  </r>
  <r>
    <s v="ORD-2025-00015"/>
    <d v="2025-06-02T00:00:00"/>
    <s v="C0112"/>
    <s v="P1009"/>
    <s v="Ava Bennett, Halifax, Consumer"/>
    <s v="Montreal Central"/>
    <s v="L. Chen"/>
    <s v="Retail Store"/>
    <n v="4"/>
    <n v="306.48"/>
    <n v="0.1"/>
    <s v="Credit Card"/>
    <n v="2"/>
    <s v="No"/>
    <s v="Retail Store"/>
    <s v="P1009"/>
    <s v="C0112"/>
    <s v="Montreal Central"/>
    <s v="Credit Card"/>
    <n v="1"/>
    <s v="Ava Bennett"/>
    <s v="Halifax"/>
    <s v="Consumer"/>
    <s v="Notebook"/>
    <x v="3"/>
    <n v="176.13"/>
    <n v="1225.92"/>
    <n v="122.59200000000001"/>
    <x v="14"/>
    <n v="704.52"/>
    <x v="14"/>
    <n v="0.36145914904724613"/>
    <n v="2025"/>
    <x v="5"/>
    <s v="juin"/>
    <s v="Q2"/>
    <s v="Nova Scotia"/>
    <n v="0"/>
  </r>
  <r>
    <s v="ORD-2025-00016"/>
    <d v="2025-06-26T00:00:00"/>
    <s v="C0073"/>
    <s v="P1015"/>
    <s v="Olivia Singh, Mississauga, Consumer"/>
    <s v="Toronto Downtown"/>
    <s v="L. Chen"/>
    <s v="Marketplace"/>
    <n v="1"/>
    <n v="361.37"/>
    <n v="0"/>
    <s v="Gift Card"/>
    <n v="3"/>
    <s v="Yes"/>
    <s v="Marketplace"/>
    <s v="P1015"/>
    <s v="C0073"/>
    <s v="Toronto Downtown"/>
    <s v="Gift Card"/>
    <n v="1"/>
    <s v="Olivia Singh"/>
    <s v="Mississauga"/>
    <s v="Consumer"/>
    <s v="Desk Organizer"/>
    <x v="3"/>
    <n v="235.76"/>
    <n v="361.37"/>
    <n v="0"/>
    <x v="15"/>
    <n v="235.76"/>
    <x v="15"/>
    <n v="0.34759387884993226"/>
    <n v="2025"/>
    <x v="5"/>
    <s v="juin"/>
    <s v="Q2"/>
    <s v="Ontario"/>
    <n v="1"/>
  </r>
  <r>
    <s v="ORD-2025-00017"/>
    <d v="2025-01-19T00:00:00"/>
    <s v="C0002"/>
    <s v="P1012"/>
    <s v="Ryan Johnson, Montreal, Small Business"/>
    <s v="Vancouver West"/>
    <s v="N. Brown"/>
    <s v="Online"/>
    <n v="1"/>
    <n v="77"/>
    <n v="0.15"/>
    <s v="PayPal"/>
    <n v="5"/>
    <s v="No"/>
    <s v="Online"/>
    <s v="P1012"/>
    <s v="C0002"/>
    <s v="Vancouver West"/>
    <s v="Paypal"/>
    <n v="1"/>
    <s v="Ryan Johnson"/>
    <s v="Montreal"/>
    <s v="Small Business"/>
    <s v="Standing Desk"/>
    <x v="3"/>
    <n v="45.17"/>
    <n v="77"/>
    <n v="11.549999999999999"/>
    <x v="16"/>
    <n v="45.17"/>
    <x v="16"/>
    <n v="0.3098548510313216"/>
    <n v="2025"/>
    <x v="3"/>
    <s v="janvier"/>
    <s v="Q1"/>
    <s v="Quebec"/>
    <n v="0"/>
  </r>
  <r>
    <s v="ORD-2025-00018"/>
    <d v="2025-01-26T00:00:00"/>
    <s v="C0032"/>
    <s v="P1024"/>
    <s v="Nora Bennett, Surrey, Consumer"/>
    <s v="Toronto Downtown"/>
    <s v="E. Roy"/>
    <s v="Marketplace"/>
    <n v="2"/>
    <n v="107.26"/>
    <n v="0"/>
    <s v="PayPal"/>
    <n v="8"/>
    <s v="No"/>
    <s v="Marketplace"/>
    <s v="P1024"/>
    <s v="C0032"/>
    <s v="Toronto Downtown"/>
    <s v="Paypal"/>
    <n v="1"/>
    <s v="Nora Bennett"/>
    <s v="Surrey"/>
    <s v="Consumer"/>
    <s v="Food Scale"/>
    <x v="2"/>
    <n v="46.07"/>
    <n v="214.52"/>
    <n v="0"/>
    <x v="17"/>
    <n v="92.14"/>
    <x v="17"/>
    <n v="0.57048293865373856"/>
    <n v="2025"/>
    <x v="3"/>
    <s v="janvier"/>
    <s v="Q1"/>
    <s v="British Columbia"/>
    <n v="0"/>
  </r>
  <r>
    <s v="ORD-2025-00019"/>
    <d v="2025-08-09T00:00:00"/>
    <s v="C0064"/>
    <s v="P1039"/>
    <s v="Amine Khan, Edmonton, Consumer"/>
    <s v="Montreal Central"/>
    <s v="S. Patel"/>
    <s v="Online"/>
    <n v="4"/>
    <n v="357.37"/>
    <n v="0.25"/>
    <s v="Credit Card"/>
    <n v="9"/>
    <s v="No"/>
    <s v="Online"/>
    <s v="P1039"/>
    <s v="C0064"/>
    <s v="Montreal Central"/>
    <s v="Credit Card"/>
    <n v="1"/>
    <s v="Amine Khan"/>
    <s v="Edmonton"/>
    <s v="Consumer"/>
    <s v="Travel Adapter"/>
    <x v="1"/>
    <n v="229.86"/>
    <n v="1429.48"/>
    <n v="357.37"/>
    <x v="18"/>
    <n v="919.44"/>
    <x v="18"/>
    <n v="0.14240143268880998"/>
    <n v="2025"/>
    <x v="7"/>
    <s v="août"/>
    <s v="Q3"/>
    <s v="Alberta"/>
    <n v="0"/>
  </r>
  <r>
    <s v="ORD-2025-00020"/>
    <d v="2025-11-12T00:00:00"/>
    <s v="C0077"/>
    <s v="P1002"/>
    <s v="Amine Taylor, Surrey, Small Business"/>
    <s v="Vancouver West"/>
    <s v="L. Chen"/>
    <s v="Retail Store"/>
    <n v="2"/>
    <n v="39.450000000000003"/>
    <n v="0.05"/>
    <s v="Debit Card"/>
    <n v="2"/>
    <s v="Yes"/>
    <s v="Retail Store"/>
    <s v="P1002"/>
    <s v="C0077"/>
    <s v="Vancouver West"/>
    <s v="Debit Card"/>
    <n v="1"/>
    <s v="Amine Taylor"/>
    <s v="Surrey"/>
    <s v="Small Business"/>
    <s v="Keyboard"/>
    <x v="4"/>
    <n v="23.5"/>
    <n v="78.900000000000006"/>
    <n v="3.9450000000000003"/>
    <x v="19"/>
    <n v="47"/>
    <x v="19"/>
    <n v="0.37295710759789219"/>
    <n v="2025"/>
    <x v="8"/>
    <s v="novembre"/>
    <s v="Q4"/>
    <s v="British Columbia"/>
    <n v="1"/>
  </r>
  <r>
    <s v="ORD-2025-00021"/>
    <d v="2025-01-01T00:00:00"/>
    <s v="C0041"/>
    <s v="P1015"/>
    <s v="Amine Chen, Halifax, Small Business"/>
    <s v="Online Fulfillment"/>
    <s v="S. Patel"/>
    <s v="Retail Store"/>
    <n v="2"/>
    <n v="373.3"/>
    <n v="0.05"/>
    <s v="Credit Card"/>
    <n v="1"/>
    <s v="Yes"/>
    <s v="Retail Store"/>
    <s v="P1015"/>
    <s v="C0041"/>
    <s v="Online Fulfillment"/>
    <s v="Credit Card"/>
    <n v="1"/>
    <s v="Amine Chen"/>
    <s v="Halifax"/>
    <s v="Small Business"/>
    <s v="Desk Organizer"/>
    <x v="3"/>
    <n v="235.76"/>
    <n v="746.6"/>
    <n v="37.330000000000005"/>
    <x v="20"/>
    <n v="471.52"/>
    <x v="20"/>
    <n v="0.33520380109126285"/>
    <n v="2025"/>
    <x v="3"/>
    <s v="janvier"/>
    <s v="Q1"/>
    <s v="Nova Scotia"/>
    <n v="1"/>
  </r>
  <r>
    <s v="ORD-2025-00022"/>
    <d v="2025-04-03T00:00:00"/>
    <s v="C0085"/>
    <s v="P1007"/>
    <s v="Yasmine Clark, Calgary, Consumer"/>
    <s v="Toronto Downtown"/>
    <s v="R. Singh"/>
    <s v="Online"/>
    <n v="1"/>
    <n v="339.65"/>
    <n v="0"/>
    <s v="Credit Card"/>
    <n v="3"/>
    <s v="No"/>
    <s v="Online"/>
    <s v="P1007"/>
    <s v="C0085"/>
    <s v="Toronto Downtown"/>
    <s v="Credit Card"/>
    <n v="1"/>
    <s v="Yasmine Clark"/>
    <s v="Calgary"/>
    <s v="Consumer"/>
    <s v="Monitor"/>
    <x v="4"/>
    <n v="224.47"/>
    <n v="339.65"/>
    <n v="0"/>
    <x v="21"/>
    <n v="224.47"/>
    <x v="21"/>
    <n v="0.33911379361107019"/>
    <n v="2025"/>
    <x v="9"/>
    <s v="avril"/>
    <s v="Q2"/>
    <s v="Alberta"/>
    <n v="0"/>
  </r>
  <r>
    <s v="ORD-2025-00023"/>
    <d v="2025-08-10T00:00:00"/>
    <s v="C0036"/>
    <s v="P1024"/>
    <s v="Sarah Wilson, Montreal, Corporate"/>
    <s v="Vancouver  West"/>
    <s v="A. Morgan"/>
    <s v="Online"/>
    <n v="2"/>
    <n v="99.22"/>
    <n v="0.05"/>
    <s v="Debit Card"/>
    <n v="8"/>
    <s v="No"/>
    <s v="Online"/>
    <s v="P1024"/>
    <s v="C0036"/>
    <s v="Vancouver West"/>
    <s v="Debit Card"/>
    <n v="1"/>
    <s v="Sarah Wilson"/>
    <s v="Montreal"/>
    <s v="Corporate"/>
    <s v="Food Scale"/>
    <x v="2"/>
    <n v="46.07"/>
    <n v="198.44"/>
    <n v="9.9220000000000006"/>
    <x v="22"/>
    <n v="92.14"/>
    <x v="22"/>
    <n v="0.51124030596547809"/>
    <n v="2025"/>
    <x v="7"/>
    <s v="août"/>
    <s v="Q3"/>
    <s v="Quebec"/>
    <n v="0"/>
  </r>
  <r>
    <s v="ORD-2025-00024"/>
    <d v="2025-11-02T00:00:00"/>
    <s v="C0054"/>
    <s v="P1004"/>
    <s v="Maya Hall , Surrey , Small Business"/>
    <s v="Calgary North"/>
    <s v="R. Singh"/>
    <s v="Online"/>
    <n v="2"/>
    <n v="277.39"/>
    <n v="0"/>
    <s v="Debit Card"/>
    <n v="6"/>
    <s v="No"/>
    <s v="Online"/>
    <s v="P1004"/>
    <s v="C0054"/>
    <s v="Calgary North"/>
    <s v="Debit Card"/>
    <n v="1"/>
    <s v="Maya Hall"/>
    <s v="Surrey"/>
    <s v="Small Business"/>
    <s v="Webcam"/>
    <x v="4"/>
    <n v="154.72999999999999"/>
    <n v="554.78"/>
    <n v="0"/>
    <x v="23"/>
    <n v="309.45999999999998"/>
    <x v="23"/>
    <n v="0.44219330184938177"/>
    <n v="2025"/>
    <x v="8"/>
    <s v="novembre"/>
    <s v="Q4"/>
    <s v="British Columbia"/>
    <n v="0"/>
  </r>
  <r>
    <s v="ORD-2025-00025"/>
    <d v="2025-07-14T00:00:00"/>
    <s v="C0023"/>
    <s v="P1029"/>
    <s v="Ryan Gagnon, Ottawa, Small Business"/>
    <s v="Toronto Downtown"/>
    <s v="A. Morgan"/>
    <s v="Retail Store"/>
    <n v="2"/>
    <n v="193.9"/>
    <n v="0"/>
    <s v="Credit Card"/>
    <n v="4"/>
    <s v="No"/>
    <s v="Retail Store"/>
    <s v="P1029"/>
    <s v="C0023"/>
    <s v="Toronto Downtown"/>
    <s v="Credit Card"/>
    <n v="1"/>
    <s v="Ryan Gagnon"/>
    <s v="Ottawa"/>
    <s v="Small Business"/>
    <s v="Jump Rope"/>
    <x v="0"/>
    <n v="101"/>
    <n v="387.8"/>
    <n v="0"/>
    <x v="24"/>
    <n v="202"/>
    <x v="24"/>
    <n v="0.47911294481691596"/>
    <n v="2025"/>
    <x v="10"/>
    <s v="juillet"/>
    <s v="Q3"/>
    <s v="Ontario"/>
    <n v="0"/>
  </r>
  <r>
    <s v="ORD-2025-00026"/>
    <d v="2025-04-14T00:00:00"/>
    <s v="C0091"/>
    <s v="P1007"/>
    <s v="Leo Taylor, Victoria, Small Business"/>
    <s v="Montreal Central"/>
    <s v="N. Brown"/>
    <s v="Retail Store"/>
    <n v="3"/>
    <n v="336.05"/>
    <n v="0.25"/>
    <s v="Debit Card"/>
    <n v="3"/>
    <s v="No"/>
    <s v="Retail Store"/>
    <s v="P1007"/>
    <s v="C0091"/>
    <s v="Montreal Central"/>
    <s v="Debit Card"/>
    <n v="1"/>
    <s v="Leo Taylor"/>
    <s v="Victoria"/>
    <s v="Small Business"/>
    <s v="Monitor"/>
    <x v="4"/>
    <n v="224.47"/>
    <n v="1008.1500000000001"/>
    <n v="252.03750000000002"/>
    <x v="25"/>
    <n v="673.41"/>
    <x v="25"/>
    <n v="0.10937856469771376"/>
    <n v="2025"/>
    <x v="9"/>
    <s v="avril"/>
    <s v="Q2"/>
    <s v="British Columbia"/>
    <n v="0"/>
  </r>
  <r>
    <s v="ORD-2025-00027"/>
    <d v="2025-08-10T00:00:00"/>
    <s v="C0118"/>
    <s v="P1008"/>
    <s v="Ryan Smith, Victoria, Small Business"/>
    <s v="Montreal Central"/>
    <s v="E. Roy"/>
    <s v="Online"/>
    <n v="1"/>
    <n v="137.66999999999999"/>
    <n v="0.05"/>
    <s v="Gift Card"/>
    <n v="2"/>
    <s v="No"/>
    <s v="Online"/>
    <s v="P1008"/>
    <s v="C0118"/>
    <s v="Montreal Central"/>
    <s v="Gift Card"/>
    <n v="1"/>
    <s v="Ryan Smith"/>
    <s v="Victoria"/>
    <s v="Small Business"/>
    <s v="Smart Speaker"/>
    <x v="4"/>
    <n v="69"/>
    <n v="137.66999999999999"/>
    <n v="6.8834999999999997"/>
    <x v="26"/>
    <n v="69"/>
    <x v="26"/>
    <n v="0.47242261242559436"/>
    <n v="2025"/>
    <x v="7"/>
    <s v="août"/>
    <s v="Q3"/>
    <s v="British Columbia"/>
    <n v="0"/>
  </r>
  <r>
    <s v="ORD-2025-00028"/>
    <d v="2025-04-23T00:00:00"/>
    <s v="C0029"/>
    <s v="P1002"/>
    <s v="Olivia White , Victoria , Consumer"/>
    <s v="Vancouver West"/>
    <s v="S. Patel"/>
    <s v="Online"/>
    <n v="3"/>
    <n v="38.96"/>
    <n v="0.1"/>
    <s v="Debit Card"/>
    <n v="2"/>
    <s v="No"/>
    <s v="Online"/>
    <s v="P1002"/>
    <s v="C0029"/>
    <s v="Vancouver West"/>
    <s v="Debit Card"/>
    <n v="1"/>
    <s v="Olivia White"/>
    <s v="Victoria"/>
    <s v="Consumer"/>
    <s v="Keyboard"/>
    <x v="4"/>
    <n v="23.5"/>
    <n v="116.88"/>
    <n v="11.688000000000001"/>
    <x v="27"/>
    <n v="70.5"/>
    <x v="27"/>
    <n v="0.32979694273328763"/>
    <n v="2025"/>
    <x v="9"/>
    <s v="avril"/>
    <s v="Q2"/>
    <s v="British Columbia"/>
    <n v="0"/>
  </r>
  <r>
    <s v="ORD-2025-00029"/>
    <d v="2025-01-13T00:00:00"/>
    <s v="C0061"/>
    <s v="P1011"/>
    <s v="Zoe Hall, Vancouver, Consumer"/>
    <s v="Online Fulfillment"/>
    <s v="M. Wilson"/>
    <s v="Online"/>
    <n v="3"/>
    <n v="81.11"/>
    <n v="0.1"/>
    <s v="Gift Card"/>
    <n v="1"/>
    <s v="No"/>
    <s v="Online"/>
    <s v="P1011"/>
    <s v="C0061"/>
    <s v="Online Fulfillment"/>
    <s v="Gift Card"/>
    <n v="1"/>
    <s v="Zoe Hall"/>
    <s v="Vancouver"/>
    <s v="Consumer"/>
    <s v="Office Chair"/>
    <x v="3"/>
    <n v="39.26"/>
    <n v="243.32999999999998"/>
    <n v="24.332999999999998"/>
    <x v="28"/>
    <n v="117.78"/>
    <x v="28"/>
    <n v="0.46218441348511619"/>
    <n v="2025"/>
    <x v="3"/>
    <s v="janvier"/>
    <s v="Q1"/>
    <s v="British Columbia"/>
    <n v="0"/>
  </r>
  <r>
    <s v="ORD-2025-00030"/>
    <d v="2025-10-10T00:00:00"/>
    <s v="C0005"/>
    <s v="P1040"/>
    <s v="Yasmine Taylor, Calgary, Consumer"/>
    <s v="Toronto Downtown"/>
    <s v="S. Patel"/>
    <s v="Online"/>
    <n v="1"/>
    <n v="322.58"/>
    <n v="0.05"/>
    <s v="Credit Card"/>
    <n v="6"/>
    <s v="No"/>
    <s v="Online"/>
    <s v="P1040"/>
    <s v="C0005"/>
    <s v="Toronto Downtown"/>
    <s v="Credit Card"/>
    <n v="1"/>
    <s v="Yasmine Taylor"/>
    <s v="Calgary"/>
    <s v="Consumer"/>
    <s v="Desk Pad"/>
    <x v="1"/>
    <n v="177.57"/>
    <n v="322.58"/>
    <n v="16.129000000000001"/>
    <x v="29"/>
    <n v="177.57"/>
    <x v="29"/>
    <n v="0.42055989375136643"/>
    <n v="2025"/>
    <x v="11"/>
    <s v="octobre"/>
    <s v="Q4"/>
    <s v="Alberta"/>
    <n v="0"/>
  </r>
  <r>
    <s v="ORD-2025-00031"/>
    <d v="2025-03-14T00:00:00"/>
    <s v="C0001"/>
    <s v="P1039"/>
    <s v="Ethan Roy, Halifax, Consumer"/>
    <s v="Vancouver  West"/>
    <s v="A. Morgan"/>
    <s v="Online"/>
    <n v="1"/>
    <n v="359.52"/>
    <n v="0.15"/>
    <s v="Gift Card"/>
    <n v="9"/>
    <s v="No"/>
    <s v="Online"/>
    <s v="P1039"/>
    <s v="C0001"/>
    <s v="Vancouver West"/>
    <s v="Gift Card"/>
    <n v="1"/>
    <s v="Ethan Roy"/>
    <s v="Halifax"/>
    <s v="Consumer"/>
    <s v="Travel Adapter"/>
    <x v="1"/>
    <n v="229.86"/>
    <n v="359.52"/>
    <n v="53.927999999999997"/>
    <x v="30"/>
    <n v="229.86"/>
    <x v="30"/>
    <n v="0.24782062357653334"/>
    <n v="2025"/>
    <x v="4"/>
    <s v="mars"/>
    <s v="Q1"/>
    <s v="Nova Scotia"/>
    <n v="0"/>
  </r>
  <r>
    <s v="ORD-2025-00032"/>
    <d v="2025-12-06T00:00:00"/>
    <s v="C0065"/>
    <s v="P1006"/>
    <s v="Mia Wilson, Quebec City, Consumer"/>
    <s v="Toronto Downtown"/>
    <s v="S. Patel"/>
    <s v="Marketplace"/>
    <n v="1"/>
    <n v="99.63"/>
    <n v="0"/>
    <s v="PayPal"/>
    <n v="8"/>
    <s v="No"/>
    <s v="Marketplace"/>
    <s v="P1006"/>
    <s v="C0065"/>
    <s v="Toronto Downtown"/>
    <s v="Paypal"/>
    <n v="1"/>
    <s v="Mia Wilson"/>
    <s v="Quebec City"/>
    <s v="Consumer"/>
    <s v="USB-C Hub"/>
    <x v="4"/>
    <n v="72"/>
    <n v="99.63"/>
    <n v="0"/>
    <x v="31"/>
    <n v="72"/>
    <x v="31"/>
    <n v="0.27732610659439927"/>
    <n v="2025"/>
    <x v="6"/>
    <s v="décembre"/>
    <s v="Q4"/>
    <s v="Quebec"/>
    <n v="0"/>
  </r>
  <r>
    <s v="ORD-2025-00033"/>
    <d v="2025-05-08T00:00:00"/>
    <s v="C0067"/>
    <s v="P1018"/>
    <s v="Leo Bennett, Mississauga, Consumer"/>
    <s v="Montreal  Central"/>
    <s v="N. Brown"/>
    <s v="Online"/>
    <n v="1"/>
    <n v="30.26"/>
    <n v="0.2"/>
    <s v="Credit Card"/>
    <n v="5"/>
    <s v="No"/>
    <s v="Online"/>
    <s v="P1018"/>
    <s v="C0067"/>
    <s v="Montreal Central"/>
    <s v="Credit Card"/>
    <n v="1"/>
    <s v="Leo Bennett"/>
    <s v="Mississauga"/>
    <s v="Consumer"/>
    <s v="Air Fryer"/>
    <x v="2"/>
    <n v="14.58"/>
    <n v="30.26"/>
    <n v="6.0520000000000005"/>
    <x v="32"/>
    <n v="14.58"/>
    <x v="32"/>
    <n v="0.39771976206212828"/>
    <n v="2025"/>
    <x v="1"/>
    <s v="mai"/>
    <s v="Q2"/>
    <s v="Ontario"/>
    <n v="0"/>
  </r>
  <r>
    <s v="ORD-2025-00034"/>
    <d v="2025-03-16T00:00:00"/>
    <s v="C0110"/>
    <s v="P1010"/>
    <s v="Sarah Smith, Laval, Consumer"/>
    <s v="Montreal Central"/>
    <s v="M. Wilson"/>
    <s v="Online"/>
    <n v="1"/>
    <n v="215.08"/>
    <n v="0"/>
    <s v="Debit Card"/>
    <n v="9"/>
    <s v="No"/>
    <s v="Online"/>
    <s v="P1010"/>
    <s v="C0110"/>
    <s v="Montreal Central"/>
    <s v="Debit Card"/>
    <n v="1"/>
    <s v="Sarah Smith"/>
    <s v="Laval"/>
    <s v="Consumer"/>
    <s v="Desk Lamp"/>
    <x v="3"/>
    <n v="127.21"/>
    <n v="215.08"/>
    <n v="0"/>
    <x v="33"/>
    <n v="127.21"/>
    <x v="33"/>
    <n v="0.40854565742979365"/>
    <n v="2025"/>
    <x v="4"/>
    <s v="mars"/>
    <s v="Q1"/>
    <s v="Quebec"/>
    <n v="0"/>
  </r>
  <r>
    <s v="ORD-2025-00035"/>
    <d v="2025-10-31T00:00:00"/>
    <s v="C0063"/>
    <s v="P1037"/>
    <s v="Adam Singh, Laval, Small Business"/>
    <s v="Toronto Downtown"/>
    <s v="S. Patel"/>
    <s v="Retail  Store"/>
    <n v="3"/>
    <n v="370.4"/>
    <n v="0.05"/>
    <s v="Credit Card"/>
    <n v="0"/>
    <s v="No"/>
    <s v="Retail Store"/>
    <s v="P1037"/>
    <s v="C0063"/>
    <s v="Toronto Downtown"/>
    <s v="Credit Card"/>
    <n v="1"/>
    <s v="Adam Singh"/>
    <s v="Laval"/>
    <s v="Small Business"/>
    <s v="Cable Set"/>
    <x v="1"/>
    <n v="200.16"/>
    <n v="1111.1999999999998"/>
    <n v="55.559999999999995"/>
    <x v="34"/>
    <n v="600.48"/>
    <x v="34"/>
    <n v="0.43116971694895978"/>
    <n v="2025"/>
    <x v="11"/>
    <s v="octobre"/>
    <s v="Q4"/>
    <s v="Quebec"/>
    <n v="0"/>
  </r>
  <r>
    <s v="ORD-2025-00036"/>
    <d v="2025-07-23T00:00:00"/>
    <s v="C0057"/>
    <s v="P1012"/>
    <s v="Adam Khan, Edmonton, Small Business"/>
    <s v="Vancouver West"/>
    <s v="E. Roy"/>
    <s v="Retail Store"/>
    <n v="5"/>
    <n v="82.85"/>
    <n v="0.1"/>
    <s v="Credit Card"/>
    <n v="0"/>
    <s v="No"/>
    <s v="Retail Store"/>
    <s v="P1012"/>
    <s v="C0057"/>
    <s v="Vancouver West"/>
    <s v="Credit Card"/>
    <n v="1"/>
    <s v="Adam Khan"/>
    <s v="Edmonton"/>
    <s v="Small Business"/>
    <s v="Standing Desk"/>
    <x v="3"/>
    <n v="45.17"/>
    <n v="414.25"/>
    <n v="41.425000000000004"/>
    <x v="35"/>
    <n v="225.85000000000002"/>
    <x v="35"/>
    <n v="0.39421980822101516"/>
    <n v="2025"/>
    <x v="10"/>
    <s v="juillet"/>
    <s v="Q3"/>
    <s v="Alberta"/>
    <n v="0"/>
  </r>
  <r>
    <s v="ORD-2025-00037"/>
    <d v="2025-02-15T00:00:00"/>
    <s v="C0102"/>
    <s v="P1003"/>
    <s v="Adam Roy, Edmonton, Corporate"/>
    <s v="Online Fulfillment"/>
    <s v="L. Chen"/>
    <s v="Retail Store"/>
    <n v="1"/>
    <n v="165.76"/>
    <n v="0.2"/>
    <s v="Debit Card"/>
    <n v="3"/>
    <s v="No"/>
    <s v="Retail Store"/>
    <s v="P1003"/>
    <s v="C0102"/>
    <s v="Online Fulfillment"/>
    <s v="Debit Card"/>
    <n v="1"/>
    <s v="Adam Roy"/>
    <s v="Edmonton"/>
    <s v="Corporate"/>
    <s v="Mouse"/>
    <x v="4"/>
    <n v="106.4"/>
    <n v="165.76"/>
    <n v="33.152000000000001"/>
    <x v="36"/>
    <n v="106.4"/>
    <x v="36"/>
    <n v="0.19763513513513511"/>
    <n v="2025"/>
    <x v="2"/>
    <s v="février"/>
    <s v="Q1"/>
    <s v="Alberta"/>
    <n v="0"/>
  </r>
  <r>
    <s v="ORD-2025-00038"/>
    <d v="2025-05-01T00:00:00"/>
    <s v="C0089"/>
    <s v="P1003"/>
    <s v="Lucas Martin, Vancouver, Consumer"/>
    <s v="Calgary North"/>
    <s v="N. Brown"/>
    <s v="Retail Store"/>
    <n v="1"/>
    <n v="168.75"/>
    <n v="0"/>
    <s v="Debit Card"/>
    <n v="0"/>
    <s v="Yes"/>
    <s v="Retail Store"/>
    <s v="P1003"/>
    <s v="C0089"/>
    <s v="Calgary North"/>
    <s v="Debit Card"/>
    <n v="1"/>
    <s v="Lucas Martin"/>
    <s v="Vancouver"/>
    <s v="Consumer"/>
    <s v="Mouse"/>
    <x v="4"/>
    <n v="106.4"/>
    <n v="168.75"/>
    <n v="0"/>
    <x v="37"/>
    <n v="106.4"/>
    <x v="37"/>
    <n v="0.36948148148148147"/>
    <n v="2025"/>
    <x v="1"/>
    <s v="mai"/>
    <s v="Q2"/>
    <s v="British Columbia"/>
    <n v="1"/>
  </r>
  <r>
    <s v="ORD-2025-00039"/>
    <d v="2025-12-31T00:00:00"/>
    <s v="C0064"/>
    <s v="P1002"/>
    <s v="Amine Khan, Edmonton, Consumer"/>
    <s v="Montreal Central"/>
    <s v="N. Brown"/>
    <s v="Online"/>
    <n v="3"/>
    <n v="39.06"/>
    <n v="0"/>
    <s v="Debit Card"/>
    <n v="5"/>
    <s v="Yes"/>
    <s v="Online"/>
    <s v="P1002"/>
    <s v="C0064"/>
    <s v="Montreal Central"/>
    <s v="Debit Card"/>
    <n v="1"/>
    <s v="Amine Khan"/>
    <s v="Edmonton"/>
    <s v="Consumer"/>
    <s v="Keyboard"/>
    <x v="4"/>
    <n v="23.5"/>
    <n v="117.18"/>
    <n v="0"/>
    <x v="38"/>
    <n v="70.5"/>
    <x v="38"/>
    <n v="0.39836149513568869"/>
    <n v="2025"/>
    <x v="6"/>
    <s v="décembre"/>
    <s v="Q4"/>
    <s v="Alberta"/>
    <n v="1"/>
  </r>
  <r>
    <s v="ORD-2025-00040"/>
    <d v="2025-09-20T00:00:00"/>
    <s v="C0048"/>
    <s v="P1005"/>
    <s v="Amelia Brown, Quebec City, Corporate"/>
    <s v="Vancouver West"/>
    <s v="M. Wilson"/>
    <s v="Retail Store"/>
    <n v="1"/>
    <n v="241.49"/>
    <n v="0.1"/>
    <s v="Credit Card"/>
    <n v="2"/>
    <s v="No"/>
    <s v="Retail Store"/>
    <s v="P1005"/>
    <s v="C0048"/>
    <s v="Vancouver West"/>
    <s v="Credit Card"/>
    <n v="1"/>
    <s v="Amelia Brown"/>
    <s v="Quebec City"/>
    <s v="Corporate"/>
    <s v="Portable SSD"/>
    <x v="4"/>
    <n v="131.19"/>
    <n v="241.49"/>
    <n v="24.149000000000001"/>
    <x v="39"/>
    <n v="131.19"/>
    <x v="39"/>
    <n v="0.39638632379532629"/>
    <n v="2025"/>
    <x v="0"/>
    <s v="septembre"/>
    <s v="Q3"/>
    <s v="Quebec"/>
    <n v="0"/>
  </r>
  <r>
    <s v="ORD-2025-00041"/>
    <d v="2025-12-24T00:00:00"/>
    <s v="C0012"/>
    <s v="P1022"/>
    <s v="Daniel Taylor, Victoria, Corporate"/>
    <s v="Toronto Downtown"/>
    <s v="E. Roy"/>
    <s v="Online"/>
    <n v="2"/>
    <n v="434.43"/>
    <n v="0.05"/>
    <s v="Debit Card"/>
    <n v="7"/>
    <s v="No"/>
    <s v="Online"/>
    <s v="P1022"/>
    <s v="C0012"/>
    <s v="Toronto Downtown"/>
    <s v="Debit Card"/>
    <n v="1"/>
    <s v="Daniel Taylor"/>
    <s v="Victoria"/>
    <s v="Corporate"/>
    <s v="Humidifier"/>
    <x v="2"/>
    <n v="239.67"/>
    <n v="868.86"/>
    <n v="43.443000000000005"/>
    <x v="40"/>
    <n v="479.34"/>
    <x v="40"/>
    <n v="0.41927534809678024"/>
    <n v="2025"/>
    <x v="6"/>
    <s v="décembre"/>
    <s v="Q4"/>
    <s v="British Columbia"/>
    <n v="0"/>
  </r>
  <r>
    <s v="ORD-2025-00042"/>
    <d v="2025-11-15T00:00:00"/>
    <s v="C0091"/>
    <s v="P1019"/>
    <s v="Leo Taylor, Victoria, Small Business"/>
    <s v="Calgary North"/>
    <s v="J. Tremblay"/>
    <s v="Marketplace"/>
    <n v="2"/>
    <n v="257.69"/>
    <n v="0.05"/>
    <s v="CC"/>
    <n v="7"/>
    <s v="No"/>
    <s v="Marketplace"/>
    <s v="P1019"/>
    <s v="C0091"/>
    <s v="Calgary North"/>
    <s v="Credit Card"/>
    <n v="1"/>
    <s v="Leo Taylor"/>
    <s v="Victoria"/>
    <s v="Small Business"/>
    <s v="Vacuum"/>
    <x v="2"/>
    <n v="186.94"/>
    <n v="515.38"/>
    <n v="25.769000000000002"/>
    <x v="41"/>
    <n v="373.88"/>
    <x v="41"/>
    <n v="0.23637336579447765"/>
    <n v="2025"/>
    <x v="8"/>
    <s v="novembre"/>
    <s v="Q4"/>
    <s v="British Columbia"/>
    <n v="0"/>
  </r>
  <r>
    <s v="ORD-2025-00043"/>
    <d v="2025-04-18T00:00:00"/>
    <s v="C0113"/>
    <s v="P1014"/>
    <s v="Olivia Johnson, Surrey, Consumer"/>
    <s v="Vancouver West"/>
    <s v="J. Tremblay"/>
    <s v="Retail Store"/>
    <n v="5"/>
    <n v="244.71"/>
    <n v="0"/>
    <s v="PayPal"/>
    <n v="2"/>
    <s v="No"/>
    <s v="Retail Store"/>
    <s v="P1014"/>
    <s v="C0113"/>
    <s v="Vancouver West"/>
    <s v="Paypal"/>
    <n v="1"/>
    <s v="Olivia Johnson"/>
    <s v="Surrey"/>
    <s v="Consumer"/>
    <s v="Document Shredder"/>
    <x v="3"/>
    <n v="117.65"/>
    <n v="1223.55"/>
    <n v="0"/>
    <x v="42"/>
    <n v="588.25"/>
    <x v="42"/>
    <n v="0.51922683993298191"/>
    <n v="2025"/>
    <x v="9"/>
    <s v="avril"/>
    <s v="Q2"/>
    <s v="British Columbia"/>
    <n v="0"/>
  </r>
  <r>
    <s v="ORD-2025-00044"/>
    <d v="2025-03-15T00:00:00"/>
    <s v="C0068"/>
    <s v="P1012"/>
    <s v="Yasmine Martin, Calgary, Consumer"/>
    <s v="Vancouver West"/>
    <s v="N. Brown"/>
    <s v="Online"/>
    <n v="1"/>
    <n v="83.33"/>
    <n v="0"/>
    <s v="Debit Card"/>
    <n v="1"/>
    <s v="Yes"/>
    <s v="Online"/>
    <s v="P1012"/>
    <s v="C0068"/>
    <s v="Vancouver West"/>
    <s v="Debit Card"/>
    <n v="1"/>
    <s v="Yasmine Martin"/>
    <s v="Calgary"/>
    <s v="Consumer"/>
    <s v="Standing Desk"/>
    <x v="3"/>
    <n v="45.17"/>
    <n v="83.33"/>
    <n v="0"/>
    <x v="43"/>
    <n v="45.17"/>
    <x v="43"/>
    <n v="0.45793831753270126"/>
    <n v="2025"/>
    <x v="4"/>
    <s v="mars"/>
    <s v="Q1"/>
    <s v="Alberta"/>
    <n v="1"/>
  </r>
  <r>
    <s v="ORD-2025-00045"/>
    <d v="2025-02-26T00:00:00"/>
    <s v="C0076"/>
    <s v="P1031"/>
    <s v="Maya Taylor , Saskatoon , Corporate"/>
    <s v="Online Fulfillment"/>
    <s v="L. Chen"/>
    <s v="Online"/>
    <n v="4"/>
    <n v="247.77"/>
    <n v="0.1"/>
    <s v="Credit Card"/>
    <n v="5"/>
    <s v="Yes"/>
    <s v="Online"/>
    <s v="P1031"/>
    <s v="C0076"/>
    <s v="Online Fulfillment"/>
    <s v="Credit Card"/>
    <n v="1"/>
    <s v="Maya Taylor"/>
    <s v="Saskatoon"/>
    <s v="Corporate"/>
    <s v="Dumbbell Set"/>
    <x v="0"/>
    <n v="131.72999999999999"/>
    <n v="991.08"/>
    <n v="99.108000000000004"/>
    <x v="44"/>
    <n v="526.91999999999996"/>
    <x v="44"/>
    <n v="0.4092639679272444"/>
    <n v="2025"/>
    <x v="2"/>
    <s v="février"/>
    <s v="Q1"/>
    <s v="Saskatchewan"/>
    <n v="1"/>
  </r>
  <r>
    <s v="ORD-2025-00046"/>
    <d v="2025-07-17T00:00:00"/>
    <s v="C0015"/>
    <s v="P1009"/>
    <s v="Zoe Singh, Halifax, Consumer"/>
    <s v="Toronto Downtown"/>
    <s v="L. Chen"/>
    <s v="Retail Store"/>
    <n v="1"/>
    <n v="299.83"/>
    <n v="0"/>
    <s v="PayPal"/>
    <n v="3"/>
    <s v="No"/>
    <s v="Retail Store"/>
    <s v="P1009"/>
    <s v="C0015"/>
    <s v="Toronto Downtown"/>
    <s v="Paypal"/>
    <n v="1"/>
    <s v="Zoe Singh"/>
    <s v="Halifax"/>
    <s v="Consumer"/>
    <s v="Notebook"/>
    <x v="3"/>
    <n v="176.13"/>
    <n v="299.83"/>
    <n v="0"/>
    <x v="45"/>
    <n v="176.13"/>
    <x v="45"/>
    <n v="0.4125671213687756"/>
    <n v="2025"/>
    <x v="10"/>
    <s v="juillet"/>
    <s v="Q3"/>
    <s v="Nova Scotia"/>
    <n v="0"/>
  </r>
  <r>
    <s v="ORD-2025-00047"/>
    <d v="2025-10-03T00:00:00"/>
    <s v="C0020"/>
    <s v="P1005"/>
    <s v="Nora Khan, Mississauga, Consumer"/>
    <s v="Calgary North"/>
    <s v="J. Tremblay"/>
    <s v="Online"/>
    <n v="2"/>
    <n v="242.3"/>
    <n v="0.1"/>
    <s v="Debit Card"/>
    <n v="9"/>
    <s v="No"/>
    <s v="Online"/>
    <s v="P1005"/>
    <s v="C0020"/>
    <s v="Calgary North"/>
    <s v="Debit Card"/>
    <n v="1"/>
    <s v="Nora Khan"/>
    <s v="Mississauga"/>
    <s v="Consumer"/>
    <s v="Portable SSD"/>
    <x v="4"/>
    <n v="131.19"/>
    <n v="484.6"/>
    <n v="48.460000000000008"/>
    <x v="46"/>
    <n v="262.38"/>
    <x v="46"/>
    <n v="0.39840418214334844"/>
    <n v="2025"/>
    <x v="11"/>
    <s v="octobre"/>
    <s v="Q4"/>
    <s v="Ontario"/>
    <n v="0"/>
  </r>
  <r>
    <s v="ORD-2025-00048"/>
    <d v="2025-05-23T00:00:00"/>
    <s v="C0043"/>
    <s v="P1019"/>
    <s v="Ava Brown, Ottawa, Small Business"/>
    <s v="Online Fulfillment"/>
    <s v="A. Morgan"/>
    <s v="Retail Store"/>
    <n v="1"/>
    <n v="274.64999999999998"/>
    <n v="0.2"/>
    <s v="Gift Card"/>
    <n v="2"/>
    <s v="No"/>
    <s v="Retail Store"/>
    <s v="P1019"/>
    <s v="C0043"/>
    <s v="Online Fulfillment"/>
    <s v="Gift Card"/>
    <n v="1"/>
    <s v="Ava Brown"/>
    <s v="Ottawa"/>
    <s v="Small Business"/>
    <s v="Vacuum"/>
    <x v="2"/>
    <n v="186.94"/>
    <n v="274.64999999999998"/>
    <n v="54.93"/>
    <x v="47"/>
    <n v="186.94"/>
    <x v="47"/>
    <n v="0.14918987802657918"/>
    <n v="2025"/>
    <x v="1"/>
    <s v="mai"/>
    <s v="Q2"/>
    <s v="Ontario"/>
    <n v="0"/>
  </r>
  <r>
    <s v="ORD-2025-00049"/>
    <d v="2025-07-23T00:00:00"/>
    <s v="C0014"/>
    <s v="P1026"/>
    <s v="Zoe Scott, Montreal, Small Business"/>
    <s v="Toronto Downtown"/>
    <s v="N. Brown"/>
    <s v="Online"/>
    <n v="3"/>
    <n v="212.19"/>
    <n v="0.2"/>
    <s v="Credit Card"/>
    <n v="3"/>
    <s v="No"/>
    <s v="Online"/>
    <s v="P1026"/>
    <s v="C0014"/>
    <s v="Toronto Downtown"/>
    <s v="Credit Card"/>
    <n v="1"/>
    <s v="Zoe Scott"/>
    <s v="Montreal"/>
    <s v="Small Business"/>
    <s v="Resistance Bands"/>
    <x v="0"/>
    <n v="139.19999999999999"/>
    <n v="636.56999999999994"/>
    <n v="127.31399999999999"/>
    <x v="48"/>
    <n v="417.59999999999997"/>
    <x v="48"/>
    <n v="0.17998020641877566"/>
    <n v="2025"/>
    <x v="10"/>
    <s v="juillet"/>
    <s v="Q3"/>
    <s v="Quebec"/>
    <n v="0"/>
  </r>
  <r>
    <s v="ORD-2025-00050"/>
    <d v="2025-12-08T00:00:00"/>
    <s v="C0066"/>
    <s v="P1025"/>
    <s v="Noah Clark, Laval, Consumer"/>
    <s v="Vancouver West"/>
    <s v="N. Brown"/>
    <s v="Marketplace"/>
    <n v="1"/>
    <n v="306.63"/>
    <n v="0.1"/>
    <s v="Credit Card"/>
    <n v="2"/>
    <s v="No"/>
    <s v="Marketplace"/>
    <s v="P1025"/>
    <s v="C0066"/>
    <s v="Vancouver West"/>
    <s v="Credit Card"/>
    <n v="1"/>
    <s v="Noah Clark"/>
    <s v="Laval"/>
    <s v="Consumer"/>
    <s v="Yoga Mat"/>
    <x v="0"/>
    <n v="197.33"/>
    <n v="306.63"/>
    <n v="30.663"/>
    <x v="49"/>
    <n v="197.33"/>
    <x v="49"/>
    <n v="0.28495073686346545"/>
    <n v="2025"/>
    <x v="6"/>
    <s v="décembre"/>
    <s v="Q4"/>
    <s v="Quebec"/>
    <n v="0"/>
  </r>
  <r>
    <s v="ORD-2025-00051"/>
    <d v="2025-11-02T00:00:00"/>
    <s v="C0012"/>
    <s v="P1029"/>
    <s v="Daniel Taylor, Victoria, Corporate"/>
    <s v="Vancouver West"/>
    <s v="R. Singh"/>
    <s v="Online"/>
    <n v="3"/>
    <n v="205.39"/>
    <n v="0"/>
    <s v="Credit Card"/>
    <n v="6"/>
    <s v="No"/>
    <s v="Online"/>
    <s v="P1029"/>
    <s v="C0012"/>
    <s v="Vancouver West"/>
    <s v="Credit Card"/>
    <n v="1"/>
    <s v="Daniel Taylor"/>
    <s v="Victoria"/>
    <s v="Corporate"/>
    <s v="Jump Rope"/>
    <x v="0"/>
    <n v="101"/>
    <n v="616.16999999999996"/>
    <n v="0"/>
    <x v="50"/>
    <n v="303"/>
    <x v="50"/>
    <n v="0.50825259262865763"/>
    <n v="2025"/>
    <x v="8"/>
    <s v="novembre"/>
    <s v="Q4"/>
    <s v="British Columbia"/>
    <n v="0"/>
  </r>
  <r>
    <s v="ORD-2025-00052"/>
    <d v="2025-10-24T00:00:00"/>
    <s v="C0110"/>
    <s v="P1001"/>
    <s v="Sarah Smith, Laval, Consumer"/>
    <s v="Calgary North"/>
    <s v="M. Wilson"/>
    <s v="Online"/>
    <n v="1"/>
    <n v="394.09"/>
    <n v="0.2"/>
    <s v="PayPal"/>
    <n v="6"/>
    <s v="No"/>
    <s v="Online"/>
    <s v="P1001"/>
    <s v="C0110"/>
    <s v="Calgary North"/>
    <s v="Paypal"/>
    <n v="1"/>
    <s v="Sarah Smith"/>
    <s v="Laval"/>
    <s v="Consumer"/>
    <s v="Headphones"/>
    <x v="4"/>
    <n v="254.6"/>
    <n v="394.09"/>
    <n v="78.817999999999998"/>
    <x v="51"/>
    <n v="254.6"/>
    <x v="51"/>
    <n v="0.19244335050369205"/>
    <n v="2025"/>
    <x v="11"/>
    <s v="octobre"/>
    <s v="Q4"/>
    <s v="Quebec"/>
    <n v="0"/>
  </r>
  <r>
    <s v="ORD-2025-00053"/>
    <d v="2025-07-24T00:00:00"/>
    <s v="C0069"/>
    <s v="P1021"/>
    <s v="Sarah White, Ottawa, Consumer"/>
    <s v="Calgary North"/>
    <s v="M. Wilson"/>
    <s v="Online"/>
    <n v="2"/>
    <n v="309.14"/>
    <n v="0.15"/>
    <s v="Credit Card"/>
    <n v="9"/>
    <s v="No"/>
    <s v="Online"/>
    <s v="P1021"/>
    <s v="C0069"/>
    <s v="Calgary North"/>
    <s v="Credit Card"/>
    <n v="1"/>
    <s v="Sarah White"/>
    <s v="Ottawa"/>
    <s v="Consumer"/>
    <s v="Kettle"/>
    <x v="2"/>
    <n v="139.86000000000001"/>
    <n v="618.28"/>
    <n v="92.74199999999999"/>
    <x v="52"/>
    <n v="279.72000000000003"/>
    <x v="52"/>
    <n v="0.46774543420266468"/>
    <n v="2025"/>
    <x v="10"/>
    <s v="juillet"/>
    <s v="Q3"/>
    <s v="Ontario"/>
    <n v="0"/>
  </r>
  <r>
    <s v="ORD-2025-00054"/>
    <d v="2025-03-06T00:00:00"/>
    <s v="C0003"/>
    <s v="P1003"/>
    <s v="Amelia Young, Ottawa, Corporate"/>
    <s v="Online Fulfillment"/>
    <s v="M. Wilson"/>
    <s v="Online"/>
    <n v="1"/>
    <n v="155.66999999999999"/>
    <n v="0"/>
    <s v="Credit Card"/>
    <n v="6"/>
    <s v="No"/>
    <s v="Online"/>
    <s v="P1003"/>
    <s v="C0003"/>
    <s v="Online Fulfillment"/>
    <s v="Credit Card"/>
    <n v="1"/>
    <s v="Amelia Young"/>
    <s v="Ottawa"/>
    <s v="Corporate"/>
    <s v="Mouse"/>
    <x v="4"/>
    <n v="106.4"/>
    <n v="155.66999999999999"/>
    <n v="0"/>
    <x v="53"/>
    <n v="106.4"/>
    <x v="53"/>
    <n v="0.31650285861116456"/>
    <n v="2025"/>
    <x v="4"/>
    <s v="mars"/>
    <s v="Q1"/>
    <s v="Ontario"/>
    <n v="0"/>
  </r>
  <r>
    <s v="ORD-2025-00055"/>
    <d v="2025-10-17T00:00:00"/>
    <s v="C0033"/>
    <s v="P1033"/>
    <s v="Maya Hall, Winnipeg, Consumer"/>
    <s v="Calgary North"/>
    <s v="M. Wilson"/>
    <s v="Online"/>
    <n v="1"/>
    <n v="318.31"/>
    <n v="0.1"/>
    <s v="PayPal"/>
    <n v="6"/>
    <s v="No"/>
    <s v="Online"/>
    <s v="P1033"/>
    <s v="C0033"/>
    <s v="Calgary North"/>
    <s v="Paypal"/>
    <n v="1"/>
    <s v="Maya Hall"/>
    <s v="Winnipeg"/>
    <s v="Consumer"/>
    <s v="Backpack"/>
    <x v="1"/>
    <n v="152.55000000000001"/>
    <n v="318.31"/>
    <n v="31.831000000000003"/>
    <x v="54"/>
    <n v="152.55000000000001"/>
    <x v="54"/>
    <n v="0.46750023561936471"/>
    <n v="2025"/>
    <x v="11"/>
    <s v="octobre"/>
    <s v="Q4"/>
    <s v="Manitoba"/>
    <n v="0"/>
  </r>
  <r>
    <s v="ORD-2025-00056"/>
    <d v="2025-11-10T00:00:00"/>
    <s v="C0098"/>
    <s v="P1009"/>
    <s v="Nora Young, Winnipeg, Consumer"/>
    <s v="Toronto Downtown"/>
    <s v="A. Morgan"/>
    <s v="Retail Store"/>
    <n v="1"/>
    <n v="294.95"/>
    <n v="0.05"/>
    <s v="Credit Card"/>
    <n v="2"/>
    <s v="No"/>
    <s v="Retail Store"/>
    <s v="P1009"/>
    <s v="C0098"/>
    <s v="Toronto Downtown"/>
    <s v="Credit Card"/>
    <n v="1"/>
    <s v="Nora Young"/>
    <s v="Winnipeg"/>
    <s v="Consumer"/>
    <s v="Notebook"/>
    <x v="3"/>
    <n v="176.13"/>
    <n v="294.95"/>
    <n v="14.7475"/>
    <x v="55"/>
    <n v="176.13"/>
    <x v="55"/>
    <n v="0.37141888455670452"/>
    <n v="2025"/>
    <x v="8"/>
    <s v="novembre"/>
    <s v="Q4"/>
    <s v="Manitoba"/>
    <n v="0"/>
  </r>
  <r>
    <s v="ORD-2025-00057"/>
    <d v="2025-10-01T00:00:00"/>
    <s v="C0048"/>
    <s v="P1005"/>
    <s v="Amelia Brown, Quebec City, Corporate"/>
    <s v="Montreal Central"/>
    <s v="J. Tremblay"/>
    <s v="Online"/>
    <n v="3"/>
    <n v="229.15"/>
    <n v="0"/>
    <s v="Debit Card"/>
    <n v="2"/>
    <s v="No"/>
    <s v="Online"/>
    <s v="P1005"/>
    <s v="C0048"/>
    <s v="Montreal Central"/>
    <s v="Debit Card"/>
    <n v="1"/>
    <s v="Amelia Brown"/>
    <s v="Quebec City"/>
    <s v="Corporate"/>
    <s v="Portable SSD"/>
    <x v="4"/>
    <n v="131.19"/>
    <n v="687.45"/>
    <n v="0"/>
    <x v="56"/>
    <n v="393.57"/>
    <x v="56"/>
    <n v="0.42749290857516914"/>
    <n v="2025"/>
    <x v="11"/>
    <s v="octobre"/>
    <s v="Q4"/>
    <s v="Quebec"/>
    <n v="0"/>
  </r>
  <r>
    <s v="ORD-2025-00058"/>
    <d v="2025-05-19T00:00:00"/>
    <s v="C0116"/>
    <s v="P1019"/>
    <s v="Lucas Brown , Mississauga , Corporate"/>
    <s v="Montreal Central"/>
    <s v="E. Roy"/>
    <s v="Marketplace"/>
    <n v="2"/>
    <n v="284.68"/>
    <n v="0.2"/>
    <s v="Credit Card"/>
    <n v="3"/>
    <s v="No"/>
    <s v="Marketplace"/>
    <s v="P1019"/>
    <s v="C0116"/>
    <s v="Montreal Central"/>
    <s v="Credit Card"/>
    <n v="1"/>
    <s v="Lucas Brown"/>
    <s v="Mississauga"/>
    <s v="Corporate"/>
    <s v="Vacuum"/>
    <x v="2"/>
    <n v="186.94"/>
    <n v="569.36"/>
    <n v="113.87200000000001"/>
    <x v="57"/>
    <n v="373.88"/>
    <x v="57"/>
    <n v="0.17916608121399466"/>
    <n v="2025"/>
    <x v="1"/>
    <s v="mai"/>
    <s v="Q2"/>
    <s v="Ontario"/>
    <n v="0"/>
  </r>
  <r>
    <s v="ORD-2025-00059"/>
    <d v="2025-03-02T00:00:00"/>
    <s v="C0007"/>
    <s v="P1014"/>
    <s v="Lucas Wilson , Ottawa , Consumer"/>
    <s v="Vancouver West"/>
    <s v="A. Morgan"/>
    <s v="Online"/>
    <n v="1"/>
    <n v="226.51"/>
    <n v="0.15"/>
    <s v="CC"/>
    <n v="8"/>
    <s v="No"/>
    <s v="Online"/>
    <s v="P1014"/>
    <s v="C0007"/>
    <s v="Vancouver West"/>
    <s v="Credit Card"/>
    <n v="1"/>
    <s v="Lucas Wilson"/>
    <s v="Ottawa"/>
    <s v="Consumer"/>
    <s v="Document Shredder"/>
    <x v="3"/>
    <n v="117.65"/>
    <n v="226.51"/>
    <n v="33.976499999999994"/>
    <x v="58"/>
    <n v="117.65"/>
    <x v="58"/>
    <n v="0.38893750957625556"/>
    <n v="2025"/>
    <x v="4"/>
    <s v="mars"/>
    <s v="Q1"/>
    <s v="Ontario"/>
    <n v="0"/>
  </r>
  <r>
    <s v="ORD-2025-00060"/>
    <d v="2025-09-29T00:00:00"/>
    <s v="C0040"/>
    <s v="P1009"/>
    <s v="Ethan Young, Surrey, Consumer"/>
    <s v="Vancouver West"/>
    <s v="E. Roy"/>
    <s v="Retail Store"/>
    <n v="3"/>
    <n v="307.64999999999998"/>
    <n v="0"/>
    <s v="Credit Card"/>
    <n v="4"/>
    <s v="No"/>
    <s v="Retail Store"/>
    <s v="P1009"/>
    <s v="C0040"/>
    <s v="Vancouver West"/>
    <s v="Credit Card"/>
    <n v="1"/>
    <s v="Ethan Young"/>
    <s v="Surrey"/>
    <s v="Consumer"/>
    <s v="Notebook"/>
    <x v="3"/>
    <n v="176.13"/>
    <n v="922.94999999999993"/>
    <n v="0"/>
    <x v="59"/>
    <n v="528.39"/>
    <x v="59"/>
    <n v="0.4274987810823988"/>
    <n v="2025"/>
    <x v="0"/>
    <s v="septembre"/>
    <s v="Q3"/>
    <s v="British Columbia"/>
    <n v="0"/>
  </r>
  <r>
    <s v="ORD-2025-00061"/>
    <d v="2025-03-14T00:00:00"/>
    <s v="C0048"/>
    <s v="P1005"/>
    <s v="Amelia Brown, Quebec City, Corporate"/>
    <s v="Calgary North"/>
    <s v="J. Tremblay"/>
    <s v="Retail Store"/>
    <n v="5"/>
    <n v="234.75"/>
    <n v="0.1"/>
    <s v="Credit Card"/>
    <n v="3"/>
    <s v="No"/>
    <s v="Retail Store"/>
    <s v="P1005"/>
    <s v="C0048"/>
    <s v="Calgary North"/>
    <s v="Credit Card"/>
    <n v="1"/>
    <s v="Amelia Brown"/>
    <s v="Quebec City"/>
    <s v="Corporate"/>
    <s v="Portable SSD"/>
    <x v="4"/>
    <n v="131.19"/>
    <n v="1173.75"/>
    <n v="117.375"/>
    <x v="60"/>
    <n v="655.95"/>
    <x v="60"/>
    <n v="0.37905573304934326"/>
    <n v="2025"/>
    <x v="4"/>
    <s v="mars"/>
    <s v="Q1"/>
    <s v="Quebec"/>
    <n v="0"/>
  </r>
  <r>
    <s v="ORD-2025-00062"/>
    <d v="2025-03-02T00:00:00"/>
    <s v="C0016"/>
    <s v="P1021"/>
    <s v="Nora Singh, Calgary, Consumer"/>
    <s v="Online Fulfillment"/>
    <s v="J. Tremblay"/>
    <s v="Retail Store"/>
    <n v="2"/>
    <n v="314.29000000000002"/>
    <n v="0.1"/>
    <s v="Debit Card"/>
    <n v="0"/>
    <s v="No"/>
    <s v="Retail Store"/>
    <s v="P1021"/>
    <s v="C0016"/>
    <s v="Online Fulfillment"/>
    <s v="Debit Card"/>
    <n v="1"/>
    <s v="Nora Singh"/>
    <s v="Calgary"/>
    <s v="Consumer"/>
    <s v="Kettle"/>
    <x v="2"/>
    <n v="139.86000000000001"/>
    <n v="628.58000000000004"/>
    <n v="62.858000000000004"/>
    <x v="61"/>
    <n v="279.72000000000003"/>
    <x v="61"/>
    <n v="0.50555219701549514"/>
    <n v="2025"/>
    <x v="4"/>
    <s v="mars"/>
    <s v="Q1"/>
    <s v="Alberta"/>
    <n v="0"/>
  </r>
  <r>
    <s v="ORD-2025-00063"/>
    <d v="2025-12-23T00:00:00"/>
    <s v="C0113"/>
    <s v="P1036"/>
    <s v="Olivia Johnson, Surrey, Consumer"/>
    <s v="Calgary North"/>
    <s v="J. Tremblay"/>
    <s v="Retail Store"/>
    <n v="2"/>
    <n v="153.13"/>
    <n v="0"/>
    <s v="Debit Card"/>
    <n v="0"/>
    <s v="No"/>
    <s v="Retail Store"/>
    <s v="P1036"/>
    <s v="C0113"/>
    <s v="Calgary North"/>
    <s v="Debit Card"/>
    <n v="1"/>
    <s v="Olivia Johnson"/>
    <s v="Surrey"/>
    <s v="Consumer"/>
    <s v="Power Bank"/>
    <x v="1"/>
    <n v="76.97"/>
    <n v="306.26"/>
    <n v="0"/>
    <x v="62"/>
    <n v="153.94"/>
    <x v="62"/>
    <n v="0.49735518840201137"/>
    <n v="2025"/>
    <x v="6"/>
    <s v="décembre"/>
    <s v="Q4"/>
    <s v="British Columbia"/>
    <n v="0"/>
  </r>
  <r>
    <s v="ORD-2025-00064"/>
    <d v="2025-09-10T00:00:00"/>
    <s v="C0055"/>
    <s v="P1010"/>
    <s v="Sarah Scott, Surrey, Consumer"/>
    <s v="Online Fulfillment"/>
    <s v="A. Morgan"/>
    <s v="Online"/>
    <n v="5"/>
    <n v="216.55"/>
    <n v="0.05"/>
    <s v="PayPal"/>
    <n v="8"/>
    <s v="No"/>
    <s v="Online"/>
    <s v="P1010"/>
    <s v="C0055"/>
    <s v="Online Fulfillment"/>
    <s v="Paypal"/>
    <n v="1"/>
    <s v="Sarah Scott"/>
    <s v="Surrey"/>
    <s v="Consumer"/>
    <s v="Desk Lamp"/>
    <x v="3"/>
    <n v="127.21"/>
    <n v="1082.75"/>
    <n v="54.137500000000003"/>
    <x v="63"/>
    <n v="636.04999999999995"/>
    <x v="63"/>
    <n v="0.38164274690420352"/>
    <n v="2025"/>
    <x v="0"/>
    <s v="septembre"/>
    <s v="Q3"/>
    <s v="British Columbia"/>
    <n v="0"/>
  </r>
  <r>
    <s v="ORD-2025-00065"/>
    <d v="2025-11-06T00:00:00"/>
    <s v="C0089"/>
    <s v="P1032"/>
    <s v="Lucas Martin, Vancouver, Consumer"/>
    <s v="Vancouver West"/>
    <s v="N. Brown"/>
    <s v="Online"/>
    <n v="3"/>
    <n v="209.24"/>
    <n v="0.2"/>
    <s v="PayPal"/>
    <n v="6"/>
    <s v="No"/>
    <s v="Online"/>
    <s v="P1032"/>
    <s v="C0089"/>
    <s v="Vancouver West"/>
    <s v="Paypal"/>
    <n v="1"/>
    <s v="Lucas Martin"/>
    <s v="Vancouver"/>
    <s v="Consumer"/>
    <s v="Gym Bag"/>
    <x v="0"/>
    <n v="132.72"/>
    <n v="627.72"/>
    <n v="125.54400000000001"/>
    <x v="64"/>
    <n v="398.15999999999997"/>
    <x v="64"/>
    <n v="0.20713056776906916"/>
    <n v="2025"/>
    <x v="8"/>
    <s v="novembre"/>
    <s v="Q4"/>
    <s v="British Columbia"/>
    <n v="0"/>
  </r>
  <r>
    <s v="ORD-2025-00066"/>
    <d v="2025-02-18T00:00:00"/>
    <s v="C0102"/>
    <s v="P1033"/>
    <s v="Adam Roy, Edmonton, Corporate"/>
    <s v="Toronto  Downtown"/>
    <s v="J. Tremblay"/>
    <s v="Online"/>
    <n v="3"/>
    <n v="302.63"/>
    <n v="0"/>
    <s v="CC"/>
    <n v="5"/>
    <s v="No"/>
    <s v="Online"/>
    <s v="P1033"/>
    <s v="C0102"/>
    <s v="Toronto Downtown"/>
    <s v="Credit Card"/>
    <n v="1"/>
    <s v="Adam Roy"/>
    <s v="Edmonton"/>
    <s v="Corporate"/>
    <s v="Backpack"/>
    <x v="1"/>
    <n v="152.55000000000001"/>
    <n v="907.89"/>
    <n v="0"/>
    <x v="65"/>
    <n v="457.65000000000003"/>
    <x v="65"/>
    <n v="0.49591910914317811"/>
    <n v="2025"/>
    <x v="2"/>
    <s v="février"/>
    <s v="Q1"/>
    <s v="Alberta"/>
    <n v="0"/>
  </r>
  <r>
    <s v="ORD-2025-00067"/>
    <d v="2025-12-14T00:00:00"/>
    <s v="C0110"/>
    <s v="P1038"/>
    <s v="Sarah Smith, Laval, Consumer"/>
    <s v="Toronto Downtown"/>
    <s v="S. Patel"/>
    <s v="Retail Store"/>
    <n v="1"/>
    <n v="254.95"/>
    <n v="0.2"/>
    <s v="Credit Card"/>
    <n v="2"/>
    <s v="No"/>
    <s v="Retail Store"/>
    <s v="P1038"/>
    <s v="C0110"/>
    <s v="Toronto Downtown"/>
    <s v="Credit Card"/>
    <n v="1"/>
    <s v="Sarah Smith"/>
    <s v="Laval"/>
    <s v="Consumer"/>
    <s v="Water Bottle"/>
    <x v="1"/>
    <n v="119.16"/>
    <n v="254.95"/>
    <n v="50.99"/>
    <x v="66"/>
    <n v="119.16"/>
    <x v="66"/>
    <n v="0.41576779760737398"/>
    <n v="2025"/>
    <x v="6"/>
    <s v="décembre"/>
    <s v="Q4"/>
    <s v="Quebec"/>
    <n v="0"/>
  </r>
  <r>
    <s v="ORD-2025-00068"/>
    <d v="2025-11-07T00:00:00"/>
    <s v="C0080"/>
    <s v="P1005"/>
    <s v="Sarah Smith, Mississauga, Corporate"/>
    <s v="Toronto Downtown"/>
    <s v="L. Chen"/>
    <s v="Retail Store"/>
    <n v="2"/>
    <n v="251.66"/>
    <n v="0.15"/>
    <s v="Credit Card"/>
    <n v="3"/>
    <s v="No"/>
    <s v="Retail Store"/>
    <s v="P1005"/>
    <s v="C0080"/>
    <s v="Toronto Downtown"/>
    <s v="Credit Card"/>
    <n v="1"/>
    <s v="Sarah Smith"/>
    <s v="Mississauga"/>
    <s v="Corporate"/>
    <s v="Portable SSD"/>
    <x v="4"/>
    <n v="131.19"/>
    <n v="503.32"/>
    <n v="75.49799999999999"/>
    <x v="67"/>
    <n v="262.38"/>
    <x v="67"/>
    <n v="0.38670755594616452"/>
    <n v="2025"/>
    <x v="8"/>
    <s v="novembre"/>
    <s v="Q4"/>
    <s v="Ontario"/>
    <n v="0"/>
  </r>
  <r>
    <s v="ORD-2025-00069"/>
    <d v="2025-12-08T00:00:00"/>
    <s v="C0075"/>
    <s v="P1012"/>
    <s v="Amelia Wilson, Vancouver, Consumer"/>
    <s v="Vancouver West"/>
    <s v="E. Roy"/>
    <s v="Retail Store"/>
    <n v="2"/>
    <n v="84.65"/>
    <n v="0"/>
    <m/>
    <n v="1"/>
    <s v="No"/>
    <s v="Retail Store"/>
    <s v="P1012"/>
    <s v="C0075"/>
    <s v="Vancouver West"/>
    <s v="Non renseigné"/>
    <n v="1"/>
    <s v="Amelia Wilson"/>
    <s v="Vancouver"/>
    <s v="Consumer"/>
    <s v="Standing Desk"/>
    <x v="3"/>
    <n v="45.17"/>
    <n v="169.3"/>
    <n v="0"/>
    <x v="68"/>
    <n v="90.34"/>
    <x v="68"/>
    <n v="0.46639102185469583"/>
    <n v="2025"/>
    <x v="6"/>
    <s v="décembre"/>
    <s v="Q4"/>
    <s v="British Columbia"/>
    <n v="0"/>
  </r>
  <r>
    <s v="ORD-2025-00070"/>
    <d v="2025-01-31T00:00:00"/>
    <s v="C0013"/>
    <s v="P1022"/>
    <s v="Amelia Martin, Quebec City, Small Business"/>
    <s v="Toronto Downtown"/>
    <s v="S. Patel"/>
    <s v="Retail Store"/>
    <n v="1"/>
    <n v="434.51"/>
    <n v="0.1"/>
    <s v="Debit Card"/>
    <n v="3"/>
    <s v="No"/>
    <s v="Retail Store"/>
    <s v="P1022"/>
    <s v="C0013"/>
    <s v="Toronto Downtown"/>
    <s v="Debit Card"/>
    <n v="1"/>
    <s v="Amelia Martin"/>
    <s v="Quebec City"/>
    <s v="Small Business"/>
    <s v="Humidifier"/>
    <x v="2"/>
    <n v="239.67"/>
    <n v="434.51"/>
    <n v="43.451000000000001"/>
    <x v="69"/>
    <n v="239.67"/>
    <x v="69"/>
    <n v="0.38712572783135024"/>
    <n v="2025"/>
    <x v="3"/>
    <s v="janvier"/>
    <s v="Q1"/>
    <s v="Quebec"/>
    <n v="0"/>
  </r>
  <r>
    <s v="ORD-2025-00071"/>
    <d v="2025-11-02T00:00:00"/>
    <s v="C0119"/>
    <s v="P1023"/>
    <s v="Liam Chen , Winnipeg , Consumer"/>
    <s v="Montreal Central"/>
    <s v="A. Morgan"/>
    <s v="Retail Store"/>
    <n v="1"/>
    <n v="351.6"/>
    <n v="0"/>
    <s v="Credit Card"/>
    <n v="2"/>
    <s v="No"/>
    <s v="Retail Store"/>
    <s v="P1023"/>
    <s v="C0119"/>
    <s v="Montreal Central"/>
    <s v="Credit Card"/>
    <n v="1"/>
    <s v="Liam Chen"/>
    <s v="Winnipeg"/>
    <s v="Consumer"/>
    <s v="Toaster"/>
    <x v="2"/>
    <n v="152.88"/>
    <n v="351.6"/>
    <n v="0"/>
    <x v="70"/>
    <n v="152.88"/>
    <x v="70"/>
    <n v="0.56518771331058026"/>
    <n v="2025"/>
    <x v="8"/>
    <s v="novembre"/>
    <s v="Q4"/>
    <s v="Manitoba"/>
    <n v="0"/>
  </r>
  <r>
    <s v="ORD-2025-00072"/>
    <d v="2025-02-24T00:00:00"/>
    <s v="C0092"/>
    <s v="P1018"/>
    <s v="Lucas Tremblay, Saskatoon, Consumer"/>
    <s v="Vancouver West"/>
    <s v="S. Patel"/>
    <s v="Online"/>
    <n v="1"/>
    <n v="31.95"/>
    <n v="0"/>
    <s v="Credit Card"/>
    <n v="9"/>
    <s v="No"/>
    <s v="Online"/>
    <s v="P1018"/>
    <s v="C0092"/>
    <s v="Vancouver West"/>
    <s v="Credit Card"/>
    <n v="1"/>
    <s v="Lucas Tremblay"/>
    <s v="Saskatoon"/>
    <s v="Consumer"/>
    <s v="Air Fryer"/>
    <x v="2"/>
    <n v="14.58"/>
    <n v="31.95"/>
    <n v="0"/>
    <x v="71"/>
    <n v="14.58"/>
    <x v="71"/>
    <n v="0.54366197183098586"/>
    <n v="2025"/>
    <x v="2"/>
    <s v="février"/>
    <s v="Q1"/>
    <s v="Saskatchewan"/>
    <n v="0"/>
  </r>
  <r>
    <s v="ORD-2025-00073"/>
    <d v="2025-01-15T00:00:00"/>
    <s v="C0063"/>
    <s v="P1003"/>
    <s v="Adam Singh, Laval, Small Business"/>
    <s v="Toronto Downtown"/>
    <s v="J. Tremblay"/>
    <s v="Online"/>
    <n v="1"/>
    <n v="152.32"/>
    <n v="0.1"/>
    <s v="PayPal"/>
    <n v="5"/>
    <s v="No"/>
    <s v="Online"/>
    <s v="P1003"/>
    <s v="C0063"/>
    <s v="Toronto Downtown"/>
    <s v="Paypal"/>
    <n v="1"/>
    <s v="Adam Singh"/>
    <s v="Laval"/>
    <s v="Small Business"/>
    <s v="Mouse"/>
    <x v="4"/>
    <n v="106.4"/>
    <n v="152.32"/>
    <n v="15.231999999999999"/>
    <x v="72"/>
    <n v="106.4"/>
    <x v="72"/>
    <n v="0.22385620915032672"/>
    <n v="2025"/>
    <x v="3"/>
    <s v="janvier"/>
    <s v="Q1"/>
    <s v="Quebec"/>
    <n v="0"/>
  </r>
  <r>
    <s v="ORD-2025-00074"/>
    <d v="2025-02-04T00:00:00"/>
    <s v="C0108"/>
    <s v="P1037"/>
    <s v="Noah Lee , Surrey , Consumer"/>
    <s v="Vancouver  West"/>
    <s v="N. Brown"/>
    <s v="Retail Store"/>
    <n v="2"/>
    <n v="367.26"/>
    <n v="0.2"/>
    <s v="Credit Card"/>
    <n v="0"/>
    <s v="No"/>
    <s v="Retail Store"/>
    <s v="P1037"/>
    <s v="C0108"/>
    <s v="Vancouver West"/>
    <s v="Credit Card"/>
    <n v="1"/>
    <s v="Noah Lee"/>
    <s v="Surrey"/>
    <s v="Consumer"/>
    <s v="Cable Set"/>
    <x v="1"/>
    <n v="200.16"/>
    <n v="734.52"/>
    <n v="146.904"/>
    <x v="73"/>
    <n v="400.32"/>
    <x v="73"/>
    <n v="0.3187387681751348"/>
    <n v="2025"/>
    <x v="2"/>
    <s v="février"/>
    <s v="Q1"/>
    <s v="British Columbia"/>
    <n v="0"/>
  </r>
  <r>
    <s v="ORD-2025-00075"/>
    <d v="2025-02-18T00:00:00"/>
    <s v="C0073"/>
    <s v="P1010"/>
    <s v="Olivia Singh, Mississauga, Consumer"/>
    <s v="Toronto Downtown"/>
    <s v="L. Chen"/>
    <s v="Online"/>
    <n v="2"/>
    <n v="221.42"/>
    <n v="0"/>
    <s v="Credit Card"/>
    <n v="8"/>
    <s v="Yes"/>
    <s v="Online"/>
    <s v="P1010"/>
    <s v="C0073"/>
    <s v="Toronto Downtown"/>
    <s v="Credit Card"/>
    <n v="1"/>
    <s v="Olivia Singh"/>
    <s v="Mississauga"/>
    <s v="Consumer"/>
    <s v="Desk Lamp"/>
    <x v="3"/>
    <n v="127.21"/>
    <n v="442.84"/>
    <n v="0"/>
    <x v="74"/>
    <n v="254.42"/>
    <x v="74"/>
    <n v="0.42548098636076237"/>
    <n v="2025"/>
    <x v="2"/>
    <s v="février"/>
    <s v="Q1"/>
    <s v="Ontario"/>
    <n v="1"/>
  </r>
  <r>
    <s v="ORD-2025-00076"/>
    <d v="2025-11-02T00:00:00"/>
    <s v="C0085"/>
    <s v="P1027"/>
    <s v="Yasmine Clark, Calgary, Consumer"/>
    <s v="Calgary North"/>
    <s v="N. Brown"/>
    <s v="Online"/>
    <n v="1"/>
    <n v="58.78"/>
    <n v="0.05"/>
    <s v="Credit Card"/>
    <n v="3"/>
    <s v="Yes"/>
    <s v="Online"/>
    <s v="P1027"/>
    <s v="C0085"/>
    <s v="Calgary North"/>
    <s v="Credit Card"/>
    <n v="1"/>
    <s v="Yasmine Clark"/>
    <s v="Calgary"/>
    <s v="Consumer"/>
    <s v="Kettlebell"/>
    <x v="0"/>
    <n v="25.97"/>
    <n v="58.78"/>
    <n v="2.9390000000000001"/>
    <x v="75"/>
    <n v="25.97"/>
    <x v="75"/>
    <n v="0.53492953206425387"/>
    <n v="2025"/>
    <x v="8"/>
    <s v="novembre"/>
    <s v="Q4"/>
    <s v="Alberta"/>
    <n v="1"/>
  </r>
  <r>
    <s v="ORD-2025-00077"/>
    <d v="2025-01-14T00:00:00"/>
    <s v="C0037"/>
    <s v="P1033"/>
    <s v="Lucas Scott, Victoria, Small Business"/>
    <s v="Montreal Central"/>
    <s v="L. Chen"/>
    <s v="Online"/>
    <n v="2"/>
    <n v="297"/>
    <n v="0.05"/>
    <s v="PayPal"/>
    <n v="3"/>
    <s v="No"/>
    <s v="Online"/>
    <s v="P1033"/>
    <s v="C0037"/>
    <s v="Montreal Central"/>
    <s v="Paypal"/>
    <n v="1"/>
    <s v="Lucas Scott"/>
    <s v="Victoria"/>
    <s v="Small Business"/>
    <s v="Backpack"/>
    <x v="1"/>
    <n v="152.55000000000001"/>
    <n v="594"/>
    <n v="29.700000000000003"/>
    <x v="76"/>
    <n v="305.10000000000002"/>
    <x v="76"/>
    <n v="0.45933014354066976"/>
    <n v="2025"/>
    <x v="3"/>
    <s v="janvier"/>
    <s v="Q1"/>
    <s v="British Columbia"/>
    <n v="0"/>
  </r>
  <r>
    <s v="ORD-2025-00078"/>
    <d v="2025-09-29T00:00:00"/>
    <s v="C0047"/>
    <s v="P1006"/>
    <s v="Amine King, Victoria, Consumer"/>
    <s v="Montreal Central"/>
    <s v="M. Wilson"/>
    <s v="Retail  Store"/>
    <n v="2"/>
    <n v="101.43"/>
    <n v="0.15"/>
    <s v="Debit Card"/>
    <n v="4"/>
    <s v="No"/>
    <s v="Retail Store"/>
    <s v="P1006"/>
    <s v="C0047"/>
    <s v="Montreal Central"/>
    <s v="Debit Card"/>
    <n v="1"/>
    <s v="Amine King"/>
    <s v="Victoria"/>
    <s v="Consumer"/>
    <s v="USB-C Hub"/>
    <x v="4"/>
    <n v="72"/>
    <n v="202.86"/>
    <n v="30.429000000000002"/>
    <x v="77"/>
    <n v="144"/>
    <x v="77"/>
    <n v="0.16488334464220478"/>
    <n v="2025"/>
    <x v="0"/>
    <s v="septembre"/>
    <s v="Q3"/>
    <s v="British Columbia"/>
    <n v="0"/>
  </r>
  <r>
    <s v="ORD-2025-00079"/>
    <d v="2025-12-10T00:00:00"/>
    <s v="C0003"/>
    <s v="P1014"/>
    <s v="Amelia Young, Ottawa, Corporate"/>
    <s v="Vancouver West"/>
    <s v="E. Roy"/>
    <s v="Online"/>
    <n v="1"/>
    <n v="235.55"/>
    <n v="0"/>
    <s v="Debit Card"/>
    <n v="5"/>
    <s v="No"/>
    <s v="Online"/>
    <s v="P1014"/>
    <s v="C0003"/>
    <s v="Vancouver West"/>
    <s v="Debit Card"/>
    <n v="1"/>
    <s v="Amelia Young"/>
    <s v="Ottawa"/>
    <s v="Corporate"/>
    <s v="Document Shredder"/>
    <x v="3"/>
    <n v="117.65"/>
    <n v="235.55"/>
    <n v="0"/>
    <x v="78"/>
    <n v="117.65"/>
    <x v="78"/>
    <n v="0.50053067289322861"/>
    <n v="2025"/>
    <x v="6"/>
    <s v="décembre"/>
    <s v="Q4"/>
    <s v="Ontario"/>
    <n v="0"/>
  </r>
  <r>
    <s v="ORD-2025-00080"/>
    <d v="2025-01-28T00:00:00"/>
    <s v="C0014"/>
    <s v="P1007"/>
    <s v="Zoe Scott, Montreal, Small Business"/>
    <s v="Online Fulfillment"/>
    <s v="N. Brown"/>
    <s v="Online"/>
    <n v="2"/>
    <n v="341.19"/>
    <n v="0.1"/>
    <s v="Credit Card"/>
    <n v="1"/>
    <s v="No"/>
    <s v="Online"/>
    <s v="P1007"/>
    <s v="C0014"/>
    <s v="Online Fulfillment"/>
    <s v="Credit Card"/>
    <n v="1"/>
    <s v="Zoe Scott"/>
    <s v="Montreal"/>
    <s v="Small Business"/>
    <s v="Monitor"/>
    <x v="4"/>
    <n v="224.47"/>
    <n v="682.38"/>
    <n v="68.238"/>
    <x v="79"/>
    <n v="448.94"/>
    <x v="79"/>
    <n v="0.26899642102315108"/>
    <n v="2025"/>
    <x v="3"/>
    <s v="janvier"/>
    <s v="Q1"/>
    <s v="Quebec"/>
    <n v="0"/>
  </r>
  <r>
    <s v="ORD-2025-00081"/>
    <d v="2025-07-29T00:00:00"/>
    <s v="C0114"/>
    <s v="P1036"/>
    <s v="Olivia Johnson, Ottawa, Consumer"/>
    <s v="Calgary North"/>
    <s v="J. Tremblay"/>
    <s v="Retail Store"/>
    <n v="1"/>
    <n v="160.72"/>
    <n v="0.2"/>
    <s v="Debit Card"/>
    <n v="4"/>
    <s v="No"/>
    <s v="Retail Store"/>
    <s v="P1036"/>
    <s v="C0114"/>
    <s v="Calgary North"/>
    <s v="Debit Card"/>
    <n v="1"/>
    <s v="Olivia Johnson"/>
    <s v="Ottawa"/>
    <s v="Consumer"/>
    <s v="Power Bank"/>
    <x v="1"/>
    <n v="76.97"/>
    <n v="160.72"/>
    <n v="32.143999999999998"/>
    <x v="80"/>
    <n v="76.97"/>
    <x v="80"/>
    <n v="0.40136572921851665"/>
    <n v="2025"/>
    <x v="10"/>
    <s v="juillet"/>
    <s v="Q3"/>
    <s v="Ontario"/>
    <n v="0"/>
  </r>
  <r>
    <s v="ORD-2025-00082"/>
    <d v="2025-03-21T00:00:00"/>
    <s v="C0003"/>
    <s v="P1030"/>
    <s v="Amelia Young, Ottawa, Corporate"/>
    <s v="Calgary North"/>
    <s v="L. Chen"/>
    <s v="Retail Store"/>
    <n v="5"/>
    <n v="248.14"/>
    <n v="0.05"/>
    <s v="Credit Card"/>
    <n v="3"/>
    <s v="No"/>
    <s v="Retail Store"/>
    <s v="P1030"/>
    <s v="C0003"/>
    <s v="Calgary North"/>
    <s v="Credit Card"/>
    <n v="1"/>
    <s v="Amelia Young"/>
    <s v="Ottawa"/>
    <s v="Corporate"/>
    <s v="Pull-up Bar"/>
    <x v="0"/>
    <n v="125.4"/>
    <n v="1240.6999999999998"/>
    <n v="62.034999999999997"/>
    <x v="81"/>
    <n v="627"/>
    <x v="81"/>
    <n v="0.46804223422261615"/>
    <n v="2025"/>
    <x v="4"/>
    <s v="mars"/>
    <s v="Q1"/>
    <s v="Ontario"/>
    <n v="0"/>
  </r>
  <r>
    <s v="ORD-2025-00083"/>
    <d v="2025-07-25T00:00:00"/>
    <s v="C0061"/>
    <s v="P1010"/>
    <s v="Zoe Hall, Vancouver, Consumer"/>
    <s v="Montreal Central"/>
    <s v="N. Brown"/>
    <s v="Retail Store"/>
    <n v="1"/>
    <n v="203.94"/>
    <n v="0"/>
    <s v="Debit Card"/>
    <n v="2"/>
    <s v="No"/>
    <s v="Retail Store"/>
    <s v="P1010"/>
    <s v="C0061"/>
    <s v="Montreal Central"/>
    <s v="Debit Card"/>
    <n v="1"/>
    <s v="Zoe Hall"/>
    <s v="Vancouver"/>
    <s v="Consumer"/>
    <s v="Desk Lamp"/>
    <x v="3"/>
    <n v="127.21"/>
    <n v="203.94"/>
    <n v="0"/>
    <x v="82"/>
    <n v="127.21"/>
    <x v="82"/>
    <n v="0.37623810924781803"/>
    <n v="2025"/>
    <x v="10"/>
    <s v="juillet"/>
    <s v="Q3"/>
    <s v="British Columbia"/>
    <n v="0"/>
  </r>
  <r>
    <s v="ORD-2025-00084"/>
    <d v="2025-03-11T00:00:00"/>
    <s v="C0088"/>
    <s v="P1023"/>
    <s v="Olivia Bennett, Vancouver, Small Business"/>
    <s v="Montreal Central"/>
    <s v="E. Roy"/>
    <s v="Retail Store"/>
    <n v="1"/>
    <n v="342.73"/>
    <n v="0"/>
    <s v="PayPal"/>
    <n v="0"/>
    <s v="No"/>
    <s v="Retail Store"/>
    <s v="P1023"/>
    <s v="C0088"/>
    <s v="Montreal Central"/>
    <s v="Paypal"/>
    <n v="1"/>
    <s v="Olivia Bennett"/>
    <s v="Vancouver"/>
    <s v="Small Business"/>
    <s v="Toaster"/>
    <x v="2"/>
    <n v="152.88"/>
    <n v="342.73"/>
    <n v="0"/>
    <x v="83"/>
    <n v="152.88"/>
    <x v="83"/>
    <n v="0.55393458407492779"/>
    <n v="2025"/>
    <x v="4"/>
    <s v="mars"/>
    <s v="Q1"/>
    <s v="British Columbia"/>
    <n v="0"/>
  </r>
  <r>
    <s v="ORD-2025-00085"/>
    <d v="2025-03-27T00:00:00"/>
    <s v="C0118"/>
    <s v="P1029"/>
    <s v="Ryan Smith, Victoria, Small Business"/>
    <s v="Montreal Central"/>
    <s v="S. Patel"/>
    <s v="Online"/>
    <n v="1"/>
    <n v="189.68"/>
    <n v="0.05"/>
    <s v="Credit Card"/>
    <n v="9"/>
    <s v="No"/>
    <s v="Online"/>
    <s v="P1029"/>
    <s v="C0118"/>
    <s v="Montreal Central"/>
    <s v="Credit Card"/>
    <n v="1"/>
    <s v="Ryan Smith"/>
    <s v="Victoria"/>
    <s v="Small Business"/>
    <s v="Jump Rope"/>
    <x v="0"/>
    <n v="101"/>
    <n v="189.68"/>
    <n v="9.484"/>
    <x v="84"/>
    <n v="101"/>
    <x v="84"/>
    <n v="0.43949921196918912"/>
    <n v="2025"/>
    <x v="4"/>
    <s v="mars"/>
    <s v="Q1"/>
    <s v="British Columbia"/>
    <n v="0"/>
  </r>
  <r>
    <s v="ORD-2025-00086"/>
    <d v="2025-01-20T00:00:00"/>
    <s v="C0114"/>
    <s v="P1031"/>
    <s v="Olivia Johnson, Ottawa, Consumer"/>
    <s v="Vancouver West"/>
    <s v="A. Morgan"/>
    <s v="Retail Store"/>
    <n v="2"/>
    <n v="259.93"/>
    <n v="0.05"/>
    <s v="Credit  Card"/>
    <n v="0"/>
    <s v="No"/>
    <s v="Retail Store"/>
    <s v="P1031"/>
    <s v="C0114"/>
    <s v="Vancouver West"/>
    <s v="Credit Card"/>
    <n v="1"/>
    <s v="Olivia Johnson"/>
    <s v="Ottawa"/>
    <s v="Consumer"/>
    <s v="Dumbbell Set"/>
    <x v="0"/>
    <n v="131.72999999999999"/>
    <n v="519.86"/>
    <n v="25.993000000000002"/>
    <x v="85"/>
    <n v="263.45999999999998"/>
    <x v="85"/>
    <n v="0.46653653716486426"/>
    <n v="2025"/>
    <x v="3"/>
    <s v="janvier"/>
    <s v="Q1"/>
    <s v="Ontario"/>
    <n v="0"/>
  </r>
  <r>
    <s v="ORD-2025-00087"/>
    <d v="2025-06-05T00:00:00"/>
    <s v="C0112"/>
    <s v="P1027"/>
    <s v="Ava Bennett, Halifax, Consumer"/>
    <s v="Online Fulfillment"/>
    <s v="A. Morgan"/>
    <s v="Online"/>
    <n v="2"/>
    <n v="60.07"/>
    <n v="0.15"/>
    <s v="Credit Card"/>
    <n v="8"/>
    <s v="Yes"/>
    <s v="Online"/>
    <s v="P1027"/>
    <s v="C0112"/>
    <s v="Online Fulfillment"/>
    <s v="Credit Card"/>
    <n v="1"/>
    <s v="Ava Bennett"/>
    <s v="Halifax"/>
    <s v="Consumer"/>
    <s v="Kettlebell"/>
    <x v="0"/>
    <n v="25.97"/>
    <n v="120.14"/>
    <n v="18.021000000000001"/>
    <x v="86"/>
    <n v="51.94"/>
    <x v="86"/>
    <n v="0.49137770640135531"/>
    <n v="2025"/>
    <x v="5"/>
    <s v="juin"/>
    <s v="Q2"/>
    <s v="Nova Scotia"/>
    <n v="1"/>
  </r>
  <r>
    <s v="ORD-2025-00088"/>
    <d v="2025-12-06T00:00:00"/>
    <s v="C0008"/>
    <s v="P1024"/>
    <s v="Mia Wilson, Calgary, Consumer"/>
    <s v="Toronto Downtown"/>
    <s v="R. Singh"/>
    <s v="Retail Store"/>
    <n v="1"/>
    <n v="105.21"/>
    <n v="0.15"/>
    <s v="Credit Card"/>
    <n v="3"/>
    <s v="No"/>
    <s v="Retail Store"/>
    <s v="P1024"/>
    <s v="C0008"/>
    <s v="Toronto Downtown"/>
    <s v="Credit Card"/>
    <n v="1"/>
    <s v="Mia Wilson"/>
    <s v="Calgary"/>
    <s v="Consumer"/>
    <s v="Food Scale"/>
    <x v="2"/>
    <n v="46.07"/>
    <n v="105.21"/>
    <n v="15.781499999999998"/>
    <x v="87"/>
    <n v="46.07"/>
    <x v="87"/>
    <n v="0.48483984412128123"/>
    <n v="2025"/>
    <x v="6"/>
    <s v="décembre"/>
    <s v="Q4"/>
    <s v="Alberta"/>
    <n v="0"/>
  </r>
  <r>
    <s v="ORD-2025-00089"/>
    <d v="2025-11-18T00:00:00"/>
    <s v="C0044"/>
    <s v="P1020"/>
    <s v="Nora Young, Vancouver, Corporate"/>
    <s v="Online Fulfillment"/>
    <s v="A. Morgan"/>
    <s v="Online"/>
    <n v="2"/>
    <n v="64.459999999999994"/>
    <n v="0.05"/>
    <s v="Credit Card"/>
    <n v="6"/>
    <s v="No"/>
    <s v="Online"/>
    <s v="P1020"/>
    <s v="C0044"/>
    <s v="Online Fulfillment"/>
    <s v="Credit Card"/>
    <n v="1"/>
    <s v="Nora Young"/>
    <s v="Vancouver"/>
    <s v="Corporate"/>
    <s v="Blender"/>
    <x v="2"/>
    <n v="37.46"/>
    <n v="128.91999999999999"/>
    <n v="6.4459999999999997"/>
    <x v="88"/>
    <n v="74.92"/>
    <x v="88"/>
    <n v="0.38827832846155097"/>
    <n v="2025"/>
    <x v="8"/>
    <s v="novembre"/>
    <s v="Q4"/>
    <s v="British Columbia"/>
    <n v="0"/>
  </r>
  <r>
    <s v="ORD-2025-00090"/>
    <d v="2025-06-13T00:00:00"/>
    <s v="C0025"/>
    <s v="P1039"/>
    <s v="Emma Gagnon, Surrey, Corporate"/>
    <s v="Calgary North"/>
    <s v="J. Tremblay"/>
    <s v="Online"/>
    <n v="1"/>
    <n v="349.84"/>
    <n v="0.15"/>
    <s v="Credit Card"/>
    <n v="9"/>
    <s v="No"/>
    <s v="Online"/>
    <s v="P1039"/>
    <s v="C0025"/>
    <s v="Calgary North"/>
    <s v="Credit Card"/>
    <n v="1"/>
    <s v="Emma Gagnon"/>
    <s v="Surrey"/>
    <s v="Corporate"/>
    <s v="Travel Adapter"/>
    <x v="1"/>
    <n v="229.86"/>
    <n v="349.84"/>
    <n v="52.475999999999992"/>
    <x v="89"/>
    <n v="229.86"/>
    <x v="89"/>
    <n v="0.22700797675576051"/>
    <n v="2025"/>
    <x v="5"/>
    <s v="juin"/>
    <s v="Q2"/>
    <s v="British Columbia"/>
    <n v="0"/>
  </r>
  <r>
    <s v="ORD-2025-00091"/>
    <d v="2025-07-29T00:00:00"/>
    <s v="C0117"/>
    <s v="P1015"/>
    <s v="Ethan Hall, Vancouver, Consumer"/>
    <s v="Toronto Downtown"/>
    <s v="L. Chen"/>
    <s v="Marketplace"/>
    <n v="1"/>
    <n v="379.66"/>
    <n v="0.1"/>
    <s v="Credit Card"/>
    <n v="7"/>
    <s v="No"/>
    <s v="Marketplace"/>
    <s v="P1015"/>
    <s v="C0117"/>
    <s v="Toronto Downtown"/>
    <s v="Credit Card"/>
    <n v="1"/>
    <s v="Ethan Hall"/>
    <s v="Vancouver"/>
    <s v="Consumer"/>
    <s v="Desk Organizer"/>
    <x v="3"/>
    <n v="235.76"/>
    <n v="379.66"/>
    <n v="37.966000000000001"/>
    <x v="90"/>
    <n v="235.76"/>
    <x v="90"/>
    <n v="0.31002592963294651"/>
    <n v="2025"/>
    <x v="10"/>
    <s v="juillet"/>
    <s v="Q3"/>
    <s v="British Columbia"/>
    <n v="0"/>
  </r>
  <r>
    <s v="ORD-2025-00092"/>
    <d v="2025-06-22T00:00:00"/>
    <s v="C0077"/>
    <s v="P1006"/>
    <s v="Amine Taylor, Surrey, Small Business"/>
    <s v="Vancouver West"/>
    <s v="J. Tremblay"/>
    <s v="Online"/>
    <n v="1"/>
    <n v="101.43"/>
    <n v="0.15"/>
    <s v="PayPal"/>
    <n v="7"/>
    <s v="No"/>
    <s v="Online"/>
    <s v="P1006"/>
    <s v="C0077"/>
    <s v="Vancouver West"/>
    <s v="Paypal"/>
    <n v="1"/>
    <s v="Amine Taylor"/>
    <s v="Surrey"/>
    <s v="Small Business"/>
    <s v="USB-C Hub"/>
    <x v="4"/>
    <n v="72"/>
    <n v="101.43"/>
    <n v="15.214500000000001"/>
    <x v="91"/>
    <n v="72"/>
    <x v="91"/>
    <n v="0.16488334464220478"/>
    <n v="2025"/>
    <x v="5"/>
    <s v="juin"/>
    <s v="Q2"/>
    <s v="British Columbia"/>
    <n v="0"/>
  </r>
  <r>
    <s v="ORD-2025-00093"/>
    <d v="2025-09-17T00:00:00"/>
    <s v="C0049"/>
    <s v="P1038"/>
    <s v="Olivia Scott, Quebec City, Consumer"/>
    <s v="Vancouver West"/>
    <s v="N. Brown"/>
    <s v="Online"/>
    <n v="1"/>
    <n v="266.14999999999998"/>
    <n v="0.05"/>
    <s v="Credit Card"/>
    <n v="4"/>
    <s v="No"/>
    <s v="Online"/>
    <s v="P1038"/>
    <s v="C0049"/>
    <s v="Vancouver West"/>
    <s v="Credit Card"/>
    <n v="1"/>
    <s v="Olivia Scott"/>
    <s v="Quebec City"/>
    <s v="Consumer"/>
    <s v="Water Bottle"/>
    <x v="1"/>
    <n v="119.16"/>
    <n v="266.14999999999998"/>
    <n v="13.307499999999999"/>
    <x v="92"/>
    <n v="119.16"/>
    <x v="92"/>
    <n v="0.52871847098490166"/>
    <n v="2025"/>
    <x v="0"/>
    <s v="septembre"/>
    <s v="Q3"/>
    <s v="Quebec"/>
    <n v="0"/>
  </r>
  <r>
    <s v="ORD-2025-00094"/>
    <d v="2025-03-04T00:00:00"/>
    <s v="C0035"/>
    <s v="P1034"/>
    <s v="Amelia Scott, Edmonton, Small Business"/>
    <s v="Online Fulfillment"/>
    <s v="R. Singh"/>
    <s v="Online"/>
    <n v="3"/>
    <n v="138.76"/>
    <n v="0.2"/>
    <s v="Debit Card"/>
    <n v="1"/>
    <s v="No"/>
    <s v="Online"/>
    <s v="P1034"/>
    <s v="C0035"/>
    <s v="Online Fulfillment"/>
    <s v="Debit Card"/>
    <n v="1"/>
    <s v="Amelia Scott"/>
    <s v="Edmonton"/>
    <s v="Small Business"/>
    <s v="Laptop Sleeve"/>
    <x v="1"/>
    <n v="78.95"/>
    <n v="416.28"/>
    <n v="83.256"/>
    <x v="93"/>
    <n v="236.85000000000002"/>
    <x v="93"/>
    <n v="0.28878999711732484"/>
    <n v="2025"/>
    <x v="4"/>
    <s v="mars"/>
    <s v="Q1"/>
    <s v="Alberta"/>
    <n v="0"/>
  </r>
  <r>
    <s v="ORD-2025-00095"/>
    <d v="2025-08-25T00:00:00"/>
    <s v="C0071"/>
    <s v="P1001"/>
    <s v="Ethan Lee, Surrey, Consumer"/>
    <s v="Toronto Downtown"/>
    <s v="S. Patel"/>
    <s v="Retail Store"/>
    <n v="1"/>
    <n v="350.44"/>
    <n v="0"/>
    <s v="Credit Card"/>
    <n v="1"/>
    <s v="No"/>
    <s v="Retail Store"/>
    <s v="P1001"/>
    <s v="C0071"/>
    <s v="Toronto Downtown"/>
    <s v="Credit Card"/>
    <n v="1"/>
    <s v="Ethan Lee"/>
    <s v="Surrey"/>
    <s v="Consumer"/>
    <s v="Headphones"/>
    <x v="4"/>
    <n v="254.6"/>
    <n v="350.44"/>
    <n v="0"/>
    <x v="94"/>
    <n v="254.6"/>
    <x v="94"/>
    <n v="0.27348476201346877"/>
    <n v="2025"/>
    <x v="7"/>
    <s v="août"/>
    <s v="Q3"/>
    <s v="British Columbia"/>
    <n v="0"/>
  </r>
  <r>
    <s v="ORD-2025-00096"/>
    <d v="2025-06-14T00:00:00"/>
    <s v="C0013"/>
    <s v="P1002"/>
    <s v="Amelia Martin, Quebec City, Small Business"/>
    <s v="Montreal Central"/>
    <s v="J. Tremblay"/>
    <s v="Online"/>
    <n v="2"/>
    <n v="37.19"/>
    <n v="0"/>
    <s v="PayPal"/>
    <n v="1"/>
    <s v="No"/>
    <s v="Online"/>
    <s v="P1002"/>
    <s v="C0013"/>
    <s v="Montreal Central"/>
    <s v="Paypal"/>
    <n v="1"/>
    <s v="Amelia Martin"/>
    <s v="Quebec City"/>
    <s v="Small Business"/>
    <s v="Keyboard"/>
    <x v="4"/>
    <n v="23.5"/>
    <n v="74.38"/>
    <n v="0"/>
    <x v="95"/>
    <n v="47"/>
    <x v="95"/>
    <n v="0.36810970691045974"/>
    <n v="2025"/>
    <x v="5"/>
    <s v="juin"/>
    <s v="Q2"/>
    <s v="Quebec"/>
    <n v="0"/>
  </r>
  <r>
    <s v="ORD-2025-00097"/>
    <d v="2025-08-21T00:00:00"/>
    <s v="C0072"/>
    <s v="P1010"/>
    <s v="Ryan Bennett, Montreal, Corporate"/>
    <s v="Montreal Central"/>
    <s v="J. Tremblay"/>
    <s v="Online"/>
    <n v="1"/>
    <n v="225.35"/>
    <n v="0"/>
    <s v="Credit Card"/>
    <n v="2"/>
    <s v="No"/>
    <s v="Online"/>
    <s v="P1010"/>
    <s v="C0072"/>
    <s v="Montreal Central"/>
    <s v="Credit Card"/>
    <n v="1"/>
    <s v="Ryan Bennett"/>
    <s v="Montreal"/>
    <s v="Corporate"/>
    <s v="Desk Lamp"/>
    <x v="3"/>
    <n v="127.21"/>
    <n v="225.35"/>
    <n v="0"/>
    <x v="96"/>
    <n v="127.21"/>
    <x v="96"/>
    <n v="0.43550033281562017"/>
    <n v="2025"/>
    <x v="7"/>
    <s v="août"/>
    <s v="Q3"/>
    <s v="Quebec"/>
    <n v="0"/>
  </r>
  <r>
    <s v="ORD-2025-00098"/>
    <d v="2025-09-14T00:00:00"/>
    <s v="C0005"/>
    <s v="P1004"/>
    <s v="Yasmine Taylor, Calgary, Consumer"/>
    <s v="Montreal Central"/>
    <s v="J. Tremblay"/>
    <s v="Online"/>
    <n v="2"/>
    <n v="285.22000000000003"/>
    <n v="0"/>
    <s v="Credit  Card"/>
    <n v="7"/>
    <s v="No"/>
    <s v="Online"/>
    <s v="P1004"/>
    <s v="C0005"/>
    <s v="Montreal Central"/>
    <s v="Credit Card"/>
    <n v="1"/>
    <s v="Yasmine Taylor"/>
    <s v="Calgary"/>
    <s v="Consumer"/>
    <s v="Webcam"/>
    <x v="4"/>
    <n v="154.72999999999999"/>
    <n v="570.44000000000005"/>
    <n v="0"/>
    <x v="97"/>
    <n v="309.45999999999998"/>
    <x v="97"/>
    <n v="0.45750648622116269"/>
    <n v="2025"/>
    <x v="0"/>
    <s v="septembre"/>
    <s v="Q3"/>
    <s v="Alberta"/>
    <n v="0"/>
  </r>
  <r>
    <s v="ORD-2025-00099"/>
    <d v="2025-03-04T00:00:00"/>
    <s v="C0005"/>
    <s v="P1024"/>
    <s v="Yasmine Taylor, Calgary, Consumer"/>
    <s v="Toronto Downtown"/>
    <s v="L. Chen"/>
    <s v="Retail Store"/>
    <n v="1"/>
    <n v="107.22"/>
    <n v="0.1"/>
    <s v="Credit Card"/>
    <n v="4"/>
    <s v="No"/>
    <s v="Retail Store"/>
    <s v="P1024"/>
    <s v="C0005"/>
    <s v="Toronto Downtown"/>
    <s v="Credit Card"/>
    <n v="1"/>
    <s v="Yasmine Taylor"/>
    <s v="Calgary"/>
    <s v="Consumer"/>
    <s v="Food Scale"/>
    <x v="2"/>
    <n v="46.07"/>
    <n v="107.22"/>
    <n v="10.722000000000001"/>
    <x v="98"/>
    <n v="46.07"/>
    <x v="98"/>
    <n v="0.5225807788762461"/>
    <n v="2025"/>
    <x v="4"/>
    <s v="mars"/>
    <s v="Q1"/>
    <s v="Alberta"/>
    <n v="0"/>
  </r>
  <r>
    <s v="ORD-2025-00100"/>
    <d v="2025-12-13T00:00:00"/>
    <s v="C0002"/>
    <s v="P1029"/>
    <s v="Ryan Johnson, Montreal, Small Business"/>
    <s v="Calgary North"/>
    <s v="S. Patel"/>
    <s v="Marketplace"/>
    <n v="1"/>
    <n v="210.86"/>
    <n v="0.15"/>
    <s v="Gift Card"/>
    <n v="9"/>
    <s v="No"/>
    <s v="Marketplace"/>
    <s v="P1029"/>
    <s v="C0002"/>
    <s v="Calgary North"/>
    <s v="Gift Card"/>
    <n v="1"/>
    <s v="Ryan Johnson"/>
    <s v="Montreal"/>
    <s v="Small Business"/>
    <s v="Jump Rope"/>
    <x v="0"/>
    <n v="101"/>
    <n v="210.86"/>
    <n v="31.629000000000001"/>
    <x v="99"/>
    <n v="101"/>
    <x v="99"/>
    <n v="0.43648141225569242"/>
    <n v="2025"/>
    <x v="6"/>
    <s v="décembre"/>
    <s v="Q4"/>
    <s v="Quebec"/>
    <n v="0"/>
  </r>
  <r>
    <s v="ORD-2025-00101"/>
    <d v="2025-05-12T00:00:00"/>
    <s v="C0104"/>
    <s v="P1021"/>
    <s v="Ava Scott, Edmonton, Corporate"/>
    <s v="Online Fulfillment"/>
    <s v="R. Singh"/>
    <s v="Online"/>
    <n v="1"/>
    <n v="300.5"/>
    <n v="0.05"/>
    <s v="Credit Card"/>
    <n v="8"/>
    <s v="No"/>
    <s v="Online"/>
    <s v="P1021"/>
    <s v="C0104"/>
    <s v="Online Fulfillment"/>
    <s v="Credit Card"/>
    <n v="1"/>
    <s v="Ava Scott"/>
    <s v="Edmonton"/>
    <s v="Corporate"/>
    <s v="Kettle"/>
    <x v="2"/>
    <n v="139.86000000000001"/>
    <n v="300.5"/>
    <n v="15.025"/>
    <x v="100"/>
    <n v="139.86000000000001"/>
    <x v="100"/>
    <n v="0.51007969174183376"/>
    <n v="2025"/>
    <x v="1"/>
    <s v="mai"/>
    <s v="Q2"/>
    <s v="Alberta"/>
    <n v="0"/>
  </r>
  <r>
    <s v="ORD-2025-00102"/>
    <d v="2025-06-29T00:00:00"/>
    <s v="C0009"/>
    <s v="P1020"/>
    <s v="Ethan Tremblay , Mississauga , Corporate"/>
    <s v="Toronto Downtown"/>
    <s v="L. Chen"/>
    <s v="Online"/>
    <n v="3"/>
    <n v="63.14"/>
    <n v="0"/>
    <s v="PayPal"/>
    <n v="9"/>
    <s v="No"/>
    <s v="Online"/>
    <s v="P1020"/>
    <s v="C0009"/>
    <s v="Toronto Downtown"/>
    <s v="Paypal"/>
    <n v="1"/>
    <s v="Ethan Tremblay"/>
    <s v="Mississauga"/>
    <s v="Corporate"/>
    <s v="Blender"/>
    <x v="2"/>
    <n v="37.46"/>
    <n v="189.42000000000002"/>
    <n v="0"/>
    <x v="101"/>
    <n v="112.38"/>
    <x v="101"/>
    <n v="0.40671523598352877"/>
    <n v="2025"/>
    <x v="5"/>
    <s v="juin"/>
    <s v="Q2"/>
    <s v="Ontario"/>
    <n v="0"/>
  </r>
  <r>
    <s v="ORD-2025-00103"/>
    <d v="2025-07-05T00:00:00"/>
    <s v="C0103"/>
    <s v="P1010"/>
    <s v="Zoe Singh, Saskatoon, Corporate"/>
    <s v="Online Fulfillment"/>
    <s v="R. Singh"/>
    <s v="Online"/>
    <n v="1"/>
    <n v="212.87"/>
    <n v="0.05"/>
    <s v="PayPal"/>
    <n v="6"/>
    <s v="No"/>
    <s v="Online"/>
    <s v="P1010"/>
    <s v="C0103"/>
    <s v="Online Fulfillment"/>
    <s v="Paypal"/>
    <n v="1"/>
    <s v="Zoe Singh"/>
    <s v="Saskatoon"/>
    <s v="Corporate"/>
    <s v="Desk Lamp"/>
    <x v="3"/>
    <n v="127.21"/>
    <n v="212.87"/>
    <n v="10.643500000000001"/>
    <x v="102"/>
    <n v="127.21"/>
    <x v="102"/>
    <n v="0.37095286720583115"/>
    <n v="2025"/>
    <x v="10"/>
    <s v="juillet"/>
    <s v="Q3"/>
    <s v="Saskatchewan"/>
    <n v="0"/>
  </r>
  <r>
    <s v="ORD-2025-00104"/>
    <d v="2025-06-08T00:00:00"/>
    <s v="C0065"/>
    <s v="P1018"/>
    <s v="Mia Wilson , Quebec City , Consumer"/>
    <s v="Toronto Downtown"/>
    <s v="L. Chen"/>
    <s v="Online"/>
    <n v="2"/>
    <n v="29.54"/>
    <n v="0"/>
    <s v="PayPal"/>
    <n v="5"/>
    <s v="No"/>
    <s v="Online"/>
    <s v="P1018"/>
    <s v="C0065"/>
    <s v="Toronto Downtown"/>
    <s v="Paypal"/>
    <n v="1"/>
    <s v="Mia Wilson"/>
    <s v="Quebec City"/>
    <s v="Consumer"/>
    <s v="Air Fryer"/>
    <x v="2"/>
    <n v="14.58"/>
    <n v="59.08"/>
    <n v="0"/>
    <x v="103"/>
    <n v="29.16"/>
    <x v="103"/>
    <n v="0.50643195666892349"/>
    <n v="2025"/>
    <x v="5"/>
    <s v="juin"/>
    <s v="Q2"/>
    <s v="Quebec"/>
    <n v="0"/>
  </r>
  <r>
    <s v="ORD-2025-00105"/>
    <d v="2025-11-15T00:00:00"/>
    <s v="C0007"/>
    <s v="P1009"/>
    <s v="Lucas Wilson, Ottawa, Consumer"/>
    <s v="Calgary North"/>
    <s v="R. Singh"/>
    <s v="Retail Store"/>
    <n v="1"/>
    <n v="286.02999999999997"/>
    <n v="0.1"/>
    <s v="PayPal"/>
    <n v="2"/>
    <s v="No"/>
    <s v="Retail Store"/>
    <s v="P1009"/>
    <s v="C0007"/>
    <s v="Calgary North"/>
    <s v="Paypal"/>
    <n v="1"/>
    <s v="Lucas Wilson"/>
    <s v="Ottawa"/>
    <s v="Consumer"/>
    <s v="Notebook"/>
    <x v="3"/>
    <n v="176.13"/>
    <n v="286.02999999999997"/>
    <n v="28.602999999999998"/>
    <x v="104"/>
    <n v="176.13"/>
    <x v="104"/>
    <n v="0.315806034332063"/>
    <n v="2025"/>
    <x v="8"/>
    <s v="novembre"/>
    <s v="Q4"/>
    <s v="Ontario"/>
    <n v="0"/>
  </r>
  <r>
    <s v="ORD-2025-00106"/>
    <d v="2025-04-14T00:00:00"/>
    <s v="C0058"/>
    <s v="P1033"/>
    <s v="Mia Singh, Laval, Consumer"/>
    <s v="Montreal Central"/>
    <s v="N. Brown"/>
    <s v="Retail Store"/>
    <n v="1"/>
    <n v="312.99"/>
    <n v="0"/>
    <s v="Credit Card"/>
    <n v="4"/>
    <s v="No"/>
    <s v="Retail Store"/>
    <s v="P1033"/>
    <s v="C0058"/>
    <s v="Montreal Central"/>
    <s v="Credit Card"/>
    <n v="1"/>
    <s v="Mia Singh"/>
    <s v="Laval"/>
    <s v="Consumer"/>
    <s v="Backpack"/>
    <x v="1"/>
    <n v="152.55000000000001"/>
    <n v="312.99"/>
    <n v="0"/>
    <x v="105"/>
    <n v="152.55000000000001"/>
    <x v="105"/>
    <n v="0.51260423655707843"/>
    <n v="2025"/>
    <x v="9"/>
    <s v="avril"/>
    <s v="Q2"/>
    <s v="Quebec"/>
    <n v="0"/>
  </r>
  <r>
    <s v="ORD-2025-00107"/>
    <d v="2025-11-10T00:00:00"/>
    <s v="C0090"/>
    <s v="P1012"/>
    <s v="Nora Young, Montreal, Small Business"/>
    <s v="Toronto Downtown"/>
    <s v="N. Brown"/>
    <s v="Retail Store"/>
    <n v="1"/>
    <n v="79.47"/>
    <n v="0"/>
    <s v="Credit Card"/>
    <n v="1"/>
    <s v="No"/>
    <s v="Retail Store"/>
    <s v="P1012"/>
    <s v="C0090"/>
    <s v="Toronto Downtown"/>
    <s v="Credit Card"/>
    <n v="1"/>
    <s v="Nora Young"/>
    <s v="Montreal"/>
    <s v="Small Business"/>
    <s v="Standing Desk"/>
    <x v="3"/>
    <n v="45.17"/>
    <n v="79.47"/>
    <n v="0"/>
    <x v="106"/>
    <n v="45.17"/>
    <x v="106"/>
    <n v="0.43160941235686417"/>
    <n v="2025"/>
    <x v="8"/>
    <s v="novembre"/>
    <s v="Q4"/>
    <s v="Quebec"/>
    <n v="0"/>
  </r>
  <r>
    <s v="ORD-2025-00108"/>
    <d v="2025-07-08T00:00:00"/>
    <s v="C0010"/>
    <s v="P1001"/>
    <s v="Ethan Martin, Victoria, Corporate"/>
    <s v="Vancouver West"/>
    <s v="M. Wilson"/>
    <s v="Online"/>
    <n v="2"/>
    <n v="379.92"/>
    <n v="0.15"/>
    <s v="CC"/>
    <n v="6"/>
    <s v="No"/>
    <s v="Online"/>
    <s v="P1001"/>
    <s v="C0010"/>
    <s v="Vancouver West"/>
    <s v="Credit Card"/>
    <n v="1"/>
    <s v="Ethan Martin"/>
    <s v="Victoria"/>
    <s v="Corporate"/>
    <s v="Headphones"/>
    <x v="4"/>
    <n v="254.6"/>
    <n v="759.84"/>
    <n v="113.976"/>
    <x v="107"/>
    <n v="509.2"/>
    <x v="107"/>
    <n v="0.21159872666691446"/>
    <n v="2025"/>
    <x v="10"/>
    <s v="juillet"/>
    <s v="Q3"/>
    <s v="British Columbia"/>
    <n v="0"/>
  </r>
  <r>
    <s v="ORD-2025-00109"/>
    <d v="2025-10-01T00:00:00"/>
    <s v="C0080"/>
    <s v="P1014"/>
    <s v="Sarah Smith, Mississauga, Corporate"/>
    <s v="Calgary North"/>
    <s v="J. Tremblay"/>
    <s v="Online"/>
    <n v="1"/>
    <n v="243.7"/>
    <n v="0"/>
    <s v="Debit Card"/>
    <n v="2"/>
    <s v="No"/>
    <s v="Online"/>
    <s v="P1014"/>
    <s v="C0080"/>
    <s v="Calgary North"/>
    <s v="Debit Card"/>
    <n v="1"/>
    <s v="Sarah Smith"/>
    <s v="Mississauga"/>
    <s v="Corporate"/>
    <s v="Document Shredder"/>
    <x v="3"/>
    <n v="117.65"/>
    <n v="243.7"/>
    <n v="0"/>
    <x v="108"/>
    <n v="117.65"/>
    <x v="108"/>
    <n v="0.51723430447271235"/>
    <n v="2025"/>
    <x v="11"/>
    <s v="octobre"/>
    <s v="Q4"/>
    <s v="Ontario"/>
    <n v="0"/>
  </r>
  <r>
    <s v="ORD-2025-00110"/>
    <d v="2025-06-06T00:00:00"/>
    <s v="C0038"/>
    <s v="P1018"/>
    <s v="Noah Brown, Montreal, Consumer"/>
    <s v="Online Fulfillment"/>
    <s v="A. Morgan"/>
    <s v="Retail Store"/>
    <n v="1"/>
    <n v="29.65"/>
    <n v="0.05"/>
    <s v="CC"/>
    <n v="4"/>
    <s v="No"/>
    <s v="Retail Store"/>
    <s v="P1018"/>
    <s v="C0038"/>
    <s v="Online Fulfillment"/>
    <s v="Credit Card"/>
    <n v="1"/>
    <s v="Noah Brown"/>
    <s v="Montreal"/>
    <s v="Consumer"/>
    <s v="Air Fryer"/>
    <x v="2"/>
    <n v="14.58"/>
    <n v="29.65"/>
    <n v="1.4824999999999999"/>
    <x v="109"/>
    <n v="14.58"/>
    <x v="109"/>
    <n v="0.48238217804206968"/>
    <n v="2025"/>
    <x v="5"/>
    <s v="juin"/>
    <s v="Q2"/>
    <s v="Quebec"/>
    <n v="0"/>
  </r>
  <r>
    <s v="ORD-2025-00111"/>
    <d v="2025-07-12T00:00:00"/>
    <s v="C0044"/>
    <s v="P1029"/>
    <s v="Nora Young, Vancouver, Corporate"/>
    <s v="Toronto Downtown"/>
    <s v="L. Chen"/>
    <s v="Retail  Store"/>
    <n v="5"/>
    <n v="198.88"/>
    <n v="0.05"/>
    <s v="PayPal"/>
    <n v="3"/>
    <s v="No"/>
    <s v="Retail Store"/>
    <s v="P1029"/>
    <s v="C0044"/>
    <s v="Toronto Downtown"/>
    <s v="Paypal"/>
    <n v="1"/>
    <s v="Nora Young"/>
    <s v="Vancouver"/>
    <s v="Corporate"/>
    <s v="Jump Rope"/>
    <x v="0"/>
    <n v="101"/>
    <n v="994.4"/>
    <n v="49.72"/>
    <x v="110"/>
    <n v="505"/>
    <x v="110"/>
    <n v="0.46542744633103272"/>
    <n v="2025"/>
    <x v="10"/>
    <s v="juillet"/>
    <s v="Q3"/>
    <s v="British Columbia"/>
    <n v="0"/>
  </r>
  <r>
    <s v="ORD-2025-00112"/>
    <d v="2025-02-20T00:00:00"/>
    <s v="C0093"/>
    <s v="P1014"/>
    <s v="Ethan Roy, Winnipeg, Consumer"/>
    <s v="Online Fulfillment"/>
    <s v="E. Roy"/>
    <s v="Marketplace"/>
    <n v="2"/>
    <n v="243.99"/>
    <n v="0.2"/>
    <s v="Gift Card"/>
    <n v="7"/>
    <s v="No"/>
    <s v="Marketplace"/>
    <s v="P1014"/>
    <s v="C0093"/>
    <s v="Online Fulfillment"/>
    <s v="Gift Card"/>
    <n v="1"/>
    <s v="Ethan Roy"/>
    <s v="Winnipeg"/>
    <s v="Consumer"/>
    <s v="Document Shredder"/>
    <x v="3"/>
    <n v="117.65"/>
    <n v="487.98"/>
    <n v="97.596000000000004"/>
    <x v="111"/>
    <n v="235.3"/>
    <x v="111"/>
    <n v="0.39726013361203327"/>
    <n v="2025"/>
    <x v="2"/>
    <s v="février"/>
    <s v="Q1"/>
    <s v="Manitoba"/>
    <n v="0"/>
  </r>
  <r>
    <s v="ORD-2025-00113"/>
    <d v="2025-08-01T00:00:00"/>
    <s v="C0113"/>
    <s v="P1022"/>
    <s v="Olivia Johnson, Surrey, Consumer"/>
    <s v="Vancouver West"/>
    <s v="N. Brown"/>
    <s v="Online"/>
    <n v="1"/>
    <n v="438.44"/>
    <n v="0.1"/>
    <s v="Credit Card"/>
    <n v="4"/>
    <s v="No"/>
    <s v="Online"/>
    <s v="P1022"/>
    <s v="C0113"/>
    <s v="Vancouver West"/>
    <s v="Credit Card"/>
    <n v="1"/>
    <s v="Olivia Johnson"/>
    <s v="Surrey"/>
    <s v="Consumer"/>
    <s v="Humidifier"/>
    <x v="2"/>
    <n v="239.67"/>
    <n v="438.44"/>
    <n v="43.844000000000001"/>
    <x v="112"/>
    <n v="239.67"/>
    <x v="112"/>
    <n v="0.39261928656144518"/>
    <n v="2025"/>
    <x v="7"/>
    <s v="août"/>
    <s v="Q3"/>
    <s v="British Columbia"/>
    <n v="0"/>
  </r>
  <r>
    <s v="ORD-2025-00114"/>
    <d v="2025-02-14T00:00:00"/>
    <s v="C0052"/>
    <s v="P1022"/>
    <s v="Liam Bennett, Edmonton, Corporate"/>
    <s v="Calgary North"/>
    <s v="L. Chen"/>
    <s v="Retail Store"/>
    <n v="2"/>
    <n v="394.57"/>
    <n v="0.05"/>
    <s v="PayPal"/>
    <n v="0"/>
    <s v="No"/>
    <s v="Retail Store"/>
    <s v="P1022"/>
    <s v="C0052"/>
    <s v="Calgary North"/>
    <s v="Paypal"/>
    <n v="1"/>
    <s v="Liam Bennett"/>
    <s v="Edmonton"/>
    <s v="Corporate"/>
    <s v="Humidifier"/>
    <x v="2"/>
    <n v="239.67"/>
    <n v="789.14"/>
    <n v="39.457000000000001"/>
    <x v="113"/>
    <n v="479.34"/>
    <x v="113"/>
    <n v="0.36060975105477916"/>
    <n v="2025"/>
    <x v="2"/>
    <s v="février"/>
    <s v="Q1"/>
    <s v="Alberta"/>
    <n v="0"/>
  </r>
  <r>
    <s v="ORD-2025-00115"/>
    <d v="2025-12-02T00:00:00"/>
    <s v="C0079"/>
    <s v="P1028"/>
    <s v="Sophia Scott, Ottawa, Consumer"/>
    <s v="Calgary North"/>
    <s v="S. Patel"/>
    <s v="Online"/>
    <n v="5"/>
    <n v="373.91"/>
    <n v="0"/>
    <s v="Debit Card"/>
    <n v="4"/>
    <s v="No"/>
    <s v="Online"/>
    <s v="P1028"/>
    <s v="C0079"/>
    <s v="Calgary North"/>
    <s v="Debit Card"/>
    <n v="1"/>
    <s v="Sophia Scott"/>
    <s v="Ottawa"/>
    <s v="Consumer"/>
    <s v="Foam Roller"/>
    <x v="0"/>
    <n v="212.02"/>
    <n v="1869.5500000000002"/>
    <n v="0"/>
    <x v="114"/>
    <n v="1060.1000000000001"/>
    <x v="114"/>
    <n v="0.4329651520419352"/>
    <n v="2025"/>
    <x v="6"/>
    <s v="décembre"/>
    <s v="Q4"/>
    <s v="Ontario"/>
    <n v="0"/>
  </r>
  <r>
    <s v="ORD-2025-00116"/>
    <d v="2025-10-25T00:00:00"/>
    <s v="C0043"/>
    <s v="P1031"/>
    <s v="Ava Brown, Ottawa, Small Business"/>
    <s v="Montreal Central"/>
    <s v="A. Morgan"/>
    <s v="Online"/>
    <n v="4"/>
    <n v="256.85000000000002"/>
    <n v="0.1"/>
    <s v="Credit Card"/>
    <n v="1"/>
    <s v="No"/>
    <s v="Online"/>
    <s v="P1031"/>
    <s v="C0043"/>
    <s v="Montreal Central"/>
    <s v="Credit Card"/>
    <n v="1"/>
    <s v="Ava Brown"/>
    <s v="Ottawa"/>
    <s v="Small Business"/>
    <s v="Dumbbell Set"/>
    <x v="0"/>
    <n v="131.72999999999999"/>
    <n v="1027.4000000000001"/>
    <n v="102.74000000000001"/>
    <x v="115"/>
    <n v="526.91999999999996"/>
    <x v="115"/>
    <n v="0.43014729738498486"/>
    <n v="2025"/>
    <x v="11"/>
    <s v="octobre"/>
    <s v="Q4"/>
    <s v="Ontario"/>
    <n v="0"/>
  </r>
  <r>
    <s v="ORD-2025-00117"/>
    <d v="2025-12-28T00:00:00"/>
    <s v="C0008"/>
    <s v="P1018"/>
    <s v="Mia Wilson, Calgary, Consumer"/>
    <s v="Online Fulfillment"/>
    <s v="R. Singh"/>
    <s v="Retail Store"/>
    <n v="1"/>
    <n v="29.65"/>
    <n v="0.15"/>
    <s v="Gift Card"/>
    <n v="3"/>
    <s v="No"/>
    <s v="Retail Store"/>
    <s v="P1018"/>
    <s v="C0008"/>
    <s v="Online Fulfillment"/>
    <s v="Gift Card"/>
    <n v="1"/>
    <s v="Mia Wilson"/>
    <s v="Calgary"/>
    <s v="Consumer"/>
    <s v="Air Fryer"/>
    <x v="2"/>
    <n v="14.58"/>
    <n v="29.65"/>
    <n v="4.4474999999999998"/>
    <x v="116"/>
    <n v="14.58"/>
    <x v="116"/>
    <n v="0.42148596369407798"/>
    <n v="2025"/>
    <x v="6"/>
    <s v="décembre"/>
    <s v="Q4"/>
    <s v="Alberta"/>
    <n v="0"/>
  </r>
  <r>
    <s v="ORD-2025-00118"/>
    <d v="2025-01-14T00:00:00"/>
    <s v="C0108"/>
    <s v="P1039"/>
    <s v="Noah Lee, Surrey, Consumer"/>
    <s v="Vancouver West"/>
    <s v="A. Morgan"/>
    <s v="Retail Store"/>
    <n v="1"/>
    <n v="343.13"/>
    <n v="0.05"/>
    <s v="PayPal"/>
    <n v="2"/>
    <s v="No"/>
    <s v="Retail Store"/>
    <s v="P1039"/>
    <s v="C0108"/>
    <s v="Vancouver West"/>
    <s v="Paypal"/>
    <n v="1"/>
    <s v="Noah Lee"/>
    <s v="Surrey"/>
    <s v="Consumer"/>
    <s v="Travel Adapter"/>
    <x v="1"/>
    <n v="229.86"/>
    <n v="343.13"/>
    <n v="17.156500000000001"/>
    <x v="117"/>
    <n v="229.86"/>
    <x v="117"/>
    <n v="0.29485065503790947"/>
    <n v="2025"/>
    <x v="3"/>
    <s v="janvier"/>
    <s v="Q1"/>
    <s v="British Columbia"/>
    <n v="0"/>
  </r>
  <r>
    <s v="ORD-2025-00119"/>
    <d v="2025-03-22T00:00:00"/>
    <s v="C0007"/>
    <s v="P1003"/>
    <s v="Lucas Wilson , Ottawa , Consumer"/>
    <s v="Vancouver West"/>
    <s v="E. Roy"/>
    <s v="Marketplace"/>
    <n v="1"/>
    <n v="159.52000000000001"/>
    <n v="0"/>
    <s v="Debit Card"/>
    <n v="6"/>
    <s v="No"/>
    <s v="Marketplace"/>
    <s v="P1003"/>
    <s v="C0007"/>
    <s v="Vancouver West"/>
    <s v="Debit Card"/>
    <n v="1"/>
    <s v="Lucas Wilson"/>
    <s v="Ottawa"/>
    <s v="Consumer"/>
    <s v="Mouse"/>
    <x v="4"/>
    <n v="106.4"/>
    <n v="159.52000000000001"/>
    <n v="0"/>
    <x v="118"/>
    <n v="106.4"/>
    <x v="118"/>
    <n v="0.33299899699097291"/>
    <n v="2025"/>
    <x v="4"/>
    <s v="mars"/>
    <s v="Q1"/>
    <s v="Ontario"/>
    <n v="0"/>
  </r>
  <r>
    <s v="ORD-2025-00120"/>
    <d v="2025-07-19T00:00:00"/>
    <s v="C0062"/>
    <s v="P1012"/>
    <s v="Yasmine Scott, Toronto, Consumer"/>
    <s v="Online Fulfillment"/>
    <s v="N. Brown"/>
    <s v="Online"/>
    <n v="2"/>
    <n v="83.33"/>
    <n v="0.15"/>
    <s v="Debit Card"/>
    <n v="2"/>
    <s v="No"/>
    <s v="Online"/>
    <s v="P1012"/>
    <s v="C0062"/>
    <s v="Online Fulfillment"/>
    <s v="Debit Card"/>
    <n v="1"/>
    <s v="Yasmine Scott"/>
    <s v="Toronto"/>
    <s v="Consumer"/>
    <s v="Standing Desk"/>
    <x v="3"/>
    <n v="45.17"/>
    <n v="166.66"/>
    <n v="24.998999999999999"/>
    <x v="119"/>
    <n v="90.34"/>
    <x v="119"/>
    <n v="0.3622803735678839"/>
    <n v="2025"/>
    <x v="10"/>
    <s v="juillet"/>
    <s v="Q3"/>
    <s v="Ontario"/>
    <n v="0"/>
  </r>
  <r>
    <s v="ORD-2025-00121"/>
    <d v="2025-12-30T00:00:00"/>
    <s v="C0056"/>
    <s v="P1032"/>
    <s v="Sarah Wilson, Halifax, Consumer"/>
    <s v="Vancouver West"/>
    <s v="L. Chen"/>
    <s v="Marketplace"/>
    <n v="1"/>
    <n v="193.21"/>
    <n v="0"/>
    <s v="PayPal"/>
    <n v="5"/>
    <s v="No"/>
    <s v="Marketplace"/>
    <s v="P1032"/>
    <s v="C0056"/>
    <s v="Vancouver West"/>
    <s v="Paypal"/>
    <n v="1"/>
    <s v="Sarah Wilson"/>
    <s v="Halifax"/>
    <s v="Consumer"/>
    <s v="Gym Bag"/>
    <x v="0"/>
    <n v="132.72"/>
    <n v="193.21"/>
    <n v="0"/>
    <x v="120"/>
    <n v="132.72"/>
    <x v="120"/>
    <n v="0.31307903317633667"/>
    <n v="2025"/>
    <x v="6"/>
    <s v="décembre"/>
    <s v="Q4"/>
    <s v="Nova Scotia"/>
    <n v="0"/>
  </r>
  <r>
    <s v="ORD-2025-00122"/>
    <d v="2025-04-27T00:00:00"/>
    <s v="C0061"/>
    <s v="P1031"/>
    <s v="Zoe Hall, Vancouver, Consumer"/>
    <s v="Online Fulfillment"/>
    <s v="R. Singh"/>
    <s v="Online"/>
    <n v="1"/>
    <n v="265.20999999999998"/>
    <n v="0"/>
    <s v="Gift Card"/>
    <n v="8"/>
    <s v="No"/>
    <s v="Online"/>
    <s v="P1031"/>
    <s v="C0061"/>
    <s v="Online Fulfillment"/>
    <s v="Gift Card"/>
    <n v="1"/>
    <s v="Zoe Hall"/>
    <s v="Vancouver"/>
    <s v="Consumer"/>
    <s v="Dumbbell Set"/>
    <x v="0"/>
    <n v="131.72999999999999"/>
    <n v="265.20999999999998"/>
    <n v="0"/>
    <x v="121"/>
    <n v="131.72999999999999"/>
    <x v="121"/>
    <n v="0.50329927227480109"/>
    <n v="2025"/>
    <x v="9"/>
    <s v="avril"/>
    <s v="Q2"/>
    <s v="British Columbia"/>
    <n v="0"/>
  </r>
  <r>
    <s v="ORD-2025-00123"/>
    <d v="2025-01-04T00:00:00"/>
    <s v="C0064"/>
    <s v="P1002"/>
    <s v="Amine Khan , Edmonton , Consumer"/>
    <s v="Vancouver West"/>
    <s v="M. Wilson"/>
    <s v="Retail Store"/>
    <n v="1"/>
    <n v="38.4"/>
    <n v="0.15"/>
    <s v="Credit Card"/>
    <n v="4"/>
    <s v="No"/>
    <s v="Retail Store"/>
    <s v="P1002"/>
    <s v="C0064"/>
    <s v="Vancouver West"/>
    <s v="Credit Card"/>
    <n v="1"/>
    <s v="Amine Khan"/>
    <s v="Edmonton"/>
    <s v="Consumer"/>
    <s v="Keyboard"/>
    <x v="4"/>
    <n v="23.5"/>
    <n v="38.4"/>
    <n v="5.76"/>
    <x v="122"/>
    <n v="23.5"/>
    <x v="122"/>
    <n v="0.28002450980392157"/>
    <n v="2025"/>
    <x v="3"/>
    <s v="janvier"/>
    <s v="Q1"/>
    <s v="Alberta"/>
    <n v="0"/>
  </r>
  <r>
    <s v="ORD-2025-00124"/>
    <d v="2025-02-15T00:00:00"/>
    <s v="C0033"/>
    <s v="P1007"/>
    <s v="Maya Hall, Winnipeg, Consumer"/>
    <s v="Calgary North"/>
    <s v="N. Brown"/>
    <s v="Online"/>
    <n v="2"/>
    <n v="351.81"/>
    <n v="0"/>
    <s v="Gift Card"/>
    <n v="2"/>
    <s v="No"/>
    <s v="Online"/>
    <s v="P1007"/>
    <s v="C0033"/>
    <s v="Calgary North"/>
    <s v="Gift Card"/>
    <n v="1"/>
    <s v="Maya Hall"/>
    <s v="Winnipeg"/>
    <s v="Consumer"/>
    <s v="Monitor"/>
    <x v="4"/>
    <n v="224.47"/>
    <n v="703.62"/>
    <n v="0"/>
    <x v="123"/>
    <n v="448.94"/>
    <x v="123"/>
    <n v="0.36195673801199513"/>
    <n v="2025"/>
    <x v="2"/>
    <s v="février"/>
    <s v="Q1"/>
    <s v="Manitoba"/>
    <n v="0"/>
  </r>
  <r>
    <s v="ORD-2025-00125"/>
    <d v="2025-09-30T00:00:00"/>
    <s v="C0028"/>
    <s v="P1036"/>
    <s v="Mia Clark, Victoria, Consumer"/>
    <s v="Calgary North"/>
    <s v="R. Singh"/>
    <s v="Online"/>
    <n v="5"/>
    <n v="150.93"/>
    <n v="0"/>
    <s v="Debit Card"/>
    <n v="5"/>
    <s v="No"/>
    <s v="Online"/>
    <s v="P1036"/>
    <s v="C0028"/>
    <s v="Calgary North"/>
    <s v="Debit Card"/>
    <n v="1"/>
    <s v="Mia Clark"/>
    <s v="Victoria"/>
    <s v="Consumer"/>
    <s v="Power Bank"/>
    <x v="1"/>
    <n v="76.97"/>
    <n v="754.65000000000009"/>
    <n v="0"/>
    <x v="124"/>
    <n v="384.85"/>
    <x v="124"/>
    <n v="0.49002849002849008"/>
    <n v="2025"/>
    <x v="0"/>
    <s v="septembre"/>
    <s v="Q3"/>
    <s v="British Columbia"/>
    <n v="0"/>
  </r>
  <r>
    <s v="ORD-2025-00126"/>
    <d v="2025-01-21T00:00:00"/>
    <s v="C0035"/>
    <s v="P1024"/>
    <s v="Amelia Scott, Edmonton, Small Business"/>
    <s v="Online Fulfillment"/>
    <s v="S. Patel"/>
    <s v="Online"/>
    <n v="1"/>
    <n v="106.24"/>
    <n v="0"/>
    <s v="Credit Card"/>
    <n v="9"/>
    <s v="No"/>
    <s v="Online"/>
    <s v="P1024"/>
    <s v="C0035"/>
    <s v="Online Fulfillment"/>
    <s v="Credit Card"/>
    <n v="1"/>
    <s v="Amelia Scott"/>
    <s v="Edmonton"/>
    <s v="Small Business"/>
    <s v="Food Scale"/>
    <x v="2"/>
    <n v="46.07"/>
    <n v="106.24"/>
    <n v="0"/>
    <x v="125"/>
    <n v="46.07"/>
    <x v="125"/>
    <n v="0.56635918674698793"/>
    <n v="2025"/>
    <x v="3"/>
    <s v="janvier"/>
    <s v="Q1"/>
    <s v="Alberta"/>
    <n v="0"/>
  </r>
  <r>
    <s v="ORD-2025-00127"/>
    <d v="2025-02-09T00:00:00"/>
    <s v="C0073"/>
    <s v="P1007"/>
    <s v="Olivia Singh, Mississauga, Consumer"/>
    <s v="Montreal Central"/>
    <s v="S. Patel"/>
    <s v="Retail Store"/>
    <n v="1"/>
    <n v="362.88"/>
    <n v="0.15"/>
    <s v="Credit Card"/>
    <n v="2"/>
    <s v="No"/>
    <s v="Retail Store"/>
    <s v="P1007"/>
    <s v="C0073"/>
    <s v="Montreal Central"/>
    <s v="Credit Card"/>
    <n v="1"/>
    <s v="Olivia Singh"/>
    <s v="Mississauga"/>
    <s v="Consumer"/>
    <s v="Monitor"/>
    <x v="4"/>
    <n v="224.47"/>
    <n v="362.88"/>
    <n v="54.431999999999995"/>
    <x v="126"/>
    <n v="224.47"/>
    <x v="126"/>
    <n v="0.27225982985786901"/>
    <n v="2025"/>
    <x v="2"/>
    <s v="février"/>
    <s v="Q1"/>
    <s v="Ontario"/>
    <n v="0"/>
  </r>
  <r>
    <s v="ORD-2025-00128"/>
    <d v="2025-11-14T00:00:00"/>
    <s v="C0106"/>
    <s v="P1003"/>
    <s v="Liam Gagnon, Ottawa, Small Business"/>
    <s v="Vancouver West"/>
    <s v="N. Brown"/>
    <s v="Retail Store"/>
    <n v="1"/>
    <n v="154.51"/>
    <n v="0.1"/>
    <s v="Credit Card"/>
    <n v="4"/>
    <s v="No"/>
    <s v="Retail Store"/>
    <s v="P1003"/>
    <s v="C0106"/>
    <s v="Vancouver West"/>
    <s v="Credit Card"/>
    <n v="1"/>
    <s v="Liam Gagnon"/>
    <s v="Ottawa"/>
    <s v="Small Business"/>
    <s v="Mouse"/>
    <x v="4"/>
    <n v="106.4"/>
    <n v="154.51"/>
    <n v="15.451000000000001"/>
    <x v="127"/>
    <n v="106.4"/>
    <x v="127"/>
    <n v="0.23485714696639551"/>
    <n v="2025"/>
    <x v="8"/>
    <s v="novembre"/>
    <s v="Q4"/>
    <s v="Ontario"/>
    <n v="0"/>
  </r>
  <r>
    <s v="ORD-2025-00129"/>
    <d v="2025-08-20T00:00:00"/>
    <s v="C0013"/>
    <s v="P1007"/>
    <s v="Amelia Martin, Quebec City, Small Business"/>
    <s v="Vancouver West"/>
    <s v="A. Morgan"/>
    <s v="Marketplace"/>
    <n v="1"/>
    <n v="339.47"/>
    <n v="0"/>
    <s v="Credit Card"/>
    <n v="7"/>
    <s v="No"/>
    <s v="Marketplace"/>
    <s v="P1007"/>
    <s v="C0013"/>
    <s v="Vancouver West"/>
    <s v="Credit Card"/>
    <n v="1"/>
    <s v="Amelia Martin"/>
    <s v="Quebec City"/>
    <s v="Small Business"/>
    <s v="Monitor"/>
    <x v="4"/>
    <n v="224.47"/>
    <n v="339.47"/>
    <n v="0"/>
    <x v="128"/>
    <n v="224.47"/>
    <x v="128"/>
    <n v="0.3387633664241318"/>
    <n v="2025"/>
    <x v="7"/>
    <s v="août"/>
    <s v="Q3"/>
    <s v="Quebec"/>
    <n v="0"/>
  </r>
  <r>
    <s v="ORD-2025-00130"/>
    <d v="2025-02-14T00:00:00"/>
    <s v="C0071"/>
    <s v="P1037"/>
    <s v="Ethan Lee, Surrey, Consumer"/>
    <s v="Calgary North"/>
    <s v="M. Wilson"/>
    <s v="Online"/>
    <n v="3"/>
    <n v="372.12"/>
    <n v="0.05"/>
    <s v="Debit Card"/>
    <n v="2"/>
    <s v="No"/>
    <s v="Online"/>
    <s v="P1037"/>
    <s v="C0071"/>
    <s v="Calgary North"/>
    <s v="Debit Card"/>
    <n v="1"/>
    <s v="Ethan Lee"/>
    <s v="Surrey"/>
    <s v="Consumer"/>
    <s v="Cable Set"/>
    <x v="1"/>
    <n v="200.16"/>
    <n v="1116.3600000000001"/>
    <n v="55.818000000000012"/>
    <x v="129"/>
    <n v="600.48"/>
    <x v="129"/>
    <n v="0.43379894431337945"/>
    <n v="2025"/>
    <x v="2"/>
    <s v="février"/>
    <s v="Q1"/>
    <s v="British Columbia"/>
    <n v="0"/>
  </r>
  <r>
    <s v="ORD-2025-00131"/>
    <d v="2025-11-23T00:00:00"/>
    <s v="C0038"/>
    <s v="P1032"/>
    <s v="Noah Brown, Montreal, Consumer"/>
    <s v="Toronto Downtown"/>
    <s v="A. Morgan"/>
    <s v="Online"/>
    <n v="4"/>
    <n v="204.19"/>
    <n v="0.1"/>
    <s v="PayPal"/>
    <n v="6"/>
    <s v="No"/>
    <s v="Online"/>
    <s v="P1032"/>
    <s v="C0038"/>
    <s v="Toronto Downtown"/>
    <s v="Paypal"/>
    <n v="1"/>
    <s v="Noah Brown"/>
    <s v="Montreal"/>
    <s v="Consumer"/>
    <s v="Gym Bag"/>
    <x v="0"/>
    <n v="132.72"/>
    <n v="816.76"/>
    <n v="81.676000000000002"/>
    <x v="130"/>
    <n v="530.88"/>
    <x v="130"/>
    <n v="0.27779682322020338"/>
    <n v="2025"/>
    <x v="8"/>
    <s v="novembre"/>
    <s v="Q4"/>
    <s v="Quebec"/>
    <n v="0"/>
  </r>
  <r>
    <s v="ORD-2025-00132"/>
    <d v="2025-04-20T00:00:00"/>
    <s v="C0074"/>
    <s v="P1023"/>
    <s v="Sophia Chen , Vancouver , Corporate"/>
    <s v="Montreal Central"/>
    <s v="N. Brown"/>
    <s v="Retail Store"/>
    <n v="1"/>
    <n v="333.66"/>
    <n v="0.05"/>
    <s v="Credit Card"/>
    <n v="1"/>
    <s v="No"/>
    <s v="Retail Store"/>
    <s v="P1023"/>
    <s v="C0074"/>
    <s v="Montreal Central"/>
    <s v="Credit Card"/>
    <n v="1"/>
    <s v="Sophia Chen"/>
    <s v="Vancouver"/>
    <s v="Corporate"/>
    <s v="Toaster"/>
    <x v="2"/>
    <n v="152.88"/>
    <n v="333.66"/>
    <n v="16.683000000000003"/>
    <x v="131"/>
    <n v="152.88"/>
    <x v="131"/>
    <n v="0.51769371279304188"/>
    <n v="2025"/>
    <x v="9"/>
    <s v="avril"/>
    <s v="Q2"/>
    <s v="British Columbia"/>
    <n v="0"/>
  </r>
  <r>
    <s v="ORD-2025-00133"/>
    <d v="2025-11-02T00:00:00"/>
    <s v="C0044"/>
    <s v="P1022"/>
    <s v="Nora Young, Vancouver, Corporate"/>
    <s v="Calgary North"/>
    <s v="M. Wilson"/>
    <s v="Retail Store"/>
    <n v="1"/>
    <n v="433.79"/>
    <n v="0.05"/>
    <s v="Credit Card"/>
    <n v="3"/>
    <s v="No"/>
    <s v="Retail Store"/>
    <s v="P1022"/>
    <s v="C0044"/>
    <s v="Calgary North"/>
    <s v="Credit Card"/>
    <n v="1"/>
    <s v="Nora Young"/>
    <s v="Vancouver"/>
    <s v="Corporate"/>
    <s v="Humidifier"/>
    <x v="2"/>
    <n v="239.67"/>
    <n v="433.79"/>
    <n v="21.689500000000002"/>
    <x v="132"/>
    <n v="239.67"/>
    <x v="132"/>
    <n v="0.41841856537422306"/>
    <n v="2025"/>
    <x v="8"/>
    <s v="novembre"/>
    <s v="Q4"/>
    <s v="British Columbia"/>
    <n v="0"/>
  </r>
  <r>
    <s v="ORD-2025-00134"/>
    <d v="2025-11-20T00:00:00"/>
    <s v="C0063"/>
    <s v="P1018"/>
    <s v="Adam Singh, Laval, Small Business"/>
    <s v="Vancouver West"/>
    <s v="L. Chen"/>
    <s v="Online"/>
    <n v="3"/>
    <n v="31.68"/>
    <n v="0.05"/>
    <s v="Credit Card"/>
    <n v="4"/>
    <s v="No"/>
    <s v="Online"/>
    <s v="P1018"/>
    <s v="C0063"/>
    <s v="Vancouver West"/>
    <s v="Credit Card"/>
    <n v="1"/>
    <s v="Adam Singh"/>
    <s v="Laval"/>
    <s v="Small Business"/>
    <s v="Air Fryer"/>
    <x v="2"/>
    <n v="14.58"/>
    <n v="95.039999999999992"/>
    <n v="4.7519999999999998"/>
    <x v="133"/>
    <n v="43.74"/>
    <x v="133"/>
    <n v="0.51555023923444976"/>
    <n v="2025"/>
    <x v="8"/>
    <s v="novembre"/>
    <s v="Q4"/>
    <s v="Quebec"/>
    <n v="0"/>
  </r>
  <r>
    <s v="ORD-2025-00135"/>
    <d v="2025-01-23T00:00:00"/>
    <s v="C0070"/>
    <s v="P1034"/>
    <s v="Sophia Young, Halifax, Corporate"/>
    <s v="Calgary North"/>
    <s v="A. Morgan"/>
    <s v="Retail Store"/>
    <n v="1"/>
    <n v="143.79"/>
    <n v="0.05"/>
    <s v="Debit Card"/>
    <n v="3"/>
    <s v="No"/>
    <s v="Retail Store"/>
    <s v="P1034"/>
    <s v="C0070"/>
    <s v="Calgary North"/>
    <s v="Debit Card"/>
    <n v="1"/>
    <s v="Sophia Young"/>
    <s v="Halifax"/>
    <s v="Corporate"/>
    <s v="Laptop Sleeve"/>
    <x v="1"/>
    <n v="78.95"/>
    <n v="143.79"/>
    <n v="7.1894999999999998"/>
    <x v="134"/>
    <n v="78.95"/>
    <x v="134"/>
    <n v="0.42203725462205471"/>
    <n v="2025"/>
    <x v="3"/>
    <s v="janvier"/>
    <s v="Q1"/>
    <s v="Nova Scotia"/>
    <n v="0"/>
  </r>
  <r>
    <s v="ORD-2025-00136"/>
    <d v="2025-04-30T00:00:00"/>
    <s v="C0014"/>
    <s v="P1034"/>
    <s v="Zoe Scott, Montreal, Small Business"/>
    <s v="Calgary North"/>
    <s v="E. Roy"/>
    <s v="Retail Store"/>
    <n v="1"/>
    <n v="149.97"/>
    <n v="0.1"/>
    <s v="Credit Card"/>
    <n v="0"/>
    <s v="No"/>
    <s v="Retail Store"/>
    <s v="P1034"/>
    <s v="C0014"/>
    <s v="Calgary North"/>
    <s v="Credit Card"/>
    <n v="1"/>
    <s v="Zoe Scott"/>
    <s v="Montreal"/>
    <s v="Small Business"/>
    <s v="Laptop Sleeve"/>
    <x v="1"/>
    <n v="78.95"/>
    <n v="149.97"/>
    <n v="14.997"/>
    <x v="135"/>
    <n v="78.95"/>
    <x v="135"/>
    <n v="0.41506819882495022"/>
    <n v="2025"/>
    <x v="9"/>
    <s v="avril"/>
    <s v="Q2"/>
    <s v="Quebec"/>
    <n v="0"/>
  </r>
  <r>
    <s v="ORD-2025-00137"/>
    <d v="2025-03-27T00:00:00"/>
    <s v="C0054"/>
    <s v="P1003"/>
    <s v="Maya Hall, Surrey, Small Business"/>
    <s v="Calgary North"/>
    <s v="R. Singh"/>
    <s v="Online"/>
    <n v="4"/>
    <n v="156.56"/>
    <n v="0.2"/>
    <s v="Credit Card"/>
    <n v="9"/>
    <s v="No"/>
    <s v="Online"/>
    <s v="P1003"/>
    <s v="C0054"/>
    <s v="Calgary North"/>
    <s v="Credit Card"/>
    <n v="1"/>
    <s v="Maya Hall"/>
    <s v="Surrey"/>
    <s v="Small Business"/>
    <s v="Mouse"/>
    <x v="4"/>
    <n v="106.4"/>
    <n v="626.24"/>
    <n v="125.248"/>
    <x v="136"/>
    <n v="425.6"/>
    <x v="136"/>
    <n v="0.15048543689320387"/>
    <n v="2025"/>
    <x v="4"/>
    <s v="mars"/>
    <s v="Q1"/>
    <s v="British Columbia"/>
    <n v="0"/>
  </r>
  <r>
    <s v="ORD-2025-00138"/>
    <d v="2025-05-06T00:00:00"/>
    <s v="C0065"/>
    <s v="P1004"/>
    <s v="Mia Wilson, Quebec City, Consumer"/>
    <s v="Montreal Central"/>
    <s v="N. Brown"/>
    <s v="Marketplace"/>
    <n v="3"/>
    <n v="287.23"/>
    <n v="0.05"/>
    <s v="PayPal"/>
    <n v="8"/>
    <s v="No"/>
    <s v="Marketplace"/>
    <s v="P1004"/>
    <s v="C0065"/>
    <s v="Montreal Central"/>
    <s v="Paypal"/>
    <n v="1"/>
    <s v="Mia Wilson"/>
    <s v="Quebec City"/>
    <s v="Consumer"/>
    <s v="Webcam"/>
    <x v="4"/>
    <n v="154.72999999999999"/>
    <n v="861.69"/>
    <n v="43.084500000000006"/>
    <x v="137"/>
    <n v="464.18999999999994"/>
    <x v="137"/>
    <n v="0.43295030390096334"/>
    <n v="2025"/>
    <x v="1"/>
    <s v="mai"/>
    <s v="Q2"/>
    <s v="Quebec"/>
    <n v="0"/>
  </r>
  <r>
    <s v="ORD-2025-00139"/>
    <d v="2025-07-18T00:00:00"/>
    <s v="C0025"/>
    <s v="P1025"/>
    <s v="Emma Gagnon, Surrey, Corporate"/>
    <s v="Montreal Central"/>
    <s v="M. Wilson"/>
    <s v="Online"/>
    <n v="4"/>
    <n v="299.45"/>
    <n v="0"/>
    <s v="Credit  Card"/>
    <n v="4"/>
    <s v="No"/>
    <s v="Online"/>
    <s v="P1025"/>
    <s v="C0025"/>
    <s v="Montreal Central"/>
    <s v="Credit Card"/>
    <n v="1"/>
    <s v="Emma Gagnon"/>
    <s v="Surrey"/>
    <s v="Corporate"/>
    <s v="Yoga Mat"/>
    <x v="0"/>
    <n v="197.33"/>
    <n v="1197.8"/>
    <n v="0"/>
    <x v="138"/>
    <n v="789.32"/>
    <x v="138"/>
    <n v="0.3410252128902988"/>
    <n v="2025"/>
    <x v="10"/>
    <s v="juillet"/>
    <s v="Q3"/>
    <s v="British Columbia"/>
    <n v="0"/>
  </r>
  <r>
    <s v="ORD-2025-00140"/>
    <d v="2025-01-04T00:00:00"/>
    <s v="C0007"/>
    <s v="P1036"/>
    <s v="Lucas Wilson, Ottawa, Consumer"/>
    <s v="Online Fulfillment"/>
    <s v="R. Singh"/>
    <s v="Online"/>
    <n v="2"/>
    <n v="158.65"/>
    <n v="0"/>
    <s v="Debit Card"/>
    <n v="9"/>
    <s v="No"/>
    <s v="Online"/>
    <s v="P1036"/>
    <s v="C0007"/>
    <s v="Online Fulfillment"/>
    <s v="Debit Card"/>
    <n v="1"/>
    <s v="Lucas Wilson"/>
    <s v="Ottawa"/>
    <s v="Consumer"/>
    <s v="Power Bank"/>
    <x v="1"/>
    <n v="76.97"/>
    <n v="317.3"/>
    <n v="0"/>
    <x v="139"/>
    <n v="153.94"/>
    <x v="139"/>
    <n v="0.51484399621809018"/>
    <n v="2025"/>
    <x v="3"/>
    <s v="janvier"/>
    <s v="Q1"/>
    <s v="Ontario"/>
    <n v="0"/>
  </r>
  <r>
    <s v="ORD-2025-00141"/>
    <d v="2025-11-20T00:00:00"/>
    <s v="C0080"/>
    <s v="P1034"/>
    <s v="Sarah Smith, Mississauga, Corporate"/>
    <s v="Online Fulfillment"/>
    <s v="J. Tremblay"/>
    <s v="Online"/>
    <n v="1"/>
    <n v="150.18"/>
    <n v="0"/>
    <s v="Debit Card"/>
    <n v="8"/>
    <s v="No"/>
    <s v="Online"/>
    <s v="P1034"/>
    <s v="C0080"/>
    <s v="Online Fulfillment"/>
    <s v="Debit Card"/>
    <n v="1"/>
    <s v="Sarah Smith"/>
    <s v="Mississauga"/>
    <s v="Corporate"/>
    <s v="Laptop Sleeve"/>
    <x v="1"/>
    <n v="78.95"/>
    <n v="150.18"/>
    <n v="0"/>
    <x v="140"/>
    <n v="78.95"/>
    <x v="140"/>
    <n v="0.47429750965508055"/>
    <n v="2025"/>
    <x v="8"/>
    <s v="novembre"/>
    <s v="Q4"/>
    <s v="Ontario"/>
    <n v="0"/>
  </r>
  <r>
    <s v="ORD-2025-00142"/>
    <d v="2025-07-14T00:00:00"/>
    <s v="C0030"/>
    <s v="P1007"/>
    <s v="Emma Lee, Calgary, Corporate"/>
    <s v="Online Fulfillment"/>
    <s v="L. Chen"/>
    <s v="Online"/>
    <n v="2"/>
    <n v="335.37"/>
    <n v="0"/>
    <s v="PayPal"/>
    <n v="2"/>
    <s v="No"/>
    <s v="Online"/>
    <s v="P1007"/>
    <s v="C0030"/>
    <s v="Online Fulfillment"/>
    <s v="Paypal"/>
    <n v="1"/>
    <s v="Emma Lee"/>
    <s v="Calgary"/>
    <s v="Corporate"/>
    <s v="Monitor"/>
    <x v="4"/>
    <n v="224.47"/>
    <n v="670.74"/>
    <n v="0"/>
    <x v="141"/>
    <n v="448.94"/>
    <x v="141"/>
    <n v="0.33067954796195248"/>
    <n v="2025"/>
    <x v="10"/>
    <s v="juillet"/>
    <s v="Q3"/>
    <s v="Alberta"/>
    <n v="0"/>
  </r>
  <r>
    <s v="ORD-2025-00143"/>
    <d v="2025-12-30T00:00:00"/>
    <s v="C0096"/>
    <s v="P1036"/>
    <s v="Ryan Roy, Laval, Corporate"/>
    <s v="Montreal Central"/>
    <s v="J. Tremblay"/>
    <s v="Online"/>
    <n v="2"/>
    <n v="157.43"/>
    <n v="0"/>
    <s v="PayPal"/>
    <n v="4"/>
    <s v="No"/>
    <s v="Online"/>
    <s v="P1036"/>
    <s v="C0096"/>
    <s v="Montreal Central"/>
    <s v="Paypal"/>
    <n v="1"/>
    <s v="Ryan Roy"/>
    <s v="Laval"/>
    <s v="Corporate"/>
    <s v="Power Bank"/>
    <x v="1"/>
    <n v="76.97"/>
    <n v="314.86"/>
    <n v="0"/>
    <x v="142"/>
    <n v="153.94"/>
    <x v="142"/>
    <n v="0.51108429143111223"/>
    <n v="2025"/>
    <x v="6"/>
    <s v="décembre"/>
    <s v="Q4"/>
    <s v="Quebec"/>
    <n v="0"/>
  </r>
  <r>
    <s v="ORD-2025-00144"/>
    <d v="2025-02-26T00:00:00"/>
    <s v="C0119"/>
    <s v="P1035"/>
    <s v="Liam Chen, Winnipeg, Consumer"/>
    <s v="Calgary North"/>
    <s v="S. Patel"/>
    <s v="Online"/>
    <n v="1"/>
    <n v="90.42"/>
    <n v="0.05"/>
    <s v="Credit Card"/>
    <n v="1"/>
    <s v="No"/>
    <s v="Online"/>
    <s v="P1035"/>
    <s v="C0119"/>
    <s v="Calgary North"/>
    <s v="Credit Card"/>
    <n v="1"/>
    <s v="Liam Chen"/>
    <s v="Winnipeg"/>
    <s v="Consumer"/>
    <s v="Phone Stand"/>
    <x v="1"/>
    <n v="59.85"/>
    <n v="90.42"/>
    <n v="4.5209999999999999"/>
    <x v="143"/>
    <n v="59.85"/>
    <x v="143"/>
    <n v="0.30325149303251492"/>
    <n v="2025"/>
    <x v="2"/>
    <s v="février"/>
    <s v="Q1"/>
    <s v="Manitoba"/>
    <n v="0"/>
  </r>
  <r>
    <s v="ORD-2025-00145"/>
    <d v="2025-06-16T00:00:00"/>
    <s v="C0018"/>
    <s v="P1031"/>
    <s v="Sophia Tremblay, Laval, Small Business"/>
    <s v="Montreal Central"/>
    <s v="L. Chen"/>
    <s v="Online"/>
    <n v="1"/>
    <n v="237.95"/>
    <n v="0.1"/>
    <s v="Credit Card"/>
    <n v="4"/>
    <s v="No"/>
    <s v="Online"/>
    <s v="P1031"/>
    <s v="C0018"/>
    <s v="Montreal Central"/>
    <s v="Credit Card"/>
    <n v="1"/>
    <s v="Sophia Tremblay"/>
    <s v="Laval"/>
    <s v="Small Business"/>
    <s v="Dumbbell Set"/>
    <x v="0"/>
    <n v="131.72999999999999"/>
    <n v="237.95"/>
    <n v="23.795000000000002"/>
    <x v="144"/>
    <n v="131.72999999999999"/>
    <x v="144"/>
    <n v="0.38488477971562651"/>
    <n v="2025"/>
    <x v="5"/>
    <s v="juin"/>
    <s v="Q2"/>
    <s v="Quebec"/>
    <n v="0"/>
  </r>
  <r>
    <s v="ORD-2025-00146"/>
    <d v="2025-11-07T00:00:00"/>
    <s v="C0015"/>
    <s v="P1037"/>
    <s v="Zoe Singh, Halifax, Consumer"/>
    <s v="Toronto Downtown"/>
    <s v="R. Singh"/>
    <s v="Retail Store"/>
    <n v="1"/>
    <n v="353.49"/>
    <n v="0.1"/>
    <s v="Debit Card"/>
    <n v="2"/>
    <s v="No"/>
    <s v="Retail Store"/>
    <s v="P1037"/>
    <s v="C0015"/>
    <s v="Toronto Downtown"/>
    <s v="Debit Card"/>
    <n v="1"/>
    <s v="Zoe Singh"/>
    <s v="Halifax"/>
    <s v="Consumer"/>
    <s v="Cable Set"/>
    <x v="1"/>
    <n v="200.16"/>
    <n v="353.49"/>
    <n v="35.349000000000004"/>
    <x v="145"/>
    <n v="200.16"/>
    <x v="145"/>
    <n v="0.37084500268748766"/>
    <n v="2025"/>
    <x v="8"/>
    <s v="novembre"/>
    <s v="Q4"/>
    <s v="Nova Scotia"/>
    <n v="0"/>
  </r>
  <r>
    <s v="ORD-2025-00147"/>
    <d v="2025-10-05T00:00:00"/>
    <s v="C0093"/>
    <s v="P1005"/>
    <s v="Ethan Roy, Winnipeg, Consumer"/>
    <s v="Toronto Downtown"/>
    <s v="E. Roy"/>
    <s v="Retail Store"/>
    <n v="1"/>
    <n v="226.32"/>
    <n v="0.05"/>
    <s v="Credit Card"/>
    <n v="4"/>
    <s v="No"/>
    <s v="Retail Store"/>
    <s v="P1005"/>
    <s v="C0093"/>
    <s v="Toronto Downtown"/>
    <s v="Credit Card"/>
    <n v="1"/>
    <s v="Ethan Roy"/>
    <s v="Winnipeg"/>
    <s v="Consumer"/>
    <s v="Portable SSD"/>
    <x v="4"/>
    <n v="131.19"/>
    <n v="226.32"/>
    <n v="11.316000000000001"/>
    <x v="146"/>
    <n v="131.19"/>
    <x v="146"/>
    <n v="0.38982530557571021"/>
    <n v="2025"/>
    <x v="11"/>
    <s v="octobre"/>
    <s v="Q4"/>
    <s v="Manitoba"/>
    <n v="0"/>
  </r>
  <r>
    <s v="ORD-2025-00148"/>
    <d v="2025-08-14T00:00:00"/>
    <s v="C0055"/>
    <s v="P1003"/>
    <s v="Sarah Scott, Surrey, Consumer"/>
    <s v="Montreal Central"/>
    <s v="M. Wilson"/>
    <s v="Online"/>
    <n v="1"/>
    <n v="157.91999999999999"/>
    <n v="0"/>
    <s v="Debit Card"/>
    <n v="1"/>
    <s v="No"/>
    <s v="Online"/>
    <s v="P1003"/>
    <s v="C0055"/>
    <s v="Montreal Central"/>
    <s v="Debit Card"/>
    <n v="1"/>
    <s v="Sarah Scott"/>
    <s v="Surrey"/>
    <s v="Consumer"/>
    <s v="Mouse"/>
    <x v="4"/>
    <n v="106.4"/>
    <n v="157.91999999999999"/>
    <n v="0"/>
    <x v="147"/>
    <n v="106.4"/>
    <x v="147"/>
    <n v="0.32624113475177297"/>
    <n v="2025"/>
    <x v="7"/>
    <s v="août"/>
    <s v="Q3"/>
    <s v="British Columbia"/>
    <n v="0"/>
  </r>
  <r>
    <s v="ORD-2025-00149"/>
    <d v="2025-09-09T00:00:00"/>
    <s v="C0013"/>
    <s v="P1032"/>
    <s v="Amelia Martin, Quebec City, Small Business"/>
    <s v="Calgary North"/>
    <s v="L. Chen"/>
    <s v="market place"/>
    <n v="1"/>
    <n v="204.49"/>
    <n v="0.1"/>
    <s v="Credit Card"/>
    <n v="6"/>
    <s v="No"/>
    <s v="Marketplace"/>
    <s v="P1032"/>
    <s v="C0013"/>
    <s v="Calgary North"/>
    <s v="Credit Card"/>
    <n v="1"/>
    <s v="Amelia Martin"/>
    <s v="Quebec City"/>
    <s v="Small Business"/>
    <s v="Gym Bag"/>
    <x v="0"/>
    <n v="132.72"/>
    <n v="204.49"/>
    <n v="20.449000000000002"/>
    <x v="148"/>
    <n v="132.72"/>
    <x v="119"/>
    <n v="0.27885634179340474"/>
    <n v="2025"/>
    <x v="0"/>
    <s v="septembre"/>
    <s v="Q3"/>
    <s v="Quebec"/>
    <n v="0"/>
  </r>
  <r>
    <s v="ORD-2025-00150"/>
    <d v="2025-11-24T00:00:00"/>
    <s v="C0053"/>
    <s v="P1025"/>
    <s v="Ryan Lee, Laval, Consumer"/>
    <s v="Montreal Central"/>
    <s v="M. Wilson"/>
    <s v="Retail Store"/>
    <n v="1"/>
    <n v="299.81"/>
    <n v="0.2"/>
    <s v="Credit Card"/>
    <n v="4"/>
    <s v="No"/>
    <s v="Retail Store"/>
    <s v="P1025"/>
    <s v="C0053"/>
    <s v="Montreal Central"/>
    <s v="Credit Card"/>
    <n v="1"/>
    <s v="Ryan Lee"/>
    <s v="Laval"/>
    <s v="Consumer"/>
    <s v="Yoga Mat"/>
    <x v="0"/>
    <n v="197.33"/>
    <n v="299.81"/>
    <n v="59.962000000000003"/>
    <x v="149"/>
    <n v="197.33"/>
    <x v="148"/>
    <n v="0.17727060471632033"/>
    <n v="2025"/>
    <x v="8"/>
    <s v="novembre"/>
    <s v="Q4"/>
    <s v="Quebec"/>
    <n v="0"/>
  </r>
  <r>
    <s v="ORD-2025-00151"/>
    <d v="2025-07-26T00:00:00"/>
    <s v="C0119"/>
    <s v="P1024"/>
    <s v="Liam Chen, Winnipeg, Consumer"/>
    <s v="Online Fulfillment"/>
    <s v="N. Brown"/>
    <s v="Online"/>
    <n v="1"/>
    <n v="99.03"/>
    <n v="0.15"/>
    <s v="Credit Card"/>
    <n v="6"/>
    <s v="No"/>
    <s v="Online"/>
    <s v="P1024"/>
    <s v="C0119"/>
    <s v="Online Fulfillment"/>
    <s v="Credit Card"/>
    <n v="1"/>
    <s v="Liam Chen"/>
    <s v="Winnipeg"/>
    <s v="Consumer"/>
    <s v="Food Scale"/>
    <x v="2"/>
    <n v="46.07"/>
    <n v="99.03"/>
    <n v="14.8545"/>
    <x v="150"/>
    <n v="46.07"/>
    <x v="149"/>
    <n v="0.45269110370594767"/>
    <n v="2025"/>
    <x v="10"/>
    <s v="juillet"/>
    <s v="Q3"/>
    <s v="Manitoba"/>
    <n v="0"/>
  </r>
  <r>
    <s v="ORD-2025-00152"/>
    <d v="2025-04-21T00:00:00"/>
    <s v="C0108"/>
    <s v="P1014"/>
    <s v="Noah Lee, Surrey, Consumer"/>
    <s v="Montreal Central"/>
    <s v="J. Tremblay"/>
    <s v="Online"/>
    <n v="2"/>
    <n v="233.12"/>
    <n v="0"/>
    <s v="PayPal"/>
    <n v="3"/>
    <s v="Yes"/>
    <s v="Online"/>
    <s v="P1014"/>
    <s v="C0108"/>
    <s v="Montreal Central"/>
    <s v="Paypal"/>
    <n v="1"/>
    <s v="Noah Lee"/>
    <s v="Surrey"/>
    <s v="Consumer"/>
    <s v="Document Shredder"/>
    <x v="3"/>
    <n v="117.65"/>
    <n v="466.24"/>
    <n v="0"/>
    <x v="151"/>
    <n v="235.3"/>
    <x v="150"/>
    <n v="0.49532429649965681"/>
    <n v="2025"/>
    <x v="9"/>
    <s v="avril"/>
    <s v="Q2"/>
    <s v="British Columbia"/>
    <n v="1"/>
  </r>
  <r>
    <s v="ORD-2025-00153"/>
    <d v="2025-08-17T00:00:00"/>
    <s v="C0080"/>
    <s v="P1034"/>
    <s v="Sarah Smith, Mississauga, Corporate"/>
    <s v="Vancouver West"/>
    <s v="L. Chen"/>
    <s v="Online"/>
    <n v="2"/>
    <n v="151.72"/>
    <n v="0"/>
    <s v="Debit Card"/>
    <n v="6"/>
    <s v="No"/>
    <s v="Online"/>
    <s v="P1034"/>
    <s v="C0080"/>
    <s v="Vancouver West"/>
    <s v="Debit Card"/>
    <n v="1"/>
    <s v="Sarah Smith"/>
    <s v="Mississauga"/>
    <s v="Corporate"/>
    <s v="Laptop Sleeve"/>
    <x v="1"/>
    <n v="78.95"/>
    <n v="303.44"/>
    <n v="0"/>
    <x v="152"/>
    <n v="157.9"/>
    <x v="151"/>
    <n v="0.47963353546005799"/>
    <n v="2025"/>
    <x v="7"/>
    <s v="août"/>
    <s v="Q3"/>
    <s v="Ontario"/>
    <n v="0"/>
  </r>
  <r>
    <s v="ORD-2025-00154"/>
    <d v="2025-03-25T00:00:00"/>
    <s v="C0066"/>
    <s v="P1022"/>
    <s v="Noah Clark, Laval, Consumer"/>
    <s v="Toronto Downtown"/>
    <s v="R. Singh"/>
    <s v="Retail Store"/>
    <n v="1"/>
    <n v="396.12"/>
    <n v="0"/>
    <s v="Debit Card"/>
    <n v="4"/>
    <s v="No"/>
    <s v="Retail Store"/>
    <s v="P1022"/>
    <s v="C0066"/>
    <s v="Toronto Downtown"/>
    <s v="Debit Card"/>
    <n v="1"/>
    <s v="Noah Clark"/>
    <s v="Laval"/>
    <s v="Consumer"/>
    <s v="Humidifier"/>
    <x v="2"/>
    <n v="239.67"/>
    <n v="396.12"/>
    <n v="0"/>
    <x v="153"/>
    <n v="239.67"/>
    <x v="152"/>
    <n v="0.39495607391699489"/>
    <n v="2025"/>
    <x v="4"/>
    <s v="mars"/>
    <s v="Q1"/>
    <s v="Quebec"/>
    <n v="0"/>
  </r>
  <r>
    <s v="ORD-2025-00155"/>
    <d v="2025-01-30T00:00:00"/>
    <s v="C0105"/>
    <s v="P1039"/>
    <s v="Liam Martin , Calgary , Consumer"/>
    <s v="Calgary North"/>
    <s v="L. Chen"/>
    <s v="Online"/>
    <n v="3"/>
    <n v="341.51"/>
    <n v="0.25"/>
    <s v="Debit Card"/>
    <n v="8"/>
    <s v="No"/>
    <s v="Online"/>
    <s v="P1039"/>
    <s v="C0105"/>
    <s v="Calgary North"/>
    <s v="Debit Card"/>
    <n v="1"/>
    <s v="Liam Martin"/>
    <s v="Calgary"/>
    <s v="Consumer"/>
    <s v="Travel Adapter"/>
    <x v="1"/>
    <n v="229.86"/>
    <n v="1024.53"/>
    <n v="256.13249999999999"/>
    <x v="154"/>
    <n v="689.58"/>
    <x v="153"/>
    <n v="0.10257386313724341"/>
    <n v="2025"/>
    <x v="3"/>
    <s v="janvier"/>
    <s v="Q1"/>
    <s v="Alberta"/>
    <n v="0"/>
  </r>
  <r>
    <s v="ORD-2025-00156"/>
    <d v="2025-09-06T00:00:00"/>
    <s v="C0117"/>
    <s v="P1025"/>
    <s v="Ethan Hall, Vancouver, Consumer"/>
    <s v="Vancouver West"/>
    <s v="E. Roy"/>
    <s v="Retail Store"/>
    <n v="1"/>
    <n v="320.8"/>
    <n v="0.15"/>
    <s v="Credit Card"/>
    <n v="2"/>
    <s v="No"/>
    <s v="Retail Store"/>
    <s v="P1025"/>
    <s v="C0117"/>
    <s v="Vancouver West"/>
    <s v="Credit Card"/>
    <n v="1"/>
    <s v="Ethan Hall"/>
    <s v="Vancouver"/>
    <s v="Consumer"/>
    <s v="Yoga Mat"/>
    <x v="0"/>
    <n v="197.33"/>
    <n v="320.8"/>
    <n v="48.12"/>
    <x v="155"/>
    <n v="197.33"/>
    <x v="154"/>
    <n v="0.27633123074666271"/>
    <n v="2025"/>
    <x v="0"/>
    <s v="septembre"/>
    <s v="Q3"/>
    <s v="British Columbia"/>
    <n v="0"/>
  </r>
  <r>
    <s v="ORD-2025-00157"/>
    <d v="2025-02-26T00:00:00"/>
    <s v="C0045"/>
    <s v="P1025"/>
    <s v="Lucas Chen, Ottawa, Corporate"/>
    <s v="Vancouver West"/>
    <s v="R. Singh"/>
    <s v="Retail Store"/>
    <n v="3"/>
    <n v="317.19"/>
    <n v="0.1"/>
    <s v="Credit Card"/>
    <n v="4"/>
    <s v="No"/>
    <s v="Retail Store"/>
    <s v="P1025"/>
    <s v="C0045"/>
    <s v="Vancouver West"/>
    <s v="Credit Card"/>
    <n v="1"/>
    <s v="Lucas Chen"/>
    <s v="Ottawa"/>
    <s v="Corporate"/>
    <s v="Yoga Mat"/>
    <x v="0"/>
    <n v="197.33"/>
    <n v="951.56999999999994"/>
    <n v="95.156999999999996"/>
    <x v="156"/>
    <n v="591.99"/>
    <x v="155"/>
    <n v="0.30875640607977684"/>
    <n v="2025"/>
    <x v="2"/>
    <s v="février"/>
    <s v="Q1"/>
    <s v="Ontario"/>
    <n v="0"/>
  </r>
  <r>
    <s v="ORD-2025-00158"/>
    <d v="2025-02-05T00:00:00"/>
    <s v="C0017"/>
    <s v="P1007"/>
    <s v="Yasmine Khan, Mississauga, Corporate"/>
    <s v="Vancouver West"/>
    <s v="L. Chen"/>
    <s v="Marketplace"/>
    <n v="1"/>
    <n v="357.14"/>
    <n v="0"/>
    <s v="PayPal"/>
    <n v="2"/>
    <s v="No"/>
    <s v="Marketplace"/>
    <s v="P1007"/>
    <s v="C0017"/>
    <s v="Vancouver West"/>
    <s v="Paypal"/>
    <n v="1"/>
    <s v="Yasmine Khan"/>
    <s v="Mississauga"/>
    <s v="Corporate"/>
    <s v="Monitor"/>
    <x v="4"/>
    <n v="224.47"/>
    <n v="357.14"/>
    <n v="0"/>
    <x v="157"/>
    <n v="224.47"/>
    <x v="156"/>
    <n v="0.37147897183177464"/>
    <n v="2025"/>
    <x v="2"/>
    <s v="février"/>
    <s v="Q1"/>
    <s v="Ontario"/>
    <n v="0"/>
  </r>
  <r>
    <s v="ORD-2025-00159"/>
    <d v="2025-01-02T00:00:00"/>
    <s v="C0022"/>
    <s v="P1040"/>
    <s v="Adam White, Victoria, Consumer"/>
    <s v="Calgary North"/>
    <s v="M. Wilson"/>
    <s v="Marketplace"/>
    <n v="1"/>
    <n v="325.73"/>
    <n v="0"/>
    <s v="Credit Card"/>
    <n v="2"/>
    <s v="No"/>
    <s v="Marketplace"/>
    <s v="P1040"/>
    <s v="C0022"/>
    <s v="Calgary North"/>
    <s v="Credit Card"/>
    <n v="1"/>
    <s v="Adam White"/>
    <s v="Victoria"/>
    <s v="Consumer"/>
    <s v="Desk Pad"/>
    <x v="1"/>
    <n v="177.57"/>
    <n v="325.73"/>
    <n v="0"/>
    <x v="158"/>
    <n v="177.57"/>
    <x v="157"/>
    <n v="0.45485524821170914"/>
    <n v="2025"/>
    <x v="3"/>
    <s v="janvier"/>
    <s v="Q1"/>
    <s v="British Columbia"/>
    <n v="0"/>
  </r>
  <r>
    <s v="ORD-2025-00160"/>
    <d v="2025-12-07T00:00:00"/>
    <s v="C0059"/>
    <s v="P1027"/>
    <s v="Lucas Chen, Vancouver, Corporate"/>
    <s v="Montreal Central"/>
    <s v="S. Patel"/>
    <s v="Online"/>
    <n v="1"/>
    <n v="55.34"/>
    <n v="0.25"/>
    <s v="Credit Card"/>
    <n v="5"/>
    <s v="No"/>
    <s v="Online"/>
    <s v="P1027"/>
    <s v="C0059"/>
    <s v="Montreal Central"/>
    <s v="Credit Card"/>
    <n v="1"/>
    <s v="Lucas Chen"/>
    <s v="Vancouver"/>
    <s v="Corporate"/>
    <s v="Kettlebell"/>
    <x v="0"/>
    <n v="25.97"/>
    <n v="55.34"/>
    <n v="13.835000000000001"/>
    <x v="159"/>
    <n v="25.97"/>
    <x v="158"/>
    <n v="0.37429225394530785"/>
    <n v="2025"/>
    <x v="6"/>
    <s v="décembre"/>
    <s v="Q4"/>
    <s v="British Columbia"/>
    <n v="0"/>
  </r>
  <r>
    <s v="ORD-2025-00161"/>
    <d v="2025-10-25T00:00:00"/>
    <s v="C0077"/>
    <s v="P1013"/>
    <s v="Amine Taylor, Surrey, Small Business"/>
    <s v="Toronto Downtown"/>
    <s v="L. Chen"/>
    <s v="Retail Store"/>
    <n v="1"/>
    <n v="129.55000000000001"/>
    <n v="0.15"/>
    <s v="Debit  Card"/>
    <n v="2"/>
    <s v="No"/>
    <s v="Retail Store"/>
    <s v="P1013"/>
    <s v="C0077"/>
    <s v="Toronto Downtown"/>
    <s v="Debit Card"/>
    <n v="1"/>
    <s v="Amine Taylor"/>
    <s v="Surrey"/>
    <s v="Small Business"/>
    <s v="Whiteboard"/>
    <x v="3"/>
    <n v="85.73"/>
    <n v="129.55000000000001"/>
    <n v="19.432500000000001"/>
    <x v="160"/>
    <n v="85.73"/>
    <x v="159"/>
    <n v="0.22146797738779034"/>
    <n v="2025"/>
    <x v="11"/>
    <s v="octobre"/>
    <s v="Q4"/>
    <s v="British Columbia"/>
    <n v="0"/>
  </r>
  <r>
    <s v="ORD-2025-00162"/>
    <d v="2025-01-28T00:00:00"/>
    <s v="C0067"/>
    <s v="P1012"/>
    <s v="Leo Bennett, Mississauga, Consumer"/>
    <s v="Calgary North"/>
    <s v="E. Roy"/>
    <s v="Online"/>
    <n v="1"/>
    <n v="82.85"/>
    <n v="0"/>
    <s v="Debit Card"/>
    <n v="2"/>
    <s v="No"/>
    <s v="Online"/>
    <s v="P1012"/>
    <s v="C0067"/>
    <s v="Calgary North"/>
    <s v="Debit Card"/>
    <n v="1"/>
    <s v="Leo Bennett"/>
    <s v="Mississauga"/>
    <s v="Consumer"/>
    <s v="Standing Desk"/>
    <x v="3"/>
    <n v="45.17"/>
    <n v="82.85"/>
    <n v="0"/>
    <x v="161"/>
    <n v="45.17"/>
    <x v="160"/>
    <n v="0.45479782739891367"/>
    <n v="2025"/>
    <x v="3"/>
    <s v="janvier"/>
    <s v="Q1"/>
    <s v="Ontario"/>
    <n v="0"/>
  </r>
  <r>
    <s v="ORD-2025-00163"/>
    <d v="2025-04-24T00:00:00"/>
    <s v="C0078"/>
    <s v="P1039"/>
    <s v="Sarah Smith, Edmonton, Corporate"/>
    <s v="Calgary North"/>
    <s v="M. Wilson"/>
    <s v="Retail Store"/>
    <n v="1"/>
    <n v="324.77999999999997"/>
    <n v="0"/>
    <s v="Credit Card"/>
    <n v="3"/>
    <s v="No"/>
    <s v="Retail Store"/>
    <s v="P1039"/>
    <s v="C0078"/>
    <s v="Calgary North"/>
    <s v="Credit Card"/>
    <n v="1"/>
    <s v="Sarah Smith"/>
    <s v="Edmonton"/>
    <s v="Corporate"/>
    <s v="Travel Adapter"/>
    <x v="1"/>
    <n v="229.86"/>
    <n v="324.77999999999997"/>
    <n v="0"/>
    <x v="162"/>
    <n v="229.86"/>
    <x v="161"/>
    <n v="0.2922593755773138"/>
    <n v="2025"/>
    <x v="9"/>
    <s v="avril"/>
    <s v="Q2"/>
    <s v="Alberta"/>
    <n v="0"/>
  </r>
  <r>
    <s v="ORD-2025-00164"/>
    <d v="2025-04-10T00:00:00"/>
    <s v="C0062"/>
    <s v="P1023"/>
    <s v="Yasmine Scott, Toronto, Consumer"/>
    <s v="Vancouver West"/>
    <s v="A. Morgan"/>
    <s v="Retail Store"/>
    <n v="1"/>
    <n v="316.97000000000003"/>
    <n v="0.05"/>
    <s v="Debit Card"/>
    <n v="4"/>
    <s v="No"/>
    <s v="Retail Store"/>
    <s v="P1023"/>
    <s v="C0062"/>
    <s v="Vancouver West"/>
    <s v="Debit Card"/>
    <n v="1"/>
    <s v="Yasmine Scott"/>
    <s v="Toronto"/>
    <s v="Consumer"/>
    <s v="Toaster"/>
    <x v="2"/>
    <n v="152.88"/>
    <n v="316.97000000000003"/>
    <n v="15.848500000000001"/>
    <x v="163"/>
    <n v="152.88"/>
    <x v="162"/>
    <n v="0.49229795946154631"/>
    <n v="2025"/>
    <x v="9"/>
    <s v="avril"/>
    <s v="Q2"/>
    <s v="Ontario"/>
    <n v="0"/>
  </r>
  <r>
    <s v="ORD-2025-00165"/>
    <d v="2025-12-05T00:00:00"/>
    <s v="C0049"/>
    <s v="P1001"/>
    <s v="Olivia Scott, Quebec City, Consumer"/>
    <s v="Online Fulfillment"/>
    <s v="J. Tremblay"/>
    <s v="Online"/>
    <n v="1"/>
    <n v="393.54"/>
    <n v="0.15"/>
    <s v="PayPal"/>
    <n v="9"/>
    <s v="No"/>
    <s v="Online"/>
    <s v="P1001"/>
    <s v="C0049"/>
    <s v="Online Fulfillment"/>
    <s v="Paypal"/>
    <n v="1"/>
    <s v="Olivia Scott"/>
    <s v="Quebec City"/>
    <s v="Consumer"/>
    <s v="Headphones"/>
    <x v="4"/>
    <n v="254.6"/>
    <n v="393.54"/>
    <n v="59.030999999999999"/>
    <x v="164"/>
    <n v="254.6"/>
    <x v="163"/>
    <n v="0.23888445452887669"/>
    <n v="2025"/>
    <x v="6"/>
    <s v="décembre"/>
    <s v="Q4"/>
    <s v="Quebec"/>
    <n v="0"/>
  </r>
  <r>
    <s v="ORD-2025-00166"/>
    <d v="2025-10-03T00:00:00"/>
    <s v="C0082"/>
    <s v="P1008"/>
    <s v="Ryan King, Winnipeg, Small Business"/>
    <s v="Montreal Central"/>
    <s v="A. Morgan"/>
    <s v="Online"/>
    <n v="5"/>
    <n v="136.16999999999999"/>
    <n v="0.15"/>
    <s v="Credit Card"/>
    <n v="8"/>
    <s v="Yes"/>
    <s v="Online"/>
    <s v="P1008"/>
    <s v="C0082"/>
    <s v="Montreal Central"/>
    <s v="Credit Card"/>
    <n v="1"/>
    <s v="Ryan King"/>
    <s v="Winnipeg"/>
    <s v="Small Business"/>
    <s v="Smart Speaker"/>
    <x v="4"/>
    <n v="69"/>
    <n v="680.84999999999991"/>
    <n v="102.12749999999998"/>
    <x v="165"/>
    <n v="345"/>
    <x v="164"/>
    <n v="0.40385936264790118"/>
    <n v="2025"/>
    <x v="11"/>
    <s v="octobre"/>
    <s v="Q4"/>
    <s v="Manitoba"/>
    <n v="1"/>
  </r>
  <r>
    <s v="ORD-2025-00167"/>
    <d v="2025-09-13T00:00:00"/>
    <s v="C0106"/>
    <s v="P1009"/>
    <s v="Liam Gagnon, Ottawa, Small Business"/>
    <s v="Vancouver West"/>
    <s v="M. Wilson"/>
    <s v="Retail Store"/>
    <n v="3"/>
    <n v="305.98"/>
    <n v="0.15"/>
    <s v="Credit Card"/>
    <n v="0"/>
    <s v="No"/>
    <s v="Retail Store"/>
    <s v="P1009"/>
    <s v="C0106"/>
    <s v="Vancouver West"/>
    <s v="Credit Card"/>
    <n v="1"/>
    <s v="Liam Gagnon"/>
    <s v="Ottawa"/>
    <s v="Small Business"/>
    <s v="Notebook"/>
    <x v="3"/>
    <n v="176.13"/>
    <n v="917.94"/>
    <n v="137.691"/>
    <x v="166"/>
    <n v="528.39"/>
    <x v="165"/>
    <n v="0.3227931083538717"/>
    <n v="2025"/>
    <x v="0"/>
    <s v="septembre"/>
    <s v="Q3"/>
    <s v="Ontario"/>
    <n v="0"/>
  </r>
  <r>
    <s v="ORD-2025-00168"/>
    <d v="2025-05-09T00:00:00"/>
    <s v="C0120"/>
    <s v="P1027"/>
    <s v="Ethan King, Mississauga, Small Business"/>
    <s v="Calgary North"/>
    <s v="A. Morgan"/>
    <s v="Online"/>
    <n v="2"/>
    <n v="58.17"/>
    <n v="0"/>
    <s v="Credit Card"/>
    <n v="9"/>
    <s v="No"/>
    <s v="Online"/>
    <s v="P1027"/>
    <s v="C0120"/>
    <s v="Calgary North"/>
    <s v="Credit Card"/>
    <n v="1"/>
    <s v="Ethan King"/>
    <s v="Mississauga"/>
    <s v="Small Business"/>
    <s v="Kettlebell"/>
    <x v="0"/>
    <n v="25.97"/>
    <n v="116.34"/>
    <n v="0"/>
    <x v="167"/>
    <n v="51.94"/>
    <x v="166"/>
    <n v="0.55354993983152834"/>
    <n v="2025"/>
    <x v="1"/>
    <s v="mai"/>
    <s v="Q2"/>
    <s v="Ontario"/>
    <n v="0"/>
  </r>
  <r>
    <s v="ORD-2025-00169"/>
    <d v="2025-04-09T00:00:00"/>
    <s v="C0106"/>
    <s v="P1030"/>
    <s v="Liam Gagnon, Ottawa, Small Business"/>
    <s v="Online Fulfillment"/>
    <s v="R. Singh"/>
    <s v="Retail Store"/>
    <n v="2"/>
    <n v="247.12"/>
    <n v="0.05"/>
    <s v="Credit Card"/>
    <n v="4"/>
    <s v="No"/>
    <s v="Retail Store"/>
    <s v="P1030"/>
    <s v="C0106"/>
    <s v="Online Fulfillment"/>
    <s v="Credit Card"/>
    <n v="1"/>
    <s v="Liam Gagnon"/>
    <s v="Ottawa"/>
    <s v="Small Business"/>
    <s v="Pull-up Bar"/>
    <x v="0"/>
    <n v="125.4"/>
    <n v="494.24"/>
    <n v="24.712000000000003"/>
    <x v="168"/>
    <n v="250.8"/>
    <x v="167"/>
    <n v="0.46584655228229199"/>
    <n v="2025"/>
    <x v="9"/>
    <s v="avril"/>
    <s v="Q2"/>
    <s v="Ontario"/>
    <n v="0"/>
  </r>
  <r>
    <s v="ORD-2025-00170"/>
    <d v="2025-05-24T00:00:00"/>
    <s v="C0070"/>
    <s v="P1017"/>
    <s v="Sophia Young, Halifax, Corporate"/>
    <s v="Vancouver West"/>
    <s v="N. Brown"/>
    <s v="Retail Store"/>
    <n v="1"/>
    <n v="380.52"/>
    <n v="0.05"/>
    <s v="Debit Card"/>
    <n v="2"/>
    <s v="No"/>
    <s v="Retail Store"/>
    <s v="P1017"/>
    <s v="C0070"/>
    <s v="Vancouver West"/>
    <s v="Debit Card"/>
    <n v="1"/>
    <s v="Sophia Young"/>
    <s v="Halifax"/>
    <s v="Corporate"/>
    <s v="Coffee Maker"/>
    <x v="2"/>
    <n v="241.16"/>
    <n v="380.52"/>
    <n v="19.026"/>
    <x v="169"/>
    <n v="241.16"/>
    <x v="168"/>
    <n v="0.33287966051995327"/>
    <n v="2025"/>
    <x v="1"/>
    <s v="mai"/>
    <s v="Q2"/>
    <s v="Nova Scotia"/>
    <n v="0"/>
  </r>
  <r>
    <s v="ORD-2025-00171"/>
    <d v="2025-10-01T00:00:00"/>
    <s v="C0115"/>
    <s v="P1025"/>
    <s v="Nora Lee, Calgary, Consumer"/>
    <s v="Vancouver West"/>
    <s v="R. Singh"/>
    <s v="Online"/>
    <n v="2"/>
    <n v="310.64"/>
    <n v="0.05"/>
    <s v="PayPal"/>
    <n v="4"/>
    <s v="No"/>
    <s v="Online"/>
    <s v="P1025"/>
    <s v="C0115"/>
    <s v="Vancouver West"/>
    <s v="Paypal"/>
    <n v="1"/>
    <s v="Nora Lee"/>
    <s v="Calgary"/>
    <s v="Consumer"/>
    <s v="Yoga Mat"/>
    <x v="0"/>
    <n v="197.33"/>
    <n v="621.28"/>
    <n v="31.064"/>
    <x v="170"/>
    <n v="394.66"/>
    <x v="169"/>
    <n v="0.33132954714884039"/>
    <n v="2025"/>
    <x v="11"/>
    <s v="octobre"/>
    <s v="Q4"/>
    <s v="Alberta"/>
    <n v="0"/>
  </r>
  <r>
    <s v="ORD-2025-00172"/>
    <d v="2025-03-16T00:00:00"/>
    <s v="C0014"/>
    <s v="P1038"/>
    <s v="Zoe Scott, Montreal, Small Business"/>
    <s v="Vancouver West"/>
    <s v="L. Chen"/>
    <s v="Online"/>
    <n v="2"/>
    <n v="276.83"/>
    <n v="0.05"/>
    <s v="Debit Card"/>
    <n v="1"/>
    <s v="No"/>
    <s v="Online"/>
    <s v="P1038"/>
    <s v="C0014"/>
    <s v="Vancouver West"/>
    <s v="Debit Card"/>
    <n v="1"/>
    <s v="Zoe Scott"/>
    <s v="Montreal"/>
    <s v="Small Business"/>
    <s v="Water Bottle"/>
    <x v="1"/>
    <n v="119.16"/>
    <n v="553.66"/>
    <n v="27.683"/>
    <x v="171"/>
    <n v="238.32"/>
    <x v="170"/>
    <n v="0.54690033974869623"/>
    <n v="2025"/>
    <x v="4"/>
    <s v="mars"/>
    <s v="Q1"/>
    <s v="Quebec"/>
    <n v="0"/>
  </r>
  <r>
    <s v="ORD-2025-00173"/>
    <d v="2025-04-28T00:00:00"/>
    <s v="C0073"/>
    <s v="P1037"/>
    <s v="Olivia Singh, Mississauga, Consumer"/>
    <s v="Online Fulfillment"/>
    <s v="S. Patel"/>
    <s v="Online"/>
    <n v="1"/>
    <n v="344.09"/>
    <n v="0.05"/>
    <s v="Debit Card"/>
    <n v="6"/>
    <s v="No"/>
    <s v="Online"/>
    <s v="P1037"/>
    <s v="C0073"/>
    <s v="Online Fulfillment"/>
    <s v="Debit Card"/>
    <n v="1"/>
    <s v="Olivia Singh"/>
    <s v="Mississauga"/>
    <s v="Consumer"/>
    <s v="Cable Set"/>
    <x v="1"/>
    <n v="200.16"/>
    <n v="344.09"/>
    <n v="17.204499999999999"/>
    <x v="172"/>
    <n v="200.16"/>
    <x v="171"/>
    <n v="0.3876755010546506"/>
    <n v="2025"/>
    <x v="9"/>
    <s v="avril"/>
    <s v="Q2"/>
    <s v="Ontario"/>
    <n v="0"/>
  </r>
  <r>
    <s v="ORD-2025-00174"/>
    <d v="2025-12-01T00:00:00"/>
    <s v="C0102"/>
    <s v="P1015"/>
    <s v="Adam Roy, Edmonton, Corporate"/>
    <s v="Toronto Downtown"/>
    <s v="E. Roy"/>
    <s v="Marketplace"/>
    <n v="1"/>
    <n v="389.99"/>
    <n v="0"/>
    <s v="PayPal"/>
    <n v="8"/>
    <s v="No"/>
    <s v="Marketplace"/>
    <s v="P1015"/>
    <s v="C0102"/>
    <s v="Toronto Downtown"/>
    <s v="Paypal"/>
    <n v="1"/>
    <s v="Adam Roy"/>
    <s v="Edmonton"/>
    <s v="Corporate"/>
    <s v="Desk Organizer"/>
    <x v="3"/>
    <n v="235.76"/>
    <n v="389.99"/>
    <n v="0"/>
    <x v="173"/>
    <n v="235.76"/>
    <x v="172"/>
    <n v="0.39547167876099393"/>
    <n v="2025"/>
    <x v="6"/>
    <s v="décembre"/>
    <s v="Q4"/>
    <s v="Alberta"/>
    <n v="0"/>
  </r>
  <r>
    <s v="ORD-2025-00175"/>
    <d v="2025-04-05T00:00:00"/>
    <s v="C0096"/>
    <s v="P1021"/>
    <s v="Ryan Roy, Laval, Corporate"/>
    <s v="Toronto Downtown"/>
    <s v="S. Patel"/>
    <s v="Online"/>
    <n v="4"/>
    <n v="308.58999999999997"/>
    <n v="0"/>
    <s v="Debit Card"/>
    <n v="1"/>
    <s v="No"/>
    <s v="Online"/>
    <s v="P1021"/>
    <s v="C0096"/>
    <s v="Toronto Downtown"/>
    <s v="Debit Card"/>
    <n v="1"/>
    <s v="Ryan Roy"/>
    <s v="Laval"/>
    <s v="Corporate"/>
    <s v="Kettle"/>
    <x v="2"/>
    <n v="139.86000000000001"/>
    <n v="1234.3599999999999"/>
    <n v="0"/>
    <x v="174"/>
    <n v="559.44000000000005"/>
    <x v="173"/>
    <n v="0.54677727729349612"/>
    <n v="2025"/>
    <x v="9"/>
    <s v="avril"/>
    <s v="Q2"/>
    <s v="Quebec"/>
    <n v="0"/>
  </r>
  <r>
    <s v="ORD-2025-00176"/>
    <d v="2025-01-29T00:00:00"/>
    <s v="C0071"/>
    <s v="P1017"/>
    <s v="Ethan Lee, Surrey, Consumer"/>
    <s v="Montreal Central"/>
    <s v="E. Roy"/>
    <s v="Retail Store"/>
    <n v="1"/>
    <n v="372.42"/>
    <n v="0"/>
    <s v="PayPal"/>
    <n v="1"/>
    <s v="No"/>
    <s v="Retail Store"/>
    <s v="P1017"/>
    <s v="C0071"/>
    <s v="Montreal Central"/>
    <s v="Paypal"/>
    <n v="1"/>
    <s v="Ethan Lee"/>
    <s v="Surrey"/>
    <s v="Consumer"/>
    <s v="Coffee Maker"/>
    <x v="2"/>
    <n v="241.16"/>
    <n v="372.42"/>
    <n v="0"/>
    <x v="175"/>
    <n v="241.16"/>
    <x v="174"/>
    <n v="0.35245153321518718"/>
    <n v="2025"/>
    <x v="3"/>
    <s v="janvier"/>
    <s v="Q1"/>
    <s v="British Columbia"/>
    <n v="0"/>
  </r>
  <r>
    <s v="ORD-2025-00177"/>
    <d v="2025-11-11T00:00:00"/>
    <s v="C0042"/>
    <s v="P1032"/>
    <s v="Emma King, Quebec City, Consumer"/>
    <s v="Montreal  Central"/>
    <s v="N. Brown"/>
    <s v="Online"/>
    <n v="1"/>
    <n v="210.97"/>
    <n v="0.1"/>
    <s v="Gift Card"/>
    <n v="9"/>
    <s v="No"/>
    <s v="Online"/>
    <s v="P1032"/>
    <s v="C0042"/>
    <s v="Montreal Central"/>
    <s v="Gift Card"/>
    <n v="1"/>
    <s v="Emma King"/>
    <s v="Quebec City"/>
    <s v="Consumer"/>
    <s v="Gym Bag"/>
    <x v="0"/>
    <n v="132.72"/>
    <n v="210.97"/>
    <n v="21.097000000000001"/>
    <x v="176"/>
    <n v="132.72"/>
    <x v="175"/>
    <n v="0.30100646221421684"/>
    <n v="2025"/>
    <x v="8"/>
    <s v="novembre"/>
    <s v="Q4"/>
    <s v="Quebec"/>
    <n v="0"/>
  </r>
  <r>
    <s v="ORD-2025-00178"/>
    <d v="2025-01-19T00:00:00"/>
    <s v="C0020"/>
    <s v="P1039"/>
    <s v="Nora Khan, Mississauga, Consumer"/>
    <s v="Toronto Downtown"/>
    <s v="A. Morgan"/>
    <s v="Online"/>
    <n v="3"/>
    <n v="341.63"/>
    <n v="0"/>
    <s v="Credit Card"/>
    <n v="3"/>
    <s v="No"/>
    <s v="Online"/>
    <s v="P1039"/>
    <s v="C0020"/>
    <s v="Toronto Downtown"/>
    <s v="Credit Card"/>
    <n v="1"/>
    <s v="Nora Khan"/>
    <s v="Mississauga"/>
    <s v="Consumer"/>
    <s v="Travel Adapter"/>
    <x v="1"/>
    <n v="229.86"/>
    <n v="1024.8899999999999"/>
    <n v="0"/>
    <x v="177"/>
    <n v="689.58"/>
    <x v="176"/>
    <n v="0.32716681790240892"/>
    <n v="2025"/>
    <x v="3"/>
    <s v="janvier"/>
    <s v="Q1"/>
    <s v="Ontario"/>
    <n v="0"/>
  </r>
  <r>
    <s v="ORD-2025-00179"/>
    <d v="2025-09-10T00:00:00"/>
    <s v="C0098"/>
    <s v="P1034"/>
    <s v="Nora Young, Winnipeg, Consumer"/>
    <s v="Vancouver West"/>
    <s v="N. Brown"/>
    <s v="Online"/>
    <n v="3"/>
    <n v="142.11000000000001"/>
    <n v="0.05"/>
    <s v="Credit Card"/>
    <n v="1"/>
    <s v="No"/>
    <s v="Online"/>
    <s v="P1034"/>
    <s v="C0098"/>
    <s v="Vancouver West"/>
    <s v="Credit Card"/>
    <n v="1"/>
    <s v="Nora Young"/>
    <s v="Winnipeg"/>
    <s v="Consumer"/>
    <s v="Laptop Sleeve"/>
    <x v="1"/>
    <n v="78.95"/>
    <n v="426.33000000000004"/>
    <n v="21.316500000000005"/>
    <x v="178"/>
    <n v="236.85000000000002"/>
    <x v="177"/>
    <n v="0.41520467836257308"/>
    <n v="2025"/>
    <x v="0"/>
    <s v="septembre"/>
    <s v="Q3"/>
    <s v="Manitoba"/>
    <n v="0"/>
  </r>
  <r>
    <s v="ORD-2025-00180"/>
    <d v="2025-05-22T00:00:00"/>
    <s v="C0039"/>
    <s v="P1040"/>
    <s v="Sarah Wilson, Halifax, Consumer"/>
    <s v="Vancouver West"/>
    <s v="M. Wilson"/>
    <s v="Retail Store"/>
    <n v="2"/>
    <n v="309.12"/>
    <n v="0.05"/>
    <s v="Debit Card"/>
    <n v="3"/>
    <s v="Yes"/>
    <s v="Retail Store"/>
    <s v="P1040"/>
    <s v="C0039"/>
    <s v="Vancouver West"/>
    <s v="Debit Card"/>
    <n v="1"/>
    <s v="Sarah Wilson"/>
    <s v="Halifax"/>
    <s v="Consumer"/>
    <s v="Desk Pad"/>
    <x v="1"/>
    <n v="177.57"/>
    <n v="618.24"/>
    <n v="30.912000000000003"/>
    <x v="179"/>
    <n v="355.14"/>
    <x v="178"/>
    <n v="0.3953293559986924"/>
    <n v="2025"/>
    <x v="1"/>
    <s v="mai"/>
    <s v="Q2"/>
    <s v="Nova Scotia"/>
    <n v="1"/>
  </r>
  <r>
    <s v="ORD-2025-00181"/>
    <d v="2025-10-03T00:00:00"/>
    <s v="C0086"/>
    <s v="P1024"/>
    <s v="Adam Gagnon, Winnipeg, Consumer"/>
    <s v="Montreal Central"/>
    <s v="S. Patel"/>
    <s v="Online"/>
    <n v="1"/>
    <n v="104.87"/>
    <n v="0.1"/>
    <s v="Credit Card"/>
    <n v="5"/>
    <s v="No"/>
    <s v="Online"/>
    <s v="P1024"/>
    <s v="C0086"/>
    <s v="Montreal Central"/>
    <s v="Credit Card"/>
    <n v="1"/>
    <s v="Adam Gagnon"/>
    <s v="Winnipeg"/>
    <s v="Consumer"/>
    <s v="Food Scale"/>
    <x v="2"/>
    <n v="46.07"/>
    <n v="104.87"/>
    <n v="10.487000000000002"/>
    <x v="180"/>
    <n v="46.07"/>
    <x v="179"/>
    <n v="0.51188243645571774"/>
    <n v="2025"/>
    <x v="11"/>
    <s v="octobre"/>
    <s v="Q4"/>
    <s v="Manitoba"/>
    <n v="0"/>
  </r>
  <r>
    <s v="ORD-2025-00182"/>
    <d v="2025-08-06T00:00:00"/>
    <s v="C0093"/>
    <s v="P1013"/>
    <s v="Ethan Roy, Winnipeg, Consumer"/>
    <s v="Online Fulfillment"/>
    <s v="M. Wilson"/>
    <s v="Online"/>
    <n v="1"/>
    <n v="128.6"/>
    <n v="0.05"/>
    <s v="PayPal"/>
    <n v="3"/>
    <s v="No"/>
    <s v="Online"/>
    <s v="P1013"/>
    <s v="C0093"/>
    <s v="Online Fulfillment"/>
    <s v="Paypal"/>
    <n v="1"/>
    <s v="Ethan Roy"/>
    <s v="Winnipeg"/>
    <s v="Consumer"/>
    <s v="Whiteboard"/>
    <x v="3"/>
    <n v="85.73"/>
    <n v="128.6"/>
    <n v="6.43"/>
    <x v="181"/>
    <n v="85.73"/>
    <x v="180"/>
    <n v="0.29827289842023402"/>
    <n v="2025"/>
    <x v="7"/>
    <s v="août"/>
    <s v="Q3"/>
    <s v="Manitoba"/>
    <n v="0"/>
  </r>
  <r>
    <s v="ORD-2025-00183"/>
    <d v="2025-10-18T00:00:00"/>
    <s v="C0073"/>
    <s v="P1005"/>
    <s v="Olivia Singh, Mississauga, Consumer"/>
    <s v="Online Fulfillment"/>
    <s v="S. Patel"/>
    <s v="Retail Store"/>
    <n v="1"/>
    <n v="252.34"/>
    <n v="0.2"/>
    <s v="PayPal"/>
    <n v="4"/>
    <s v="Yes"/>
    <s v="Retail Store"/>
    <s v="P1005"/>
    <s v="C0073"/>
    <s v="Online Fulfillment"/>
    <s v="Paypal"/>
    <n v="1"/>
    <s v="Olivia Singh"/>
    <s v="Mississauga"/>
    <s v="Consumer"/>
    <s v="Portable SSD"/>
    <x v="4"/>
    <n v="131.19"/>
    <n v="252.34"/>
    <n v="50.468000000000004"/>
    <x v="182"/>
    <n v="131.19"/>
    <x v="181"/>
    <n v="0.35013275739082195"/>
    <n v="2025"/>
    <x v="11"/>
    <s v="octobre"/>
    <s v="Q4"/>
    <s v="Ontario"/>
    <n v="1"/>
  </r>
  <r>
    <s v="ORD-2025-00184"/>
    <d v="2025-07-26T00:00:00"/>
    <s v="C0031"/>
    <s v="P1024"/>
    <s v="Leo Gagnon, Surrey, Small Business"/>
    <s v="Calgary North"/>
    <s v="E. Roy"/>
    <s v="Online"/>
    <n v="3"/>
    <n v="107.18"/>
    <n v="0"/>
    <s v="Debit Card"/>
    <n v="5"/>
    <s v="No"/>
    <s v="Online"/>
    <s v="P1024"/>
    <s v="C0031"/>
    <s v="Calgary North"/>
    <s v="Debit Card"/>
    <n v="1"/>
    <s v="Leo Gagnon"/>
    <s v="Surrey"/>
    <s v="Small Business"/>
    <s v="Food Scale"/>
    <x v="2"/>
    <n v="46.07"/>
    <n v="321.54000000000002"/>
    <n v="0"/>
    <x v="183"/>
    <n v="138.21"/>
    <x v="182"/>
    <n v="0.5701623437208434"/>
    <n v="2025"/>
    <x v="10"/>
    <s v="juillet"/>
    <s v="Q3"/>
    <s v="British Columbia"/>
    <n v="0"/>
  </r>
  <r>
    <s v="ORD-2025-00185"/>
    <d v="2025-11-20T00:00:00"/>
    <s v="C0056"/>
    <s v="P1025"/>
    <s v="Sarah Wilson, Halifax, Consumer"/>
    <s v="Vancouver West"/>
    <s v="S. Patel"/>
    <s v="Marketplace"/>
    <n v="3"/>
    <n v="306.68"/>
    <n v="0.1"/>
    <s v="PayPal"/>
    <n v="8"/>
    <s v="No"/>
    <s v="Marketplace"/>
    <s v="P1025"/>
    <s v="C0056"/>
    <s v="Vancouver West"/>
    <s v="Paypal"/>
    <n v="1"/>
    <s v="Sarah Wilson"/>
    <s v="Halifax"/>
    <s v="Consumer"/>
    <s v="Yoga Mat"/>
    <x v="0"/>
    <n v="197.33"/>
    <n v="920.04"/>
    <n v="92.004000000000005"/>
    <x v="184"/>
    <n v="591.99"/>
    <x v="183"/>
    <n v="0.2850673159138008"/>
    <n v="2025"/>
    <x v="8"/>
    <s v="novembre"/>
    <s v="Q4"/>
    <s v="Nova Scotia"/>
    <n v="0"/>
  </r>
  <r>
    <s v="ORD-2025-00186"/>
    <d v="2025-08-28T00:00:00"/>
    <s v="C0080"/>
    <s v="P1033"/>
    <s v="Sarah Smith, Mississauga, Corporate"/>
    <s v="Calgary North"/>
    <s v="E. Roy"/>
    <s v="Retail Store"/>
    <n v="1"/>
    <n v="317.25"/>
    <n v="0"/>
    <s v="Credit Card"/>
    <n v="4"/>
    <s v="No"/>
    <s v="Retail Store"/>
    <s v="P1033"/>
    <s v="C0080"/>
    <s v="Calgary North"/>
    <s v="Credit Card"/>
    <n v="1"/>
    <s v="Sarah Smith"/>
    <s v="Mississauga"/>
    <s v="Corporate"/>
    <s v="Backpack"/>
    <x v="1"/>
    <n v="152.55000000000001"/>
    <n v="317.25"/>
    <n v="0"/>
    <x v="185"/>
    <n v="152.55000000000001"/>
    <x v="184"/>
    <n v="0.51914893617021274"/>
    <n v="2025"/>
    <x v="7"/>
    <s v="août"/>
    <s v="Q3"/>
    <s v="Ontario"/>
    <n v="0"/>
  </r>
  <r>
    <s v="ORD-2025-00187"/>
    <d v="2025-10-18T00:00:00"/>
    <s v="C0099"/>
    <s v="P1027"/>
    <s v="Amine Gagnon , Laval , Small Business"/>
    <s v="Online Fulfillment"/>
    <s v="J. Tremblay"/>
    <s v="Retail Store"/>
    <n v="5"/>
    <n v="54.02"/>
    <n v="0.2"/>
    <s v="CC"/>
    <n v="3"/>
    <s v="Yes"/>
    <s v="Retail Store"/>
    <s v="P1027"/>
    <s v="C0099"/>
    <s v="Online Fulfillment"/>
    <s v="Credit Card"/>
    <n v="1"/>
    <s v="Amine Gagnon"/>
    <s v="Laval"/>
    <s v="Small Business"/>
    <s v="Kettlebell"/>
    <x v="0"/>
    <n v="25.97"/>
    <n v="270.10000000000002"/>
    <n v="54.02000000000001"/>
    <x v="186"/>
    <n v="129.85"/>
    <x v="185"/>
    <n v="0.3990651610514625"/>
    <n v="2025"/>
    <x v="11"/>
    <s v="octobre"/>
    <s v="Q4"/>
    <s v="Quebec"/>
    <n v="1"/>
  </r>
  <r>
    <s v="ORD-2025-00188"/>
    <d v="2025-08-20T00:00:00"/>
    <s v="C0094"/>
    <s v="P1033"/>
    <s v="Mia Singh, Quebec City, Consumer"/>
    <s v="Toronto Downtown"/>
    <s v="A. Morgan"/>
    <s v="Marketplace"/>
    <n v="3"/>
    <n v="294.42"/>
    <n v="0.05"/>
    <s v="PayPal"/>
    <n v="3"/>
    <s v="No"/>
    <s v="Marketplace"/>
    <s v="P1033"/>
    <s v="C0094"/>
    <s v="Toronto Downtown"/>
    <s v="Paypal"/>
    <n v="1"/>
    <s v="Mia Singh"/>
    <s v="Quebec City"/>
    <s v="Consumer"/>
    <s v="Backpack"/>
    <x v="1"/>
    <n v="152.55000000000001"/>
    <n v="883.26"/>
    <n v="44.163000000000004"/>
    <x v="187"/>
    <n v="457.65000000000003"/>
    <x v="186"/>
    <n v="0.45459225810603537"/>
    <n v="2025"/>
    <x v="7"/>
    <s v="août"/>
    <s v="Q3"/>
    <s v="Quebec"/>
    <n v="0"/>
  </r>
  <r>
    <s v="ORD-2025-00189"/>
    <d v="2025-12-07T00:00:00"/>
    <s v="C0042"/>
    <s v="P1023"/>
    <s v="Emma King, Quebec City, Consumer"/>
    <s v="Montreal Central"/>
    <s v="A. Morgan"/>
    <s v="Online"/>
    <n v="3"/>
    <n v="327.55"/>
    <n v="0.05"/>
    <s v="PayPal"/>
    <n v="1"/>
    <s v="No"/>
    <s v="Online"/>
    <s v="P1023"/>
    <s v="C0042"/>
    <s v="Montreal Central"/>
    <s v="Paypal"/>
    <n v="1"/>
    <s v="Emma King"/>
    <s v="Quebec City"/>
    <s v="Consumer"/>
    <s v="Toaster"/>
    <x v="2"/>
    <n v="152.88"/>
    <n v="982.65000000000009"/>
    <n v="49.132500000000007"/>
    <x v="188"/>
    <n v="458.64"/>
    <x v="187"/>
    <n v="0.50869694462074899"/>
    <n v="2025"/>
    <x v="6"/>
    <s v="décembre"/>
    <s v="Q4"/>
    <s v="Quebec"/>
    <n v="0"/>
  </r>
  <r>
    <s v="ORD-2025-00190"/>
    <d v="2025-11-19T00:00:00"/>
    <s v="C0089"/>
    <s v="P1036"/>
    <s v="Lucas Martin, Vancouver, Consumer"/>
    <s v="Montreal Central"/>
    <s v="J. Tremblay"/>
    <s v="Online"/>
    <n v="1"/>
    <n v="165.76"/>
    <n v="0"/>
    <s v="Credit Card"/>
    <n v="2"/>
    <s v="No"/>
    <s v="Online"/>
    <s v="P1036"/>
    <s v="C0089"/>
    <s v="Montreal Central"/>
    <s v="Credit Card"/>
    <n v="1"/>
    <s v="Lucas Martin"/>
    <s v="Vancouver"/>
    <s v="Consumer"/>
    <s v="Power Bank"/>
    <x v="1"/>
    <n v="76.97"/>
    <n v="165.76"/>
    <n v="0"/>
    <x v="189"/>
    <n v="76.97"/>
    <x v="188"/>
    <n v="0.5356539575289575"/>
    <n v="2025"/>
    <x v="8"/>
    <s v="novembre"/>
    <s v="Q4"/>
    <s v="British Columbia"/>
    <n v="0"/>
  </r>
  <r>
    <s v="ORD-2025-00191"/>
    <d v="2025-03-25T00:00:00"/>
    <s v="C0023"/>
    <s v="P1019"/>
    <s v="Ryan Gagnon, Ottawa, Small Business"/>
    <s v="Online Fulfillment"/>
    <s v="E. Roy"/>
    <s v="Online"/>
    <n v="1"/>
    <n v="279.27"/>
    <n v="0.2"/>
    <s v="Credit  Card"/>
    <n v="1"/>
    <s v="No"/>
    <s v="Online"/>
    <s v="P1019"/>
    <s v="C0023"/>
    <s v="Online Fulfillment"/>
    <s v="Credit Card"/>
    <n v="1"/>
    <s v="Ryan Gagnon"/>
    <s v="Ottawa"/>
    <s v="Small Business"/>
    <s v="Vacuum"/>
    <x v="2"/>
    <n v="186.94"/>
    <n v="279.27"/>
    <n v="55.853999999999999"/>
    <x v="190"/>
    <n v="186.94"/>
    <x v="189"/>
    <n v="0.16326494073835357"/>
    <n v="2025"/>
    <x v="4"/>
    <s v="mars"/>
    <s v="Q1"/>
    <s v="Ontario"/>
    <n v="0"/>
  </r>
  <r>
    <s v="ORD-2025-00192"/>
    <d v="2025-04-25T00:00:00"/>
    <s v="C0055"/>
    <s v="P1010"/>
    <s v="Sarah Scott, Surrey, Consumer"/>
    <s v="Vancouver West"/>
    <s v="R. Singh"/>
    <s v="Online"/>
    <n v="2"/>
    <n v="216.07"/>
    <n v="0.1"/>
    <s v="PayPal"/>
    <n v="9"/>
    <s v="No"/>
    <s v="Online"/>
    <s v="P1010"/>
    <s v="C0055"/>
    <s v="Vancouver West"/>
    <s v="Paypal"/>
    <n v="1"/>
    <s v="Sarah Scott"/>
    <s v="Surrey"/>
    <s v="Consumer"/>
    <s v="Desk Lamp"/>
    <x v="3"/>
    <n v="127.21"/>
    <n v="432.14"/>
    <n v="43.213999999999999"/>
    <x v="191"/>
    <n v="254.42"/>
    <x v="190"/>
    <n v="0.34583956845261055"/>
    <n v="2025"/>
    <x v="9"/>
    <s v="avril"/>
    <s v="Q2"/>
    <s v="British Columbia"/>
    <n v="0"/>
  </r>
  <r>
    <s v="ORD-2025-00193"/>
    <d v="2025-11-05T00:00:00"/>
    <s v="C0055"/>
    <s v="P1003"/>
    <s v="Sarah Scott, Surrey, Consumer"/>
    <s v="Vancouver West"/>
    <s v="N. Brown"/>
    <s v="Retail Store"/>
    <n v="3"/>
    <n v="163.24"/>
    <n v="0.2"/>
    <s v="Credit Card"/>
    <n v="1"/>
    <s v="No"/>
    <s v="Retail Store"/>
    <s v="P1003"/>
    <s v="C0055"/>
    <s v="Vancouver West"/>
    <s v="Credit Card"/>
    <n v="1"/>
    <s v="Sarah Scott"/>
    <s v="Surrey"/>
    <s v="Consumer"/>
    <s v="Mouse"/>
    <x v="4"/>
    <n v="106.4"/>
    <n v="489.72"/>
    <n v="97.944000000000017"/>
    <x v="192"/>
    <n v="319.20000000000005"/>
    <x v="191"/>
    <n v="0.18524871355060024"/>
    <n v="2025"/>
    <x v="8"/>
    <s v="novembre"/>
    <s v="Q4"/>
    <s v="British Columbia"/>
    <n v="0"/>
  </r>
  <r>
    <s v="ORD-2025-00194"/>
    <d v="2025-11-01T00:00:00"/>
    <s v="C0108"/>
    <s v="P1004"/>
    <s v="Noah Lee, Surrey, Consumer"/>
    <s v="Online Fulfillment"/>
    <s v="L. Chen"/>
    <s v="Online"/>
    <n v="2"/>
    <n v="286.33"/>
    <n v="0"/>
    <s v="Credit Card"/>
    <n v="9"/>
    <s v="No"/>
    <s v="Online"/>
    <s v="P1004"/>
    <s v="C0108"/>
    <s v="Online Fulfillment"/>
    <s v="Credit Card"/>
    <n v="1"/>
    <s v="Noah Lee"/>
    <s v="Surrey"/>
    <s v="Consumer"/>
    <s v="Webcam"/>
    <x v="4"/>
    <n v="154.72999999999999"/>
    <n v="572.66"/>
    <n v="0"/>
    <x v="193"/>
    <n v="309.45999999999998"/>
    <x v="192"/>
    <n v="0.45960954143820071"/>
    <n v="2025"/>
    <x v="8"/>
    <s v="novembre"/>
    <s v="Q4"/>
    <s v="British Columbia"/>
    <n v="0"/>
  </r>
  <r>
    <s v="ORD-2025-00195"/>
    <d v="2025-10-10T00:00:00"/>
    <s v="C0089"/>
    <s v="P1023"/>
    <s v="Lucas Martin , Vancouver , Consumer"/>
    <s v="Toronto Downtown"/>
    <s v="J. Tremblay"/>
    <s v="Marketplace"/>
    <n v="2"/>
    <n v="332.58"/>
    <n v="0"/>
    <s v="PayPal"/>
    <n v="2"/>
    <s v="No"/>
    <s v="Marketplace"/>
    <s v="P1023"/>
    <s v="C0089"/>
    <s v="Toronto Downtown"/>
    <s v="Paypal"/>
    <n v="1"/>
    <s v="Lucas Martin"/>
    <s v="Vancouver"/>
    <s v="Consumer"/>
    <s v="Toaster"/>
    <x v="2"/>
    <n v="152.88"/>
    <n v="665.16"/>
    <n v="0"/>
    <x v="194"/>
    <n v="305.76"/>
    <x v="193"/>
    <n v="0.5403211257441819"/>
    <n v="2025"/>
    <x v="11"/>
    <s v="octobre"/>
    <s v="Q4"/>
    <s v="British Columbia"/>
    <n v="0"/>
  </r>
  <r>
    <s v="ORD-2025-00196"/>
    <d v="2025-06-01T00:00:00"/>
    <s v="C0076"/>
    <s v="P1035"/>
    <s v="Maya Taylor, Saskatoon, Corporate"/>
    <s v="Toronto Downtown"/>
    <s v="R. Singh"/>
    <s v="Retail Store"/>
    <n v="5"/>
    <n v="88.5"/>
    <n v="0"/>
    <s v="Debit Card"/>
    <n v="4"/>
    <s v="No"/>
    <s v="Retail Store"/>
    <s v="P1035"/>
    <s v="C0076"/>
    <s v="Toronto Downtown"/>
    <s v="Debit Card"/>
    <n v="1"/>
    <s v="Maya Taylor"/>
    <s v="Saskatoon"/>
    <s v="Corporate"/>
    <s v="Phone Stand"/>
    <x v="1"/>
    <n v="59.85"/>
    <n v="442.5"/>
    <n v="0"/>
    <x v="195"/>
    <n v="299.25"/>
    <x v="194"/>
    <n v="0.32372881355932204"/>
    <n v="2025"/>
    <x v="5"/>
    <s v="juin"/>
    <s v="Q2"/>
    <s v="Saskatchewan"/>
    <n v="0"/>
  </r>
  <r>
    <s v="ORD-2025-00197"/>
    <d v="2025-03-12T00:00:00"/>
    <s v="C0095"/>
    <s v="P1018"/>
    <s v="Maya White, Quebec City, Corporate"/>
    <s v="Montreal Central"/>
    <s v="L. Chen"/>
    <s v="Online"/>
    <n v="1"/>
    <n v="29.43"/>
    <n v="0"/>
    <s v="PayPal"/>
    <n v="6"/>
    <s v="No"/>
    <s v="Online"/>
    <s v="P1018"/>
    <s v="C0095"/>
    <s v="Montreal Central"/>
    <s v="Paypal"/>
    <n v="1"/>
    <s v="Maya White"/>
    <s v="Quebec City"/>
    <s v="Corporate"/>
    <s v="Air Fryer"/>
    <x v="2"/>
    <n v="14.58"/>
    <n v="29.43"/>
    <n v="0"/>
    <x v="196"/>
    <n v="14.58"/>
    <x v="195"/>
    <n v="0.50458715596330272"/>
    <n v="2025"/>
    <x v="4"/>
    <s v="mars"/>
    <s v="Q1"/>
    <s v="Quebec"/>
    <n v="0"/>
  </r>
  <r>
    <s v="ORD-2025-00198"/>
    <d v="2025-12-01T00:00:00"/>
    <s v="C0094"/>
    <s v="P1002"/>
    <s v="Mia Singh, Quebec City, Consumer"/>
    <s v="Toronto Downtown"/>
    <s v="E. Roy"/>
    <s v="Retail Store"/>
    <n v="2"/>
    <n v="36.86"/>
    <n v="0.05"/>
    <s v="Credit Card"/>
    <n v="4"/>
    <s v="No"/>
    <s v="Retail Store"/>
    <s v="P1002"/>
    <s v="C0094"/>
    <s v="Toronto Downtown"/>
    <s v="Credit Card"/>
    <n v="1"/>
    <s v="Mia Singh"/>
    <s v="Quebec City"/>
    <s v="Consumer"/>
    <s v="Keyboard"/>
    <x v="4"/>
    <n v="23.5"/>
    <n v="73.72"/>
    <n v="3.6859999999999999"/>
    <x v="197"/>
    <n v="47"/>
    <x v="196"/>
    <n v="0.32889739269497664"/>
    <n v="2025"/>
    <x v="6"/>
    <s v="décembre"/>
    <s v="Q4"/>
    <s v="Quebec"/>
    <n v="0"/>
  </r>
  <r>
    <s v="ORD-2025-00199"/>
    <d v="2025-05-13T00:00:00"/>
    <s v="C0003"/>
    <s v="P1036"/>
    <s v="Amelia Young, Ottawa, Corporate"/>
    <s v="Online Fulfillment"/>
    <s v="J. Tremblay"/>
    <s v="Online"/>
    <n v="3"/>
    <n v="163.46"/>
    <n v="0.05"/>
    <s v="PayPal"/>
    <n v="3"/>
    <s v="No"/>
    <s v="Online"/>
    <s v="P1036"/>
    <s v="C0003"/>
    <s v="Online Fulfillment"/>
    <s v="Paypal"/>
    <n v="1"/>
    <s v="Amelia Young"/>
    <s v="Ottawa"/>
    <s v="Corporate"/>
    <s v="Power Bank"/>
    <x v="1"/>
    <n v="76.97"/>
    <n v="490.38"/>
    <n v="24.519000000000002"/>
    <x v="198"/>
    <n v="230.91"/>
    <x v="197"/>
    <n v="0.50433713060333452"/>
    <n v="2025"/>
    <x v="1"/>
    <s v="mai"/>
    <s v="Q2"/>
    <s v="Ontario"/>
    <n v="0"/>
  </r>
  <r>
    <s v="ORD-2025-00200"/>
    <d v="2025-06-04T00:00:00"/>
    <s v="C0087"/>
    <s v="P1015"/>
    <s v="Daniel Johnson, Halifax, Consumer"/>
    <s v="Toronto Downtown"/>
    <s v="J. Tremblay"/>
    <s v="Online"/>
    <n v="2"/>
    <n v="388.34"/>
    <n v="0.05"/>
    <s v="PayPal"/>
    <n v="5"/>
    <s v="Yes"/>
    <s v="Online"/>
    <s v="P1015"/>
    <s v="C0087"/>
    <s v="Toronto Downtown"/>
    <s v="Paypal"/>
    <n v="1"/>
    <s v="Daniel Johnson"/>
    <s v="Halifax"/>
    <s v="Consumer"/>
    <s v="Desk Organizer"/>
    <x v="3"/>
    <n v="235.76"/>
    <n v="776.68"/>
    <n v="38.834000000000003"/>
    <x v="199"/>
    <n v="471.52"/>
    <x v="198"/>
    <n v="0.36095065908062118"/>
    <n v="2025"/>
    <x v="5"/>
    <s v="juin"/>
    <s v="Q2"/>
    <s v="Nova Scotia"/>
    <n v="1"/>
  </r>
  <r>
    <s v="ORD-2025-00201"/>
    <d v="2025-02-03T00:00:00"/>
    <s v="C0057"/>
    <s v="P1024"/>
    <s v="Adam Khan, Edmonton, Small Business"/>
    <s v="Vancouver West"/>
    <s v="M. Wilson"/>
    <s v="Online"/>
    <n v="1"/>
    <n v="105.22"/>
    <n v="0.15"/>
    <s v="Credit Card"/>
    <n v="5"/>
    <s v="No"/>
    <s v="Online"/>
    <s v="P1024"/>
    <s v="C0057"/>
    <s v="Vancouver West"/>
    <s v="Credit Card"/>
    <n v="1"/>
    <s v="Adam Khan"/>
    <s v="Edmonton"/>
    <s v="Small Business"/>
    <s v="Food Scale"/>
    <x v="2"/>
    <n v="46.07"/>
    <n v="105.22"/>
    <n v="15.782999999999999"/>
    <x v="200"/>
    <n v="46.07"/>
    <x v="199"/>
    <n v="0.48488880440980803"/>
    <n v="2025"/>
    <x v="2"/>
    <s v="février"/>
    <s v="Q1"/>
    <s v="Alberta"/>
    <n v="0"/>
  </r>
  <r>
    <s v="ORD-2025-00202"/>
    <d v="2025-01-18T00:00:00"/>
    <s v="C0029"/>
    <s v="P1010"/>
    <s v="Olivia White, Victoria, Consumer"/>
    <s v="Calgary North"/>
    <s v="J. Tremblay"/>
    <s v="Online"/>
    <n v="1"/>
    <n v="211.08"/>
    <n v="0.05"/>
    <s v="Credit Card"/>
    <n v="4"/>
    <s v="No"/>
    <s v="Online"/>
    <s v="P1010"/>
    <s v="C0029"/>
    <s v="Calgary North"/>
    <s v="Credit Card"/>
    <n v="1"/>
    <s v="Olivia White"/>
    <s v="Victoria"/>
    <s v="Consumer"/>
    <s v="Desk Lamp"/>
    <x v="3"/>
    <n v="127.21"/>
    <n v="211.08"/>
    <n v="10.554000000000002"/>
    <x v="201"/>
    <n v="127.21"/>
    <x v="200"/>
    <n v="0.36561842354607388"/>
    <n v="2025"/>
    <x v="3"/>
    <s v="janvier"/>
    <s v="Q1"/>
    <s v="British Columbia"/>
    <n v="0"/>
  </r>
  <r>
    <s v="ORD-2025-00203"/>
    <d v="2025-03-08T00:00:00"/>
    <s v="C0120"/>
    <s v="P1012"/>
    <s v="Ethan King, Mississauga, Small Business"/>
    <s v="Toronto Downtown"/>
    <s v="L. Chen"/>
    <s v="Marketplace"/>
    <n v="3"/>
    <n v="79.849999999999994"/>
    <n v="0.05"/>
    <s v="Debit Card"/>
    <n v="7"/>
    <s v="No"/>
    <s v="Marketplace"/>
    <s v="P1012"/>
    <s v="C0120"/>
    <s v="Toronto Downtown"/>
    <s v="Debit Card"/>
    <n v="1"/>
    <s v="Ethan King"/>
    <s v="Mississauga"/>
    <s v="Small Business"/>
    <s v="Standing Desk"/>
    <x v="3"/>
    <n v="45.17"/>
    <n v="239.54999999999998"/>
    <n v="11.977499999999999"/>
    <x v="202"/>
    <n v="135.51"/>
    <x v="201"/>
    <n v="0.4045414098803678"/>
    <n v="2025"/>
    <x v="4"/>
    <s v="mars"/>
    <s v="Q1"/>
    <s v="Ontario"/>
    <n v="0"/>
  </r>
  <r>
    <s v="ORD-2025-00204"/>
    <d v="2025-04-18T00:00:00"/>
    <s v="C0009"/>
    <s v="P1039"/>
    <s v="Ethan Tremblay, Mississauga, Corporate"/>
    <s v="Montreal Central"/>
    <s v="M. Wilson"/>
    <s v="Online"/>
    <n v="3"/>
    <n v="342.66"/>
    <n v="0"/>
    <s v="Credit Card"/>
    <n v="2"/>
    <s v="No"/>
    <s v="Online"/>
    <s v="P1039"/>
    <s v="C0009"/>
    <s v="Montreal Central"/>
    <s v="Credit Card"/>
    <n v="1"/>
    <s v="Ethan Tremblay"/>
    <s v="Mississauga"/>
    <s v="Corporate"/>
    <s v="Travel Adapter"/>
    <x v="1"/>
    <n v="229.86"/>
    <n v="1027.98"/>
    <n v="0"/>
    <x v="203"/>
    <n v="689.58"/>
    <x v="202"/>
    <n v="0.32918928383820695"/>
    <n v="2025"/>
    <x v="9"/>
    <s v="avril"/>
    <s v="Q2"/>
    <s v="Ontario"/>
    <n v="0"/>
  </r>
  <r>
    <s v="ORD-2025-00205"/>
    <d v="2025-07-06T00:00:00"/>
    <s v="C0020"/>
    <s v="P1032"/>
    <s v="Nora Khan, Mississauga, Consumer"/>
    <s v="Montreal Central"/>
    <s v="E. Roy"/>
    <s v="Online"/>
    <n v="1"/>
    <n v="206.56"/>
    <n v="0.2"/>
    <s v="Credit Card"/>
    <n v="7"/>
    <s v="No"/>
    <s v="Online"/>
    <s v="P1032"/>
    <s v="C0020"/>
    <s v="Montreal Central"/>
    <s v="Credit Card"/>
    <n v="1"/>
    <s v="Nora Khan"/>
    <s v="Mississauga"/>
    <s v="Consumer"/>
    <s v="Gym Bag"/>
    <x v="0"/>
    <n v="132.72"/>
    <n v="206.56"/>
    <n v="41.312000000000005"/>
    <x v="204"/>
    <n v="132.72"/>
    <x v="203"/>
    <n v="0.1968435321456235"/>
    <n v="2025"/>
    <x v="10"/>
    <s v="juillet"/>
    <s v="Q3"/>
    <s v="Ontario"/>
    <n v="0"/>
  </r>
  <r>
    <s v="ORD-2025-00206"/>
    <d v="2025-04-27T00:00:00"/>
    <s v="C0066"/>
    <s v="P1023"/>
    <s v="Noah Clark, Laval, Consumer"/>
    <s v="Online Fulfillment"/>
    <s v="J. Tremblay"/>
    <s v="Retail Store"/>
    <n v="1"/>
    <n v="328.44"/>
    <n v="0"/>
    <s v="Credit Card"/>
    <n v="2"/>
    <s v="No"/>
    <s v="Retail Store"/>
    <s v="P1023"/>
    <s v="C0066"/>
    <s v="Online Fulfillment"/>
    <s v="Credit Card"/>
    <n v="1"/>
    <s v="Noah Clark"/>
    <s v="Laval"/>
    <s v="Consumer"/>
    <s v="Toaster"/>
    <x v="2"/>
    <n v="152.88"/>
    <n v="328.44"/>
    <n v="0"/>
    <x v="205"/>
    <n v="152.88"/>
    <x v="204"/>
    <n v="0.53452685421994883"/>
    <n v="2025"/>
    <x v="9"/>
    <s v="avril"/>
    <s v="Q2"/>
    <s v="Quebec"/>
    <n v="0"/>
  </r>
  <r>
    <s v="ORD-2025-00207"/>
    <d v="2025-01-09T00:00:00"/>
    <s v="C0070"/>
    <s v="P1010"/>
    <s v="Sophia Young, Halifax, Corporate"/>
    <s v="Vancouver West"/>
    <s v="S. Patel"/>
    <s v="Online"/>
    <n v="4"/>
    <n v="215.38"/>
    <n v="0"/>
    <s v="Credit Card"/>
    <n v="3"/>
    <s v="Yes"/>
    <s v="Online"/>
    <s v="P1010"/>
    <s v="C0070"/>
    <s v="Vancouver West"/>
    <s v="Credit Card"/>
    <n v="1"/>
    <s v="Sophia Young"/>
    <s v="Halifax"/>
    <s v="Corporate"/>
    <s v="Desk Lamp"/>
    <x v="3"/>
    <n v="127.21"/>
    <n v="861.52"/>
    <n v="0"/>
    <x v="206"/>
    <n v="508.84"/>
    <x v="205"/>
    <n v="0.40936948648899624"/>
    <n v="2025"/>
    <x v="3"/>
    <s v="janvier"/>
    <s v="Q1"/>
    <s v="Nova Scotia"/>
    <n v="1"/>
  </r>
  <r>
    <s v="ORD-2025-00208"/>
    <d v="2025-08-26T00:00:00"/>
    <s v="C0035"/>
    <s v="P1001"/>
    <s v="Amelia Scott, Edmonton, Small Business"/>
    <s v="Montreal Central"/>
    <s v="L. Chen"/>
    <s v="Online"/>
    <n v="1"/>
    <n v="376.44"/>
    <n v="0"/>
    <s v="Credit Card"/>
    <n v="1"/>
    <s v="No"/>
    <s v="Online"/>
    <s v="P1001"/>
    <s v="C0035"/>
    <s v="Montreal Central"/>
    <s v="Credit Card"/>
    <n v="1"/>
    <s v="Amelia Scott"/>
    <s v="Edmonton"/>
    <s v="Small Business"/>
    <s v="Headphones"/>
    <x v="4"/>
    <n v="254.6"/>
    <n v="376.44"/>
    <n v="0"/>
    <x v="207"/>
    <n v="254.6"/>
    <x v="206"/>
    <n v="0.32366379768356179"/>
    <n v="2025"/>
    <x v="7"/>
    <s v="août"/>
    <s v="Q3"/>
    <s v="Alberta"/>
    <n v="0"/>
  </r>
  <r>
    <s v="ORD-2025-00209"/>
    <d v="2025-01-13T00:00:00"/>
    <s v="C0052"/>
    <s v="P1018"/>
    <s v="Liam Bennett, Edmonton, Corporate"/>
    <s v="Vancouver  West"/>
    <s v="E. Roy"/>
    <s v="Retail Store"/>
    <n v="2"/>
    <n v="29.86"/>
    <n v="0.1"/>
    <s v="Debit Card"/>
    <n v="3"/>
    <s v="No"/>
    <s v="Retail Store"/>
    <s v="P1018"/>
    <s v="C0052"/>
    <s v="Vancouver West"/>
    <s v="Debit Card"/>
    <n v="1"/>
    <s v="Liam Bennett"/>
    <s v="Edmonton"/>
    <s v="Corporate"/>
    <s v="Air Fryer"/>
    <x v="2"/>
    <n v="14.58"/>
    <n v="59.72"/>
    <n v="5.9720000000000004"/>
    <x v="208"/>
    <n v="29.16"/>
    <x v="207"/>
    <n v="0.45746818486269253"/>
    <n v="2025"/>
    <x v="3"/>
    <s v="janvier"/>
    <s v="Q1"/>
    <s v="Alberta"/>
    <n v="0"/>
  </r>
  <r>
    <s v="ORD-2025-00210"/>
    <d v="2025-03-02T00:00:00"/>
    <s v="C0048"/>
    <s v="P1028"/>
    <s v="Amelia Brown, Quebec City, Corporate"/>
    <s v="Toronto Downtown"/>
    <s v="S. Patel"/>
    <s v="Retail Store"/>
    <n v="3"/>
    <n v="377.43"/>
    <n v="0.1"/>
    <s v="Credit Card"/>
    <n v="2"/>
    <s v="No"/>
    <s v="Retail Store"/>
    <s v="P1028"/>
    <s v="C0048"/>
    <s v="Toronto Downtown"/>
    <s v="Credit Card"/>
    <n v="1"/>
    <s v="Amelia Brown"/>
    <s v="Quebec City"/>
    <s v="Corporate"/>
    <s v="Foam Roller"/>
    <x v="0"/>
    <n v="212.02"/>
    <n v="1132.29"/>
    <n v="113.229"/>
    <x v="209"/>
    <n v="636.06000000000006"/>
    <x v="208"/>
    <n v="0.375837167745601"/>
    <n v="2025"/>
    <x v="4"/>
    <s v="mars"/>
    <s v="Q1"/>
    <s v="Quebec"/>
    <n v="0"/>
  </r>
  <r>
    <s v="ORD-2025-00211"/>
    <d v="2025-02-12T00:00:00"/>
    <s v="C0009"/>
    <s v="P1017"/>
    <s v="Ethan Tremblay, Mississauga, Corporate"/>
    <s v="Montreal Central"/>
    <s v="E. Roy"/>
    <s v="Online"/>
    <n v="2"/>
    <n v="349.44"/>
    <n v="0.05"/>
    <s v="Debit Card"/>
    <n v="1"/>
    <s v="No"/>
    <s v="Online"/>
    <s v="P1017"/>
    <s v="C0009"/>
    <s v="Montreal Central"/>
    <s v="Debit Card"/>
    <n v="1"/>
    <s v="Ethan Tremblay"/>
    <s v="Mississauga"/>
    <s v="Corporate"/>
    <s v="Coffee Maker"/>
    <x v="2"/>
    <n v="241.16"/>
    <n v="698.88"/>
    <n v="34.944000000000003"/>
    <x v="210"/>
    <n v="482.32"/>
    <x v="209"/>
    <n v="0.27354443801812228"/>
    <n v="2025"/>
    <x v="2"/>
    <s v="février"/>
    <s v="Q1"/>
    <s v="Ontario"/>
    <n v="0"/>
  </r>
  <r>
    <s v="ORD-2025-00212"/>
    <d v="2025-11-29T00:00:00"/>
    <s v="C0099"/>
    <s v="P1028"/>
    <s v="Amine Gagnon, Laval, Small Business"/>
    <s v="Online Fulfillment"/>
    <s v="N. Brown"/>
    <s v="Online"/>
    <n v="1"/>
    <n v="371.09"/>
    <n v="0"/>
    <s v="Debit Card"/>
    <n v="9"/>
    <s v="No"/>
    <s v="Online"/>
    <s v="P1028"/>
    <s v="C0099"/>
    <s v="Online Fulfillment"/>
    <s v="Debit Card"/>
    <n v="1"/>
    <s v="Amine Gagnon"/>
    <s v="Laval"/>
    <s v="Small Business"/>
    <s v="Foam Roller"/>
    <x v="0"/>
    <n v="212.02"/>
    <n v="371.09"/>
    <n v="0"/>
    <x v="211"/>
    <n v="212.02"/>
    <x v="210"/>
    <n v="0.42865612115659268"/>
    <n v="2025"/>
    <x v="8"/>
    <s v="novembre"/>
    <s v="Q4"/>
    <s v="Quebec"/>
    <n v="0"/>
  </r>
  <r>
    <s v="ORD-2025-00213"/>
    <d v="2025-08-29T00:00:00"/>
    <s v="C0087"/>
    <s v="P1002"/>
    <s v="Daniel Johnson, Halifax, Consumer"/>
    <s v="Toronto Downtown"/>
    <s v="N. Brown"/>
    <s v="Online"/>
    <n v="2"/>
    <n v="37.97"/>
    <n v="0.1"/>
    <s v="PayPal"/>
    <n v="7"/>
    <s v="No"/>
    <s v="Online"/>
    <s v="P1002"/>
    <s v="C0087"/>
    <s v="Toronto Downtown"/>
    <s v="Paypal"/>
    <n v="1"/>
    <s v="Daniel Johnson"/>
    <s v="Halifax"/>
    <s v="Consumer"/>
    <s v="Keyboard"/>
    <x v="4"/>
    <n v="23.5"/>
    <n v="75.94"/>
    <n v="7.5940000000000003"/>
    <x v="212"/>
    <n v="47"/>
    <x v="211"/>
    <n v="0.31232259386065025"/>
    <n v="2025"/>
    <x v="7"/>
    <s v="août"/>
    <s v="Q3"/>
    <s v="Nova Scotia"/>
    <n v="0"/>
  </r>
  <r>
    <s v="ORD-2025-00214"/>
    <d v="2025-09-06T00:00:00"/>
    <s v="C0055"/>
    <s v="P1033"/>
    <s v="Sarah Scott, Surrey, Consumer"/>
    <s v="Calgary North"/>
    <s v="N. Brown"/>
    <s v="Online"/>
    <n v="1"/>
    <n v="313.10000000000002"/>
    <n v="0"/>
    <s v="Credit Card"/>
    <n v="8"/>
    <s v="No"/>
    <s v="Online"/>
    <s v="P1033"/>
    <s v="C0055"/>
    <s v="Calgary North"/>
    <s v="Credit Card"/>
    <n v="1"/>
    <s v="Sarah Scott"/>
    <s v="Surrey"/>
    <s v="Consumer"/>
    <s v="Backpack"/>
    <x v="1"/>
    <n v="152.55000000000001"/>
    <n v="313.10000000000002"/>
    <n v="0"/>
    <x v="213"/>
    <n v="152.55000000000001"/>
    <x v="212"/>
    <n v="0.51277547109549659"/>
    <n v="2025"/>
    <x v="0"/>
    <s v="septembre"/>
    <s v="Q3"/>
    <s v="British Columbia"/>
    <n v="0"/>
  </r>
  <r>
    <s v="ORD-2025-00215"/>
    <d v="2025-05-18T00:00:00"/>
    <s v="C0031"/>
    <s v="P1035"/>
    <s v="Leo Gagnon , Surrey , Small Business"/>
    <s v="Online Fulfillment"/>
    <s v="L. Chen"/>
    <s v="Marketplace"/>
    <n v="1"/>
    <n v="88.17"/>
    <n v="0.15"/>
    <s v="Debit Card"/>
    <n v="1"/>
    <s v="No"/>
    <s v="Marketplace"/>
    <s v="P1035"/>
    <s v="C0031"/>
    <s v="Online Fulfillment"/>
    <s v="Debit Card"/>
    <n v="1"/>
    <s v="Leo Gagnon"/>
    <s v="Surrey"/>
    <s v="Small Business"/>
    <s v="Phone Stand"/>
    <x v="1"/>
    <n v="59.85"/>
    <n v="88.17"/>
    <n v="13.2255"/>
    <x v="214"/>
    <n v="59.85"/>
    <x v="213"/>
    <n v="0.20140904269159182"/>
    <n v="2025"/>
    <x v="1"/>
    <s v="mai"/>
    <s v="Q2"/>
    <s v="British Columbia"/>
    <n v="0"/>
  </r>
  <r>
    <s v="ORD-2025-00216"/>
    <d v="2025-01-09T00:00:00"/>
    <s v="C0029"/>
    <s v="P1019"/>
    <s v="Olivia White , Victoria , Consumer"/>
    <s v="Montreal Central"/>
    <s v="N. Brown"/>
    <s v="Retail Store"/>
    <n v="4"/>
    <n v="263.74"/>
    <n v="0"/>
    <s v="Debit Card"/>
    <n v="1"/>
    <s v="Yes"/>
    <s v="Retail Store"/>
    <s v="P1019"/>
    <s v="C0029"/>
    <s v="Montreal Central"/>
    <s v="Debit Card"/>
    <n v="1"/>
    <s v="Olivia White"/>
    <s v="Victoria"/>
    <s v="Consumer"/>
    <s v="Vacuum"/>
    <x v="2"/>
    <n v="186.94"/>
    <n v="1054.96"/>
    <n v="0"/>
    <x v="215"/>
    <n v="747.76"/>
    <x v="214"/>
    <n v="0.29119587472510811"/>
    <n v="2025"/>
    <x v="3"/>
    <s v="janvier"/>
    <s v="Q1"/>
    <s v="British Columbia"/>
    <n v="1"/>
  </r>
  <r>
    <s v="ORD-2025-00217"/>
    <d v="2025-09-05T00:00:00"/>
    <s v="C0086"/>
    <s v="P1005"/>
    <s v="Adam Gagnon, Winnipeg, Consumer"/>
    <s v="Montreal  Central"/>
    <s v="E. Roy"/>
    <s v="Online"/>
    <n v="2"/>
    <n v="240.06"/>
    <n v="0.05"/>
    <s v="Debit Card"/>
    <n v="8"/>
    <s v="No"/>
    <s v="Online"/>
    <s v="P1005"/>
    <s v="C0086"/>
    <s v="Montreal Central"/>
    <s v="Debit Card"/>
    <n v="1"/>
    <s v="Adam Gagnon"/>
    <s v="Winnipeg"/>
    <s v="Consumer"/>
    <s v="Portable SSD"/>
    <x v="4"/>
    <n v="131.19"/>
    <n v="480.12"/>
    <n v="24.006"/>
    <x v="216"/>
    <n v="262.38"/>
    <x v="215"/>
    <n v="0.42474907588892258"/>
    <n v="2025"/>
    <x v="0"/>
    <s v="septembre"/>
    <s v="Q3"/>
    <s v="Manitoba"/>
    <n v="0"/>
  </r>
  <r>
    <s v="ORD-2025-00218"/>
    <d v="2025-11-13T00:00:00"/>
    <s v="C0090"/>
    <s v="P1039"/>
    <s v="Nora Young, Montreal, Small Business"/>
    <s v="Calgary North"/>
    <s v="L. Chen"/>
    <s v="Online"/>
    <n v="4"/>
    <n v="359.78"/>
    <n v="0.05"/>
    <s v="Credit Card"/>
    <n v="3"/>
    <s v="No"/>
    <s v="Online"/>
    <s v="P1039"/>
    <s v="C0090"/>
    <s v="Calgary North"/>
    <s v="Credit Card"/>
    <n v="1"/>
    <s v="Nora Young"/>
    <s v="Montreal"/>
    <s v="Small Business"/>
    <s v="Travel Adapter"/>
    <x v="1"/>
    <n v="229.86"/>
    <n v="1439.12"/>
    <n v="71.956000000000003"/>
    <x v="217"/>
    <n v="919.44"/>
    <x v="216"/>
    <n v="0.32748375469219487"/>
    <n v="2025"/>
    <x v="8"/>
    <s v="novembre"/>
    <s v="Q4"/>
    <s v="Quebec"/>
    <n v="0"/>
  </r>
  <r>
    <s v="ORD-2025-00219"/>
    <d v="2025-10-18T00:00:00"/>
    <s v="C0027"/>
    <s v="P1040"/>
    <s v="Nora Wilson, Toronto, Small Business"/>
    <s v="Calgary North"/>
    <s v="R. Singh"/>
    <s v="Online"/>
    <n v="2"/>
    <n v="303.27"/>
    <n v="0"/>
    <s v="Credit Card"/>
    <n v="1"/>
    <s v="No"/>
    <s v="Online"/>
    <s v="P1040"/>
    <s v="C0027"/>
    <s v="Calgary North"/>
    <s v="Credit Card"/>
    <n v="1"/>
    <s v="Nora Wilson"/>
    <s v="Toronto"/>
    <s v="Small Business"/>
    <s v="Desk Pad"/>
    <x v="1"/>
    <n v="177.57"/>
    <n v="606.54"/>
    <n v="0"/>
    <x v="218"/>
    <n v="355.14"/>
    <x v="217"/>
    <n v="0.41448214462360272"/>
    <n v="2025"/>
    <x v="11"/>
    <s v="octobre"/>
    <s v="Q4"/>
    <s v="Ontario"/>
    <n v="0"/>
  </r>
  <r>
    <s v="ORD-2025-00220"/>
    <d v="2025-06-12T00:00:00"/>
    <s v="C0004"/>
    <s v="P1036"/>
    <s v="Mia Bennett, Laval, Consumer"/>
    <s v="Calgary North"/>
    <s v="A. Morgan"/>
    <s v="Online"/>
    <n v="1"/>
    <n v="152.16"/>
    <n v="0.15"/>
    <s v="PayPal"/>
    <n v="4"/>
    <s v="No"/>
    <s v="Online"/>
    <s v="P1036"/>
    <s v="C0004"/>
    <s v="Calgary North"/>
    <s v="Paypal"/>
    <n v="1"/>
    <s v="Mia Bennett"/>
    <s v="Laval"/>
    <s v="Consumer"/>
    <s v="Power Bank"/>
    <x v="1"/>
    <n v="76.97"/>
    <n v="152.16"/>
    <n v="22.823999999999998"/>
    <x v="219"/>
    <n v="76.97"/>
    <x v="218"/>
    <n v="0.40488340446588739"/>
    <n v="2025"/>
    <x v="5"/>
    <s v="juin"/>
    <s v="Q2"/>
    <s v="Quebec"/>
    <n v="0"/>
  </r>
  <r>
    <s v="ORD-2025-00221"/>
    <d v="2025-06-15T00:00:00"/>
    <s v="C0109"/>
    <s v="P1036"/>
    <s v="Emma Wilson, Victoria, Consumer"/>
    <s v="Toronto Downtown"/>
    <s v="R. Singh"/>
    <s v="Retail Store"/>
    <n v="1"/>
    <n v="159.88"/>
    <n v="0"/>
    <s v="Credit Card"/>
    <n v="4"/>
    <s v="No"/>
    <s v="Retail Store"/>
    <s v="P1036"/>
    <s v="C0109"/>
    <s v="Toronto Downtown"/>
    <s v="Credit Card"/>
    <n v="1"/>
    <s v="Emma Wilson"/>
    <s v="Victoria"/>
    <s v="Consumer"/>
    <s v="Power Bank"/>
    <x v="1"/>
    <n v="76.97"/>
    <n v="159.88"/>
    <n v="0"/>
    <x v="220"/>
    <n v="76.97"/>
    <x v="219"/>
    <n v="0.51857643232424322"/>
    <n v="2025"/>
    <x v="5"/>
    <s v="juin"/>
    <s v="Q2"/>
    <s v="British Columbia"/>
    <n v="0"/>
  </r>
  <r>
    <s v="ORD-2025-00222"/>
    <d v="2025-08-18T00:00:00"/>
    <s v="C0075"/>
    <s v="P1036"/>
    <s v="Amelia Wilson, Vancouver, Consumer"/>
    <s v="Calgary North"/>
    <s v="S. Patel"/>
    <s v="Online"/>
    <n v="3"/>
    <n v="166.23"/>
    <n v="0"/>
    <s v="Credit Card"/>
    <n v="7"/>
    <s v="No"/>
    <s v="Online"/>
    <s v="P1036"/>
    <s v="C0075"/>
    <s v="Calgary North"/>
    <s v="Credit Card"/>
    <n v="1"/>
    <s v="Amelia Wilson"/>
    <s v="Vancouver"/>
    <s v="Consumer"/>
    <s v="Power Bank"/>
    <x v="1"/>
    <n v="76.97"/>
    <n v="498.68999999999994"/>
    <n v="0"/>
    <x v="221"/>
    <n v="230.91"/>
    <x v="220"/>
    <n v="0.53696685315526682"/>
    <n v="2025"/>
    <x v="7"/>
    <s v="août"/>
    <s v="Q3"/>
    <s v="British Columbia"/>
    <n v="0"/>
  </r>
  <r>
    <s v="ORD-2025-00223"/>
    <d v="2025-01-19T00:00:00"/>
    <s v="C0067"/>
    <s v="P1028"/>
    <s v="Leo Bennett, Mississauga, Consumer"/>
    <s v="Vancouver West"/>
    <s v="M. Wilson"/>
    <s v="Online"/>
    <n v="1"/>
    <n v="360.28"/>
    <n v="0.2"/>
    <s v="Credit Card"/>
    <n v="3"/>
    <s v="No"/>
    <s v="Online"/>
    <s v="P1028"/>
    <s v="C0067"/>
    <s v="Vancouver West"/>
    <s v="Credit Card"/>
    <n v="1"/>
    <s v="Leo Bennett"/>
    <s v="Mississauga"/>
    <s v="Consumer"/>
    <s v="Foam Roller"/>
    <x v="0"/>
    <n v="212.02"/>
    <n v="360.28"/>
    <n v="72.055999999999997"/>
    <x v="222"/>
    <n v="212.02"/>
    <x v="221"/>
    <n v="0.26439158432330401"/>
    <n v="2025"/>
    <x v="3"/>
    <s v="janvier"/>
    <s v="Q1"/>
    <s v="Ontario"/>
    <n v="0"/>
  </r>
  <r>
    <s v="ORD-2025-00224"/>
    <d v="2025-02-03T00:00:00"/>
    <s v="C0075"/>
    <s v="P1032"/>
    <s v="Amelia Wilson, Vancouver, Consumer"/>
    <s v="Montreal Central"/>
    <s v="R. Singh"/>
    <s v="Online"/>
    <n v="3"/>
    <n v="210.42"/>
    <n v="0.2"/>
    <s v="Credit Card"/>
    <n v="5"/>
    <s v="No"/>
    <s v="Online"/>
    <s v="P1032"/>
    <s v="C0075"/>
    <s v="Montreal Central"/>
    <s v="Credit Card"/>
    <n v="1"/>
    <s v="Amelia Wilson"/>
    <s v="Vancouver"/>
    <s v="Consumer"/>
    <s v="Gym Bag"/>
    <x v="0"/>
    <n v="132.72"/>
    <n v="631.26"/>
    <n v="126.25200000000001"/>
    <x v="223"/>
    <n v="398.15999999999997"/>
    <x v="222"/>
    <n v="0.21157684630738527"/>
    <n v="2025"/>
    <x v="2"/>
    <s v="février"/>
    <s v="Q1"/>
    <s v="British Columbia"/>
    <n v="0"/>
  </r>
  <r>
    <s v="ORD-2025-00225"/>
    <d v="2025-06-12T00:00:00"/>
    <s v="C0016"/>
    <s v="P1030"/>
    <s v="Nora Singh, Calgary, Consumer"/>
    <s v="Montreal Central"/>
    <s v="E. Roy"/>
    <s v="Online"/>
    <n v="3"/>
    <n v="231.45"/>
    <n v="0"/>
    <s v="Credit Card"/>
    <n v="5"/>
    <s v="No"/>
    <s v="Online"/>
    <s v="P1030"/>
    <s v="C0016"/>
    <s v="Montreal Central"/>
    <s v="Credit Card"/>
    <n v="1"/>
    <s v="Nora Singh"/>
    <s v="Calgary"/>
    <s v="Consumer"/>
    <s v="Pull-up Bar"/>
    <x v="0"/>
    <n v="125.4"/>
    <n v="694.34999999999991"/>
    <n v="0"/>
    <x v="224"/>
    <n v="376.20000000000005"/>
    <x v="223"/>
    <n v="0.45819831497083591"/>
    <n v="2025"/>
    <x v="5"/>
    <s v="juin"/>
    <s v="Q2"/>
    <s v="Alberta"/>
    <n v="0"/>
  </r>
  <r>
    <s v="ORD-2025-00226"/>
    <d v="2025-05-30T00:00:00"/>
    <s v="C0109"/>
    <s v="P1027"/>
    <s v="Emma Wilson, Victoria, Consumer"/>
    <s v="Vancouver West"/>
    <s v="N. Brown"/>
    <s v="Online"/>
    <n v="1"/>
    <n v="55.31"/>
    <n v="0"/>
    <s v="Debit Card"/>
    <n v="2"/>
    <s v="No"/>
    <s v="Online"/>
    <s v="P1027"/>
    <s v="C0109"/>
    <s v="Vancouver West"/>
    <s v="Debit Card"/>
    <n v="1"/>
    <s v="Emma Wilson"/>
    <s v="Victoria"/>
    <s v="Consumer"/>
    <s v="Kettlebell"/>
    <x v="0"/>
    <n v="25.97"/>
    <n v="55.31"/>
    <n v="0"/>
    <x v="225"/>
    <n v="25.97"/>
    <x v="224"/>
    <n v="0.5304646537696619"/>
    <n v="2025"/>
    <x v="1"/>
    <s v="mai"/>
    <s v="Q2"/>
    <s v="British Columbia"/>
    <n v="0"/>
  </r>
  <r>
    <s v="ORD-2025-00227"/>
    <d v="2025-08-28T00:00:00"/>
    <s v="C0083"/>
    <s v="P1025"/>
    <s v="Amine King, Edmonton, Consumer"/>
    <s v="Toronto Downtown"/>
    <s v="M. Wilson"/>
    <s v="Online"/>
    <n v="2"/>
    <n v="304.89"/>
    <n v="0"/>
    <s v="Credit Card"/>
    <n v="5"/>
    <s v="No"/>
    <s v="Online"/>
    <s v="P1025"/>
    <s v="C0083"/>
    <s v="Toronto Downtown"/>
    <s v="Credit Card"/>
    <n v="1"/>
    <s v="Amine King"/>
    <s v="Edmonton"/>
    <s v="Consumer"/>
    <s v="Yoga Mat"/>
    <x v="0"/>
    <n v="197.33"/>
    <n v="609.78"/>
    <n v="0"/>
    <x v="226"/>
    <n v="394.66"/>
    <x v="225"/>
    <n v="0.35278297090754035"/>
    <n v="2025"/>
    <x v="7"/>
    <s v="août"/>
    <s v="Q3"/>
    <s v="Alberta"/>
    <n v="0"/>
  </r>
  <r>
    <s v="ORD-2025-00228"/>
    <d v="2025-07-24T00:00:00"/>
    <s v="C0045"/>
    <s v="P1008"/>
    <s v="Lucas Chen, Ottawa, Corporate"/>
    <s v="Vancouver West"/>
    <s v="L. Chen"/>
    <s v="Marketplace"/>
    <n v="4"/>
    <n v="138.33000000000001"/>
    <n v="0.2"/>
    <s v="Credit Card"/>
    <n v="8"/>
    <s v="No"/>
    <s v="Marketplace"/>
    <s v="P1008"/>
    <s v="C0045"/>
    <s v="Vancouver West"/>
    <s v="Credit Card"/>
    <n v="1"/>
    <s v="Lucas Chen"/>
    <s v="Ottawa"/>
    <s v="Corporate"/>
    <s v="Smart Speaker"/>
    <x v="4"/>
    <n v="69"/>
    <n v="553.32000000000005"/>
    <n v="110.66400000000002"/>
    <x v="227"/>
    <n v="276"/>
    <x v="226"/>
    <n v="0.37649099978312739"/>
    <n v="2025"/>
    <x v="10"/>
    <s v="juillet"/>
    <s v="Q3"/>
    <s v="Ontario"/>
    <n v="0"/>
  </r>
  <r>
    <s v="ORD-2025-00229"/>
    <d v="2025-09-23T00:00:00"/>
    <s v="C0051"/>
    <s v="P1018"/>
    <s v="Daniel Brown, Vancouver, Small Business"/>
    <s v="Montreal Central"/>
    <s v="A. Morgan"/>
    <s v="Online"/>
    <n v="1"/>
    <n v="30.43"/>
    <n v="0.25"/>
    <s v="Debit Card"/>
    <n v="9"/>
    <s v="Yes"/>
    <s v="Online"/>
    <s v="P1018"/>
    <s v="C0051"/>
    <s v="Montreal Central"/>
    <s v="Debit Card"/>
    <n v="1"/>
    <s v="Daniel Brown"/>
    <s v="Vancouver"/>
    <s v="Small Business"/>
    <s v="Air Fryer"/>
    <x v="2"/>
    <n v="14.58"/>
    <n v="30.43"/>
    <n v="7.6074999999999999"/>
    <x v="228"/>
    <n v="14.58"/>
    <x v="227"/>
    <n v="0.36115675320407487"/>
    <n v="2025"/>
    <x v="0"/>
    <s v="septembre"/>
    <s v="Q3"/>
    <s v="British Columbia"/>
    <n v="1"/>
  </r>
  <r>
    <s v="ORD-2025-00230"/>
    <d v="2025-01-08T00:00:00"/>
    <s v="C0060"/>
    <s v="P1029"/>
    <s v="Sarah Wilson , Quebec City , Corporate"/>
    <s v="Montreal Central"/>
    <s v="M. Wilson"/>
    <s v="Online"/>
    <n v="1"/>
    <n v="212.95"/>
    <n v="0.15"/>
    <s v="Debit Card"/>
    <n v="7"/>
    <s v="No"/>
    <s v="Online"/>
    <s v="P1029"/>
    <s v="C0060"/>
    <s v="Montreal Central"/>
    <s v="Debit Card"/>
    <n v="1"/>
    <s v="Sarah Wilson"/>
    <s v="Quebec City"/>
    <s v="Corporate"/>
    <s v="Jump Rope"/>
    <x v="0"/>
    <n v="101"/>
    <n v="212.95"/>
    <n v="31.942499999999995"/>
    <x v="229"/>
    <n v="101"/>
    <x v="228"/>
    <n v="0.44201207132301146"/>
    <n v="2025"/>
    <x v="3"/>
    <s v="janvier"/>
    <s v="Q1"/>
    <s v="Quebec"/>
    <n v="0"/>
  </r>
  <r>
    <s v="ORD-2025-00231"/>
    <d v="2025-02-24T00:00:00"/>
    <s v="C0110"/>
    <s v="P1023"/>
    <s v="Sarah Smith , Laval , Consumer"/>
    <s v="Calgary North"/>
    <s v="L. Chen"/>
    <s v="Online"/>
    <n v="5"/>
    <n v="340.28"/>
    <n v="0"/>
    <s v="Debit Card"/>
    <n v="4"/>
    <s v="No"/>
    <s v="Online"/>
    <s v="P1023"/>
    <s v="C0110"/>
    <s v="Calgary North"/>
    <s v="Debit Card"/>
    <n v="1"/>
    <s v="Sarah Smith"/>
    <s v="Laval"/>
    <s v="Consumer"/>
    <s v="Toaster"/>
    <x v="2"/>
    <n v="152.88"/>
    <n v="1701.3999999999999"/>
    <n v="0"/>
    <x v="230"/>
    <n v="764.4"/>
    <x v="229"/>
    <n v="0.55072293405430817"/>
    <n v="2025"/>
    <x v="2"/>
    <s v="février"/>
    <s v="Q1"/>
    <s v="Quebec"/>
    <n v="0"/>
  </r>
  <r>
    <s v="ORD-2025-00232"/>
    <d v="2025-05-25T00:00:00"/>
    <s v="C0056"/>
    <s v="P1008"/>
    <s v="Sarah Wilson, Halifax, Consumer"/>
    <s v="Montreal Central"/>
    <s v="J. Tremblay"/>
    <s v="Online"/>
    <n v="1"/>
    <n v="141.15"/>
    <n v="0.1"/>
    <s v="Gift Card"/>
    <n v="9"/>
    <s v="No"/>
    <s v="Online"/>
    <s v="P1008"/>
    <s v="C0056"/>
    <s v="Montreal Central"/>
    <s v="Gift Card"/>
    <n v="1"/>
    <s v="Sarah Wilson"/>
    <s v="Halifax"/>
    <s v="Consumer"/>
    <s v="Smart Speaker"/>
    <x v="4"/>
    <n v="69"/>
    <n v="141.15"/>
    <n v="14.115000000000002"/>
    <x v="231"/>
    <n v="69"/>
    <x v="230"/>
    <n v="0.45684260243240049"/>
    <n v="2025"/>
    <x v="1"/>
    <s v="mai"/>
    <s v="Q2"/>
    <s v="Nova Scotia"/>
    <n v="0"/>
  </r>
  <r>
    <s v="ORD-2025-00233"/>
    <d v="2025-01-27T00:00:00"/>
    <s v="C0086"/>
    <s v="P1027"/>
    <s v="Adam Gagnon, Winnipeg, Consumer"/>
    <s v="Montreal Central"/>
    <s v="M. Wilson"/>
    <s v="Online"/>
    <n v="3"/>
    <n v="55.19"/>
    <n v="0.1"/>
    <s v="Credit Card"/>
    <n v="1"/>
    <s v="No"/>
    <s v="Online"/>
    <s v="P1027"/>
    <s v="C0086"/>
    <s v="Montreal Central"/>
    <s v="Credit Card"/>
    <n v="1"/>
    <s v="Adam Gagnon"/>
    <s v="Winnipeg"/>
    <s v="Consumer"/>
    <s v="Kettlebell"/>
    <x v="0"/>
    <n v="25.97"/>
    <n v="165.57"/>
    <n v="16.556999999999999"/>
    <x v="232"/>
    <n v="77.91"/>
    <x v="231"/>
    <n v="0.47715971089770698"/>
    <n v="2025"/>
    <x v="3"/>
    <s v="janvier"/>
    <s v="Q1"/>
    <s v="Manitoba"/>
    <n v="0"/>
  </r>
  <r>
    <s v="ORD-2025-00234"/>
    <d v="2025-05-03T00:00:00"/>
    <s v="C0118"/>
    <s v="P1025"/>
    <s v="Ryan Smith, Victoria, Small Business"/>
    <s v="Online Fulfillment"/>
    <s v="N. Brown"/>
    <s v="Online"/>
    <n v="1"/>
    <n v="297.98"/>
    <n v="0.1"/>
    <s v="Credit Card"/>
    <n v="7"/>
    <s v="No"/>
    <s v="Online"/>
    <s v="P1025"/>
    <s v="C0118"/>
    <s v="Online Fulfillment"/>
    <s v="Credit Card"/>
    <n v="1"/>
    <s v="Ryan Smith"/>
    <s v="Victoria"/>
    <s v="Small Business"/>
    <s v="Yoga Mat"/>
    <x v="0"/>
    <n v="197.33"/>
    <n v="297.98"/>
    <n v="29.798000000000002"/>
    <x v="233"/>
    <n v="197.33"/>
    <x v="232"/>
    <n v="0.26419371919069884"/>
    <n v="2025"/>
    <x v="1"/>
    <s v="mai"/>
    <s v="Q2"/>
    <s v="British Columbia"/>
    <n v="0"/>
  </r>
  <r>
    <s v="ORD-2025-00235"/>
    <d v="2025-06-26T00:00:00"/>
    <s v="C0090"/>
    <s v="P1023"/>
    <s v="Nora Young, Montreal, Small Business"/>
    <s v="Toronto Downtown"/>
    <s v="S. Patel"/>
    <s v="Retail Store"/>
    <n v="1"/>
    <n v="338.18"/>
    <n v="0.15"/>
    <s v="Debit Card"/>
    <n v="1"/>
    <s v="No"/>
    <s v="Retail Store"/>
    <s v="P1023"/>
    <s v="C0090"/>
    <s v="Toronto Downtown"/>
    <s v="Debit Card"/>
    <n v="1"/>
    <s v="Nora Young"/>
    <s v="Montreal"/>
    <s v="Small Business"/>
    <s v="Toaster"/>
    <x v="2"/>
    <n v="152.88"/>
    <n v="338.18"/>
    <n v="50.726999999999997"/>
    <x v="234"/>
    <n v="152.88"/>
    <x v="233"/>
    <n v="0.46815653341589764"/>
    <n v="2025"/>
    <x v="5"/>
    <s v="juin"/>
    <s v="Q2"/>
    <s v="Quebec"/>
    <n v="0"/>
  </r>
  <r>
    <s v="ORD-2025-00236"/>
    <d v="2025-03-03T00:00:00"/>
    <s v="C0058"/>
    <s v="P1018"/>
    <s v="Mia Singh, Laval, Consumer"/>
    <s v="Calgary North"/>
    <s v="N. Brown"/>
    <s v="Online"/>
    <n v="1"/>
    <n v="29.8"/>
    <n v="0.2"/>
    <s v="Credit Card"/>
    <n v="7"/>
    <s v="No"/>
    <s v="Online"/>
    <s v="P1018"/>
    <s v="C0058"/>
    <s v="Calgary North"/>
    <s v="Credit Card"/>
    <n v="1"/>
    <s v="Mia Singh"/>
    <s v="Laval"/>
    <s v="Consumer"/>
    <s v="Air Fryer"/>
    <x v="2"/>
    <n v="14.58"/>
    <n v="29.8"/>
    <n v="5.9600000000000009"/>
    <x v="235"/>
    <n v="14.58"/>
    <x v="234"/>
    <n v="0.38842281879194629"/>
    <n v="2025"/>
    <x v="4"/>
    <s v="mars"/>
    <s v="Q1"/>
    <s v="Quebec"/>
    <n v="0"/>
  </r>
  <r>
    <s v="ORD-2025-00237"/>
    <d v="2025-06-26T00:00:00"/>
    <s v="C0082"/>
    <s v="P1002"/>
    <s v="Ryan King, Winnipeg, Small Business"/>
    <s v="Online Fulfillment"/>
    <s v="J. Tremblay"/>
    <s v="Online"/>
    <n v="1"/>
    <n v="40.01"/>
    <n v="0"/>
    <s v="Gift Card"/>
    <n v="8"/>
    <s v="No"/>
    <s v="Online"/>
    <s v="P1002"/>
    <s v="C0082"/>
    <s v="Online Fulfillment"/>
    <s v="Gift Card"/>
    <n v="1"/>
    <s v="Ryan King"/>
    <s v="Winnipeg"/>
    <s v="Small Business"/>
    <s v="Keyboard"/>
    <x v="4"/>
    <n v="23.5"/>
    <n v="40.01"/>
    <n v="0"/>
    <x v="236"/>
    <n v="23.5"/>
    <x v="235"/>
    <n v="0.41264683829042736"/>
    <n v="2025"/>
    <x v="5"/>
    <s v="juin"/>
    <s v="Q2"/>
    <s v="Manitoba"/>
    <n v="0"/>
  </r>
  <r>
    <s v="ORD-2025-00238"/>
    <d v="2025-04-05T00:00:00"/>
    <s v="C0003"/>
    <s v="P1005"/>
    <s v="Amelia Young, Ottawa, Corporate"/>
    <s v="Toronto Downtown"/>
    <s v="R. Singh"/>
    <s v="Online"/>
    <n v="4"/>
    <n v="236.6"/>
    <n v="0.1"/>
    <s v="PayPal"/>
    <n v="2"/>
    <s v="No"/>
    <s v="Online"/>
    <s v="P1005"/>
    <s v="C0003"/>
    <s v="Toronto Downtown"/>
    <s v="Paypal"/>
    <n v="1"/>
    <s v="Amelia Young"/>
    <s v="Ottawa"/>
    <s v="Corporate"/>
    <s v="Portable SSD"/>
    <x v="4"/>
    <n v="131.19"/>
    <n v="946.4"/>
    <n v="94.64"/>
    <x v="237"/>
    <n v="524.76"/>
    <x v="236"/>
    <n v="0.38391096083403775"/>
    <n v="2025"/>
    <x v="9"/>
    <s v="avril"/>
    <s v="Q2"/>
    <s v="Ontario"/>
    <n v="0"/>
  </r>
  <r>
    <s v="ORD-2025-00239"/>
    <d v="2025-09-27T00:00:00"/>
    <s v="C0031"/>
    <s v="P1024"/>
    <s v="Leo Gagnon, Surrey, Small Business"/>
    <s v="Vancouver West"/>
    <s v="R. Singh"/>
    <s v="Retail Store"/>
    <n v="1"/>
    <n v="97.2"/>
    <n v="0.15"/>
    <s v="Debit Card"/>
    <n v="3"/>
    <s v="No"/>
    <s v="Retail Store"/>
    <s v="P1024"/>
    <s v="C0031"/>
    <s v="Vancouver West"/>
    <s v="Debit Card"/>
    <n v="1"/>
    <s v="Leo Gagnon"/>
    <s v="Surrey"/>
    <s v="Small Business"/>
    <s v="Food Scale"/>
    <x v="2"/>
    <n v="46.07"/>
    <n v="97.2"/>
    <n v="14.58"/>
    <x v="238"/>
    <n v="46.07"/>
    <x v="237"/>
    <n v="0.4423868312757202"/>
    <n v="2025"/>
    <x v="0"/>
    <s v="septembre"/>
    <s v="Q3"/>
    <s v="British Columbia"/>
    <n v="0"/>
  </r>
  <r>
    <s v="ORD-2025-00240"/>
    <d v="2025-05-31T00:00:00"/>
    <s v="C0082"/>
    <s v="P1029"/>
    <s v="Ryan King, Winnipeg, Small Business"/>
    <s v="Montreal Central"/>
    <s v="E. Roy"/>
    <s v="Retail Store"/>
    <n v="1"/>
    <n v="213.45"/>
    <n v="0.1"/>
    <s v="PayPal"/>
    <n v="0"/>
    <s v="No"/>
    <s v="Retail Store"/>
    <s v="P1029"/>
    <s v="C0082"/>
    <s v="Montreal Central"/>
    <s v="Paypal"/>
    <n v="1"/>
    <s v="Ryan King"/>
    <s v="Winnipeg"/>
    <s v="Small Business"/>
    <s v="Jump Rope"/>
    <x v="0"/>
    <n v="101"/>
    <n v="213.45"/>
    <n v="21.344999999999999"/>
    <x v="239"/>
    <n v="101"/>
    <x v="238"/>
    <n v="0.47424585513130835"/>
    <n v="2025"/>
    <x v="1"/>
    <s v="mai"/>
    <s v="Q2"/>
    <s v="Manitoba"/>
    <n v="0"/>
  </r>
  <r>
    <s v="ORD-2025-00241"/>
    <d v="2025-11-13T00:00:00"/>
    <s v="C0062"/>
    <s v="P1035"/>
    <s v="Yasmine Scott, Toronto, Consumer"/>
    <s v="Toronto Downtown"/>
    <s v="E. Roy"/>
    <s v="Retail Store"/>
    <n v="1"/>
    <n v="85.67"/>
    <n v="0.2"/>
    <s v="Credit Card"/>
    <n v="1"/>
    <s v="No"/>
    <s v="Retail Store"/>
    <s v="P1035"/>
    <s v="C0062"/>
    <s v="Toronto Downtown"/>
    <s v="Credit Card"/>
    <n v="1"/>
    <s v="Yasmine Scott"/>
    <s v="Toronto"/>
    <s v="Consumer"/>
    <s v="Phone Stand"/>
    <x v="1"/>
    <n v="59.85"/>
    <n v="85.67"/>
    <n v="17.134"/>
    <x v="240"/>
    <n v="59.85"/>
    <x v="239"/>
    <n v="0.12673631376211042"/>
    <n v="2025"/>
    <x v="8"/>
    <s v="novembre"/>
    <s v="Q4"/>
    <s v="Ontario"/>
    <n v="0"/>
  </r>
  <r>
    <s v="ORD-2025-00242"/>
    <d v="2025-06-07T00:00:00"/>
    <s v="C0038"/>
    <s v="P1035"/>
    <s v="Noah Brown, Montreal, Consumer"/>
    <s v="Montreal Central"/>
    <s v="A. Morgan"/>
    <s v="Online"/>
    <n v="1"/>
    <n v="86.15"/>
    <n v="0.15"/>
    <s v="Debit Card"/>
    <n v="1"/>
    <s v="No"/>
    <s v="Online"/>
    <s v="P1035"/>
    <s v="C0038"/>
    <s v="Montreal Central"/>
    <s v="Debit Card"/>
    <n v="1"/>
    <s v="Noah Brown"/>
    <s v="Montreal"/>
    <s v="Consumer"/>
    <s v="Phone Stand"/>
    <x v="1"/>
    <n v="59.85"/>
    <n v="86.15"/>
    <n v="12.922500000000001"/>
    <x v="241"/>
    <n v="59.85"/>
    <x v="240"/>
    <n v="0.18268410091837087"/>
    <n v="2025"/>
    <x v="5"/>
    <s v="juin"/>
    <s v="Q2"/>
    <s v="Quebec"/>
    <n v="0"/>
  </r>
  <r>
    <s v="ORD-2025-00243"/>
    <d v="2025-10-24T00:00:00"/>
    <s v="C0113"/>
    <s v="P1026"/>
    <s v="Olivia Johnson , Surrey , Consumer"/>
    <s v="Calgary North"/>
    <s v="E. Roy"/>
    <s v="Online"/>
    <n v="2"/>
    <n v="217.71"/>
    <n v="0.05"/>
    <s v="Credit Card"/>
    <n v="4"/>
    <s v="No"/>
    <s v="Online"/>
    <s v="P1026"/>
    <s v="C0113"/>
    <s v="Calgary North"/>
    <s v="Credit Card"/>
    <n v="1"/>
    <s v="Olivia Johnson"/>
    <s v="Surrey"/>
    <s v="Consumer"/>
    <s v="Resistance Bands"/>
    <x v="0"/>
    <n v="139.19999999999999"/>
    <n v="435.42"/>
    <n v="21.771000000000001"/>
    <x v="242"/>
    <n v="278.39999999999998"/>
    <x v="241"/>
    <n v="0.32696561577569394"/>
    <n v="2025"/>
    <x v="11"/>
    <s v="octobre"/>
    <s v="Q4"/>
    <s v="British Columbia"/>
    <n v="0"/>
  </r>
  <r>
    <s v="ORD-2025-00244"/>
    <d v="2025-09-23T00:00:00"/>
    <s v="C0068"/>
    <s v="P1031"/>
    <s v="Yasmine Martin, Calgary, Consumer"/>
    <s v="Calgary North"/>
    <s v="L. Chen"/>
    <s v="Marketplace"/>
    <n v="3"/>
    <n v="251.49"/>
    <n v="0.15"/>
    <s v="Debit Card"/>
    <n v="6"/>
    <s v="No"/>
    <s v="Marketplace"/>
    <s v="P1031"/>
    <s v="C0068"/>
    <s v="Calgary North"/>
    <s v="Debit Card"/>
    <n v="1"/>
    <s v="Yasmine Martin"/>
    <s v="Calgary"/>
    <s v="Consumer"/>
    <s v="Dumbbell Set"/>
    <x v="0"/>
    <n v="131.72999999999999"/>
    <n v="754.47"/>
    <n v="113.1705"/>
    <x v="243"/>
    <n v="395.18999999999994"/>
    <x v="242"/>
    <n v="0.38376686711902958"/>
    <n v="2025"/>
    <x v="0"/>
    <s v="septembre"/>
    <s v="Q3"/>
    <s v="Alberta"/>
    <n v="0"/>
  </r>
  <r>
    <s v="ORD-2025-00245"/>
    <d v="2025-07-12T00:00:00"/>
    <s v="C0109"/>
    <s v="P1017"/>
    <s v="Emma Wilson, Victoria, Consumer"/>
    <s v="Vancouver West"/>
    <s v="R. Singh"/>
    <s v="Retail Store"/>
    <n v="2"/>
    <n v="373.3"/>
    <n v="0"/>
    <s v="Credit Card"/>
    <n v="4"/>
    <s v="Yes"/>
    <s v="Retail Store"/>
    <s v="P1017"/>
    <s v="C0109"/>
    <s v="Vancouver West"/>
    <s v="Credit Card"/>
    <n v="1"/>
    <s v="Emma Wilson"/>
    <s v="Victoria"/>
    <s v="Consumer"/>
    <s v="Coffee Maker"/>
    <x v="2"/>
    <n v="241.16"/>
    <n v="746.6"/>
    <n v="0"/>
    <x v="244"/>
    <n v="482.32"/>
    <x v="243"/>
    <n v="0.35397803375301368"/>
    <n v="2025"/>
    <x v="10"/>
    <s v="juillet"/>
    <s v="Q3"/>
    <s v="British Columbia"/>
    <n v="1"/>
  </r>
  <r>
    <s v="ORD-2025-00246"/>
    <d v="2025-12-22T00:00:00"/>
    <s v="C0033"/>
    <s v="P1007"/>
    <s v="Maya Hall, Winnipeg, Consumer"/>
    <s v="Toronto Downtown"/>
    <s v="M. Wilson"/>
    <s v="Online"/>
    <n v="1"/>
    <n v="359.5"/>
    <n v="0"/>
    <s v="PayPal"/>
    <n v="2"/>
    <s v="No"/>
    <s v="Online"/>
    <s v="P1007"/>
    <s v="C0033"/>
    <s v="Toronto Downtown"/>
    <s v="Paypal"/>
    <n v="1"/>
    <s v="Maya Hall"/>
    <s v="Winnipeg"/>
    <s v="Consumer"/>
    <s v="Monitor"/>
    <x v="4"/>
    <n v="224.47"/>
    <n v="359.5"/>
    <n v="0"/>
    <x v="245"/>
    <n v="224.47"/>
    <x v="244"/>
    <n v="0.37560500695410293"/>
    <n v="2025"/>
    <x v="6"/>
    <s v="décembre"/>
    <s v="Q4"/>
    <s v="Manitoba"/>
    <n v="0"/>
  </r>
  <r>
    <s v="ORD-2025-00247"/>
    <d v="2025-03-27T00:00:00"/>
    <s v="C0083"/>
    <s v="P1022"/>
    <s v="Amine King, Edmonton, Consumer"/>
    <s v="Montreal Central"/>
    <s v="N. Brown"/>
    <s v="Retail Store"/>
    <n v="2"/>
    <n v="416.38"/>
    <n v="0.1"/>
    <s v="Credit Card"/>
    <n v="4"/>
    <s v="No"/>
    <s v="Retail Store"/>
    <s v="P1022"/>
    <s v="C0083"/>
    <s v="Montreal Central"/>
    <s v="Credit Card"/>
    <n v="1"/>
    <s v="Amine King"/>
    <s v="Edmonton"/>
    <s v="Consumer"/>
    <s v="Humidifier"/>
    <x v="2"/>
    <n v="239.67"/>
    <n v="832.76"/>
    <n v="83.27600000000001"/>
    <x v="246"/>
    <n v="479.34"/>
    <x v="245"/>
    <n v="0.36043998270810312"/>
    <n v="2025"/>
    <x v="4"/>
    <s v="mars"/>
    <s v="Q1"/>
    <s v="Alberta"/>
    <n v="0"/>
  </r>
  <r>
    <s v="ORD-2025-00248"/>
    <d v="2025-03-13T00:00:00"/>
    <s v="C0109"/>
    <s v="P1027"/>
    <s v="Emma Wilson , Victoria , Consumer"/>
    <s v="Montreal Central"/>
    <s v="S. Patel"/>
    <s v="Retail Store"/>
    <n v="3"/>
    <n v="58.01"/>
    <n v="0"/>
    <s v="Debit Card"/>
    <n v="3"/>
    <s v="No"/>
    <s v="Retail Store"/>
    <s v="P1027"/>
    <s v="C0109"/>
    <s v="Montreal Central"/>
    <s v="Debit Card"/>
    <n v="1"/>
    <s v="Emma Wilson"/>
    <s v="Victoria"/>
    <s v="Consumer"/>
    <s v="Kettlebell"/>
    <x v="0"/>
    <n v="25.97"/>
    <n v="174.03"/>
    <n v="0"/>
    <x v="247"/>
    <n v="77.91"/>
    <x v="246"/>
    <n v="0.55231856576452343"/>
    <n v="2025"/>
    <x v="4"/>
    <s v="mars"/>
    <s v="Q1"/>
    <s v="British Columbia"/>
    <n v="0"/>
  </r>
  <r>
    <s v="ORD-2025-00249"/>
    <d v="2025-07-26T00:00:00"/>
    <s v="C0024"/>
    <s v="P1035"/>
    <s v="Ryan King, Mississauga, Consumer"/>
    <s v="Montreal Central"/>
    <s v="A. Morgan"/>
    <s v="Online"/>
    <n v="2"/>
    <n v="83.7"/>
    <n v="0.05"/>
    <s v="Credit  Card"/>
    <n v="1"/>
    <s v="No"/>
    <s v="Online"/>
    <s v="P1035"/>
    <s v="C0024"/>
    <s v="Montreal Central"/>
    <s v="Credit Card"/>
    <n v="1"/>
    <s v="Ryan King"/>
    <s v="Mississauga"/>
    <s v="Consumer"/>
    <s v="Phone Stand"/>
    <x v="1"/>
    <n v="59.85"/>
    <n v="167.4"/>
    <n v="8.370000000000001"/>
    <x v="248"/>
    <n v="119.7"/>
    <x v="247"/>
    <n v="0.24731182795698922"/>
    <n v="2025"/>
    <x v="10"/>
    <s v="juillet"/>
    <s v="Q3"/>
    <s v="Ontario"/>
    <n v="0"/>
  </r>
  <r>
    <s v="ORD-2025-00250"/>
    <d v="2025-07-04T00:00:00"/>
    <s v="C0104"/>
    <s v="P1015"/>
    <s v="Ava Scott, Edmonton, Corporate"/>
    <s v="Toronto Downtown"/>
    <s v="A. Morgan"/>
    <s v="Marketplace"/>
    <n v="1"/>
    <n v="385.1"/>
    <n v="0.1"/>
    <s v="Credit Card"/>
    <n v="3"/>
    <s v="No"/>
    <s v="Marketplace"/>
    <s v="P1015"/>
    <s v="C0104"/>
    <s v="Toronto Downtown"/>
    <s v="Credit Card"/>
    <n v="1"/>
    <s v="Ava Scott"/>
    <s v="Edmonton"/>
    <s v="Corporate"/>
    <s v="Desk Organizer"/>
    <x v="3"/>
    <n v="235.76"/>
    <n v="385.1"/>
    <n v="38.510000000000005"/>
    <x v="249"/>
    <n v="235.76"/>
    <x v="248"/>
    <n v="0.31977264202660211"/>
    <n v="2025"/>
    <x v="10"/>
    <s v="juillet"/>
    <s v="Q3"/>
    <s v="Alberta"/>
    <n v="0"/>
  </r>
  <r>
    <s v="ORD-2025-00251"/>
    <d v="2025-08-15T00:00:00"/>
    <s v="C0083"/>
    <s v="P1021"/>
    <s v="Amine King, Edmonton, Consumer"/>
    <s v="Online Fulfillment"/>
    <s v="R. Singh"/>
    <s v="Online"/>
    <n v="1"/>
    <n v="296.18"/>
    <n v="0"/>
    <s v="Credit Card"/>
    <n v="4"/>
    <s v="No"/>
    <s v="Online"/>
    <s v="P1021"/>
    <s v="C0083"/>
    <s v="Online Fulfillment"/>
    <s v="Credit Card"/>
    <n v="1"/>
    <s v="Amine King"/>
    <s v="Edmonton"/>
    <s v="Consumer"/>
    <s v="Kettle"/>
    <x v="2"/>
    <n v="139.86000000000001"/>
    <n v="296.18"/>
    <n v="0"/>
    <x v="250"/>
    <n v="139.86000000000001"/>
    <x v="249"/>
    <n v="0.52778715645891006"/>
    <n v="2025"/>
    <x v="7"/>
    <s v="août"/>
    <s v="Q3"/>
    <s v="Alberta"/>
    <n v="0"/>
  </r>
  <r>
    <s v="ORD-2025-00252"/>
    <d v="2025-04-29T00:00:00"/>
    <s v="C0080"/>
    <s v="P1037"/>
    <s v="Sarah Smith, Mississauga, Corporate"/>
    <s v="Vancouver West"/>
    <s v="A. Morgan"/>
    <s v="Retail Store"/>
    <n v="2"/>
    <n v="352.88"/>
    <n v="0.15"/>
    <s v="Credit Card"/>
    <n v="2"/>
    <s v="No"/>
    <s v="Retail Store"/>
    <s v="P1037"/>
    <s v="C0080"/>
    <s v="Vancouver West"/>
    <s v="Credit Card"/>
    <n v="1"/>
    <s v="Sarah Smith"/>
    <s v="Mississauga"/>
    <s v="Corporate"/>
    <s v="Cable Set"/>
    <x v="1"/>
    <n v="200.16"/>
    <n v="705.76"/>
    <n v="105.86399999999999"/>
    <x v="251"/>
    <n v="400.32"/>
    <x v="250"/>
    <n v="0.33268433195087144"/>
    <n v="2025"/>
    <x v="9"/>
    <s v="avril"/>
    <s v="Q2"/>
    <s v="Ontario"/>
    <n v="0"/>
  </r>
  <r>
    <s v="ORD-2025-00253"/>
    <d v="2025-02-03T00:00:00"/>
    <s v="C0055"/>
    <s v="P1002"/>
    <s v="Sarah Scott, Surrey, Consumer"/>
    <s v="Calgary North"/>
    <s v="N. Brown"/>
    <s v="Marketplace"/>
    <n v="3"/>
    <n v="36.1"/>
    <n v="0"/>
    <s v="Credit Card"/>
    <n v="8"/>
    <s v="No"/>
    <s v="Marketplace"/>
    <s v="P1002"/>
    <s v="C0055"/>
    <s v="Calgary North"/>
    <s v="Credit Card"/>
    <n v="1"/>
    <s v="Sarah Scott"/>
    <s v="Surrey"/>
    <s v="Consumer"/>
    <s v="Keyboard"/>
    <x v="4"/>
    <n v="23.5"/>
    <n v="108.30000000000001"/>
    <n v="0"/>
    <x v="252"/>
    <n v="70.5"/>
    <x v="251"/>
    <n v="0.34903047091412748"/>
    <n v="2025"/>
    <x v="2"/>
    <s v="février"/>
    <s v="Q1"/>
    <s v="British Columbia"/>
    <n v="0"/>
  </r>
  <r>
    <s v="ORD-2025-00254"/>
    <d v="2025-06-21T00:00:00"/>
    <s v="C0011"/>
    <s v="P1006"/>
    <s v="Ethan Hall, Quebec City, Consumer"/>
    <s v="Calgary North"/>
    <s v="J. Tremblay"/>
    <s v="Retail Store"/>
    <n v="1"/>
    <n v="101.87"/>
    <n v="0.1"/>
    <s v="Debit Card"/>
    <n v="2"/>
    <s v="No"/>
    <s v="Retail Store"/>
    <s v="P1006"/>
    <s v="C0011"/>
    <s v="Calgary North"/>
    <s v="Debit Card"/>
    <n v="1"/>
    <s v="Ethan Hall"/>
    <s v="Quebec City"/>
    <s v="Consumer"/>
    <s v="USB-C Hub"/>
    <x v="4"/>
    <n v="72"/>
    <n v="101.87"/>
    <n v="10.187000000000001"/>
    <x v="253"/>
    <n v="72"/>
    <x v="252"/>
    <n v="0.21468538333169732"/>
    <n v="2025"/>
    <x v="5"/>
    <s v="juin"/>
    <s v="Q2"/>
    <s v="Quebec"/>
    <n v="0"/>
  </r>
  <r>
    <s v="ORD-2025-00255"/>
    <d v="2025-12-29T00:00:00"/>
    <s v="C0050"/>
    <s v="P1039"/>
    <s v="Sarah Singh, Mississauga, Consumer"/>
    <s v="Calgary North"/>
    <s v="E. Roy"/>
    <s v="Online"/>
    <n v="2"/>
    <n v="349.83"/>
    <n v="0"/>
    <s v="Debit Card"/>
    <n v="4"/>
    <s v="No"/>
    <s v="Online"/>
    <s v="P1039"/>
    <s v="C0050"/>
    <s v="Calgary North"/>
    <s v="Debit Card"/>
    <n v="1"/>
    <s v="Sarah Singh"/>
    <s v="Mississauga"/>
    <s v="Consumer"/>
    <s v="Travel Adapter"/>
    <x v="1"/>
    <n v="229.86"/>
    <n v="699.66"/>
    <n v="0"/>
    <x v="254"/>
    <n v="459.72"/>
    <x v="253"/>
    <n v="0.34293799845639306"/>
    <n v="2025"/>
    <x v="6"/>
    <s v="décembre"/>
    <s v="Q4"/>
    <s v="Ontario"/>
    <n v="0"/>
  </r>
  <r>
    <s v="ORD-2025-00256"/>
    <d v="2025-05-09T00:00:00"/>
    <s v="C0051"/>
    <s v="P1037"/>
    <s v="Daniel Brown, Vancouver, Small Business"/>
    <s v="Vancouver West"/>
    <s v="L. Chen"/>
    <s v="Online"/>
    <n v="1"/>
    <n v="343.83"/>
    <n v="0"/>
    <s v="Debit  Card"/>
    <n v="6"/>
    <s v="No"/>
    <s v="Online"/>
    <s v="P1037"/>
    <s v="C0051"/>
    <s v="Vancouver West"/>
    <s v="Debit Card"/>
    <n v="1"/>
    <s v="Daniel Brown"/>
    <s v="Vancouver"/>
    <s v="Small Business"/>
    <s v="Cable Set"/>
    <x v="1"/>
    <n v="200.16"/>
    <n v="343.83"/>
    <n v="0"/>
    <x v="255"/>
    <n v="200.16"/>
    <x v="254"/>
    <n v="0.41785184538870951"/>
    <n v="2025"/>
    <x v="1"/>
    <s v="mai"/>
    <s v="Q2"/>
    <s v="British Columbia"/>
    <n v="0"/>
  </r>
  <r>
    <s v="ORD-2025-00257"/>
    <d v="2025-06-30T00:00:00"/>
    <s v="C0092"/>
    <s v="P1026"/>
    <s v="Lucas Tremblay, Saskatoon, Consumer"/>
    <s v="Vancouver West"/>
    <s v="R. Singh"/>
    <s v="Online"/>
    <n v="5"/>
    <n v="214.13"/>
    <n v="0.15"/>
    <s v="Credit Card"/>
    <n v="3"/>
    <s v="No"/>
    <s v="Online"/>
    <s v="P1026"/>
    <s v="C0092"/>
    <s v="Vancouver West"/>
    <s v="Credit Card"/>
    <n v="1"/>
    <s v="Lucas Tremblay"/>
    <s v="Saskatoon"/>
    <s v="Consumer"/>
    <s v="Resistance Bands"/>
    <x v="0"/>
    <n v="139.19999999999999"/>
    <n v="1070.6500000000001"/>
    <n v="160.5975"/>
    <x v="256"/>
    <n v="696"/>
    <x v="255"/>
    <n v="0.23520895772496653"/>
    <n v="2025"/>
    <x v="5"/>
    <s v="juin"/>
    <s v="Q2"/>
    <s v="Saskatchewan"/>
    <n v="0"/>
  </r>
  <r>
    <s v="ORD-2025-00258"/>
    <d v="2025-06-09T00:00:00"/>
    <s v="C0114"/>
    <s v="P1009"/>
    <s v="Olivia Johnson, Ottawa, Consumer"/>
    <s v="Online Fulfillment"/>
    <s v="M. Wilson"/>
    <s v="Online"/>
    <n v="2"/>
    <n v="278.27"/>
    <n v="0.2"/>
    <s v="Debit Card"/>
    <n v="5"/>
    <s v="No"/>
    <s v="Online"/>
    <s v="P1009"/>
    <s v="C0114"/>
    <s v="Online Fulfillment"/>
    <s v="Debit Card"/>
    <n v="1"/>
    <s v="Olivia Johnson"/>
    <s v="Ottawa"/>
    <s v="Consumer"/>
    <s v="Notebook"/>
    <x v="3"/>
    <n v="176.13"/>
    <n v="556.54"/>
    <n v="111.30799999999999"/>
    <x v="257"/>
    <n v="352.26"/>
    <x v="256"/>
    <n v="0.20881697631796453"/>
    <n v="2025"/>
    <x v="5"/>
    <s v="juin"/>
    <s v="Q2"/>
    <s v="Ontario"/>
    <n v="0"/>
  </r>
  <r>
    <s v="ORD-2025-00259"/>
    <d v="2025-07-09T00:00:00"/>
    <s v="C0100"/>
    <s v="P1022"/>
    <s v="Yasmine Smith, Mississauga, Consumer"/>
    <s v="Online  Fulfillment"/>
    <s v="M. Wilson"/>
    <s v="Marketplace"/>
    <n v="3"/>
    <n v="404.74"/>
    <n v="0.05"/>
    <s v="Debit Card"/>
    <n v="3"/>
    <s v="Yes"/>
    <s v="Marketplace"/>
    <s v="P1022"/>
    <s v="C0100"/>
    <s v="Online Fulfillment"/>
    <s v="Debit Card"/>
    <n v="1"/>
    <s v="Yasmine Smith"/>
    <s v="Mississauga"/>
    <s v="Consumer"/>
    <s v="Humidifier"/>
    <x v="2"/>
    <n v="239.67"/>
    <n v="1214.22"/>
    <n v="60.711000000000006"/>
    <x v="258"/>
    <n v="719.01"/>
    <x v="257"/>
    <n v="0.37667586468766173"/>
    <n v="2025"/>
    <x v="10"/>
    <s v="juillet"/>
    <s v="Q3"/>
    <s v="Ontario"/>
    <n v="1"/>
  </r>
  <r>
    <s v="ORD-2025-00260"/>
    <d v="2025-11-19T00:00:00"/>
    <s v="C0084"/>
    <s v="P1026"/>
    <s v="Ryan Clark, Montreal, Corporate"/>
    <s v="Toronto Downtown"/>
    <s v="L. Chen"/>
    <s v="Online"/>
    <n v="3"/>
    <n v="223.29"/>
    <n v="0.2"/>
    <s v="Debit Card"/>
    <n v="3"/>
    <s v="No"/>
    <s v="Online"/>
    <s v="P1026"/>
    <s v="C0084"/>
    <s v="Toronto Downtown"/>
    <s v="Debit Card"/>
    <n v="1"/>
    <s v="Ryan Clark"/>
    <s v="Montreal"/>
    <s v="Corporate"/>
    <s v="Resistance Bands"/>
    <x v="0"/>
    <n v="139.19999999999999"/>
    <n v="669.87"/>
    <n v="133.97400000000002"/>
    <x v="259"/>
    <n v="417.59999999999997"/>
    <x v="258"/>
    <n v="0.22074432352546017"/>
    <n v="2025"/>
    <x v="8"/>
    <s v="novembre"/>
    <s v="Q4"/>
    <s v="Quebec"/>
    <n v="0"/>
  </r>
  <r>
    <s v="ORD-2025-00261"/>
    <d v="2025-05-03T00:00:00"/>
    <s v="C0080"/>
    <s v="P1033"/>
    <s v="Sarah Smith, Mississauga, Corporate"/>
    <s v="Vancouver West"/>
    <s v="M. Wilson"/>
    <s v="Retail  Store"/>
    <n v="1"/>
    <n v="293.24"/>
    <n v="0.1"/>
    <s v="PayPal"/>
    <n v="1"/>
    <s v="No"/>
    <s v="Retail Store"/>
    <s v="P1033"/>
    <s v="C0080"/>
    <s v="Vancouver West"/>
    <s v="Paypal"/>
    <n v="1"/>
    <s v="Sarah Smith"/>
    <s v="Mississauga"/>
    <s v="Corporate"/>
    <s v="Backpack"/>
    <x v="1"/>
    <n v="152.55000000000001"/>
    <n v="293.24"/>
    <n v="29.324000000000002"/>
    <x v="260"/>
    <n v="152.55000000000001"/>
    <x v="259"/>
    <n v="0.42197517391897416"/>
    <n v="2025"/>
    <x v="1"/>
    <s v="mai"/>
    <s v="Q2"/>
    <s v="Ontario"/>
    <n v="0"/>
  </r>
  <r>
    <s v="ORD-2025-00262"/>
    <d v="2025-01-28T00:00:00"/>
    <s v="C0087"/>
    <s v="P1006"/>
    <s v="Daniel Johnson, Halifax, Consumer"/>
    <s v="Toronto Downtown"/>
    <s v="E. Roy"/>
    <s v="Retail Store"/>
    <n v="2"/>
    <n v="104.7"/>
    <n v="0.15"/>
    <s v="PayPal"/>
    <n v="0"/>
    <s v="No"/>
    <s v="Retail Store"/>
    <s v="P1006"/>
    <s v="C0087"/>
    <s v="Toronto Downtown"/>
    <s v="Paypal"/>
    <n v="1"/>
    <s v="Daniel Johnson"/>
    <s v="Halifax"/>
    <s v="Consumer"/>
    <s v="USB-C Hub"/>
    <x v="4"/>
    <n v="72"/>
    <n v="209.4"/>
    <n v="31.41"/>
    <x v="261"/>
    <n v="144"/>
    <x v="260"/>
    <n v="0.1909657845946402"/>
    <n v="2025"/>
    <x v="3"/>
    <s v="janvier"/>
    <s v="Q1"/>
    <s v="Nova Scotia"/>
    <n v="0"/>
  </r>
  <r>
    <s v="ORD-2025-00263"/>
    <d v="2025-02-12T00:00:00"/>
    <s v="C0029"/>
    <s v="P1024"/>
    <s v="Olivia White, Victoria, Consumer"/>
    <s v="Toronto Downtown"/>
    <s v="S. Patel"/>
    <s v="Marketplace"/>
    <n v="1"/>
    <n v="104.04"/>
    <n v="0"/>
    <s v="Debit Card"/>
    <n v="6"/>
    <s v="No"/>
    <s v="Marketplace"/>
    <s v="P1024"/>
    <s v="C0029"/>
    <s v="Toronto Downtown"/>
    <s v="Debit Card"/>
    <n v="1"/>
    <s v="Olivia White"/>
    <s v="Victoria"/>
    <s v="Consumer"/>
    <s v="Food Scale"/>
    <x v="2"/>
    <n v="46.07"/>
    <n v="104.04"/>
    <n v="0"/>
    <x v="262"/>
    <n v="46.07"/>
    <x v="261"/>
    <n v="0.55718954248366015"/>
    <n v="2025"/>
    <x v="2"/>
    <s v="février"/>
    <s v="Q1"/>
    <s v="British Columbia"/>
    <n v="0"/>
  </r>
  <r>
    <s v="ORD-2025-00264"/>
    <d v="2025-09-18T00:00:00"/>
    <s v="C0111"/>
    <s v="P1028"/>
    <s v="Noah Khan, Halifax, Consumer"/>
    <s v="Montreal Central"/>
    <s v="R. Singh"/>
    <s v="Retail Store"/>
    <n v="1"/>
    <n v="374.04"/>
    <n v="0.1"/>
    <s v="Debit Card"/>
    <n v="3"/>
    <s v="Yes"/>
    <s v="Retail Store"/>
    <s v="P1028"/>
    <s v="C0111"/>
    <s v="Montreal Central"/>
    <s v="Debit Card"/>
    <n v="1"/>
    <s v="Noah Khan"/>
    <s v="Halifax"/>
    <s v="Consumer"/>
    <s v="Foam Roller"/>
    <x v="0"/>
    <n v="212.02"/>
    <n v="374.04"/>
    <n v="37.404000000000003"/>
    <x v="263"/>
    <n v="212.02"/>
    <x v="262"/>
    <n v="0.37018025404294252"/>
    <n v="2025"/>
    <x v="0"/>
    <s v="septembre"/>
    <s v="Q3"/>
    <s v="Nova Scotia"/>
    <n v="1"/>
  </r>
  <r>
    <s v="ORD-2025-00265"/>
    <d v="2025-03-13T00:00:00"/>
    <s v="C0004"/>
    <s v="P1025"/>
    <s v="Mia Bennett, Laval, Consumer"/>
    <s v="Online Fulfillment"/>
    <s v="E. Roy"/>
    <s v="Online"/>
    <n v="3"/>
    <n v="313.31"/>
    <n v="0.2"/>
    <s v="Credit Card"/>
    <n v="2"/>
    <s v="No"/>
    <s v="Online"/>
    <s v="P1025"/>
    <s v="C0004"/>
    <s v="Online Fulfillment"/>
    <s v="Credit Card"/>
    <n v="1"/>
    <s v="Mia Bennett"/>
    <s v="Laval"/>
    <s v="Consumer"/>
    <s v="Yoga Mat"/>
    <x v="0"/>
    <n v="197.33"/>
    <n v="939.93000000000006"/>
    <n v="187.98600000000002"/>
    <x v="264"/>
    <n v="591.99"/>
    <x v="263"/>
    <n v="0.21272062813188222"/>
    <n v="2025"/>
    <x v="4"/>
    <s v="mars"/>
    <s v="Q1"/>
    <s v="Quebec"/>
    <n v="0"/>
  </r>
  <r>
    <s v="ORD-2025-00266"/>
    <d v="2025-10-15T00:00:00"/>
    <s v="C0075"/>
    <s v="P1003"/>
    <s v="Amelia Wilson, Vancouver, Consumer"/>
    <s v="Montreal Central"/>
    <s v="R. Singh"/>
    <s v="Retail Store"/>
    <n v="5"/>
    <n v="150.72999999999999"/>
    <n v="0.05"/>
    <s v="PayPal"/>
    <n v="2"/>
    <s v="No"/>
    <s v="Retail Store"/>
    <s v="P1003"/>
    <s v="C0075"/>
    <s v="Montreal Central"/>
    <s v="Paypal"/>
    <n v="1"/>
    <s v="Amelia Wilson"/>
    <s v="Vancouver"/>
    <s v="Consumer"/>
    <s v="Mouse"/>
    <x v="4"/>
    <n v="106.4"/>
    <n v="753.65"/>
    <n v="37.682499999999997"/>
    <x v="265"/>
    <n v="532"/>
    <x v="264"/>
    <n v="0.25694951237311747"/>
    <n v="2025"/>
    <x v="11"/>
    <s v="octobre"/>
    <s v="Q4"/>
    <s v="British Columbia"/>
    <n v="0"/>
  </r>
  <r>
    <s v="ORD-2025-00267"/>
    <d v="2025-07-16T00:00:00"/>
    <s v="C0053"/>
    <s v="P1024"/>
    <s v="Ryan Lee, Laval, Consumer"/>
    <s v="Vancouver West"/>
    <s v="E. Roy"/>
    <s v="Retail Store"/>
    <n v="5"/>
    <n v="102.86"/>
    <n v="0.05"/>
    <s v="Credit Card"/>
    <n v="2"/>
    <s v="No"/>
    <s v="Retail Store"/>
    <s v="P1024"/>
    <s v="C0053"/>
    <s v="Vancouver West"/>
    <s v="Credit Card"/>
    <n v="1"/>
    <s v="Ryan Lee"/>
    <s v="Laval"/>
    <s v="Consumer"/>
    <s v="Food Scale"/>
    <x v="2"/>
    <n v="46.07"/>
    <n v="514.29999999999995"/>
    <n v="25.715"/>
    <x v="266"/>
    <n v="230.35"/>
    <x v="265"/>
    <n v="0.52853648802153164"/>
    <n v="2025"/>
    <x v="10"/>
    <s v="juillet"/>
    <s v="Q3"/>
    <s v="Quebec"/>
    <n v="0"/>
  </r>
  <r>
    <s v="ORD-2025-00268"/>
    <d v="2025-06-19T00:00:00"/>
    <s v="C0028"/>
    <s v="P1004"/>
    <s v="Mia Clark, Victoria, Consumer"/>
    <s v="Montreal Central"/>
    <s v="A. Morgan"/>
    <s v="Retail Store"/>
    <n v="3"/>
    <n v="275.74"/>
    <n v="0.1"/>
    <s v="Credit  Card"/>
    <n v="3"/>
    <s v="No"/>
    <s v="Retail Store"/>
    <s v="P1004"/>
    <s v="C0028"/>
    <s v="Montreal Central"/>
    <s v="Credit Card"/>
    <n v="1"/>
    <s v="Mia Clark"/>
    <s v="Victoria"/>
    <s v="Consumer"/>
    <s v="Webcam"/>
    <x v="4"/>
    <n v="154.72999999999999"/>
    <n v="827.22"/>
    <n v="82.722000000000008"/>
    <x v="267"/>
    <n v="464.18999999999994"/>
    <x v="266"/>
    <n v="0.37650604837084867"/>
    <n v="2025"/>
    <x v="5"/>
    <s v="juin"/>
    <s v="Q2"/>
    <s v="British Columbia"/>
    <n v="0"/>
  </r>
  <r>
    <s v="ORD-2025-00269"/>
    <d v="2025-10-27T00:00:00"/>
    <s v="C0062"/>
    <s v="P1033"/>
    <s v="Yasmine Scott, Toronto, Consumer"/>
    <s v="Toronto Downtown"/>
    <s v="A. Morgan"/>
    <s v="Retail Store"/>
    <n v="1"/>
    <n v="290.17"/>
    <n v="0.15"/>
    <s v="Credit Card"/>
    <n v="4"/>
    <s v="No"/>
    <s v="Retail Store"/>
    <s v="P1033"/>
    <s v="C0062"/>
    <s v="Toronto Downtown"/>
    <s v="Credit Card"/>
    <n v="1"/>
    <s v="Yasmine Scott"/>
    <s v="Toronto"/>
    <s v="Consumer"/>
    <s v="Backpack"/>
    <x v="1"/>
    <n v="152.55000000000001"/>
    <n v="290.17"/>
    <n v="43.525500000000001"/>
    <x v="268"/>
    <n v="152.55000000000001"/>
    <x v="267"/>
    <n v="0.38149847249786639"/>
    <n v="2025"/>
    <x v="11"/>
    <s v="octobre"/>
    <s v="Q4"/>
    <s v="Ontario"/>
    <n v="0"/>
  </r>
  <r>
    <s v="ORD-2025-00270"/>
    <d v="2025-10-06T00:00:00"/>
    <s v="C0029"/>
    <s v="P1030"/>
    <s v="Olivia White, Victoria, Consumer"/>
    <s v="Toronto Downtown"/>
    <s v="N. Brown"/>
    <s v="Retail Store"/>
    <n v="2"/>
    <n v="250.11"/>
    <n v="0"/>
    <s v="Debit Card"/>
    <n v="2"/>
    <s v="No"/>
    <s v="Retail Store"/>
    <s v="P1030"/>
    <s v="C0029"/>
    <s v="Toronto Downtown"/>
    <s v="Debit Card"/>
    <n v="1"/>
    <s v="Olivia White"/>
    <s v="Victoria"/>
    <s v="Consumer"/>
    <s v="Pull-up Bar"/>
    <x v="0"/>
    <n v="125.4"/>
    <n v="500.22"/>
    <n v="0"/>
    <x v="269"/>
    <n v="250.8"/>
    <x v="268"/>
    <n v="0.49862060693294952"/>
    <n v="2025"/>
    <x v="11"/>
    <s v="octobre"/>
    <s v="Q4"/>
    <s v="British Columbia"/>
    <n v="0"/>
  </r>
  <r>
    <s v="ORD-2025-00271"/>
    <d v="2025-04-08T00:00:00"/>
    <s v="C0107"/>
    <s v="P1009"/>
    <s v="Ava Lee, Calgary, Small Business"/>
    <s v="Online Fulfillment"/>
    <s v="M. Wilson"/>
    <s v="Online"/>
    <n v="2"/>
    <n v="285.47000000000003"/>
    <n v="0"/>
    <s v="Credit Card"/>
    <n v="1"/>
    <s v="No"/>
    <s v="Online"/>
    <s v="P1009"/>
    <s v="C0107"/>
    <s v="Online Fulfillment"/>
    <s v="Credit Card"/>
    <n v="1"/>
    <s v="Ava Lee"/>
    <s v="Calgary"/>
    <s v="Small Business"/>
    <s v="Notebook"/>
    <x v="3"/>
    <n v="176.13"/>
    <n v="570.94000000000005"/>
    <n v="0"/>
    <x v="270"/>
    <n v="352.26"/>
    <x v="269"/>
    <n v="0.38301747994535335"/>
    <n v="2025"/>
    <x v="9"/>
    <s v="avril"/>
    <s v="Q2"/>
    <s v="Alberta"/>
    <n v="0"/>
  </r>
  <r>
    <s v="ORD-2025-00272"/>
    <d v="2025-07-23T00:00:00"/>
    <s v="C0004"/>
    <s v="P1025"/>
    <s v="Mia Bennett, Laval, Consumer"/>
    <s v="Online Fulfillment"/>
    <s v="N. Brown"/>
    <s v="Marketplace"/>
    <n v="3"/>
    <n v="297.58999999999997"/>
    <n v="0.05"/>
    <s v="Debit Card"/>
    <n v="6"/>
    <s v="No"/>
    <s v="Marketplace"/>
    <s v="P1025"/>
    <s v="C0004"/>
    <s v="Online Fulfillment"/>
    <s v="Debit Card"/>
    <n v="1"/>
    <s v="Mia Bennett"/>
    <s v="Laval"/>
    <s v="Consumer"/>
    <s v="Yoga Mat"/>
    <x v="0"/>
    <n v="197.33"/>
    <n v="892.77"/>
    <n v="44.638500000000001"/>
    <x v="271"/>
    <n v="591.99"/>
    <x v="270"/>
    <n v="0.30200682323436867"/>
    <n v="2025"/>
    <x v="10"/>
    <s v="juillet"/>
    <s v="Q3"/>
    <s v="Quebec"/>
    <n v="0"/>
  </r>
  <r>
    <s v="ORD-2025-00273"/>
    <d v="2025-12-13T00:00:00"/>
    <s v="C0027"/>
    <s v="P1019"/>
    <s v="Nora Wilson, Toronto, Small Business"/>
    <s v="Toronto Downtown"/>
    <s v="A. Morgan"/>
    <s v="Marketplace"/>
    <n v="3"/>
    <n v="272.70999999999998"/>
    <n v="0.25"/>
    <s v="Credit Card"/>
    <n v="3"/>
    <s v="No"/>
    <s v="Marketplace"/>
    <s v="P1019"/>
    <s v="C0027"/>
    <s v="Toronto Downtown"/>
    <s v="Credit Card"/>
    <n v="1"/>
    <s v="Nora Wilson"/>
    <s v="Toronto"/>
    <s v="Small Business"/>
    <s v="Vacuum"/>
    <x v="2"/>
    <n v="186.94"/>
    <n v="818.12999999999988"/>
    <n v="204.53249999999997"/>
    <x v="272"/>
    <n v="560.81999999999994"/>
    <x v="271"/>
    <n v="8.6013225282045525E-2"/>
    <n v="2025"/>
    <x v="6"/>
    <s v="décembre"/>
    <s v="Q4"/>
    <s v="Ontario"/>
    <n v="0"/>
  </r>
  <r>
    <s v="ORD-2025-00274"/>
    <d v="2025-07-20T00:00:00"/>
    <s v="C0101"/>
    <s v="P1015"/>
    <s v="Noah Martin, Saskatoon, Small Business"/>
    <s v="Montreal Central"/>
    <s v="N. Brown"/>
    <s v="Retail Store"/>
    <n v="1"/>
    <n v="402.61"/>
    <n v="0.05"/>
    <s v="Credit Card"/>
    <n v="4"/>
    <s v="No"/>
    <s v="Retail Store"/>
    <s v="P1015"/>
    <s v="C0101"/>
    <s v="Montreal Central"/>
    <s v="Credit Card"/>
    <n v="1"/>
    <s v="Noah Martin"/>
    <s v="Saskatoon"/>
    <s v="Small Business"/>
    <s v="Desk Organizer"/>
    <x v="3"/>
    <n v="235.76"/>
    <n v="402.61"/>
    <n v="20.130500000000001"/>
    <x v="273"/>
    <n v="235.76"/>
    <x v="272"/>
    <n v="0.38360095116208848"/>
    <n v="2025"/>
    <x v="10"/>
    <s v="juillet"/>
    <s v="Q3"/>
    <s v="Saskatchewan"/>
    <n v="0"/>
  </r>
  <r>
    <s v="ORD-2025-00275"/>
    <d v="2025-10-25T00:00:00"/>
    <s v="C0012"/>
    <s v="P1011"/>
    <s v="Daniel Taylor , Victoria , Corporate"/>
    <s v="Toronto Downtown"/>
    <s v="E. Roy"/>
    <s v="Online"/>
    <n v="3"/>
    <n v="84.93"/>
    <n v="0"/>
    <s v="PayPal"/>
    <n v="6"/>
    <s v="No"/>
    <s v="Online"/>
    <s v="P1011"/>
    <s v="C0012"/>
    <s v="Toronto Downtown"/>
    <s v="Paypal"/>
    <n v="1"/>
    <s v="Daniel Taylor"/>
    <s v="Victoria"/>
    <s v="Corporate"/>
    <s v="Office Chair"/>
    <x v="3"/>
    <n v="39.26"/>
    <n v="254.79000000000002"/>
    <n v="0"/>
    <x v="274"/>
    <n v="117.78"/>
    <x v="273"/>
    <n v="0.53773695984928771"/>
    <n v="2025"/>
    <x v="11"/>
    <s v="octobre"/>
    <s v="Q4"/>
    <s v="British Columbia"/>
    <n v="0"/>
  </r>
  <r>
    <s v="ORD-2025-00276"/>
    <d v="2025-01-03T00:00:00"/>
    <s v="C0084"/>
    <s v="P1040"/>
    <s v="Ryan Clark, Montreal, Corporate"/>
    <s v="Calgary North"/>
    <s v="A. Morgan"/>
    <s v="Marketplace"/>
    <n v="2"/>
    <n v="300.93"/>
    <n v="0.2"/>
    <s v="CC"/>
    <n v="1"/>
    <s v="No"/>
    <s v="Marketplace"/>
    <s v="P1040"/>
    <s v="C0084"/>
    <s v="Calgary North"/>
    <s v="Credit Card"/>
    <n v="1"/>
    <s v="Ryan Clark"/>
    <s v="Montreal"/>
    <s v="Corporate"/>
    <s v="Desk Pad"/>
    <x v="1"/>
    <n v="177.57"/>
    <n v="601.86"/>
    <n v="120.37200000000001"/>
    <x v="275"/>
    <n v="355.14"/>
    <x v="274"/>
    <n v="0.26241152427474829"/>
    <n v="2025"/>
    <x v="3"/>
    <s v="janvier"/>
    <s v="Q1"/>
    <s v="Quebec"/>
    <n v="0"/>
  </r>
  <r>
    <s v="ORD-2025-00277"/>
    <d v="2025-02-12T00:00:00"/>
    <s v="C0023"/>
    <s v="P1001"/>
    <s v="Ryan Gagnon, Ottawa, Small Business"/>
    <s v="Calgary North"/>
    <s v="J. Tremblay"/>
    <s v="Online"/>
    <n v="2"/>
    <n v="381.2"/>
    <n v="0"/>
    <s v="Credit Card"/>
    <n v="7"/>
    <s v="No"/>
    <s v="Online"/>
    <s v="P1001"/>
    <s v="C0023"/>
    <s v="Calgary North"/>
    <s v="Credit Card"/>
    <n v="1"/>
    <s v="Ryan Gagnon"/>
    <s v="Ottawa"/>
    <s v="Small Business"/>
    <s v="Headphones"/>
    <x v="4"/>
    <n v="254.6"/>
    <n v="762.4"/>
    <n v="0"/>
    <x v="276"/>
    <n v="509.2"/>
    <x v="275"/>
    <n v="0.33210912906610701"/>
    <n v="2025"/>
    <x v="2"/>
    <s v="février"/>
    <s v="Q1"/>
    <s v="Ontario"/>
    <n v="0"/>
  </r>
  <r>
    <s v="ORD-2025-00278"/>
    <d v="2025-04-11T00:00:00"/>
    <s v="C0041"/>
    <s v="P1022"/>
    <s v="Amine Chen , Halifax , Small Business"/>
    <s v="Montreal Central"/>
    <s v="J. Tremblay"/>
    <s v="Retail Store"/>
    <n v="2"/>
    <n v="405.16"/>
    <n v="0"/>
    <s v="Credit Card"/>
    <n v="1"/>
    <s v="No"/>
    <s v="Retail Store"/>
    <s v="P1022"/>
    <s v="C0041"/>
    <s v="Montreal Central"/>
    <s v="Credit Card"/>
    <n v="1"/>
    <s v="Amine Chen"/>
    <s v="Halifax"/>
    <s v="Small Business"/>
    <s v="Humidifier"/>
    <x v="2"/>
    <n v="239.67"/>
    <n v="810.32"/>
    <n v="0"/>
    <x v="277"/>
    <n v="479.34"/>
    <x v="276"/>
    <n v="0.40845591864942254"/>
    <n v="2025"/>
    <x v="9"/>
    <s v="avril"/>
    <s v="Q2"/>
    <s v="Nova Scotia"/>
    <n v="0"/>
  </r>
  <r>
    <s v="ORD-2025-00279"/>
    <d v="2025-01-03T00:00:00"/>
    <s v="C0005"/>
    <s v="P1008"/>
    <s v="Yasmine Taylor, Calgary, Consumer"/>
    <s v="Online  Fulfillment"/>
    <s v="M. Wilson"/>
    <s v="Retail Store"/>
    <n v="1"/>
    <n v="139.33000000000001"/>
    <n v="0.05"/>
    <s v="Credit Card"/>
    <n v="3"/>
    <s v="No"/>
    <s v="Retail Store"/>
    <s v="P1008"/>
    <s v="C0005"/>
    <s v="Online Fulfillment"/>
    <s v="Credit Card"/>
    <n v="1"/>
    <s v="Yasmine Taylor"/>
    <s v="Calgary"/>
    <s v="Consumer"/>
    <s v="Smart Speaker"/>
    <x v="4"/>
    <n v="69"/>
    <n v="139.33000000000001"/>
    <n v="6.9665000000000008"/>
    <x v="278"/>
    <n v="69"/>
    <x v="277"/>
    <n v="0.47870825416372342"/>
    <n v="2025"/>
    <x v="3"/>
    <s v="janvier"/>
    <s v="Q1"/>
    <s v="Alberta"/>
    <n v="0"/>
  </r>
  <r>
    <s v="ORD-2025-00280"/>
    <d v="2025-09-23T00:00:00"/>
    <s v="C0089"/>
    <s v="P1036"/>
    <s v="Lucas Martin, Vancouver, Consumer"/>
    <s v="Montreal Central"/>
    <s v="J. Tremblay"/>
    <s v="Retail Store"/>
    <n v="4"/>
    <n v="153.82"/>
    <n v="0"/>
    <s v="Credit Card"/>
    <n v="2"/>
    <s v="No"/>
    <s v="Retail Store"/>
    <s v="P1036"/>
    <s v="C0089"/>
    <s v="Montreal Central"/>
    <s v="Credit Card"/>
    <n v="1"/>
    <s v="Lucas Martin"/>
    <s v="Vancouver"/>
    <s v="Consumer"/>
    <s v="Power Bank"/>
    <x v="1"/>
    <n v="76.97"/>
    <n v="615.28"/>
    <n v="0"/>
    <x v="279"/>
    <n v="307.88"/>
    <x v="278"/>
    <n v="0.49960993368872708"/>
    <n v="2025"/>
    <x v="0"/>
    <s v="septembre"/>
    <s v="Q3"/>
    <s v="British Columbia"/>
    <n v="0"/>
  </r>
  <r>
    <s v="ORD-2025-00281"/>
    <d v="2025-02-20T00:00:00"/>
    <s v="C0109"/>
    <s v="P1014"/>
    <s v="Emma Wilson, Victoria, Consumer"/>
    <s v="Toronto Downtown"/>
    <s v="E. Roy"/>
    <s v="Online"/>
    <n v="1"/>
    <n v="234.76"/>
    <n v="0.15"/>
    <s v="PayPal"/>
    <n v="1"/>
    <s v="Yes"/>
    <s v="Online"/>
    <s v="P1014"/>
    <s v="C0109"/>
    <s v="Toronto Downtown"/>
    <s v="Paypal"/>
    <n v="1"/>
    <s v="Emma Wilson"/>
    <s v="Victoria"/>
    <s v="Consumer"/>
    <s v="Document Shredder"/>
    <x v="3"/>
    <n v="117.65"/>
    <n v="234.76"/>
    <n v="35.213999999999999"/>
    <x v="280"/>
    <n v="117.65"/>
    <x v="279"/>
    <n v="0.41041163441011091"/>
    <n v="2025"/>
    <x v="2"/>
    <s v="février"/>
    <s v="Q1"/>
    <s v="British Columbia"/>
    <n v="1"/>
  </r>
  <r>
    <s v="ORD-2025-00282"/>
    <d v="2025-01-25T00:00:00"/>
    <s v="C0035"/>
    <s v="P1023"/>
    <s v="Amelia Scott, Edmonton, Small Business"/>
    <s v="Calgary North"/>
    <s v="L. Chen"/>
    <s v="Online"/>
    <n v="1"/>
    <n v="337.81"/>
    <n v="0.1"/>
    <s v="Debit Card"/>
    <n v="5"/>
    <s v="Yes"/>
    <s v="Online"/>
    <s v="P1023"/>
    <s v="C0035"/>
    <s v="Calgary North"/>
    <s v="Debit Card"/>
    <n v="1"/>
    <s v="Amelia Scott"/>
    <s v="Edmonton"/>
    <s v="Small Business"/>
    <s v="Toaster"/>
    <x v="2"/>
    <n v="152.88"/>
    <n v="337.81"/>
    <n v="33.780999999999999"/>
    <x v="281"/>
    <n v="152.88"/>
    <x v="280"/>
    <n v="0.49715323209299112"/>
    <n v="2025"/>
    <x v="3"/>
    <s v="janvier"/>
    <s v="Q1"/>
    <s v="Alberta"/>
    <n v="1"/>
  </r>
  <r>
    <s v="ORD-2025-00283"/>
    <d v="2025-08-03T00:00:00"/>
    <s v="C0030"/>
    <s v="P1007"/>
    <s v="Emma Lee, Calgary, Corporate"/>
    <s v="Calgary North"/>
    <s v="S. Patel"/>
    <s v="Marketplace"/>
    <n v="3"/>
    <n v="359.35"/>
    <n v="0.2"/>
    <s v="Credit Card"/>
    <n v="2"/>
    <s v="No"/>
    <s v="Marketplace"/>
    <s v="P1007"/>
    <s v="C0030"/>
    <s v="Calgary North"/>
    <s v="Credit Card"/>
    <n v="1"/>
    <s v="Emma Lee"/>
    <s v="Calgary"/>
    <s v="Corporate"/>
    <s v="Monitor"/>
    <x v="4"/>
    <n v="224.47"/>
    <n v="1078.0500000000002"/>
    <n v="215.61000000000004"/>
    <x v="282"/>
    <n v="673.41"/>
    <x v="281"/>
    <n v="0.21918046472798128"/>
    <n v="2025"/>
    <x v="7"/>
    <s v="août"/>
    <s v="Q3"/>
    <s v="Alberta"/>
    <n v="0"/>
  </r>
  <r>
    <s v="ORD-2025-00284"/>
    <d v="2025-08-10T00:00:00"/>
    <s v="C0053"/>
    <s v="P1039"/>
    <s v="Ryan Lee, Laval, Consumer"/>
    <s v="Vancouver West"/>
    <s v="A. Morgan"/>
    <s v="Online"/>
    <n v="2"/>
    <n v="331.42"/>
    <n v="0"/>
    <s v="PayPal"/>
    <n v="7"/>
    <s v="No"/>
    <s v="Online"/>
    <s v="P1039"/>
    <s v="C0053"/>
    <s v="Vancouver West"/>
    <s v="Paypal"/>
    <n v="1"/>
    <s v="Ryan Lee"/>
    <s v="Laval"/>
    <s v="Consumer"/>
    <s v="Travel Adapter"/>
    <x v="1"/>
    <n v="229.86"/>
    <n v="662.84"/>
    <n v="0"/>
    <x v="283"/>
    <n v="459.72"/>
    <x v="282"/>
    <n v="0.30643895962826623"/>
    <n v="2025"/>
    <x v="7"/>
    <s v="août"/>
    <s v="Q3"/>
    <s v="Quebec"/>
    <n v="0"/>
  </r>
  <r>
    <s v="ORD-2025-00285"/>
    <d v="2025-07-07T00:00:00"/>
    <s v="C0101"/>
    <s v="P1025"/>
    <s v="Noah Martin, Saskatoon, Small Business"/>
    <s v="Online Fulfillment"/>
    <s v="A. Morgan"/>
    <s v="Retail Store"/>
    <n v="1"/>
    <n v="307.8"/>
    <n v="0"/>
    <s v="PayPal"/>
    <n v="1"/>
    <s v="No"/>
    <s v="Retail Store"/>
    <s v="P1025"/>
    <s v="C0101"/>
    <s v="Online Fulfillment"/>
    <s v="Paypal"/>
    <n v="1"/>
    <s v="Noah Martin"/>
    <s v="Saskatoon"/>
    <s v="Small Business"/>
    <s v="Yoga Mat"/>
    <x v="0"/>
    <n v="197.33"/>
    <n v="307.8"/>
    <n v="0"/>
    <x v="284"/>
    <n v="197.33"/>
    <x v="283"/>
    <n v="0.35890188434048081"/>
    <n v="2025"/>
    <x v="10"/>
    <s v="juillet"/>
    <s v="Q3"/>
    <s v="Saskatchewan"/>
    <n v="0"/>
  </r>
  <r>
    <s v="ORD-2025-00286"/>
    <d v="2025-11-08T00:00:00"/>
    <s v="C0008"/>
    <s v="P1029"/>
    <s v="Mia Wilson, Calgary, Consumer"/>
    <s v="Calgary North"/>
    <s v="L. Chen"/>
    <s v="Online"/>
    <n v="3"/>
    <n v="194.83"/>
    <n v="0"/>
    <s v="Credit Card"/>
    <n v="1"/>
    <s v="No"/>
    <s v="Online"/>
    <s v="P1029"/>
    <s v="C0008"/>
    <s v="Calgary North"/>
    <s v="Credit Card"/>
    <n v="1"/>
    <s v="Mia Wilson"/>
    <s v="Calgary"/>
    <s v="Consumer"/>
    <s v="Jump Rope"/>
    <x v="0"/>
    <n v="101"/>
    <n v="584.49"/>
    <n v="0"/>
    <x v="285"/>
    <n v="303"/>
    <x v="284"/>
    <n v="0.4815993430169892"/>
    <n v="2025"/>
    <x v="8"/>
    <s v="novembre"/>
    <s v="Q4"/>
    <s v="Alberta"/>
    <n v="0"/>
  </r>
  <r>
    <s v="ORD-2025-00287"/>
    <d v="2025-08-02T00:00:00"/>
    <s v="C0027"/>
    <s v="P1014"/>
    <s v="Nora Wilson, Toronto, Small Business"/>
    <s v="Toronto Downtown"/>
    <s v="A. Morgan"/>
    <s v="Retail Store"/>
    <n v="2"/>
    <n v="238.26"/>
    <n v="0"/>
    <s v="PayPal"/>
    <n v="3"/>
    <s v="No"/>
    <s v="Retail Store"/>
    <s v="P1014"/>
    <s v="C0027"/>
    <s v="Toronto Downtown"/>
    <s v="Paypal"/>
    <n v="1"/>
    <s v="Nora Wilson"/>
    <s v="Toronto"/>
    <s v="Small Business"/>
    <s v="Document Shredder"/>
    <x v="3"/>
    <n v="117.65"/>
    <n v="476.52"/>
    <n v="0"/>
    <x v="286"/>
    <n v="235.3"/>
    <x v="285"/>
    <n v="0.50621170150256023"/>
    <n v="2025"/>
    <x v="7"/>
    <s v="août"/>
    <s v="Q3"/>
    <s v="Ontario"/>
    <n v="0"/>
  </r>
  <r>
    <s v="ORD-2025-00288"/>
    <d v="2025-09-12T00:00:00"/>
    <s v="C0064"/>
    <s v="P1009"/>
    <s v="Amine Khan, Edmonton, Consumer"/>
    <s v="Calgary North"/>
    <s v="L. Chen"/>
    <s v="Online"/>
    <n v="1"/>
    <n v="293.91000000000003"/>
    <n v="0.15"/>
    <s v="Credit Card"/>
    <n v="8"/>
    <s v="No"/>
    <s v="Online"/>
    <s v="P1009"/>
    <s v="C0064"/>
    <s v="Calgary North"/>
    <s v="Credit Card"/>
    <n v="1"/>
    <s v="Amine Khan"/>
    <s v="Edmonton"/>
    <s v="Consumer"/>
    <s v="Notebook"/>
    <x v="3"/>
    <n v="176.13"/>
    <n v="293.91000000000003"/>
    <n v="44.086500000000001"/>
    <x v="287"/>
    <n v="176.13"/>
    <x v="286"/>
    <n v="0.2949822574737766"/>
    <n v="2025"/>
    <x v="0"/>
    <s v="septembre"/>
    <s v="Q3"/>
    <s v="Alberta"/>
    <n v="0"/>
  </r>
  <r>
    <s v="ORD-2025-00289"/>
    <d v="2025-09-20T00:00:00"/>
    <s v="C0075"/>
    <s v="P1038"/>
    <s v="Amelia Wilson, Vancouver, Consumer"/>
    <s v="Toronto Downtown"/>
    <s v="N. Brown"/>
    <s v="Online"/>
    <n v="1"/>
    <n v="274.36"/>
    <n v="0"/>
    <s v="Credit Card"/>
    <n v="8"/>
    <s v="No"/>
    <s v="Online"/>
    <s v="P1038"/>
    <s v="C0075"/>
    <s v="Toronto Downtown"/>
    <s v="Credit Card"/>
    <n v="1"/>
    <s v="Amelia Wilson"/>
    <s v="Vancouver"/>
    <s v="Consumer"/>
    <s v="Water Bottle"/>
    <x v="1"/>
    <n v="119.16"/>
    <n v="274.36"/>
    <n v="0"/>
    <x v="288"/>
    <n v="119.16"/>
    <x v="287"/>
    <n v="0.56568012829858583"/>
    <n v="2025"/>
    <x v="0"/>
    <s v="septembre"/>
    <s v="Q3"/>
    <s v="British Columbia"/>
    <n v="0"/>
  </r>
  <r>
    <s v="ORD-2025-00290"/>
    <d v="2025-04-22T00:00:00"/>
    <s v="C0019"/>
    <s v="P1024"/>
    <s v="Lucas Taylor, Montreal, Small Business"/>
    <s v="Calgary North"/>
    <s v="J. Tremblay"/>
    <s v="Retail  Store"/>
    <n v="2"/>
    <n v="100.73"/>
    <n v="0"/>
    <s v="PayPal"/>
    <n v="3"/>
    <s v="No"/>
    <s v="Retail Store"/>
    <s v="P1024"/>
    <s v="C0019"/>
    <s v="Calgary North"/>
    <s v="Paypal"/>
    <n v="1"/>
    <s v="Lucas Taylor"/>
    <s v="Montreal"/>
    <s v="Small Business"/>
    <s v="Food Scale"/>
    <x v="2"/>
    <n v="46.07"/>
    <n v="201.46"/>
    <n v="0"/>
    <x v="289"/>
    <n v="92.14"/>
    <x v="288"/>
    <n v="0.54263873721830636"/>
    <n v="2025"/>
    <x v="9"/>
    <s v="avril"/>
    <s v="Q2"/>
    <s v="Quebec"/>
    <n v="0"/>
  </r>
  <r>
    <s v="ORD-2025-00291"/>
    <d v="2025-12-05T00:00:00"/>
    <s v="C0013"/>
    <s v="P1036"/>
    <s v="Amelia Martin, Quebec City, Small Business"/>
    <s v="Montreal Central"/>
    <s v="S. Patel"/>
    <s v="Retail Store"/>
    <n v="2"/>
    <n v="165.88"/>
    <n v="0.15"/>
    <s v="PayPal"/>
    <n v="2"/>
    <s v="No"/>
    <s v="Retail Store"/>
    <s v="P1036"/>
    <s v="C0013"/>
    <s v="Montreal Central"/>
    <s v="Paypal"/>
    <n v="1"/>
    <s v="Amelia Martin"/>
    <s v="Quebec City"/>
    <s v="Small Business"/>
    <s v="Power Bank"/>
    <x v="1"/>
    <n v="76.97"/>
    <n v="331.76"/>
    <n v="49.763999999999996"/>
    <x v="290"/>
    <n v="153.94"/>
    <x v="289"/>
    <n v="0.45410573199619853"/>
    <n v="2025"/>
    <x v="6"/>
    <s v="décembre"/>
    <s v="Q4"/>
    <s v="Quebec"/>
    <n v="0"/>
  </r>
  <r>
    <s v="ORD-2025-00292"/>
    <d v="2025-07-14T00:00:00"/>
    <s v="C0097"/>
    <s v="P1034"/>
    <s v="Sarah Khan, Montreal, Consumer"/>
    <s v="Online Fulfillment"/>
    <s v="S. Patel"/>
    <s v="Retail Store"/>
    <n v="2"/>
    <n v="144.15"/>
    <n v="0.2"/>
    <s v="Debit Card"/>
    <n v="0"/>
    <s v="No"/>
    <s v="Retail Store"/>
    <s v="P1034"/>
    <s v="C0097"/>
    <s v="Online Fulfillment"/>
    <s v="Debit Card"/>
    <n v="1"/>
    <s v="Sarah Khan"/>
    <s v="Montreal"/>
    <s v="Consumer"/>
    <s v="Laptop Sleeve"/>
    <x v="1"/>
    <n v="78.95"/>
    <n v="288.3"/>
    <n v="57.660000000000004"/>
    <x v="291"/>
    <n v="157.9"/>
    <x v="290"/>
    <n v="0.31538328130419702"/>
    <n v="2025"/>
    <x v="10"/>
    <s v="juillet"/>
    <s v="Q3"/>
    <s v="Quebec"/>
    <n v="0"/>
  </r>
  <r>
    <s v="ORD-2025-00293"/>
    <d v="2025-06-20T00:00:00"/>
    <s v="C0005"/>
    <s v="P1020"/>
    <s v="Yasmine Taylor, Calgary, Consumer"/>
    <s v="Vancouver West"/>
    <s v="R. Singh"/>
    <s v="Online"/>
    <n v="1"/>
    <n v="64.86"/>
    <n v="0.1"/>
    <s v="Credit Card"/>
    <n v="3"/>
    <s v="No"/>
    <s v="Online"/>
    <s v="P1020"/>
    <s v="C0005"/>
    <s v="Vancouver West"/>
    <s v="Credit Card"/>
    <n v="1"/>
    <s v="Yasmine Taylor"/>
    <s v="Calgary"/>
    <s v="Consumer"/>
    <s v="Blender"/>
    <x v="2"/>
    <n v="37.46"/>
    <n v="64.86"/>
    <n v="6.4860000000000007"/>
    <x v="292"/>
    <n v="37.46"/>
    <x v="291"/>
    <n v="0.35827594476993174"/>
    <n v="2025"/>
    <x v="5"/>
    <s v="juin"/>
    <s v="Q2"/>
    <s v="Alberta"/>
    <n v="0"/>
  </r>
  <r>
    <s v="ORD-2025-00294"/>
    <d v="2025-05-16T00:00:00"/>
    <s v="C0024"/>
    <s v="P1002"/>
    <s v="Ryan King, Mississauga, Consumer"/>
    <s v="Vancouver West"/>
    <s v="R. Singh"/>
    <s v="Online"/>
    <n v="1"/>
    <n v="39.409999999999997"/>
    <n v="0.25"/>
    <s v="Debit Card"/>
    <n v="1"/>
    <s v="No"/>
    <s v="Online"/>
    <s v="P1002"/>
    <s v="C0024"/>
    <s v="Vancouver West"/>
    <s v="Debit Card"/>
    <n v="1"/>
    <s v="Ryan King"/>
    <s v="Mississauga"/>
    <s v="Consumer"/>
    <s v="Keyboard"/>
    <x v="4"/>
    <n v="23.5"/>
    <n v="39.409999999999997"/>
    <n v="9.8524999999999991"/>
    <x v="293"/>
    <n v="23.5"/>
    <x v="292"/>
    <n v="0.20493952465533274"/>
    <n v="2025"/>
    <x v="1"/>
    <s v="mai"/>
    <s v="Q2"/>
    <s v="Ontario"/>
    <n v="0"/>
  </r>
  <r>
    <s v="ORD-2025-00295"/>
    <d v="2025-07-26T00:00:00"/>
    <s v="C0052"/>
    <s v="P1011"/>
    <s v="Liam Bennett, Edmonton, Corporate"/>
    <s v="Toronto Downtown"/>
    <s v="S. Patel"/>
    <s v="Online"/>
    <n v="1"/>
    <n v="76.13"/>
    <n v="0.15"/>
    <s v="PayPal"/>
    <n v="2"/>
    <s v="No"/>
    <s v="Online"/>
    <s v="P1011"/>
    <s v="C0052"/>
    <s v="Toronto Downtown"/>
    <s v="Paypal"/>
    <n v="1"/>
    <s v="Liam Bennett"/>
    <s v="Edmonton"/>
    <s v="Corporate"/>
    <s v="Office Chair"/>
    <x v="3"/>
    <n v="39.26"/>
    <n v="76.13"/>
    <n v="11.419499999999999"/>
    <x v="294"/>
    <n v="39.26"/>
    <x v="293"/>
    <n v="0.39329784192673523"/>
    <n v="2025"/>
    <x v="10"/>
    <s v="juillet"/>
    <s v="Q3"/>
    <s v="Alberta"/>
    <n v="0"/>
  </r>
  <r>
    <s v="ORD-2025-00296"/>
    <d v="2025-05-21T00:00:00"/>
    <s v="C0096"/>
    <s v="P1023"/>
    <s v="Ryan Roy, Laval, Corporate"/>
    <s v="Calgary North"/>
    <s v="M. Wilson"/>
    <s v="Retail Store"/>
    <n v="2"/>
    <n v="324.64"/>
    <n v="0.15"/>
    <s v="Gift Card"/>
    <n v="1"/>
    <s v="No"/>
    <s v="Retail Store"/>
    <s v="P1023"/>
    <s v="C0096"/>
    <s v="Calgary North"/>
    <s v="Gift Card"/>
    <n v="1"/>
    <s v="Ryan Roy"/>
    <s v="Laval"/>
    <s v="Corporate"/>
    <s v="Toaster"/>
    <x v="2"/>
    <n v="152.88"/>
    <n v="649.28"/>
    <n v="97.391999999999996"/>
    <x v="295"/>
    <n v="305.76"/>
    <x v="294"/>
    <n v="0.44597454555996863"/>
    <n v="2025"/>
    <x v="1"/>
    <s v="mai"/>
    <s v="Q2"/>
    <s v="Quebec"/>
    <n v="0"/>
  </r>
  <r>
    <s v="ORD-2025-00297"/>
    <d v="2025-03-11T00:00:00"/>
    <s v="C0006"/>
    <s v="P1006"/>
    <s v="Nora Wilson, Laval, Consumer"/>
    <s v="Montreal Central"/>
    <s v="M. Wilson"/>
    <s v="Retail Store"/>
    <n v="1"/>
    <n v="100.86"/>
    <n v="0.2"/>
    <s v="Debit Card"/>
    <n v="2"/>
    <s v="No"/>
    <s v="Retail Store"/>
    <s v="P1006"/>
    <s v="C0006"/>
    <s v="Montreal Central"/>
    <s v="Debit Card"/>
    <n v="1"/>
    <s v="Nora Wilson"/>
    <s v="Laval"/>
    <s v="Consumer"/>
    <s v="USB-C Hub"/>
    <x v="4"/>
    <n v="72"/>
    <n v="100.86"/>
    <n v="20.172000000000001"/>
    <x v="296"/>
    <n v="72"/>
    <x v="295"/>
    <n v="0.10767400356930401"/>
    <n v="2025"/>
    <x v="4"/>
    <s v="mars"/>
    <s v="Q1"/>
    <s v="Quebec"/>
    <n v="0"/>
  </r>
  <r>
    <s v="ORD-2025-00298"/>
    <d v="2025-07-11T00:00:00"/>
    <s v="C0054"/>
    <s v="P1036"/>
    <s v="Maya Hall, Surrey, Small Business"/>
    <s v="Montreal Central"/>
    <s v="L. Chen"/>
    <s v="Retail Store"/>
    <n v="1"/>
    <n v="152.72999999999999"/>
    <n v="0.25"/>
    <s v="Debit Card"/>
    <n v="3"/>
    <s v="No"/>
    <s v="Retail Store"/>
    <s v="P1036"/>
    <s v="C0054"/>
    <s v="Montreal Central"/>
    <s v="Debit Card"/>
    <n v="1"/>
    <s v="Maya Hall"/>
    <s v="Surrey"/>
    <s v="Small Business"/>
    <s v="Power Bank"/>
    <x v="1"/>
    <n v="76.97"/>
    <n v="152.72999999999999"/>
    <n v="38.182499999999997"/>
    <x v="297"/>
    <n v="76.97"/>
    <x v="296"/>
    <n v="0.32805168161679643"/>
    <n v="2025"/>
    <x v="10"/>
    <s v="juillet"/>
    <s v="Q3"/>
    <s v="British Columbia"/>
    <n v="0"/>
  </r>
  <r>
    <s v="ORD-2025-00299"/>
    <d v="2025-11-12T00:00:00"/>
    <s v="C0060"/>
    <s v="P1023"/>
    <s v="Sarah Wilson, Quebec City, Corporate"/>
    <s v="Montreal Central"/>
    <s v="E. Roy"/>
    <s v="Retail Store"/>
    <n v="1"/>
    <n v="316.62"/>
    <n v="0"/>
    <s v="Credit Card"/>
    <n v="1"/>
    <s v="No"/>
    <s v="Retail Store"/>
    <s v="P1023"/>
    <s v="C0060"/>
    <s v="Montreal Central"/>
    <s v="Credit Card"/>
    <n v="1"/>
    <s v="Sarah Wilson"/>
    <s v="Quebec City"/>
    <s v="Corporate"/>
    <s v="Toaster"/>
    <x v="2"/>
    <n v="152.88"/>
    <n v="316.62"/>
    <n v="0"/>
    <x v="298"/>
    <n v="152.88"/>
    <x v="297"/>
    <n v="0.51714989577411408"/>
    <n v="2025"/>
    <x v="8"/>
    <s v="novembre"/>
    <s v="Q4"/>
    <s v="Quebec"/>
    <n v="0"/>
  </r>
  <r>
    <s v="ORD-2025-00300"/>
    <d v="2025-06-01T00:00:00"/>
    <s v="C0028"/>
    <s v="P1025"/>
    <s v="Mia Clark, Victoria, Consumer"/>
    <s v="Montreal Central"/>
    <s v="A. Morgan"/>
    <s v="Retail Store"/>
    <n v="2"/>
    <n v="308.31"/>
    <n v="0.05"/>
    <s v="Debit  Card"/>
    <n v="3"/>
    <s v="No"/>
    <s v="Retail Store"/>
    <s v="P1025"/>
    <s v="C0028"/>
    <s v="Montreal Central"/>
    <s v="Debit Card"/>
    <n v="1"/>
    <s v="Mia Clark"/>
    <s v="Victoria"/>
    <s v="Consumer"/>
    <s v="Yoga Mat"/>
    <x v="0"/>
    <n v="197.33"/>
    <n v="616.62"/>
    <n v="30.831000000000003"/>
    <x v="299"/>
    <n v="394.66"/>
    <x v="298"/>
    <n v="0.3262761847696013"/>
    <n v="2025"/>
    <x v="5"/>
    <s v="juin"/>
    <s v="Q2"/>
    <s v="British Columbia"/>
    <n v="0"/>
  </r>
  <r>
    <s v="ORD-2025-00301"/>
    <d v="2025-01-19T00:00:00"/>
    <s v="C0092"/>
    <s v="P1038"/>
    <s v="Lucas Tremblay, Saskatoon, Consumer"/>
    <s v="Vancouver West"/>
    <s v="N. Brown"/>
    <s v="Online"/>
    <n v="2"/>
    <n v="253.83"/>
    <n v="0.1"/>
    <s v="Debit Card"/>
    <n v="9"/>
    <s v="No"/>
    <s v="Online"/>
    <s v="P1038"/>
    <s v="C0092"/>
    <s v="Vancouver West"/>
    <s v="Debit Card"/>
    <n v="1"/>
    <s v="Lucas Tremblay"/>
    <s v="Saskatoon"/>
    <s v="Consumer"/>
    <s v="Water Bottle"/>
    <x v="1"/>
    <n v="119.16"/>
    <n v="507.66"/>
    <n v="50.766000000000005"/>
    <x v="300"/>
    <n v="238.32"/>
    <x v="299"/>
    <n v="0.47839104912736874"/>
    <n v="2025"/>
    <x v="3"/>
    <s v="janvier"/>
    <s v="Q1"/>
    <s v="Saskatchewan"/>
    <n v="0"/>
  </r>
  <r>
    <s v="ORD-2025-00302"/>
    <d v="2025-02-08T00:00:00"/>
    <s v="C0052"/>
    <s v="P1010"/>
    <s v="Liam Bennett, Edmonton, Corporate"/>
    <s v="Calgary North"/>
    <s v="S. Patel"/>
    <s v="Online"/>
    <n v="1"/>
    <n v="218.34"/>
    <n v="0.15"/>
    <s v="Credit Card"/>
    <n v="5"/>
    <s v="No"/>
    <s v="Online"/>
    <s v="P1010"/>
    <s v="C0052"/>
    <s v="Calgary North"/>
    <s v="Credit Card"/>
    <n v="1"/>
    <s v="Liam Bennett"/>
    <s v="Edmonton"/>
    <s v="Corporate"/>
    <s v="Desk Lamp"/>
    <x v="3"/>
    <n v="127.21"/>
    <n v="218.34"/>
    <n v="32.750999999999998"/>
    <x v="301"/>
    <n v="127.21"/>
    <x v="300"/>
    <n v="0.31456066900516738"/>
    <n v="2025"/>
    <x v="2"/>
    <s v="février"/>
    <s v="Q1"/>
    <s v="Alberta"/>
    <n v="0"/>
  </r>
  <r>
    <s v="ORD-2025-00303"/>
    <d v="2025-01-25T00:00:00"/>
    <s v="C0108"/>
    <s v="P1024"/>
    <s v="Noah Lee, Surrey, Consumer"/>
    <s v="Online Fulfillment"/>
    <s v="M. Wilson"/>
    <s v="Online"/>
    <n v="4"/>
    <n v="106.03"/>
    <n v="0.05"/>
    <s v="Credit Card"/>
    <n v="7"/>
    <s v="No"/>
    <s v="Online"/>
    <s v="P1024"/>
    <s v="C0108"/>
    <s v="Online Fulfillment"/>
    <s v="Credit Card"/>
    <n v="1"/>
    <s v="Noah Lee"/>
    <s v="Surrey"/>
    <s v="Consumer"/>
    <s v="Food Scale"/>
    <x v="2"/>
    <n v="46.07"/>
    <n v="424.12"/>
    <n v="21.206000000000003"/>
    <x v="302"/>
    <n v="184.28"/>
    <x v="301"/>
    <n v="0.54263192641605895"/>
    <n v="2025"/>
    <x v="3"/>
    <s v="janvier"/>
    <s v="Q1"/>
    <s v="British Columbia"/>
    <n v="0"/>
  </r>
  <r>
    <s v="ORD-2025-00304"/>
    <d v="2025-04-18T00:00:00"/>
    <s v="C0016"/>
    <s v="P1002"/>
    <s v="Nora Singh, Calgary, Consumer"/>
    <s v="Montreal Central"/>
    <s v="L. Chen"/>
    <s v="Online"/>
    <n v="3"/>
    <n v="40.25"/>
    <n v="0"/>
    <s v="PayPal"/>
    <n v="1"/>
    <s v="No"/>
    <s v="Online"/>
    <s v="P1002"/>
    <s v="C0016"/>
    <s v="Montreal Central"/>
    <s v="Paypal"/>
    <n v="1"/>
    <s v="Nora Singh"/>
    <s v="Calgary"/>
    <s v="Consumer"/>
    <s v="Keyboard"/>
    <x v="4"/>
    <n v="23.5"/>
    <n v="120.75"/>
    <n v="0"/>
    <x v="303"/>
    <n v="70.5"/>
    <x v="302"/>
    <n v="0.41614906832298137"/>
    <n v="2025"/>
    <x v="9"/>
    <s v="avril"/>
    <s v="Q2"/>
    <s v="Alberta"/>
    <n v="0"/>
  </r>
  <r>
    <s v="ORD-2025-00305"/>
    <d v="2025-11-07T00:00:00"/>
    <s v="C0078"/>
    <s v="P1011"/>
    <s v="Sarah Smith, Edmonton, Corporate"/>
    <s v="Vancouver West"/>
    <s v="M. Wilson"/>
    <s v="Retail Store"/>
    <n v="1"/>
    <n v="79.12"/>
    <n v="0"/>
    <s v="Credit Card"/>
    <n v="3"/>
    <s v="No"/>
    <s v="Retail Store"/>
    <s v="P1011"/>
    <s v="C0078"/>
    <s v="Vancouver West"/>
    <s v="Credit Card"/>
    <n v="1"/>
    <s v="Sarah Smith"/>
    <s v="Edmonton"/>
    <s v="Corporate"/>
    <s v="Office Chair"/>
    <x v="3"/>
    <n v="39.26"/>
    <n v="79.12"/>
    <n v="0"/>
    <x v="304"/>
    <n v="39.26"/>
    <x v="303"/>
    <n v="0.50379170879676449"/>
    <n v="2025"/>
    <x v="8"/>
    <s v="novembre"/>
    <s v="Q4"/>
    <s v="Alberta"/>
    <n v="0"/>
  </r>
  <r>
    <s v="ORD-2025-00306"/>
    <d v="2025-01-26T00:00:00"/>
    <s v="C0071"/>
    <s v="P1031"/>
    <s v="Ethan Lee, Surrey, Consumer"/>
    <s v="Toronto Downtown"/>
    <s v="R. Singh"/>
    <s v="Retail Store"/>
    <n v="4"/>
    <n v="253.26"/>
    <n v="0.15"/>
    <s v="Credit Card"/>
    <n v="4"/>
    <s v="No"/>
    <s v="Retail Store"/>
    <s v="P1031"/>
    <s v="C0071"/>
    <s v="Toronto Downtown"/>
    <s v="Credit Card"/>
    <n v="1"/>
    <s v="Ethan Lee"/>
    <s v="Surrey"/>
    <s v="Consumer"/>
    <s v="Dumbbell Set"/>
    <x v="0"/>
    <n v="131.72999999999999"/>
    <n v="1013.04"/>
    <n v="151.95599999999999"/>
    <x v="305"/>
    <n v="526.91999999999996"/>
    <x v="304"/>
    <n v="0.3880736374151651"/>
    <n v="2025"/>
    <x v="3"/>
    <s v="janvier"/>
    <s v="Q1"/>
    <s v="British Columbia"/>
    <n v="0"/>
  </r>
  <r>
    <s v="ORD-2025-00307"/>
    <d v="2025-06-10T00:00:00"/>
    <s v="C0069"/>
    <s v="P1032"/>
    <s v="Sarah White, Ottawa, Consumer"/>
    <s v="Online Fulfillment"/>
    <s v="R. Singh"/>
    <s v="Retail Store"/>
    <n v="2"/>
    <n v="201.38"/>
    <n v="0"/>
    <s v="Debit  Card"/>
    <n v="1"/>
    <s v="No"/>
    <s v="Retail Store"/>
    <s v="P1032"/>
    <s v="C0069"/>
    <s v="Online Fulfillment"/>
    <s v="Debit Card"/>
    <n v="1"/>
    <s v="Sarah White"/>
    <s v="Ottawa"/>
    <s v="Consumer"/>
    <s v="Gym Bag"/>
    <x v="0"/>
    <n v="132.72"/>
    <n v="402.76"/>
    <n v="0"/>
    <x v="306"/>
    <n v="265.44"/>
    <x v="305"/>
    <n v="0.34094746250869001"/>
    <n v="2025"/>
    <x v="5"/>
    <s v="juin"/>
    <s v="Q2"/>
    <s v="Ontario"/>
    <n v="0"/>
  </r>
  <r>
    <s v="ORD-2025-00308"/>
    <d v="2025-12-04T00:00:00"/>
    <s v="C0091"/>
    <s v="P1039"/>
    <s v="Leo Taylor, Victoria, Small Business"/>
    <s v="Montreal Central"/>
    <s v="A. Morgan"/>
    <s v="Online"/>
    <n v="1"/>
    <n v="341.39"/>
    <n v="0"/>
    <m/>
    <n v="4"/>
    <s v="No"/>
    <s v="Online"/>
    <s v="P1039"/>
    <s v="C0091"/>
    <s v="Montreal Central"/>
    <s v="Non renseigné"/>
    <n v="1"/>
    <s v="Leo Taylor"/>
    <s v="Victoria"/>
    <s v="Small Business"/>
    <s v="Travel Adapter"/>
    <x v="1"/>
    <n v="229.86"/>
    <n v="341.39"/>
    <n v="0"/>
    <x v="307"/>
    <n v="229.86"/>
    <x v="306"/>
    <n v="0.32669381059784991"/>
    <n v="2025"/>
    <x v="6"/>
    <s v="décembre"/>
    <s v="Q4"/>
    <s v="British Columbia"/>
    <n v="0"/>
  </r>
  <r>
    <s v="ORD-2025-00309"/>
    <d v="2025-07-18T00:00:00"/>
    <s v="C0003"/>
    <s v="P1031"/>
    <s v="Amelia Young, Ottawa, Corporate"/>
    <s v="Calgary North"/>
    <s v="R. Singh"/>
    <s v="Online"/>
    <n v="3"/>
    <n v="252.56"/>
    <n v="0.15"/>
    <s v="PayPal"/>
    <n v="5"/>
    <s v="No"/>
    <s v="Online"/>
    <s v="P1031"/>
    <s v="C0003"/>
    <s v="Calgary North"/>
    <s v="Paypal"/>
    <n v="1"/>
    <s v="Amelia Young"/>
    <s v="Ottawa"/>
    <s v="Corporate"/>
    <s v="Dumbbell Set"/>
    <x v="0"/>
    <n v="131.72999999999999"/>
    <n v="757.68000000000006"/>
    <n v="113.652"/>
    <x v="308"/>
    <n v="395.18999999999994"/>
    <x v="307"/>
    <n v="0.38637761091132694"/>
    <n v="2025"/>
    <x v="10"/>
    <s v="juillet"/>
    <s v="Q3"/>
    <s v="Ontario"/>
    <n v="0"/>
  </r>
  <r>
    <s v="ORD-2025-00310"/>
    <d v="2025-12-16T00:00:00"/>
    <s v="C0021"/>
    <s v="P1034"/>
    <s v="Nora King, Halifax, Corporate"/>
    <s v="Calgary North"/>
    <s v="M. Wilson"/>
    <s v="Marketplace"/>
    <n v="2"/>
    <n v="140.47"/>
    <n v="0.15"/>
    <s v="Credit Card"/>
    <n v="6"/>
    <s v="No"/>
    <s v="Marketplace"/>
    <s v="P1034"/>
    <s v="C0021"/>
    <s v="Calgary North"/>
    <s v="Credit Card"/>
    <n v="1"/>
    <s v="Nora King"/>
    <s v="Halifax"/>
    <s v="Corporate"/>
    <s v="Laptop Sleeve"/>
    <x v="1"/>
    <n v="78.95"/>
    <n v="280.94"/>
    <n v="42.140999999999998"/>
    <x v="309"/>
    <n v="157.9"/>
    <x v="308"/>
    <n v="0.33877445047927335"/>
    <n v="2025"/>
    <x v="6"/>
    <s v="décembre"/>
    <s v="Q4"/>
    <s v="Nova Scotia"/>
    <n v="0"/>
  </r>
  <r>
    <s v="ORD-2025-00311"/>
    <d v="2025-09-23T00:00:00"/>
    <s v="C0050"/>
    <s v="P1036"/>
    <s v="Sarah Singh, Mississauga, Consumer"/>
    <s v="Vancouver West"/>
    <s v="N. Brown"/>
    <s v="Retail Store"/>
    <n v="1"/>
    <n v="168.49"/>
    <n v="0.05"/>
    <s v="Debit Card"/>
    <n v="3"/>
    <s v="No"/>
    <s v="Retail Store"/>
    <s v="P1036"/>
    <s v="C0050"/>
    <s v="Vancouver West"/>
    <s v="Debit Card"/>
    <n v="1"/>
    <s v="Sarah Singh"/>
    <s v="Mississauga"/>
    <s v="Consumer"/>
    <s v="Power Bank"/>
    <x v="1"/>
    <n v="76.97"/>
    <n v="168.49"/>
    <n v="8.4245000000000001"/>
    <x v="310"/>
    <n v="76.97"/>
    <x v="309"/>
    <n v="0.51913435437367828"/>
    <n v="2025"/>
    <x v="0"/>
    <s v="septembre"/>
    <s v="Q3"/>
    <s v="Ontario"/>
    <n v="0"/>
  </r>
  <r>
    <s v="ORD-2025-00312"/>
    <d v="2025-05-18T00:00:00"/>
    <s v="C0107"/>
    <s v="P1035"/>
    <s v="Ava Lee, Calgary, Small Business"/>
    <s v="Montreal Central"/>
    <s v="M. Wilson"/>
    <s v="Online"/>
    <n v="2"/>
    <n v="82.55"/>
    <n v="0.05"/>
    <s v="PayPal"/>
    <n v="7"/>
    <s v="No"/>
    <s v="Online"/>
    <s v="P1035"/>
    <s v="C0107"/>
    <s v="Montreal Central"/>
    <s v="Paypal"/>
    <n v="1"/>
    <s v="Ava Lee"/>
    <s v="Calgary"/>
    <s v="Small Business"/>
    <s v="Phone Stand"/>
    <x v="1"/>
    <n v="59.85"/>
    <n v="165.1"/>
    <n v="8.2550000000000008"/>
    <x v="311"/>
    <n v="119.7"/>
    <x v="310"/>
    <n v="0.2368261659600242"/>
    <n v="2025"/>
    <x v="1"/>
    <s v="mai"/>
    <s v="Q2"/>
    <s v="Alberta"/>
    <n v="0"/>
  </r>
  <r>
    <s v="ORD-2025-00313"/>
    <d v="2025-07-17T00:00:00"/>
    <s v="C0019"/>
    <s v="P1029"/>
    <s v="Lucas Taylor, Montreal, Small Business"/>
    <s v="Montreal Central"/>
    <s v="M. Wilson"/>
    <s v="Retail Store"/>
    <n v="2"/>
    <n v="197.34"/>
    <n v="0.1"/>
    <s v="CC"/>
    <n v="1"/>
    <s v="No"/>
    <s v="Retail Store"/>
    <s v="P1029"/>
    <s v="C0019"/>
    <s v="Montreal Central"/>
    <s v="Credit Card"/>
    <n v="1"/>
    <s v="Lucas Taylor"/>
    <s v="Montreal"/>
    <s v="Small Business"/>
    <s v="Jump Rope"/>
    <x v="0"/>
    <n v="101"/>
    <n v="394.68"/>
    <n v="39.468000000000004"/>
    <x v="312"/>
    <n v="202"/>
    <x v="311"/>
    <n v="0.43132551828204002"/>
    <n v="2025"/>
    <x v="10"/>
    <s v="juillet"/>
    <s v="Q3"/>
    <s v="Quebec"/>
    <n v="0"/>
  </r>
  <r>
    <s v="ORD-2025-00314"/>
    <d v="2025-08-07T00:00:00"/>
    <s v="C0007"/>
    <s v="P1033"/>
    <s v="Lucas Wilson, Ottawa, Consumer"/>
    <s v="Calgary North"/>
    <s v="R. Singh"/>
    <s v="Retail Store"/>
    <n v="1"/>
    <n v="301.12"/>
    <n v="0.2"/>
    <s v="Credit Card"/>
    <n v="0"/>
    <s v="No"/>
    <s v="Retail Store"/>
    <s v="P1033"/>
    <s v="C0007"/>
    <s v="Calgary North"/>
    <s v="Credit Card"/>
    <n v="1"/>
    <s v="Lucas Wilson"/>
    <s v="Ottawa"/>
    <s v="Consumer"/>
    <s v="Backpack"/>
    <x v="1"/>
    <n v="152.55000000000001"/>
    <n v="301.12"/>
    <n v="60.224000000000004"/>
    <x v="313"/>
    <n v="152.55000000000001"/>
    <x v="312"/>
    <n v="0.36673917375132836"/>
    <n v="2025"/>
    <x v="7"/>
    <s v="août"/>
    <s v="Q3"/>
    <s v="Ontario"/>
    <n v="0"/>
  </r>
  <r>
    <s v="ORD-2025-00315"/>
    <d v="2025-04-14T00:00:00"/>
    <s v="C0019"/>
    <s v="P1013"/>
    <s v="Lucas Taylor, Montreal, Small Business"/>
    <s v="Calgary North"/>
    <s v="N. Brown"/>
    <s v="Online"/>
    <n v="1"/>
    <n v="127.63"/>
    <n v="0.05"/>
    <s v="Debit Card"/>
    <n v="4"/>
    <s v="No"/>
    <s v="Online"/>
    <s v="P1013"/>
    <s v="C0019"/>
    <s v="Calgary North"/>
    <s v="Debit Card"/>
    <n v="1"/>
    <s v="Lucas Taylor"/>
    <s v="Montreal"/>
    <s v="Small Business"/>
    <s v="Whiteboard"/>
    <x v="3"/>
    <n v="85.73"/>
    <n v="127.63"/>
    <n v="6.3815"/>
    <x v="314"/>
    <n v="85.73"/>
    <x v="313"/>
    <n v="0.29293970647059542"/>
    <n v="2025"/>
    <x v="9"/>
    <s v="avril"/>
    <s v="Q2"/>
    <s v="Quebec"/>
    <n v="0"/>
  </r>
  <r>
    <s v="ORD-2025-00316"/>
    <d v="2025-04-15T00:00:00"/>
    <s v="C0001"/>
    <s v="P1039"/>
    <s v="Ethan Roy, Halifax, Consumer"/>
    <s v="Vancouver West"/>
    <s v="A. Morgan"/>
    <s v="Retail Store"/>
    <n v="1"/>
    <n v="337.2"/>
    <n v="0.05"/>
    <s v="Credit Card"/>
    <n v="1"/>
    <s v="No"/>
    <s v="Retail Store"/>
    <s v="P1039"/>
    <s v="C0001"/>
    <s v="Vancouver West"/>
    <s v="Credit Card"/>
    <n v="1"/>
    <s v="Ethan Roy"/>
    <s v="Halifax"/>
    <s v="Consumer"/>
    <s v="Travel Adapter"/>
    <x v="1"/>
    <n v="229.86"/>
    <n v="337.2"/>
    <n v="16.86"/>
    <x v="315"/>
    <n v="229.86"/>
    <x v="314"/>
    <n v="0.28244989698445394"/>
    <n v="2025"/>
    <x v="9"/>
    <s v="avril"/>
    <s v="Q2"/>
    <s v="Nova Scotia"/>
    <n v="0"/>
  </r>
  <r>
    <s v="ORD-2025-00317"/>
    <d v="2025-06-15T00:00:00"/>
    <s v="C0118"/>
    <s v="P1039"/>
    <s v="Ryan Smith, Victoria, Small Business"/>
    <s v="Online Fulfillment"/>
    <s v="M. Wilson"/>
    <s v="Online"/>
    <n v="1"/>
    <n v="334.17"/>
    <n v="0.05"/>
    <s v="Debit Card"/>
    <n v="7"/>
    <s v="No"/>
    <s v="Online"/>
    <s v="P1039"/>
    <s v="C0118"/>
    <s v="Online Fulfillment"/>
    <s v="Debit Card"/>
    <n v="1"/>
    <s v="Ryan Smith"/>
    <s v="Victoria"/>
    <s v="Small Business"/>
    <s v="Travel Adapter"/>
    <x v="1"/>
    <n v="229.86"/>
    <n v="334.17"/>
    <n v="16.708500000000001"/>
    <x v="316"/>
    <n v="229.86"/>
    <x v="315"/>
    <n v="0.27594369710972821"/>
    <n v="2025"/>
    <x v="5"/>
    <s v="juin"/>
    <s v="Q2"/>
    <s v="British Columbia"/>
    <n v="0"/>
  </r>
  <r>
    <s v="ORD-2025-00318"/>
    <d v="2025-05-18T00:00:00"/>
    <s v="C0080"/>
    <s v="P1015"/>
    <s v="Sarah Smith, Mississauga, Corporate"/>
    <s v="Online Fulfillment"/>
    <s v="N. Brown"/>
    <s v="Online"/>
    <n v="1"/>
    <n v="390.94"/>
    <n v="0.2"/>
    <s v="CC"/>
    <n v="4"/>
    <s v="No"/>
    <s v="Online"/>
    <s v="P1015"/>
    <s v="C0080"/>
    <s v="Online Fulfillment"/>
    <s v="Credit Card"/>
    <n v="1"/>
    <s v="Sarah Smith"/>
    <s v="Mississauga"/>
    <s v="Corporate"/>
    <s v="Desk Organizer"/>
    <x v="3"/>
    <n v="235.76"/>
    <n v="390.94"/>
    <n v="78.188000000000002"/>
    <x v="317"/>
    <n v="235.76"/>
    <x v="316"/>
    <n v="0.24617588376733007"/>
    <n v="2025"/>
    <x v="1"/>
    <s v="mai"/>
    <s v="Q2"/>
    <s v="Ontario"/>
    <n v="0"/>
  </r>
  <r>
    <s v="ORD-2025-00319"/>
    <d v="2025-02-21T00:00:00"/>
    <s v="C0051"/>
    <s v="P1039"/>
    <s v="Daniel Brown, Vancouver, Small Business"/>
    <s v="Calgary North"/>
    <s v="J. Tremblay"/>
    <s v="Marketplace"/>
    <n v="4"/>
    <n v="339.87"/>
    <n v="0"/>
    <s v="Debit Card"/>
    <n v="8"/>
    <s v="No"/>
    <s v="Marketplace"/>
    <s v="P1039"/>
    <s v="C0051"/>
    <s v="Calgary North"/>
    <s v="Debit Card"/>
    <n v="1"/>
    <s v="Daniel Brown"/>
    <s v="Vancouver"/>
    <s v="Small Business"/>
    <s v="Travel Adapter"/>
    <x v="1"/>
    <n v="229.86"/>
    <n v="1359.48"/>
    <n v="0"/>
    <x v="318"/>
    <n v="919.44"/>
    <x v="317"/>
    <n v="0.32368258451760962"/>
    <n v="2025"/>
    <x v="2"/>
    <s v="février"/>
    <s v="Q1"/>
    <s v="British Columbia"/>
    <n v="0"/>
  </r>
  <r>
    <s v="ORD-2025-00320"/>
    <d v="2025-07-28T00:00:00"/>
    <s v="C0116"/>
    <s v="P1019"/>
    <s v="Lucas Brown, Mississauga, Corporate"/>
    <s v="Montreal Central"/>
    <s v="R. Singh"/>
    <s v="Retail Store"/>
    <n v="2"/>
    <n v="268.60000000000002"/>
    <n v="0.15"/>
    <s v="PayPal"/>
    <n v="1"/>
    <s v="No"/>
    <s v="Retail Store"/>
    <s v="P1019"/>
    <s v="C0116"/>
    <s v="Montreal Central"/>
    <s v="Paypal"/>
    <n v="1"/>
    <s v="Lucas Brown"/>
    <s v="Mississauga"/>
    <s v="Corporate"/>
    <s v="Vacuum"/>
    <x v="2"/>
    <n v="186.94"/>
    <n v="537.20000000000005"/>
    <n v="80.58"/>
    <x v="319"/>
    <n v="373.88"/>
    <x v="318"/>
    <n v="0.18120099864219713"/>
    <n v="2025"/>
    <x v="10"/>
    <s v="juillet"/>
    <s v="Q3"/>
    <s v="Ontario"/>
    <n v="0"/>
  </r>
  <r>
    <s v="ORD-2025-00321"/>
    <d v="2025-03-11T00:00:00"/>
    <s v="C0058"/>
    <s v="P1023"/>
    <s v="Mia Singh, Laval, Consumer"/>
    <s v="Toronto Downtown"/>
    <s v="N. Brown"/>
    <s v="Retail Store"/>
    <n v="3"/>
    <n v="325.47000000000003"/>
    <n v="0.25"/>
    <s v="PayPal"/>
    <n v="3"/>
    <s v="No"/>
    <s v="Retail Store"/>
    <s v="P1023"/>
    <s v="C0058"/>
    <s v="Toronto Downtown"/>
    <s v="Paypal"/>
    <n v="1"/>
    <s v="Mia Singh"/>
    <s v="Laval"/>
    <s v="Consumer"/>
    <s v="Toaster"/>
    <x v="2"/>
    <n v="152.88"/>
    <n v="976.41000000000008"/>
    <n v="244.10250000000002"/>
    <x v="320"/>
    <n v="458.64"/>
    <x v="319"/>
    <n v="0.37370571788490503"/>
    <n v="2025"/>
    <x v="4"/>
    <s v="mars"/>
    <s v="Q1"/>
    <s v="Quebec"/>
    <n v="0"/>
  </r>
  <r>
    <s v="ORD-2025-00322"/>
    <d v="2025-12-16T00:00:00"/>
    <s v="C0089"/>
    <s v="P1039"/>
    <s v="Lucas Martin , Vancouver , Consumer"/>
    <s v="Online Fulfillment"/>
    <s v="S. Patel"/>
    <s v="Marketplace"/>
    <n v="1"/>
    <n v="354.82"/>
    <n v="0.1"/>
    <s v="Credit Card"/>
    <n v="7"/>
    <s v="No"/>
    <s v="Marketplace"/>
    <s v="P1039"/>
    <s v="C0089"/>
    <s v="Online Fulfillment"/>
    <s v="Credit Card"/>
    <n v="1"/>
    <s v="Lucas Martin"/>
    <s v="Vancouver"/>
    <s v="Consumer"/>
    <s v="Travel Adapter"/>
    <x v="1"/>
    <n v="229.86"/>
    <n v="354.82"/>
    <n v="35.481999999999999"/>
    <x v="321"/>
    <n v="229.86"/>
    <x v="320"/>
    <n v="0.2801984104616424"/>
    <n v="2025"/>
    <x v="6"/>
    <s v="décembre"/>
    <s v="Q4"/>
    <s v="British Columbia"/>
    <n v="0"/>
  </r>
  <r>
    <s v="ORD-2025-00323"/>
    <d v="2025-09-01T00:00:00"/>
    <s v="C0012"/>
    <s v="P1026"/>
    <s v="Daniel Taylor, Victoria, Corporate"/>
    <s v="Vancouver West"/>
    <s v="N. Brown"/>
    <s v="Online"/>
    <n v="1"/>
    <n v="225.3"/>
    <n v="0.05"/>
    <s v="PayPal"/>
    <n v="4"/>
    <s v="No"/>
    <s v="Online"/>
    <s v="P1026"/>
    <s v="C0012"/>
    <s v="Vancouver West"/>
    <s v="Paypal"/>
    <n v="1"/>
    <s v="Daniel Taylor"/>
    <s v="Victoria"/>
    <s v="Corporate"/>
    <s v="Resistance Bands"/>
    <x v="0"/>
    <n v="139.19999999999999"/>
    <n v="225.3"/>
    <n v="11.265000000000001"/>
    <x v="322"/>
    <n v="139.19999999999999"/>
    <x v="321"/>
    <n v="0.34963907772093361"/>
    <n v="2025"/>
    <x v="0"/>
    <s v="septembre"/>
    <s v="Q3"/>
    <s v="British Columbia"/>
    <n v="0"/>
  </r>
  <r>
    <s v="ORD-2025-00324"/>
    <d v="2025-07-02T00:00:00"/>
    <s v="C0050"/>
    <s v="P1022"/>
    <s v="Sarah Singh, Mississauga, Consumer"/>
    <s v="Vancouver West"/>
    <s v="R. Singh"/>
    <s v="Marketplace"/>
    <n v="2"/>
    <n v="430.2"/>
    <n v="0"/>
    <s v="Credit Card"/>
    <n v="6"/>
    <s v="No"/>
    <s v="Marketplace"/>
    <s v="P1022"/>
    <s v="C0050"/>
    <s v="Vancouver West"/>
    <s v="Credit Card"/>
    <n v="1"/>
    <s v="Sarah Singh"/>
    <s v="Mississauga"/>
    <s v="Consumer"/>
    <s v="Humidifier"/>
    <x v="2"/>
    <n v="239.67"/>
    <n v="860.4"/>
    <n v="0"/>
    <x v="323"/>
    <n v="479.34"/>
    <x v="322"/>
    <n v="0.44288702928870294"/>
    <n v="2025"/>
    <x v="10"/>
    <s v="juillet"/>
    <s v="Q3"/>
    <s v="Ontario"/>
    <n v="0"/>
  </r>
  <r>
    <s v="ORD-2025-00325"/>
    <d v="2025-05-12T00:00:00"/>
    <s v="C0091"/>
    <s v="P1016"/>
    <s v="Leo Taylor, Victoria, Small Business"/>
    <s v="Montreal Central"/>
    <s v="E. Roy"/>
    <s v="Online"/>
    <n v="3"/>
    <n v="313.67"/>
    <n v="0.25"/>
    <s v="Credit Card"/>
    <n v="7"/>
    <s v="Yes"/>
    <s v="Online"/>
    <s v="P1016"/>
    <s v="C0091"/>
    <s v="Montreal Central"/>
    <s v="Credit Card"/>
    <n v="1"/>
    <s v="Leo Taylor"/>
    <s v="Victoria"/>
    <s v="Small Business"/>
    <s v="Printer"/>
    <x v="3"/>
    <n v="156.75"/>
    <n v="941.01"/>
    <n v="235.2525"/>
    <x v="324"/>
    <n v="470.25"/>
    <x v="323"/>
    <n v="0.33369464724073067"/>
    <n v="2025"/>
    <x v="1"/>
    <s v="mai"/>
    <s v="Q2"/>
    <s v="British Columbia"/>
    <n v="1"/>
  </r>
  <r>
    <s v="ORD-2025-00326"/>
    <d v="2025-12-27T00:00:00"/>
    <s v="C0092"/>
    <s v="P1010"/>
    <s v="Lucas Tremblay, Saskatoon, Consumer"/>
    <s v="Montreal Central"/>
    <s v="R. Singh"/>
    <s v="Online"/>
    <n v="1"/>
    <n v="215.29"/>
    <n v="0"/>
    <s v="Credit Card"/>
    <n v="3"/>
    <s v="Yes"/>
    <s v="Online"/>
    <s v="P1010"/>
    <s v="C0092"/>
    <s v="Montreal Central"/>
    <s v="Credit Card"/>
    <n v="1"/>
    <s v="Lucas Tremblay"/>
    <s v="Saskatoon"/>
    <s v="Consumer"/>
    <s v="Desk Lamp"/>
    <x v="3"/>
    <n v="127.21"/>
    <n v="215.29"/>
    <n v="0"/>
    <x v="325"/>
    <n v="127.21"/>
    <x v="324"/>
    <n v="0.40912257884713643"/>
    <n v="2025"/>
    <x v="6"/>
    <s v="décembre"/>
    <s v="Q4"/>
    <s v="Saskatchewan"/>
    <n v="1"/>
  </r>
  <r>
    <s v="ORD-2025-00327"/>
    <d v="2025-07-26T00:00:00"/>
    <s v="C0031"/>
    <s v="P1021"/>
    <s v="Leo Gagnon, Surrey, Small Business"/>
    <s v="Montreal Central"/>
    <s v="A. Morgan"/>
    <s v="Retail  Store"/>
    <n v="1"/>
    <n v="289.89"/>
    <n v="0.05"/>
    <s v="Debit Card"/>
    <n v="1"/>
    <s v="No"/>
    <s v="Retail Store"/>
    <s v="P1021"/>
    <s v="C0031"/>
    <s v="Montreal Central"/>
    <s v="Debit Card"/>
    <n v="1"/>
    <s v="Leo Gagnon"/>
    <s v="Surrey"/>
    <s v="Small Business"/>
    <s v="Kettle"/>
    <x v="2"/>
    <n v="139.86000000000001"/>
    <n v="289.89"/>
    <n v="14.4945"/>
    <x v="326"/>
    <n v="139.86000000000001"/>
    <x v="325"/>
    <n v="0.492148564519028"/>
    <n v="2025"/>
    <x v="10"/>
    <s v="juillet"/>
    <s v="Q3"/>
    <s v="British Columbia"/>
    <n v="0"/>
  </r>
  <r>
    <s v="ORD-2025-00328"/>
    <d v="2025-03-20T00:00:00"/>
    <s v="C0092"/>
    <s v="P1007"/>
    <s v="Lucas Tremblay, Saskatoon, Consumer"/>
    <s v="Calgary North"/>
    <s v="J. Tremblay"/>
    <s v="Retail  Store"/>
    <n v="5"/>
    <n v="335.95"/>
    <n v="0"/>
    <s v="Debit Card"/>
    <n v="1"/>
    <s v="No"/>
    <s v="Retail Store"/>
    <s v="P1007"/>
    <s v="C0092"/>
    <s v="Calgary North"/>
    <s v="Debit Card"/>
    <n v="1"/>
    <s v="Lucas Tremblay"/>
    <s v="Saskatoon"/>
    <s v="Consumer"/>
    <s v="Monitor"/>
    <x v="4"/>
    <n v="224.47"/>
    <n v="1679.75"/>
    <n v="0"/>
    <x v="327"/>
    <n v="1122.3499999999999"/>
    <x v="326"/>
    <n v="0.33183509450811138"/>
    <n v="2025"/>
    <x v="4"/>
    <s v="mars"/>
    <s v="Q1"/>
    <s v="Saskatchewan"/>
    <n v="0"/>
  </r>
  <r>
    <s v="ORD-2025-00329"/>
    <d v="2025-09-10T00:00:00"/>
    <s v="C0093"/>
    <s v="P1039"/>
    <s v="Ethan Roy, Winnipeg, Consumer"/>
    <s v="Montreal Central"/>
    <s v="S. Patel"/>
    <s v="Online"/>
    <n v="1"/>
    <n v="343.98"/>
    <n v="0.1"/>
    <s v="Credit Card"/>
    <n v="3"/>
    <s v="No"/>
    <s v="Online"/>
    <s v="P1039"/>
    <s v="C0093"/>
    <s v="Montreal Central"/>
    <s v="Credit Card"/>
    <n v="1"/>
    <s v="Ethan Roy"/>
    <s v="Winnipeg"/>
    <s v="Consumer"/>
    <s v="Travel Adapter"/>
    <x v="1"/>
    <n v="229.86"/>
    <n v="343.98"/>
    <n v="34.398000000000003"/>
    <x v="328"/>
    <n v="229.86"/>
    <x v="327"/>
    <n v="0.25751497180068605"/>
    <n v="2025"/>
    <x v="0"/>
    <s v="septembre"/>
    <s v="Q3"/>
    <s v="Manitoba"/>
    <n v="0"/>
  </r>
  <r>
    <s v="ORD-2025-00330"/>
    <d v="2025-10-10T00:00:00"/>
    <s v="C0020"/>
    <s v="P1026"/>
    <s v="Nora Khan, Mississauga, Consumer"/>
    <s v="Vancouver West"/>
    <s v="E. Roy"/>
    <s v="Retail Store"/>
    <n v="4"/>
    <n v="228.16"/>
    <n v="0.15"/>
    <s v="Debit Card"/>
    <n v="3"/>
    <s v="No"/>
    <s v="Retail Store"/>
    <s v="P1026"/>
    <s v="C0020"/>
    <s v="Vancouver West"/>
    <s v="Debit Card"/>
    <n v="1"/>
    <s v="Nora Khan"/>
    <s v="Mississauga"/>
    <s v="Consumer"/>
    <s v="Resistance Bands"/>
    <x v="0"/>
    <n v="139.19999999999999"/>
    <n v="912.64"/>
    <n v="136.89599999999999"/>
    <x v="329"/>
    <n v="556.79999999999995"/>
    <x v="328"/>
    <n v="0.28223743915518529"/>
    <n v="2025"/>
    <x v="11"/>
    <s v="octobre"/>
    <s v="Q4"/>
    <s v="Ontario"/>
    <n v="0"/>
  </r>
  <r>
    <s v="ORD-2025-00331"/>
    <d v="2025-06-12T00:00:00"/>
    <s v="C0019"/>
    <s v="P1028"/>
    <s v="Lucas Taylor, Montreal, Small Business"/>
    <s v="Montreal Central"/>
    <s v="L. Chen"/>
    <s v="Online"/>
    <n v="2"/>
    <n v="369.52"/>
    <n v="0"/>
    <s v="CC"/>
    <n v="4"/>
    <s v="No"/>
    <s v="Online"/>
    <s v="P1028"/>
    <s v="C0019"/>
    <s v="Montreal Central"/>
    <s v="Credit Card"/>
    <n v="1"/>
    <s v="Lucas Taylor"/>
    <s v="Montreal"/>
    <s v="Small Business"/>
    <s v="Foam Roller"/>
    <x v="0"/>
    <n v="212.02"/>
    <n v="739.04"/>
    <n v="0"/>
    <x v="330"/>
    <n v="424.04"/>
    <x v="329"/>
    <n v="0.42622862091361763"/>
    <n v="2025"/>
    <x v="5"/>
    <s v="juin"/>
    <s v="Q2"/>
    <s v="Quebec"/>
    <n v="0"/>
  </r>
  <r>
    <s v="ORD-2025-00332"/>
    <d v="2025-10-16T00:00:00"/>
    <s v="C0111"/>
    <s v="P1022"/>
    <s v="Noah Khan, Halifax, Consumer"/>
    <s v="Montreal Central"/>
    <s v="S. Patel"/>
    <s v="Online"/>
    <n v="2"/>
    <n v="430.93"/>
    <n v="0.15"/>
    <s v="Credit Card"/>
    <n v="4"/>
    <s v="No"/>
    <s v="Online"/>
    <s v="P1022"/>
    <s v="C0111"/>
    <s v="Montreal Central"/>
    <s v="Credit Card"/>
    <n v="1"/>
    <s v="Noah Khan"/>
    <s v="Halifax"/>
    <s v="Consumer"/>
    <s v="Humidifier"/>
    <x v="2"/>
    <n v="239.67"/>
    <n v="861.86"/>
    <n v="129.279"/>
    <x v="331"/>
    <n v="479.34"/>
    <x v="330"/>
    <n v="0.34568327597903853"/>
    <n v="2025"/>
    <x v="11"/>
    <s v="octobre"/>
    <s v="Q4"/>
    <s v="Nova Scotia"/>
    <n v="0"/>
  </r>
  <r>
    <s v="ORD-2025-00333"/>
    <d v="2025-04-02T00:00:00"/>
    <s v="C0089"/>
    <s v="P1016"/>
    <s v="Lucas Martin, Vancouver, Consumer"/>
    <s v="Toronto Downtown"/>
    <s v="J. Tremblay"/>
    <s v="Online"/>
    <n v="3"/>
    <n v="319.5"/>
    <n v="0"/>
    <s v="Debit Card"/>
    <n v="2"/>
    <s v="No"/>
    <s v="Online"/>
    <s v="P1016"/>
    <s v="C0089"/>
    <s v="Toronto Downtown"/>
    <s v="Debit Card"/>
    <n v="1"/>
    <s v="Lucas Martin"/>
    <s v="Vancouver"/>
    <s v="Consumer"/>
    <s v="Printer"/>
    <x v="3"/>
    <n v="156.75"/>
    <n v="958.5"/>
    <n v="0"/>
    <x v="332"/>
    <n v="470.25"/>
    <x v="331"/>
    <n v="0.50938967136150237"/>
    <n v="2025"/>
    <x v="9"/>
    <s v="avril"/>
    <s v="Q2"/>
    <s v="British Columbia"/>
    <n v="0"/>
  </r>
  <r>
    <s v="ORD-2025-00334"/>
    <d v="2025-01-24T00:00:00"/>
    <s v="C0041"/>
    <s v="P1027"/>
    <s v="Amine Chen, Halifax, Small Business"/>
    <s v="Calgary North"/>
    <s v="R. Singh"/>
    <s v="Retail Store"/>
    <n v="1"/>
    <n v="56.55"/>
    <n v="0.1"/>
    <s v="Debit Card"/>
    <n v="4"/>
    <s v="No"/>
    <s v="Retail Store"/>
    <s v="P1027"/>
    <s v="C0041"/>
    <s v="Calgary North"/>
    <s v="Debit Card"/>
    <n v="1"/>
    <s v="Amine Chen"/>
    <s v="Halifax"/>
    <s v="Small Business"/>
    <s v="Kettlebell"/>
    <x v="0"/>
    <n v="25.97"/>
    <n v="56.55"/>
    <n v="5.6550000000000002"/>
    <x v="333"/>
    <n v="25.97"/>
    <x v="332"/>
    <n v="0.48973376559583454"/>
    <n v="2025"/>
    <x v="3"/>
    <s v="janvier"/>
    <s v="Q1"/>
    <s v="Nova Scotia"/>
    <n v="0"/>
  </r>
  <r>
    <s v="ORD-2025-00335"/>
    <d v="2025-10-07T00:00:00"/>
    <s v="C0021"/>
    <s v="P1023"/>
    <s v="Nora King, Halifax, Corporate"/>
    <s v="Toronto Downtown"/>
    <s v="J. Tremblay"/>
    <s v="Online"/>
    <n v="2"/>
    <n v="330.56"/>
    <n v="0.2"/>
    <s v="Credit Card"/>
    <n v="3"/>
    <s v="No"/>
    <s v="Online"/>
    <s v="P1023"/>
    <s v="C0021"/>
    <s v="Toronto Downtown"/>
    <s v="Credit Card"/>
    <n v="1"/>
    <s v="Nora King"/>
    <s v="Halifax"/>
    <s v="Corporate"/>
    <s v="Toaster"/>
    <x v="2"/>
    <n v="152.88"/>
    <n v="661.12"/>
    <n v="132.22400000000002"/>
    <x v="334"/>
    <n v="305.76"/>
    <x v="333"/>
    <n v="0.42189012584704738"/>
    <n v="2025"/>
    <x v="11"/>
    <s v="octobre"/>
    <s v="Q4"/>
    <s v="Nova Scotia"/>
    <n v="0"/>
  </r>
  <r>
    <s v="ORD-2025-00336"/>
    <d v="2025-10-20T00:00:00"/>
    <s v="C0089"/>
    <s v="P1014"/>
    <s v="Lucas Martin, Vancouver, Consumer"/>
    <s v="Calgary North"/>
    <s v="E. Roy"/>
    <s v="Online"/>
    <n v="1"/>
    <n v="249.26"/>
    <n v="0.2"/>
    <s v="Credit Card"/>
    <n v="7"/>
    <s v="No"/>
    <s v="Online"/>
    <s v="P1014"/>
    <s v="C0089"/>
    <s v="Calgary North"/>
    <s v="Credit Card"/>
    <n v="1"/>
    <s v="Lucas Martin"/>
    <s v="Vancouver"/>
    <s v="Consumer"/>
    <s v="Document Shredder"/>
    <x v="3"/>
    <n v="117.65"/>
    <n v="249.26"/>
    <n v="49.852000000000004"/>
    <x v="335"/>
    <n v="117.65"/>
    <x v="334"/>
    <n v="0.41000361068763536"/>
    <n v="2025"/>
    <x v="11"/>
    <s v="octobre"/>
    <s v="Q4"/>
    <s v="British Columbia"/>
    <n v="0"/>
  </r>
  <r>
    <s v="ORD-2025-00337"/>
    <d v="2025-02-14T00:00:00"/>
    <s v="C0067"/>
    <s v="P1008"/>
    <s v="Leo Bennett, Mississauga, Consumer"/>
    <s v="Vancouver West"/>
    <s v="M. Wilson"/>
    <s v="Retail  Store"/>
    <n v="1"/>
    <n v="141.25"/>
    <n v="0.15"/>
    <s v="PayPal"/>
    <n v="4"/>
    <s v="No"/>
    <s v="Retail Store"/>
    <s v="P1008"/>
    <s v="C0067"/>
    <s v="Vancouver West"/>
    <s v="Paypal"/>
    <n v="1"/>
    <s v="Leo Bennett"/>
    <s v="Mississauga"/>
    <s v="Consumer"/>
    <s v="Smart Speaker"/>
    <x v="4"/>
    <n v="69"/>
    <n v="141.25"/>
    <n v="21.1875"/>
    <x v="336"/>
    <n v="69"/>
    <x v="335"/>
    <n v="0.42529932326913067"/>
    <n v="2025"/>
    <x v="2"/>
    <s v="février"/>
    <s v="Q1"/>
    <s v="Ontario"/>
    <n v="0"/>
  </r>
  <r>
    <s v="ORD-2025-00338"/>
    <d v="2025-09-18T00:00:00"/>
    <s v="C0060"/>
    <s v="P1009"/>
    <s v="Sarah Wilson, Quebec City, Corporate"/>
    <s v="Vancouver West"/>
    <s v="E. Roy"/>
    <s v="Retail Store"/>
    <n v="1"/>
    <n v="280.99"/>
    <n v="0"/>
    <s v="Debit Card"/>
    <n v="3"/>
    <s v="No"/>
    <s v="Retail Store"/>
    <s v="P1009"/>
    <s v="C0060"/>
    <s v="Vancouver West"/>
    <s v="Debit Card"/>
    <n v="1"/>
    <s v="Sarah Wilson"/>
    <s v="Quebec City"/>
    <s v="Corporate"/>
    <s v="Notebook"/>
    <x v="3"/>
    <n v="176.13"/>
    <n v="280.99"/>
    <n v="0"/>
    <x v="337"/>
    <n v="176.13"/>
    <x v="336"/>
    <n v="0.37318054023274855"/>
    <n v="2025"/>
    <x v="0"/>
    <s v="septembre"/>
    <s v="Q3"/>
    <s v="Quebec"/>
    <n v="0"/>
  </r>
  <r>
    <s v="ORD-2025-00339"/>
    <d v="2025-06-18T00:00:00"/>
    <s v="C0114"/>
    <s v="P1034"/>
    <s v="Olivia Johnson, Ottawa, Consumer"/>
    <s v="Online Fulfillment"/>
    <s v="R. Singh"/>
    <s v="Retail Store"/>
    <n v="1"/>
    <n v="136.97999999999999"/>
    <n v="0.2"/>
    <s v="Credit Card"/>
    <n v="4"/>
    <s v="No"/>
    <s v="Retail Store"/>
    <s v="P1034"/>
    <s v="C0114"/>
    <s v="Online Fulfillment"/>
    <s v="Credit Card"/>
    <n v="1"/>
    <s v="Olivia Johnson"/>
    <s v="Ottawa"/>
    <s v="Consumer"/>
    <s v="Laptop Sleeve"/>
    <x v="1"/>
    <n v="78.95"/>
    <n v="136.97999999999999"/>
    <n v="27.396000000000001"/>
    <x v="338"/>
    <n v="78.95"/>
    <x v="337"/>
    <n v="0.2795481092130237"/>
    <n v="2025"/>
    <x v="5"/>
    <s v="juin"/>
    <s v="Q2"/>
    <s v="Ontario"/>
    <n v="0"/>
  </r>
  <r>
    <s v="ORD-2025-00340"/>
    <d v="2025-05-31T00:00:00"/>
    <s v="C0086"/>
    <s v="P1004"/>
    <s v="Adam Gagnon, Winnipeg, Consumer"/>
    <s v="Calgary North"/>
    <s v="S. Patel"/>
    <s v="Retail Store"/>
    <n v="3"/>
    <n v="297.43"/>
    <n v="0.15"/>
    <s v="Debit Card"/>
    <n v="0"/>
    <s v="No"/>
    <s v="Retail Store"/>
    <s v="P1004"/>
    <s v="C0086"/>
    <s v="Calgary North"/>
    <s v="Debit Card"/>
    <n v="1"/>
    <s v="Adam Gagnon"/>
    <s v="Winnipeg"/>
    <s v="Consumer"/>
    <s v="Webcam"/>
    <x v="4"/>
    <n v="154.72999999999999"/>
    <n v="892.29"/>
    <n v="133.84349999999998"/>
    <x v="339"/>
    <n v="464.18999999999994"/>
    <x v="338"/>
    <n v="0.38797265199325209"/>
    <n v="2025"/>
    <x v="1"/>
    <s v="mai"/>
    <s v="Q2"/>
    <s v="Manitoba"/>
    <n v="0"/>
  </r>
  <r>
    <s v="ORD-2025-00341"/>
    <d v="2025-06-09T00:00:00"/>
    <s v="C0077"/>
    <s v="P1024"/>
    <s v="Amine Taylor, Surrey, Small Business"/>
    <s v="Montreal Central"/>
    <s v="R. Singh"/>
    <s v="Online"/>
    <n v="2"/>
    <n v="106.69"/>
    <n v="0.1"/>
    <s v="Credit Card"/>
    <n v="1"/>
    <s v="No"/>
    <s v="Online"/>
    <s v="P1024"/>
    <s v="C0077"/>
    <s v="Montreal Central"/>
    <s v="Credit Card"/>
    <n v="1"/>
    <s v="Amine Taylor"/>
    <s v="Surrey"/>
    <s v="Small Business"/>
    <s v="Food Scale"/>
    <x v="2"/>
    <n v="46.07"/>
    <n v="213.38"/>
    <n v="21.338000000000001"/>
    <x v="340"/>
    <n v="92.14"/>
    <x v="339"/>
    <n v="0.5202091209214651"/>
    <n v="2025"/>
    <x v="5"/>
    <s v="juin"/>
    <s v="Q2"/>
    <s v="British Columbia"/>
    <n v="0"/>
  </r>
  <r>
    <s v="ORD-2025-00342"/>
    <d v="2025-01-19T00:00:00"/>
    <s v="C0104"/>
    <s v="P1039"/>
    <s v="Ava Scott, Edmonton, Corporate"/>
    <s v="Calgary North"/>
    <s v="S. Patel"/>
    <s v="Marketplace"/>
    <n v="4"/>
    <n v="344.84"/>
    <n v="0"/>
    <s v="PayPal"/>
    <n v="7"/>
    <s v="No"/>
    <s v="Marketplace"/>
    <s v="P1039"/>
    <s v="C0104"/>
    <s v="Calgary North"/>
    <s v="Paypal"/>
    <n v="1"/>
    <s v="Ava Scott"/>
    <s v="Edmonton"/>
    <s v="Corporate"/>
    <s v="Travel Adapter"/>
    <x v="1"/>
    <n v="229.86"/>
    <n v="1379.36"/>
    <n v="0"/>
    <x v="341"/>
    <n v="919.44"/>
    <x v="340"/>
    <n v="0.33342999652012517"/>
    <n v="2025"/>
    <x v="3"/>
    <s v="janvier"/>
    <s v="Q1"/>
    <s v="Alberta"/>
    <n v="0"/>
  </r>
  <r>
    <s v="ORD-2025-00343"/>
    <d v="2025-05-09T00:00:00"/>
    <s v="C0095"/>
    <s v="P1009"/>
    <s v="Maya White, Quebec City, Corporate"/>
    <s v="Montreal Central"/>
    <s v="M. Wilson"/>
    <s v="Online"/>
    <n v="2"/>
    <n v="309.99"/>
    <n v="0.05"/>
    <m/>
    <n v="2"/>
    <s v="No"/>
    <s v="Online"/>
    <s v="P1009"/>
    <s v="C0095"/>
    <s v="Montreal Central"/>
    <s v="Non renseigné"/>
    <n v="1"/>
    <s v="Maya White"/>
    <s v="Quebec City"/>
    <s v="Corporate"/>
    <s v="Notebook"/>
    <x v="3"/>
    <n v="176.13"/>
    <n v="619.98"/>
    <n v="30.999000000000002"/>
    <x v="342"/>
    <n v="352.26"/>
    <x v="341"/>
    <n v="0.40191619084486596"/>
    <n v="2025"/>
    <x v="1"/>
    <s v="mai"/>
    <s v="Q2"/>
    <s v="Quebec"/>
    <n v="0"/>
  </r>
  <r>
    <s v="ORD-2025-00344"/>
    <d v="2025-02-15T00:00:00"/>
    <s v="C0034"/>
    <s v="P1028"/>
    <s v="Noah Tremblay, Toronto, Corporate"/>
    <s v="Montreal Central"/>
    <s v="L. Chen"/>
    <s v="Online"/>
    <n v="1"/>
    <n v="351.13"/>
    <n v="0"/>
    <s v="Debit Card"/>
    <n v="8"/>
    <s v="No"/>
    <s v="Online"/>
    <s v="P1028"/>
    <s v="C0034"/>
    <s v="Montreal Central"/>
    <s v="Debit Card"/>
    <n v="1"/>
    <s v="Noah Tremblay"/>
    <s v="Toronto"/>
    <s v="Corporate"/>
    <s v="Foam Roller"/>
    <x v="0"/>
    <n v="212.02"/>
    <n v="351.13"/>
    <n v="0"/>
    <x v="343"/>
    <n v="212.02"/>
    <x v="342"/>
    <n v="0.39617805371230025"/>
    <n v="2025"/>
    <x v="2"/>
    <s v="février"/>
    <s v="Q1"/>
    <s v="Ontario"/>
    <n v="0"/>
  </r>
  <r>
    <s v="ORD-2025-00345"/>
    <d v="2025-08-15T00:00:00"/>
    <s v="C0024"/>
    <s v="P1006"/>
    <s v="Ryan King, Mississauga, Consumer"/>
    <s v="Vancouver West"/>
    <s v="L. Chen"/>
    <s v="Online"/>
    <n v="5"/>
    <n v="107.3"/>
    <n v="0"/>
    <s v="Credit Card"/>
    <n v="6"/>
    <s v="No"/>
    <s v="Online"/>
    <s v="P1006"/>
    <s v="C0024"/>
    <s v="Vancouver West"/>
    <s v="Credit Card"/>
    <n v="1"/>
    <s v="Ryan King"/>
    <s v="Mississauga"/>
    <s v="Consumer"/>
    <s v="USB-C Hub"/>
    <x v="4"/>
    <n v="72"/>
    <n v="536.5"/>
    <n v="0"/>
    <x v="344"/>
    <n v="360"/>
    <x v="343"/>
    <n v="0.32898415657036345"/>
    <n v="2025"/>
    <x v="7"/>
    <s v="août"/>
    <s v="Q3"/>
    <s v="Ontario"/>
    <n v="0"/>
  </r>
  <r>
    <s v="ORD-2025-00346"/>
    <d v="2025-10-13T00:00:00"/>
    <s v="C0016"/>
    <s v="P1030"/>
    <s v="Nora Singh, Calgary, Consumer"/>
    <s v="Vancouver West"/>
    <s v="E. Roy"/>
    <s v="Online"/>
    <n v="1"/>
    <n v="236.69"/>
    <n v="0.05"/>
    <s v="Debit Card"/>
    <n v="5"/>
    <s v="No"/>
    <s v="Online"/>
    <s v="P1030"/>
    <s v="C0016"/>
    <s v="Vancouver West"/>
    <s v="Debit Card"/>
    <n v="1"/>
    <s v="Nora Singh"/>
    <s v="Calgary"/>
    <s v="Consumer"/>
    <s v="Pull-up Bar"/>
    <x v="0"/>
    <n v="125.4"/>
    <n v="236.69"/>
    <n v="11.8345"/>
    <x v="345"/>
    <n v="125.4"/>
    <x v="344"/>
    <n v="0.44230850479530187"/>
    <n v="2025"/>
    <x v="11"/>
    <s v="octobre"/>
    <s v="Q4"/>
    <s v="Alberta"/>
    <n v="0"/>
  </r>
  <r>
    <s v="ORD-2025-00347"/>
    <d v="2025-10-06T00:00:00"/>
    <s v="C0007"/>
    <s v="P1031"/>
    <s v="Lucas Wilson, Ottawa, Consumer"/>
    <s v="Vancouver West"/>
    <s v="N. Brown"/>
    <s v="Online"/>
    <n v="2"/>
    <n v="237.79"/>
    <n v="0.1"/>
    <s v="Credit Card"/>
    <n v="7"/>
    <s v="No"/>
    <s v="Online"/>
    <s v="P1031"/>
    <s v="C0007"/>
    <s v="Vancouver West"/>
    <s v="Credit Card"/>
    <n v="1"/>
    <s v="Lucas Wilson"/>
    <s v="Ottawa"/>
    <s v="Consumer"/>
    <s v="Dumbbell Set"/>
    <x v="0"/>
    <n v="131.72999999999999"/>
    <n v="475.58"/>
    <n v="47.558"/>
    <x v="346"/>
    <n v="263.45999999999998"/>
    <x v="345"/>
    <n v="0.38447089168313781"/>
    <n v="2025"/>
    <x v="11"/>
    <s v="octobre"/>
    <s v="Q4"/>
    <s v="Ontario"/>
    <n v="0"/>
  </r>
  <r>
    <s v="ORD-2025-00348"/>
    <d v="2025-05-05T00:00:00"/>
    <s v="C0009"/>
    <s v="P1019"/>
    <s v="Ethan Tremblay, Mississauga, Corporate"/>
    <s v="Calgary North"/>
    <s v="E. Roy"/>
    <s v="Retail Store"/>
    <n v="4"/>
    <n v="253.99"/>
    <n v="0"/>
    <s v="CC"/>
    <n v="4"/>
    <s v="No"/>
    <s v="Retail Store"/>
    <s v="P1019"/>
    <s v="C0009"/>
    <s v="Calgary North"/>
    <s v="Credit Card"/>
    <n v="1"/>
    <s v="Ethan Tremblay"/>
    <s v="Mississauga"/>
    <s v="Corporate"/>
    <s v="Vacuum"/>
    <x v="2"/>
    <n v="186.94"/>
    <n v="1015.96"/>
    <n v="0"/>
    <x v="347"/>
    <n v="747.76"/>
    <x v="346"/>
    <n v="0.26398677113272179"/>
    <n v="2025"/>
    <x v="1"/>
    <s v="mai"/>
    <s v="Q2"/>
    <s v="Ontario"/>
    <n v="0"/>
  </r>
  <r>
    <s v="ORD-2025-00349"/>
    <d v="2025-06-28T00:00:00"/>
    <s v="C0052"/>
    <s v="P1027"/>
    <s v="Liam Bennett, Edmonton, Corporate"/>
    <s v="Vancouver West"/>
    <s v="J. Tremblay"/>
    <s v="Online"/>
    <n v="1"/>
    <n v="59.27"/>
    <n v="0.1"/>
    <s v="Credit Card"/>
    <n v="1"/>
    <s v="No"/>
    <s v="Online"/>
    <s v="P1027"/>
    <s v="C0052"/>
    <s v="Vancouver West"/>
    <s v="Credit Card"/>
    <n v="1"/>
    <s v="Liam Bennett"/>
    <s v="Edmonton"/>
    <s v="Corporate"/>
    <s v="Kettlebell"/>
    <x v="0"/>
    <n v="25.97"/>
    <n v="59.27"/>
    <n v="5.9270000000000005"/>
    <x v="348"/>
    <n v="25.97"/>
    <x v="347"/>
    <n v="0.51315074142811623"/>
    <n v="2025"/>
    <x v="5"/>
    <s v="juin"/>
    <s v="Q2"/>
    <s v="Alberta"/>
    <n v="0"/>
  </r>
  <r>
    <s v="ORD-2025-00350"/>
    <d v="2025-08-27T00:00:00"/>
    <s v="C0096"/>
    <s v="P1005"/>
    <s v="Ryan Roy, Laval, Corporate"/>
    <s v="Calgary North"/>
    <s v="R. Singh"/>
    <s v="Online"/>
    <n v="1"/>
    <n v="244.01"/>
    <n v="0.05"/>
    <s v="Credit Card"/>
    <n v="6"/>
    <s v="Yes"/>
    <s v="Online"/>
    <s v="P1005"/>
    <s v="C0096"/>
    <s v="Calgary North"/>
    <s v="Credit Card"/>
    <n v="1"/>
    <s v="Ryan Roy"/>
    <s v="Laval"/>
    <s v="Corporate"/>
    <s v="Portable SSD"/>
    <x v="4"/>
    <n v="131.19"/>
    <n v="244.01"/>
    <n v="12.2005"/>
    <x v="349"/>
    <n v="131.19"/>
    <x v="348"/>
    <n v="0.4340611579767007"/>
    <n v="2025"/>
    <x v="7"/>
    <s v="août"/>
    <s v="Q3"/>
    <s v="Quebec"/>
    <n v="1"/>
  </r>
  <r>
    <s v="ORD-2025-00351"/>
    <d v="2025-04-30T00:00:00"/>
    <s v="C0006"/>
    <s v="P1031"/>
    <s v="Nora Wilson, Laval, Consumer"/>
    <s v="Calgary North"/>
    <s v="M. Wilson"/>
    <s v="Retail Store"/>
    <n v="3"/>
    <n v="255.82"/>
    <n v="0"/>
    <s v="PayPal"/>
    <n v="4"/>
    <s v="No"/>
    <s v="Retail Store"/>
    <s v="P1031"/>
    <s v="C0006"/>
    <s v="Calgary North"/>
    <s v="Paypal"/>
    <n v="1"/>
    <s v="Nora Wilson"/>
    <s v="Laval"/>
    <s v="Consumer"/>
    <s v="Dumbbell Set"/>
    <x v="0"/>
    <n v="131.72999999999999"/>
    <n v="767.46"/>
    <n v="0"/>
    <x v="350"/>
    <n v="395.18999999999994"/>
    <x v="349"/>
    <n v="0.48506762567430234"/>
    <n v="2025"/>
    <x v="9"/>
    <s v="avril"/>
    <s v="Q2"/>
    <s v="Quebec"/>
    <n v="0"/>
  </r>
  <r>
    <s v="ORD-2025-00352"/>
    <d v="2025-08-09T00:00:00"/>
    <s v="C0091"/>
    <s v="P1003"/>
    <s v="Leo Taylor , Victoria , Small Business"/>
    <s v="Toronto Downtown"/>
    <s v="N. Brown"/>
    <s v="Marketplace"/>
    <n v="2"/>
    <n v="164.5"/>
    <n v="0"/>
    <s v="PayPal"/>
    <n v="2"/>
    <s v="No"/>
    <s v="Marketplace"/>
    <s v="P1003"/>
    <s v="C0091"/>
    <s v="Toronto Downtown"/>
    <s v="Paypal"/>
    <n v="1"/>
    <s v="Leo Taylor"/>
    <s v="Victoria"/>
    <s v="Small Business"/>
    <s v="Mouse"/>
    <x v="4"/>
    <n v="106.4"/>
    <n v="329"/>
    <n v="0"/>
    <x v="351"/>
    <n v="212.8"/>
    <x v="350"/>
    <n v="0.35319148936170208"/>
    <n v="2025"/>
    <x v="7"/>
    <s v="août"/>
    <s v="Q3"/>
    <s v="British Columbia"/>
    <n v="0"/>
  </r>
  <r>
    <s v="ORD-2025-00353"/>
    <d v="2025-01-09T00:00:00"/>
    <s v="C0003"/>
    <s v="P1023"/>
    <s v="Amelia Young, Ottawa, Corporate"/>
    <s v="Montreal Central"/>
    <s v="A. Morgan"/>
    <s v="Retail Store"/>
    <n v="1"/>
    <n v="339.34"/>
    <n v="0.05"/>
    <s v="Credit Card"/>
    <n v="0"/>
    <s v="No"/>
    <s v="Retail Store"/>
    <s v="P1023"/>
    <s v="C0003"/>
    <s v="Montreal Central"/>
    <s v="Credit Card"/>
    <n v="1"/>
    <s v="Amelia Young"/>
    <s v="Ottawa"/>
    <s v="Corporate"/>
    <s v="Toaster"/>
    <x v="2"/>
    <n v="152.88"/>
    <n v="339.34"/>
    <n v="16.966999999999999"/>
    <x v="352"/>
    <n v="152.88"/>
    <x v="351"/>
    <n v="0.52576673604799407"/>
    <n v="2025"/>
    <x v="3"/>
    <s v="janvier"/>
    <s v="Q1"/>
    <s v="Ontario"/>
    <n v="0"/>
  </r>
  <r>
    <s v="ORD-2025-00354"/>
    <d v="2025-12-25T00:00:00"/>
    <s v="C0088"/>
    <s v="P1029"/>
    <s v="Olivia Bennett, Vancouver, Small Business"/>
    <s v="Online Fulfillment"/>
    <s v="M. Wilson"/>
    <s v="Retail Store"/>
    <n v="2"/>
    <n v="191.38"/>
    <n v="0.15"/>
    <s v="PayPal"/>
    <n v="2"/>
    <s v="No"/>
    <s v="Retail Store"/>
    <s v="P1029"/>
    <s v="C0088"/>
    <s v="Online Fulfillment"/>
    <s v="Paypal"/>
    <n v="1"/>
    <s v="Olivia Bennett"/>
    <s v="Vancouver"/>
    <s v="Small Business"/>
    <s v="Jump Rope"/>
    <x v="0"/>
    <n v="101"/>
    <n v="382.76"/>
    <n v="57.413999999999994"/>
    <x v="353"/>
    <n v="202"/>
    <x v="352"/>
    <n v="0.3791225341636289"/>
    <n v="2025"/>
    <x v="6"/>
    <s v="décembre"/>
    <s v="Q4"/>
    <s v="British Columbia"/>
    <n v="0"/>
  </r>
  <r>
    <s v="ORD-2025-00355"/>
    <d v="2025-04-24T00:00:00"/>
    <s v="C0010"/>
    <s v="P1019"/>
    <s v="Ethan Martin, Victoria, Corporate"/>
    <s v="Toronto Downtown"/>
    <s v="N. Brown"/>
    <s v="Online"/>
    <n v="2"/>
    <n v="283.27999999999997"/>
    <n v="0.1"/>
    <s v="CC"/>
    <n v="4"/>
    <s v="Yes"/>
    <s v="Online"/>
    <s v="P1019"/>
    <s v="C0010"/>
    <s v="Toronto Downtown"/>
    <s v="Credit Card"/>
    <n v="1"/>
    <s v="Ethan Martin"/>
    <s v="Victoria"/>
    <s v="Corporate"/>
    <s v="Vacuum"/>
    <x v="2"/>
    <n v="186.94"/>
    <n v="566.55999999999995"/>
    <n v="56.655999999999999"/>
    <x v="354"/>
    <n v="373.88"/>
    <x v="353"/>
    <n v="0.26676393987887909"/>
    <n v="2025"/>
    <x v="9"/>
    <s v="avril"/>
    <s v="Q2"/>
    <s v="British Columbia"/>
    <n v="1"/>
  </r>
  <r>
    <s v="ORD-2025-00356"/>
    <d v="2025-12-30T00:00:00"/>
    <s v="C0053"/>
    <s v="P1011"/>
    <s v="Ryan Lee , Laval , Consumer"/>
    <s v="Calgary North"/>
    <s v="N. Brown"/>
    <s v="Retail Store"/>
    <n v="3"/>
    <n v="79.77"/>
    <n v="0"/>
    <s v="Debit Card"/>
    <n v="3"/>
    <s v="No"/>
    <s v="Retail Store"/>
    <s v="P1011"/>
    <s v="C0053"/>
    <s v="Calgary North"/>
    <s v="Debit Card"/>
    <n v="1"/>
    <s v="Ryan Lee"/>
    <s v="Laval"/>
    <s v="Consumer"/>
    <s v="Office Chair"/>
    <x v="3"/>
    <n v="39.26"/>
    <n v="239.31"/>
    <n v="0"/>
    <x v="355"/>
    <n v="117.78"/>
    <x v="354"/>
    <n v="0.50783502569888428"/>
    <n v="2025"/>
    <x v="6"/>
    <s v="décembre"/>
    <s v="Q4"/>
    <s v="Quebec"/>
    <n v="0"/>
  </r>
  <r>
    <s v="ORD-2025-00357"/>
    <d v="2025-08-10T00:00:00"/>
    <s v="C0084"/>
    <s v="P1033"/>
    <s v="Ryan Clark, Montreal, Corporate"/>
    <s v="Online Fulfillment"/>
    <s v="L. Chen"/>
    <s v="Retail Store"/>
    <n v="1"/>
    <n v="307.58999999999997"/>
    <n v="0.2"/>
    <s v="Credit Card"/>
    <n v="4"/>
    <s v="No"/>
    <s v="Retail Store"/>
    <s v="P1033"/>
    <s v="C0084"/>
    <s v="Online Fulfillment"/>
    <s v="Credit Card"/>
    <n v="1"/>
    <s v="Ryan Clark"/>
    <s v="Montreal"/>
    <s v="Corporate"/>
    <s v="Backpack"/>
    <x v="1"/>
    <n v="152.55000000000001"/>
    <n v="307.58999999999997"/>
    <n v="61.518000000000001"/>
    <x v="356"/>
    <n v="152.55000000000001"/>
    <x v="355"/>
    <n v="0.38005949478201489"/>
    <n v="2025"/>
    <x v="7"/>
    <s v="août"/>
    <s v="Q3"/>
    <s v="Quebec"/>
    <n v="0"/>
  </r>
  <r>
    <s v="ORD-2025-00358"/>
    <d v="2025-08-09T00:00:00"/>
    <s v="C0096"/>
    <s v="P1012"/>
    <s v="Ryan Roy, Laval, Corporate"/>
    <s v="Montreal Central"/>
    <s v="N. Brown"/>
    <s v="Online"/>
    <n v="2"/>
    <n v="85.44"/>
    <n v="0.1"/>
    <s v="Credit Card"/>
    <n v="7"/>
    <s v="Yes"/>
    <s v="Online"/>
    <s v="P1012"/>
    <s v="C0096"/>
    <s v="Montreal Central"/>
    <s v="Credit Card"/>
    <n v="1"/>
    <s v="Ryan Roy"/>
    <s v="Laval"/>
    <s v="Corporate"/>
    <s v="Standing Desk"/>
    <x v="3"/>
    <n v="45.17"/>
    <n v="170.88"/>
    <n v="17.088000000000001"/>
    <x v="357"/>
    <n v="90.34"/>
    <x v="356"/>
    <n v="0.41258322929671243"/>
    <n v="2025"/>
    <x v="7"/>
    <s v="août"/>
    <s v="Q3"/>
    <s v="Quebec"/>
    <n v="1"/>
  </r>
  <r>
    <s v="ORD-2025-00359"/>
    <d v="2025-06-17T00:00:00"/>
    <s v="C0008"/>
    <s v="P1007"/>
    <s v="Mia Wilson, Calgary, Consumer"/>
    <s v="Toronto Downtown"/>
    <s v="A. Morgan"/>
    <s v="Online"/>
    <n v="2"/>
    <n v="364.57"/>
    <n v="0.15"/>
    <m/>
    <n v="1"/>
    <s v="No"/>
    <s v="Online"/>
    <s v="P1007"/>
    <s v="C0008"/>
    <s v="Toronto Downtown"/>
    <s v="Non renseigné"/>
    <n v="1"/>
    <s v="Mia Wilson"/>
    <s v="Calgary"/>
    <s v="Consumer"/>
    <s v="Monitor"/>
    <x v="4"/>
    <n v="224.47"/>
    <n v="729.14"/>
    <n v="109.371"/>
    <x v="358"/>
    <n v="448.94"/>
    <x v="357"/>
    <n v="0.27563334080923702"/>
    <n v="2025"/>
    <x v="5"/>
    <s v="juin"/>
    <s v="Q2"/>
    <s v="Alberta"/>
    <n v="0"/>
  </r>
  <r>
    <s v="ORD-2025-00360"/>
    <d v="2025-04-09T00:00:00"/>
    <s v="C0091"/>
    <s v="P1018"/>
    <s v="Leo Taylor, Victoria, Small Business"/>
    <s v="Toronto Downtown"/>
    <s v="N. Brown"/>
    <s v="Online"/>
    <n v="1"/>
    <n v="31.76"/>
    <n v="0.05"/>
    <s v="Credit Card"/>
    <n v="7"/>
    <s v="No"/>
    <s v="Online"/>
    <s v="P1018"/>
    <s v="C0091"/>
    <s v="Toronto Downtown"/>
    <s v="Credit Card"/>
    <n v="1"/>
    <s v="Leo Taylor"/>
    <s v="Victoria"/>
    <s v="Small Business"/>
    <s v="Air Fryer"/>
    <x v="2"/>
    <n v="14.58"/>
    <n v="31.76"/>
    <n v="1.5880000000000001"/>
    <x v="359"/>
    <n v="14.58"/>
    <x v="358"/>
    <n v="0.51677051570992971"/>
    <n v="2025"/>
    <x v="9"/>
    <s v="avril"/>
    <s v="Q2"/>
    <s v="British Columbia"/>
    <n v="0"/>
  </r>
  <r>
    <s v="ORD-2025-00361"/>
    <d v="2025-02-14T00:00:00"/>
    <s v="C0040"/>
    <s v="P1028"/>
    <s v="Ethan Young, Surrey, Consumer"/>
    <s v="Vancouver West"/>
    <s v="L. Chen"/>
    <s v="Retail Store"/>
    <n v="4"/>
    <n v="366.27"/>
    <n v="0"/>
    <s v="PayPal"/>
    <n v="0"/>
    <s v="No"/>
    <s v="Retail Store"/>
    <s v="P1028"/>
    <s v="C0040"/>
    <s v="Vancouver West"/>
    <s v="Paypal"/>
    <n v="1"/>
    <s v="Ethan Young"/>
    <s v="Surrey"/>
    <s v="Consumer"/>
    <s v="Foam Roller"/>
    <x v="0"/>
    <n v="212.02"/>
    <n v="1465.08"/>
    <n v="0"/>
    <x v="360"/>
    <n v="848.08"/>
    <x v="359"/>
    <n v="0.42113741229147889"/>
    <n v="2025"/>
    <x v="2"/>
    <s v="février"/>
    <s v="Q1"/>
    <s v="British Columbia"/>
    <n v="0"/>
  </r>
  <r>
    <s v="ORD-2025-00362"/>
    <d v="2025-01-07T00:00:00"/>
    <s v="C0028"/>
    <s v="P1008"/>
    <s v="Mia Clark, Victoria, Consumer"/>
    <s v="Toronto Downtown"/>
    <s v="M. Wilson"/>
    <s v="Online"/>
    <n v="1"/>
    <n v="137"/>
    <n v="0.15"/>
    <s v="Debit Card"/>
    <n v="1"/>
    <s v="No"/>
    <s v="Online"/>
    <s v="P1008"/>
    <s v="C0028"/>
    <s v="Toronto Downtown"/>
    <s v="Debit Card"/>
    <n v="1"/>
    <s v="Mia Clark"/>
    <s v="Victoria"/>
    <s v="Consumer"/>
    <s v="Smart Speaker"/>
    <x v="4"/>
    <n v="69"/>
    <n v="137"/>
    <n v="20.55"/>
    <x v="361"/>
    <n v="69"/>
    <x v="360"/>
    <n v="0.40747101760412197"/>
    <n v="2025"/>
    <x v="3"/>
    <s v="janvier"/>
    <s v="Q1"/>
    <s v="British Columbia"/>
    <n v="0"/>
  </r>
  <r>
    <s v="ORD-2025-00363"/>
    <d v="2025-04-24T00:00:00"/>
    <s v="C0003"/>
    <s v="P1037"/>
    <s v="Amelia Young, Ottawa, Corporate"/>
    <s v="Montreal  Central"/>
    <s v="E. Roy"/>
    <s v="Retail  Store"/>
    <n v="2"/>
    <n v="346.11"/>
    <n v="0.15"/>
    <s v="Credit Card"/>
    <n v="0"/>
    <s v="Yes"/>
    <s v="Retail Store"/>
    <s v="P1037"/>
    <s v="C0003"/>
    <s v="Montreal Central"/>
    <s v="Credit Card"/>
    <n v="1"/>
    <s v="Amelia Young"/>
    <s v="Ottawa"/>
    <s v="Corporate"/>
    <s v="Cable Set"/>
    <x v="1"/>
    <n v="200.16"/>
    <n v="692.22"/>
    <n v="103.833"/>
    <x v="362"/>
    <n v="400.32"/>
    <x v="361"/>
    <n v="0.31963146704464929"/>
    <n v="2025"/>
    <x v="9"/>
    <s v="avril"/>
    <s v="Q2"/>
    <s v="Ontario"/>
    <n v="1"/>
  </r>
  <r>
    <s v="ORD-2025-00364"/>
    <d v="2025-10-09T00:00:00"/>
    <s v="C0065"/>
    <s v="P1005"/>
    <s v="Mia Wilson, Quebec City, Consumer"/>
    <s v="Online Fulfillment"/>
    <s v="L. Chen"/>
    <s v="Online"/>
    <n v="1"/>
    <n v="243.13"/>
    <n v="0"/>
    <s v="PayPal"/>
    <n v="5"/>
    <s v="No"/>
    <s v="Online"/>
    <s v="P1005"/>
    <s v="C0065"/>
    <s v="Online Fulfillment"/>
    <s v="Paypal"/>
    <n v="1"/>
    <s v="Mia Wilson"/>
    <s v="Quebec City"/>
    <s v="Consumer"/>
    <s v="Portable SSD"/>
    <x v="4"/>
    <n v="131.19"/>
    <n v="243.13"/>
    <n v="0"/>
    <x v="363"/>
    <n v="131.19"/>
    <x v="362"/>
    <n v="0.46041212520051"/>
    <n v="2025"/>
    <x v="11"/>
    <s v="octobre"/>
    <s v="Q4"/>
    <s v="Quebec"/>
    <n v="0"/>
  </r>
  <r>
    <s v="ORD-2025-00365"/>
    <d v="2025-05-17T00:00:00"/>
    <s v="C0098"/>
    <s v="P1020"/>
    <s v="Nora Young, Winnipeg, Consumer"/>
    <s v="Vancouver West"/>
    <s v="R. Singh"/>
    <s v="Online"/>
    <n v="4"/>
    <n v="66.459999999999994"/>
    <n v="0"/>
    <s v="Credit Card"/>
    <n v="3"/>
    <s v="No"/>
    <s v="Online"/>
    <s v="P1020"/>
    <s v="C0098"/>
    <s v="Vancouver West"/>
    <s v="Credit Card"/>
    <n v="1"/>
    <s v="Nora Young"/>
    <s v="Winnipeg"/>
    <s v="Consumer"/>
    <s v="Blender"/>
    <x v="2"/>
    <n v="37.46"/>
    <n v="265.83999999999997"/>
    <n v="0"/>
    <x v="364"/>
    <n v="149.84"/>
    <x v="363"/>
    <n v="0.43635269334938304"/>
    <n v="2025"/>
    <x v="1"/>
    <s v="mai"/>
    <s v="Q2"/>
    <s v="Manitoba"/>
    <n v="0"/>
  </r>
  <r>
    <s v="ORD-2025-00366"/>
    <d v="2025-08-29T00:00:00"/>
    <s v="C0071"/>
    <s v="P1040"/>
    <s v="Ethan Lee, Surrey, Consumer"/>
    <s v="Vancouver West"/>
    <s v="R. Singh"/>
    <s v="Online"/>
    <n v="2"/>
    <n v="320.83999999999997"/>
    <n v="0.25"/>
    <s v="PayPal"/>
    <n v="5"/>
    <s v="No"/>
    <s v="Online"/>
    <s v="P1040"/>
    <s v="C0071"/>
    <s v="Vancouver West"/>
    <s v="Paypal"/>
    <n v="1"/>
    <s v="Ethan Lee"/>
    <s v="Surrey"/>
    <s v="Consumer"/>
    <s v="Desk Pad"/>
    <x v="1"/>
    <n v="177.57"/>
    <n v="641.67999999999995"/>
    <n v="160.41999999999999"/>
    <x v="365"/>
    <n v="355.14"/>
    <x v="364"/>
    <n v="0.26206208702156841"/>
    <n v="2025"/>
    <x v="7"/>
    <s v="août"/>
    <s v="Q3"/>
    <s v="British Columbia"/>
    <n v="0"/>
  </r>
  <r>
    <s v="ORD-2025-00367"/>
    <d v="2025-08-08T00:00:00"/>
    <s v="C0018"/>
    <s v="P1003"/>
    <s v="Sophia Tremblay, Laval, Small Business"/>
    <s v="Toronto Downtown"/>
    <s v="M. Wilson"/>
    <s v="Online"/>
    <n v="3"/>
    <n v="165.26"/>
    <n v="0.05"/>
    <s v="Credit Card"/>
    <n v="1"/>
    <s v="No"/>
    <s v="Online"/>
    <s v="P1003"/>
    <s v="C0018"/>
    <s v="Toronto Downtown"/>
    <s v="Credit Card"/>
    <n v="1"/>
    <s v="Sophia Tremblay"/>
    <s v="Laval"/>
    <s v="Small Business"/>
    <s v="Mouse"/>
    <x v="4"/>
    <n v="106.4"/>
    <n v="495.78"/>
    <n v="24.789000000000001"/>
    <x v="366"/>
    <n v="319.20000000000005"/>
    <x v="365"/>
    <n v="0.32228004356771139"/>
    <n v="2025"/>
    <x v="7"/>
    <s v="août"/>
    <s v="Q3"/>
    <s v="Quebec"/>
    <n v="0"/>
  </r>
  <r>
    <s v="ORD-2025-00368"/>
    <d v="2025-08-28T00:00:00"/>
    <s v="C0101"/>
    <s v="P1029"/>
    <s v="Noah Martin, Saskatoon, Small Business"/>
    <s v="Calgary North"/>
    <s v="N. Brown"/>
    <s v="Retail Store"/>
    <n v="1"/>
    <n v="209.3"/>
    <n v="0.1"/>
    <s v="Credit Card"/>
    <n v="2"/>
    <s v="No"/>
    <s v="Retail Store"/>
    <s v="P1029"/>
    <s v="C0101"/>
    <s v="Calgary North"/>
    <s v="Credit Card"/>
    <n v="1"/>
    <s v="Noah Martin"/>
    <s v="Saskatoon"/>
    <s v="Small Business"/>
    <s v="Jump Rope"/>
    <x v="0"/>
    <n v="101"/>
    <n v="209.3"/>
    <n v="20.930000000000003"/>
    <x v="367"/>
    <n v="101"/>
    <x v="366"/>
    <n v="0.46382120295163776"/>
    <n v="2025"/>
    <x v="7"/>
    <s v="août"/>
    <s v="Q3"/>
    <s v="Saskatchewan"/>
    <n v="0"/>
  </r>
  <r>
    <s v="ORD-2025-00369"/>
    <d v="2025-09-23T00:00:00"/>
    <s v="C0050"/>
    <s v="P1016"/>
    <s v="Sarah Singh, Mississauga, Consumer"/>
    <s v="Toronto Downtown"/>
    <s v="J. Tremblay"/>
    <s v="Retail Store"/>
    <n v="1"/>
    <n v="308.68"/>
    <n v="0.2"/>
    <s v="Credit Card"/>
    <n v="2"/>
    <s v="No"/>
    <s v="Retail Store"/>
    <s v="P1016"/>
    <s v="C0050"/>
    <s v="Toronto Downtown"/>
    <s v="Credit Card"/>
    <n v="1"/>
    <s v="Sarah Singh"/>
    <s v="Mississauga"/>
    <s v="Consumer"/>
    <s v="Printer"/>
    <x v="3"/>
    <n v="156.75"/>
    <n v="308.68"/>
    <n v="61.736000000000004"/>
    <x v="368"/>
    <n v="156.75"/>
    <x v="367"/>
    <n v="0.36524070234547107"/>
    <n v="2025"/>
    <x v="0"/>
    <s v="septembre"/>
    <s v="Q3"/>
    <s v="Ontario"/>
    <n v="0"/>
  </r>
  <r>
    <s v="ORD-2025-00370"/>
    <d v="2025-08-18T00:00:00"/>
    <s v="C0042"/>
    <s v="P1010"/>
    <s v="Emma King, Quebec City, Consumer"/>
    <s v="Toronto Downtown"/>
    <s v="N. Brown"/>
    <s v="Retail Store"/>
    <n v="3"/>
    <n v="215.17"/>
    <n v="0.2"/>
    <s v="Credit Card"/>
    <n v="0"/>
    <s v="No"/>
    <s v="Retail Store"/>
    <s v="P1010"/>
    <s v="C0042"/>
    <s v="Toronto Downtown"/>
    <s v="Credit Card"/>
    <n v="1"/>
    <s v="Emma King"/>
    <s v="Quebec City"/>
    <s v="Consumer"/>
    <s v="Desk Lamp"/>
    <x v="3"/>
    <n v="127.21"/>
    <n v="645.51"/>
    <n v="129.102"/>
    <x v="369"/>
    <n v="381.63"/>
    <x v="368"/>
    <n v="0.26099130919737884"/>
    <n v="2025"/>
    <x v="7"/>
    <s v="août"/>
    <s v="Q3"/>
    <s v="Quebec"/>
    <n v="0"/>
  </r>
  <r>
    <s v="ORD-2025-00371"/>
    <d v="2025-06-08T00:00:00"/>
    <s v="C0091"/>
    <s v="P1006"/>
    <s v="Leo Taylor, Victoria, Small Business"/>
    <s v="Calgary North"/>
    <s v="R. Singh"/>
    <s v="Retail Store"/>
    <n v="3"/>
    <n v="111.59"/>
    <n v="0.05"/>
    <s v="Debit Card"/>
    <n v="1"/>
    <s v="Yes"/>
    <s v="Retail Store"/>
    <s v="P1006"/>
    <s v="C0091"/>
    <s v="Calgary North"/>
    <s v="Debit Card"/>
    <n v="1"/>
    <s v="Leo Taylor"/>
    <s v="Victoria"/>
    <s v="Small Business"/>
    <s v="USB-C Hub"/>
    <x v="4"/>
    <n v="72"/>
    <n v="334.77"/>
    <n v="16.738499999999998"/>
    <x v="370"/>
    <n v="216"/>
    <x v="369"/>
    <n v="0.32082199404775941"/>
    <n v="2025"/>
    <x v="5"/>
    <s v="juin"/>
    <s v="Q2"/>
    <s v="British Columbia"/>
    <n v="1"/>
  </r>
  <r>
    <s v="ORD-2025-00372"/>
    <d v="2025-01-06T00:00:00"/>
    <s v="C0074"/>
    <s v="P1024"/>
    <s v="Sophia Chen, Vancouver, Corporate"/>
    <s v="Toronto Downtown"/>
    <s v="R. Singh"/>
    <s v="Online"/>
    <n v="2"/>
    <n v="102.81"/>
    <n v="0"/>
    <s v="PayPal"/>
    <n v="7"/>
    <s v="No"/>
    <s v="Online"/>
    <s v="P1024"/>
    <s v="C0074"/>
    <s v="Toronto Downtown"/>
    <s v="Paypal"/>
    <n v="1"/>
    <s v="Sophia Chen"/>
    <s v="Vancouver"/>
    <s v="Corporate"/>
    <s v="Food Scale"/>
    <x v="2"/>
    <n v="46.07"/>
    <n v="205.62"/>
    <n v="0"/>
    <x v="371"/>
    <n v="92.14"/>
    <x v="370"/>
    <n v="0.55189183931524166"/>
    <n v="2025"/>
    <x v="3"/>
    <s v="janvier"/>
    <s v="Q1"/>
    <s v="British Columbia"/>
    <n v="0"/>
  </r>
  <r>
    <s v="ORD-2025-00373"/>
    <d v="2025-06-20T00:00:00"/>
    <s v="C0104"/>
    <s v="P1026"/>
    <s v="Ava Scott, Edmonton, Corporate"/>
    <s v="Toronto Downtown"/>
    <s v="J. Tremblay"/>
    <s v="Online"/>
    <n v="1"/>
    <n v="224.42"/>
    <n v="0.05"/>
    <s v="Credit Card"/>
    <n v="7"/>
    <s v="No"/>
    <s v="Online"/>
    <s v="P1026"/>
    <s v="C0104"/>
    <s v="Toronto Downtown"/>
    <s v="Credit Card"/>
    <n v="1"/>
    <s v="Ava Scott"/>
    <s v="Edmonton"/>
    <s v="Corporate"/>
    <s v="Resistance Bands"/>
    <x v="0"/>
    <n v="139.19999999999999"/>
    <n v="224.42"/>
    <n v="11.221"/>
    <x v="372"/>
    <n v="139.19999999999999"/>
    <x v="371"/>
    <n v="0.3470888700228425"/>
    <n v="2025"/>
    <x v="5"/>
    <s v="juin"/>
    <s v="Q2"/>
    <s v="Alberta"/>
    <n v="0"/>
  </r>
  <r>
    <s v="ORD-2025-00374"/>
    <d v="2025-12-10T00:00:00"/>
    <s v="C0029"/>
    <s v="P1015"/>
    <s v="Olivia White , Victoria , Consumer"/>
    <s v="Online Fulfillment"/>
    <s v="N. Brown"/>
    <s v="Retail Store"/>
    <n v="1"/>
    <n v="386.46"/>
    <n v="0.2"/>
    <s v="Debit Card"/>
    <n v="0"/>
    <s v="No"/>
    <s v="Retail Store"/>
    <s v="P1015"/>
    <s v="C0029"/>
    <s v="Online Fulfillment"/>
    <s v="Debit Card"/>
    <n v="1"/>
    <s v="Olivia White"/>
    <s v="Victoria"/>
    <s v="Consumer"/>
    <s v="Desk Organizer"/>
    <x v="3"/>
    <n v="235.76"/>
    <n v="386.46"/>
    <n v="77.292000000000002"/>
    <x v="373"/>
    <n v="235.76"/>
    <x v="372"/>
    <n v="0.23743725094447035"/>
    <n v="2025"/>
    <x v="6"/>
    <s v="décembre"/>
    <s v="Q4"/>
    <s v="British Columbia"/>
    <n v="0"/>
  </r>
  <r>
    <s v="ORD-2025-00375"/>
    <d v="2025-05-28T00:00:00"/>
    <s v="C0098"/>
    <s v="P1016"/>
    <s v="Nora Young, Winnipeg, Consumer"/>
    <s v="Vancouver West"/>
    <s v="E. Roy"/>
    <s v="Online"/>
    <n v="2"/>
    <n v="334.82"/>
    <n v="0.05"/>
    <s v="Credit Card"/>
    <n v="4"/>
    <s v="No"/>
    <s v="Online"/>
    <s v="P1016"/>
    <s v="C0098"/>
    <s v="Vancouver West"/>
    <s v="Credit Card"/>
    <n v="1"/>
    <s v="Nora Young"/>
    <s v="Winnipeg"/>
    <s v="Consumer"/>
    <s v="Printer"/>
    <x v="3"/>
    <n v="156.75"/>
    <n v="669.64"/>
    <n v="33.481999999999999"/>
    <x v="374"/>
    <n v="313.5"/>
    <x v="373"/>
    <n v="0.50719789737769549"/>
    <n v="2025"/>
    <x v="1"/>
    <s v="mai"/>
    <s v="Q2"/>
    <s v="Manitoba"/>
    <n v="0"/>
  </r>
  <r>
    <s v="ORD-2025-00376"/>
    <d v="2025-11-03T00:00:00"/>
    <s v="C0056"/>
    <s v="P1033"/>
    <s v="Sarah Wilson, Halifax, Consumer"/>
    <s v="Vancouver West"/>
    <s v="S. Patel"/>
    <s v="Online"/>
    <n v="2"/>
    <n v="313.77999999999997"/>
    <n v="0.15"/>
    <s v="PayPal"/>
    <n v="1"/>
    <s v="No"/>
    <s v="Online"/>
    <s v="P1033"/>
    <s v="C0056"/>
    <s v="Vancouver West"/>
    <s v="Paypal"/>
    <n v="1"/>
    <s v="Sarah Wilson"/>
    <s v="Halifax"/>
    <s v="Consumer"/>
    <s v="Backpack"/>
    <x v="1"/>
    <n v="152.55000000000001"/>
    <n v="627.55999999999995"/>
    <n v="94.133999999999986"/>
    <x v="375"/>
    <n v="305.10000000000002"/>
    <x v="374"/>
    <n v="0.42803687859234446"/>
    <n v="2025"/>
    <x v="8"/>
    <s v="novembre"/>
    <s v="Q4"/>
    <s v="Nova Scotia"/>
    <n v="0"/>
  </r>
  <r>
    <s v="ORD-2025-00377"/>
    <d v="2025-01-13T00:00:00"/>
    <s v="C0080"/>
    <s v="P1019"/>
    <s v="Sarah Smith, Mississauga, Corporate"/>
    <s v="Montreal Central"/>
    <s v="N. Brown"/>
    <s v="Marketplace"/>
    <n v="2"/>
    <n v="262.64999999999998"/>
    <n v="0.05"/>
    <s v="Credit Card"/>
    <n v="8"/>
    <s v="No"/>
    <s v="Marketplace"/>
    <s v="P1019"/>
    <s v="C0080"/>
    <s v="Montreal Central"/>
    <s v="Credit Card"/>
    <n v="1"/>
    <s v="Sarah Smith"/>
    <s v="Mississauga"/>
    <s v="Corporate"/>
    <s v="Vacuum"/>
    <x v="2"/>
    <n v="186.94"/>
    <n v="525.29999999999995"/>
    <n v="26.265000000000001"/>
    <x v="376"/>
    <n v="373.88"/>
    <x v="375"/>
    <n v="0.25079403248269155"/>
    <n v="2025"/>
    <x v="3"/>
    <s v="janvier"/>
    <s v="Q1"/>
    <s v="Ontario"/>
    <n v="0"/>
  </r>
  <r>
    <s v="ORD-2025-00378"/>
    <d v="2025-08-22T00:00:00"/>
    <s v="C0099"/>
    <s v="P1004"/>
    <s v="Amine Gagnon, Laval, Small Business"/>
    <s v="Calgary North"/>
    <s v="N. Brown"/>
    <s v="Retail Store"/>
    <n v="3"/>
    <n v="277.93"/>
    <n v="0.05"/>
    <m/>
    <n v="2"/>
    <s v="No"/>
    <s v="Retail Store"/>
    <s v="P1004"/>
    <s v="C0099"/>
    <s v="Calgary North"/>
    <s v="Non renseigné"/>
    <n v="1"/>
    <s v="Amine Gagnon"/>
    <s v="Laval"/>
    <s v="Small Business"/>
    <s v="Webcam"/>
    <x v="4"/>
    <n v="154.72999999999999"/>
    <n v="833.79"/>
    <n v="41.689500000000002"/>
    <x v="377"/>
    <n v="464.18999999999994"/>
    <x v="376"/>
    <n v="0.41397587806092795"/>
    <n v="2025"/>
    <x v="7"/>
    <s v="août"/>
    <s v="Q3"/>
    <s v="Quebec"/>
    <n v="0"/>
  </r>
  <r>
    <s v="ORD-2025-00379"/>
    <d v="2025-05-16T00:00:00"/>
    <s v="C0119"/>
    <s v="P1018"/>
    <s v="Liam Chen, Winnipeg, Consumer"/>
    <s v="Online Fulfillment"/>
    <s v="L. Chen"/>
    <s v="Online"/>
    <n v="4"/>
    <n v="29.49"/>
    <n v="0"/>
    <s v="PayPal"/>
    <n v="2"/>
    <s v="No"/>
    <s v="Online"/>
    <s v="P1018"/>
    <s v="C0119"/>
    <s v="Online Fulfillment"/>
    <s v="Paypal"/>
    <n v="1"/>
    <s v="Liam Chen"/>
    <s v="Winnipeg"/>
    <s v="Consumer"/>
    <s v="Air Fryer"/>
    <x v="2"/>
    <n v="14.58"/>
    <n v="117.96"/>
    <n v="0"/>
    <x v="378"/>
    <n v="58.32"/>
    <x v="377"/>
    <n v="0.50559511698880977"/>
    <n v="2025"/>
    <x v="1"/>
    <s v="mai"/>
    <s v="Q2"/>
    <s v="Manitoba"/>
    <n v="0"/>
  </r>
  <r>
    <s v="ORD-2025-00380"/>
    <d v="2025-03-03T00:00:00"/>
    <s v="C0069"/>
    <s v="P1006"/>
    <s v="Sarah White, Ottawa, Consumer"/>
    <s v="Vancouver West"/>
    <s v="L. Chen"/>
    <s v="Online"/>
    <n v="3"/>
    <n v="102"/>
    <n v="0"/>
    <s v="PayPal"/>
    <n v="8"/>
    <s v="No"/>
    <s v="Online"/>
    <s v="P1006"/>
    <s v="C0069"/>
    <s v="Vancouver West"/>
    <s v="Paypal"/>
    <n v="1"/>
    <s v="Sarah White"/>
    <s v="Ottawa"/>
    <s v="Consumer"/>
    <s v="USB-C Hub"/>
    <x v="4"/>
    <n v="72"/>
    <n v="306"/>
    <n v="0"/>
    <x v="379"/>
    <n v="216"/>
    <x v="378"/>
    <n v="0.29411764705882354"/>
    <n v="2025"/>
    <x v="4"/>
    <s v="mars"/>
    <s v="Q1"/>
    <s v="Ontario"/>
    <n v="0"/>
  </r>
  <r>
    <s v="ORD-2025-00381"/>
    <d v="2025-03-30T00:00:00"/>
    <s v="C0082"/>
    <s v="P1012"/>
    <s v="Ryan King, Winnipeg, Small Business"/>
    <s v="Montreal Central"/>
    <s v="S. Patel"/>
    <s v="Marketplace"/>
    <n v="3"/>
    <n v="81.489999999999995"/>
    <n v="0.05"/>
    <s v="Gift Card"/>
    <n v="2"/>
    <s v="No"/>
    <s v="Marketplace"/>
    <s v="P1012"/>
    <s v="C0082"/>
    <s v="Montreal Central"/>
    <s v="Gift Card"/>
    <n v="1"/>
    <s v="Ryan King"/>
    <s v="Winnipeg"/>
    <s v="Small Business"/>
    <s v="Standing Desk"/>
    <x v="3"/>
    <n v="45.17"/>
    <n v="244.46999999999997"/>
    <n v="12.2235"/>
    <x v="380"/>
    <n v="135.51"/>
    <x v="379"/>
    <n v="0.41652511447965845"/>
    <n v="2025"/>
    <x v="4"/>
    <s v="mars"/>
    <s v="Q1"/>
    <s v="Manitoba"/>
    <n v="0"/>
  </r>
  <r>
    <s v="ORD-2025-00382"/>
    <d v="2025-05-09T00:00:00"/>
    <s v="C0009"/>
    <s v="P1012"/>
    <s v="Ethan Tremblay, Mississauga, Corporate"/>
    <s v="Toronto Downtown"/>
    <s v="N. Brown"/>
    <s v="Retail Store"/>
    <n v="4"/>
    <n v="82.08"/>
    <n v="0.2"/>
    <s v="Debit Card"/>
    <n v="1"/>
    <s v="No"/>
    <s v="Retail Store"/>
    <s v="P1012"/>
    <s v="C0009"/>
    <s v="Toronto Downtown"/>
    <s v="Debit Card"/>
    <n v="1"/>
    <s v="Ethan Tremblay"/>
    <s v="Mississauga"/>
    <s v="Corporate"/>
    <s v="Standing Desk"/>
    <x v="3"/>
    <n v="45.17"/>
    <n v="328.32"/>
    <n v="65.664000000000001"/>
    <x v="381"/>
    <n v="180.68"/>
    <x v="380"/>
    <n v="0.31210404483430798"/>
    <n v="2025"/>
    <x v="1"/>
    <s v="mai"/>
    <s v="Q2"/>
    <s v="Ontario"/>
    <n v="0"/>
  </r>
  <r>
    <s v="ORD-2025-00383"/>
    <d v="2025-10-17T00:00:00"/>
    <s v="C0043"/>
    <s v="P1007"/>
    <s v="Ava Brown, Ottawa, Small Business"/>
    <s v="Calgary North"/>
    <s v="N. Brown"/>
    <s v="Marketplace"/>
    <n v="2"/>
    <n v="369.15"/>
    <n v="0"/>
    <s v="PayPal"/>
    <n v="2"/>
    <s v="No"/>
    <s v="Marketplace"/>
    <s v="P1007"/>
    <s v="C0043"/>
    <s v="Calgary North"/>
    <s v="Paypal"/>
    <n v="1"/>
    <s v="Ava Brown"/>
    <s v="Ottawa"/>
    <s v="Small Business"/>
    <s v="Monitor"/>
    <x v="4"/>
    <n v="224.47"/>
    <n v="738.3"/>
    <n v="0"/>
    <x v="382"/>
    <n v="448.94"/>
    <x v="381"/>
    <n v="0.39192740078558846"/>
    <n v="2025"/>
    <x v="11"/>
    <s v="octobre"/>
    <s v="Q4"/>
    <s v="Ontario"/>
    <n v="0"/>
  </r>
  <r>
    <s v="ORD-2025-00384"/>
    <d v="2025-10-17T00:00:00"/>
    <s v="C0037"/>
    <s v="P1029"/>
    <s v="Lucas Scott, Victoria, Small Business"/>
    <s v="Vancouver West"/>
    <s v="S. Patel"/>
    <s v="Online"/>
    <n v="5"/>
    <n v="198.14"/>
    <n v="0.25"/>
    <s v="PayPal"/>
    <n v="6"/>
    <s v="Yes"/>
    <s v="Online"/>
    <s v="P1029"/>
    <s v="C0037"/>
    <s v="Vancouver West"/>
    <s v="Paypal"/>
    <n v="1"/>
    <s v="Lucas Scott"/>
    <s v="Victoria"/>
    <s v="Small Business"/>
    <s v="Jump Rope"/>
    <x v="0"/>
    <n v="101"/>
    <n v="990.69999999999993"/>
    <n v="247.67499999999998"/>
    <x v="383"/>
    <n v="505"/>
    <x v="382"/>
    <n v="0.32034588338212039"/>
    <n v="2025"/>
    <x v="11"/>
    <s v="octobre"/>
    <s v="Q4"/>
    <s v="British Columbia"/>
    <n v="1"/>
  </r>
  <r>
    <s v="ORD-2025-00385"/>
    <d v="2025-05-06T00:00:00"/>
    <s v="C0035"/>
    <s v="P1034"/>
    <s v="Amelia Scott, Edmonton, Small Business"/>
    <s v="Calgary North"/>
    <s v="M. Wilson"/>
    <s v="Online"/>
    <n v="1"/>
    <n v="151.30000000000001"/>
    <n v="0"/>
    <s v="Debit Card"/>
    <n v="8"/>
    <s v="No"/>
    <s v="Online"/>
    <s v="P1034"/>
    <s v="C0035"/>
    <s v="Calgary North"/>
    <s v="Debit Card"/>
    <n v="1"/>
    <s v="Amelia Scott"/>
    <s v="Edmonton"/>
    <s v="Small Business"/>
    <s v="Laptop Sleeve"/>
    <x v="1"/>
    <n v="78.95"/>
    <n v="151.30000000000001"/>
    <n v="0"/>
    <x v="384"/>
    <n v="78.95"/>
    <x v="383"/>
    <n v="0.47818902842035693"/>
    <n v="2025"/>
    <x v="1"/>
    <s v="mai"/>
    <s v="Q2"/>
    <s v="Alberta"/>
    <n v="0"/>
  </r>
  <r>
    <s v="ORD-2025-00386"/>
    <d v="2025-04-26T00:00:00"/>
    <s v="C0032"/>
    <s v="P1029"/>
    <s v="Nora Bennett, Surrey, Consumer"/>
    <s v="Toronto Downtown"/>
    <s v="J. Tremblay"/>
    <s v="Online"/>
    <n v="3"/>
    <n v="210.85"/>
    <n v="0.1"/>
    <s v="PayPal"/>
    <n v="8"/>
    <s v="No"/>
    <s v="Online"/>
    <s v="P1029"/>
    <s v="C0032"/>
    <s v="Toronto Downtown"/>
    <s v="Paypal"/>
    <n v="1"/>
    <s v="Nora Bennett"/>
    <s v="Surrey"/>
    <s v="Consumer"/>
    <s v="Jump Rope"/>
    <x v="0"/>
    <n v="101"/>
    <n v="632.54999999999995"/>
    <n v="63.254999999999995"/>
    <x v="385"/>
    <n v="303"/>
    <x v="384"/>
    <n v="0.46776275920217109"/>
    <n v="2025"/>
    <x v="9"/>
    <s v="avril"/>
    <s v="Q2"/>
    <s v="British Columbia"/>
    <n v="0"/>
  </r>
  <r>
    <s v="ORD-2025-00387"/>
    <d v="2025-12-28T00:00:00"/>
    <s v="C0105"/>
    <s v="P1026"/>
    <s v="Liam Martin, Calgary, Consumer"/>
    <s v="Vancouver West"/>
    <s v="J. Tremblay"/>
    <s v="Online"/>
    <n v="1"/>
    <n v="223.94"/>
    <n v="0"/>
    <s v="Credit Card"/>
    <n v="7"/>
    <s v="Yes"/>
    <s v="Online"/>
    <s v="P1026"/>
    <s v="C0105"/>
    <s v="Vancouver West"/>
    <s v="Credit Card"/>
    <n v="1"/>
    <s v="Liam Martin"/>
    <s v="Calgary"/>
    <s v="Consumer"/>
    <s v="Resistance Bands"/>
    <x v="0"/>
    <n v="139.19999999999999"/>
    <n v="223.94"/>
    <n v="0"/>
    <x v="386"/>
    <n v="139.19999999999999"/>
    <x v="385"/>
    <n v="0.37840492989193536"/>
    <n v="2025"/>
    <x v="6"/>
    <s v="décembre"/>
    <s v="Q4"/>
    <s v="Alberta"/>
    <n v="1"/>
  </r>
  <r>
    <s v="ORD-2025-00388"/>
    <d v="2025-12-18T00:00:00"/>
    <s v="C0036"/>
    <s v="P1006"/>
    <s v="Sarah Wilson, Montreal, Corporate"/>
    <s v="Montreal Central"/>
    <s v="A. Morgan"/>
    <s v="Online"/>
    <n v="1"/>
    <n v="103.33"/>
    <n v="0.1"/>
    <s v="Debit Card"/>
    <n v="9"/>
    <s v="No"/>
    <s v="Online"/>
    <s v="P1006"/>
    <s v="C0036"/>
    <s v="Montreal Central"/>
    <s v="Debit Card"/>
    <n v="1"/>
    <s v="Sarah Wilson"/>
    <s v="Montreal"/>
    <s v="Corporate"/>
    <s v="USB-C Hub"/>
    <x v="4"/>
    <n v="72"/>
    <n v="103.33"/>
    <n v="10.333"/>
    <x v="387"/>
    <n v="72"/>
    <x v="386"/>
    <n v="0.22578147682183297"/>
    <n v="2025"/>
    <x v="6"/>
    <s v="décembre"/>
    <s v="Q4"/>
    <s v="Quebec"/>
    <n v="0"/>
  </r>
  <r>
    <s v="ORD-2025-00389"/>
    <d v="2025-09-11T00:00:00"/>
    <s v="C0046"/>
    <s v="P1003"/>
    <s v="Amelia Bennett, Laval, Consumer"/>
    <s v="Montreal Central"/>
    <s v="E. Roy"/>
    <s v="Retail Store"/>
    <n v="1"/>
    <n v="153.69999999999999"/>
    <n v="0.05"/>
    <s v="Credit Card"/>
    <n v="1"/>
    <s v="No"/>
    <s v="Retail Store"/>
    <s v="P1003"/>
    <s v="C0046"/>
    <s v="Montreal Central"/>
    <s v="Credit Card"/>
    <n v="1"/>
    <s v="Amelia Bennett"/>
    <s v="Laval"/>
    <s v="Consumer"/>
    <s v="Mouse"/>
    <x v="4"/>
    <n v="106.4"/>
    <n v="153.69999999999999"/>
    <n v="7.6849999999999996"/>
    <x v="388"/>
    <n v="106.4"/>
    <x v="387"/>
    <n v="0.27130774235523736"/>
    <n v="2025"/>
    <x v="0"/>
    <s v="septembre"/>
    <s v="Q3"/>
    <s v="Quebec"/>
    <n v="0"/>
  </r>
  <r>
    <s v="ORD-2025-00390"/>
    <d v="2025-01-21T00:00:00"/>
    <s v="C0048"/>
    <s v="P1023"/>
    <s v="Amelia Brown, Quebec City, Corporate"/>
    <s v="Montreal Central"/>
    <s v="E. Roy"/>
    <s v="Online"/>
    <n v="3"/>
    <n v="318.11"/>
    <n v="0.05"/>
    <s v="Credit Card"/>
    <n v="5"/>
    <s v="No"/>
    <s v="Online"/>
    <s v="P1023"/>
    <s v="C0048"/>
    <s v="Montreal Central"/>
    <s v="Credit Card"/>
    <n v="1"/>
    <s v="Amelia Brown"/>
    <s v="Quebec City"/>
    <s v="Corporate"/>
    <s v="Toaster"/>
    <x v="2"/>
    <n v="152.88"/>
    <n v="954.33"/>
    <n v="47.716500000000003"/>
    <x v="389"/>
    <n v="458.64"/>
    <x v="388"/>
    <n v="0.49411739401630356"/>
    <n v="2025"/>
    <x v="3"/>
    <s v="janvier"/>
    <s v="Q1"/>
    <s v="Quebec"/>
    <n v="0"/>
  </r>
  <r>
    <s v="ORD-2025-00391"/>
    <d v="2025-07-24T00:00:00"/>
    <s v="C0095"/>
    <s v="P1026"/>
    <s v="Maya White, Quebec City, Corporate"/>
    <s v="Toronto Downtown"/>
    <s v="R. Singh"/>
    <s v="Online"/>
    <n v="2"/>
    <n v="213.53"/>
    <n v="0.15"/>
    <s v="PayPal"/>
    <n v="7"/>
    <s v="No"/>
    <s v="Online"/>
    <s v="P1026"/>
    <s v="C0095"/>
    <s v="Toronto Downtown"/>
    <s v="Paypal"/>
    <n v="1"/>
    <s v="Maya White"/>
    <s v="Quebec City"/>
    <s v="Corporate"/>
    <s v="Resistance Bands"/>
    <x v="0"/>
    <n v="139.19999999999999"/>
    <n v="427.06"/>
    <n v="64.058999999999997"/>
    <x v="390"/>
    <n v="278.39999999999998"/>
    <x v="389"/>
    <n v="0.23305996402213769"/>
    <n v="2025"/>
    <x v="10"/>
    <s v="juillet"/>
    <s v="Q3"/>
    <s v="Quebec"/>
    <n v="0"/>
  </r>
  <r>
    <s v="ORD-2025-00392"/>
    <d v="2025-12-27T00:00:00"/>
    <s v="C0018"/>
    <s v="P1019"/>
    <s v="Sophia Tremblay, Laval, Small Business"/>
    <s v="Online Fulfillment"/>
    <s v="M. Wilson"/>
    <s v="Online"/>
    <n v="2"/>
    <n v="266.48"/>
    <n v="0.05"/>
    <s v="Debit Card"/>
    <n v="6"/>
    <s v="No"/>
    <s v="Online"/>
    <s v="P1019"/>
    <s v="C0018"/>
    <s v="Online Fulfillment"/>
    <s v="Debit Card"/>
    <n v="1"/>
    <s v="Sophia Tremblay"/>
    <s v="Laval"/>
    <s v="Small Business"/>
    <s v="Vacuum"/>
    <x v="2"/>
    <n v="186.94"/>
    <n v="532.96"/>
    <n v="26.648000000000003"/>
    <x v="391"/>
    <n v="373.88"/>
    <x v="390"/>
    <n v="0.26156204079697898"/>
    <n v="2025"/>
    <x v="6"/>
    <s v="décembre"/>
    <s v="Q4"/>
    <s v="Quebec"/>
    <n v="0"/>
  </r>
  <r>
    <s v="ORD-2025-00393"/>
    <d v="2025-10-22T00:00:00"/>
    <s v="C0116"/>
    <s v="P1028"/>
    <s v="Lucas Brown, Mississauga, Corporate"/>
    <s v="Online Fulfillment"/>
    <s v="R. Singh"/>
    <s v="Online"/>
    <n v="1"/>
    <n v="373.1"/>
    <n v="0.1"/>
    <s v="Debit Card"/>
    <n v="9"/>
    <s v="No"/>
    <s v="Online"/>
    <s v="P1028"/>
    <s v="C0116"/>
    <s v="Online Fulfillment"/>
    <s v="Debit Card"/>
    <n v="1"/>
    <s v="Lucas Brown"/>
    <s v="Mississauga"/>
    <s v="Corporate"/>
    <s v="Foam Roller"/>
    <x v="0"/>
    <n v="212.02"/>
    <n v="373.1"/>
    <n v="37.31"/>
    <x v="392"/>
    <n v="212.02"/>
    <x v="391"/>
    <n v="0.36859346615444177"/>
    <n v="2025"/>
    <x v="11"/>
    <s v="octobre"/>
    <s v="Q4"/>
    <s v="Ontario"/>
    <n v="0"/>
  </r>
  <r>
    <s v="ORD-2025-00394"/>
    <d v="2025-03-24T00:00:00"/>
    <s v="C0091"/>
    <s v="P1009"/>
    <s v="Leo Taylor, Victoria, Small Business"/>
    <s v="Toronto Downtown"/>
    <s v="L. Chen"/>
    <s v="Retail Store"/>
    <n v="4"/>
    <n v="285.99"/>
    <n v="0"/>
    <s v="Credit Card"/>
    <n v="2"/>
    <s v="No"/>
    <s v="Retail Store"/>
    <s v="P1009"/>
    <s v="C0091"/>
    <s v="Toronto Downtown"/>
    <s v="Credit Card"/>
    <n v="1"/>
    <s v="Leo Taylor"/>
    <s v="Victoria"/>
    <s v="Small Business"/>
    <s v="Notebook"/>
    <x v="3"/>
    <n v="176.13"/>
    <n v="1143.96"/>
    <n v="0"/>
    <x v="393"/>
    <n v="704.52"/>
    <x v="392"/>
    <n v="0.38413930557012488"/>
    <n v="2025"/>
    <x v="4"/>
    <s v="mars"/>
    <s v="Q1"/>
    <s v="British Columbia"/>
    <n v="0"/>
  </r>
  <r>
    <s v="ORD-2025-00395"/>
    <d v="2025-05-09T00:00:00"/>
    <s v="C0105"/>
    <s v="P1001"/>
    <s v="Liam Martin, Calgary, Consumer"/>
    <s v="Vancouver West"/>
    <s v="A. Morgan"/>
    <s v="Retail Store"/>
    <n v="4"/>
    <n v="392.12"/>
    <n v="0.2"/>
    <s v="PayPal"/>
    <n v="1"/>
    <s v="No"/>
    <s v="Retail Store"/>
    <s v="P1001"/>
    <s v="C0105"/>
    <s v="Vancouver West"/>
    <s v="Paypal"/>
    <n v="1"/>
    <s v="Liam Martin"/>
    <s v="Calgary"/>
    <s v="Consumer"/>
    <s v="Headphones"/>
    <x v="4"/>
    <n v="254.6"/>
    <n v="1568.48"/>
    <n v="313.69600000000003"/>
    <x v="394"/>
    <n v="1018.4"/>
    <x v="393"/>
    <n v="0.18838620830358063"/>
    <n v="2025"/>
    <x v="1"/>
    <s v="mai"/>
    <s v="Q2"/>
    <s v="Alberta"/>
    <n v="0"/>
  </r>
  <r>
    <s v="ORD-2025-00396"/>
    <d v="2025-08-12T00:00:00"/>
    <s v="C0058"/>
    <s v="P1012"/>
    <s v="Mia Singh, Laval, Consumer"/>
    <s v="Montreal Central"/>
    <s v="S. Patel"/>
    <s v="Online"/>
    <n v="1"/>
    <n v="84.27"/>
    <n v="0.1"/>
    <m/>
    <n v="8"/>
    <s v="No"/>
    <s v="Online"/>
    <s v="P1012"/>
    <s v="C0058"/>
    <s v="Montreal Central"/>
    <s v="Non renseigné"/>
    <n v="1"/>
    <s v="Mia Singh"/>
    <s v="Laval"/>
    <s v="Consumer"/>
    <s v="Standing Desk"/>
    <x v="3"/>
    <n v="45.17"/>
    <n v="84.27"/>
    <n v="8.4269999999999996"/>
    <x v="395"/>
    <n v="45.17"/>
    <x v="394"/>
    <n v="0.40442756747491521"/>
    <n v="2025"/>
    <x v="7"/>
    <s v="août"/>
    <s v="Q3"/>
    <s v="Quebec"/>
    <n v="0"/>
  </r>
  <r>
    <s v="ORD-2025-00397"/>
    <d v="2025-08-27T00:00:00"/>
    <s v="C0029"/>
    <s v="P1026"/>
    <s v="Olivia White, Victoria, Consumer"/>
    <s v="Montreal Central"/>
    <s v="R. Singh"/>
    <s v="Retail Store"/>
    <n v="1"/>
    <n v="231.29"/>
    <n v="0.05"/>
    <s v="PayPal"/>
    <n v="1"/>
    <s v="No"/>
    <s v="Retail Store"/>
    <s v="P1026"/>
    <s v="C0029"/>
    <s v="Montreal Central"/>
    <s v="Paypal"/>
    <n v="1"/>
    <s v="Olivia White"/>
    <s v="Victoria"/>
    <s v="Consumer"/>
    <s v="Resistance Bands"/>
    <x v="0"/>
    <n v="139.19999999999999"/>
    <n v="231.29"/>
    <n v="11.564500000000001"/>
    <x v="396"/>
    <n v="139.19999999999999"/>
    <x v="395"/>
    <n v="0.36648226992315414"/>
    <n v="2025"/>
    <x v="7"/>
    <s v="août"/>
    <s v="Q3"/>
    <s v="British Columbia"/>
    <n v="0"/>
  </r>
  <r>
    <s v="ORD-2025-00398"/>
    <d v="2025-09-20T00:00:00"/>
    <s v="C0053"/>
    <s v="P1036"/>
    <s v="Ryan Lee , Laval , Consumer"/>
    <s v="Online Fulfillment"/>
    <s v="A. Morgan"/>
    <s v="Online"/>
    <n v="2"/>
    <n v="158.16"/>
    <n v="0"/>
    <s v="PayPal"/>
    <n v="2"/>
    <s v="No"/>
    <s v="Online"/>
    <s v="P1036"/>
    <s v="C0053"/>
    <s v="Online Fulfillment"/>
    <s v="Paypal"/>
    <n v="1"/>
    <s v="Ryan Lee"/>
    <s v="Laval"/>
    <s v="Consumer"/>
    <s v="Power Bank"/>
    <x v="1"/>
    <n v="76.97"/>
    <n v="316.32"/>
    <n v="0"/>
    <x v="397"/>
    <n v="153.94"/>
    <x v="396"/>
    <n v="0.51334092058674763"/>
    <n v="2025"/>
    <x v="0"/>
    <s v="septembre"/>
    <s v="Q3"/>
    <s v="Quebec"/>
    <n v="0"/>
  </r>
  <r>
    <s v="ORD-2025-00399"/>
    <d v="2025-08-12T00:00:00"/>
    <s v="C0105"/>
    <s v="P1022"/>
    <s v="Liam Martin, Calgary, Consumer"/>
    <s v="Vancouver West"/>
    <s v="E. Roy"/>
    <s v="Marketplace"/>
    <n v="3"/>
    <n v="439.62"/>
    <n v="0"/>
    <s v="Debit Card"/>
    <n v="6"/>
    <s v="No"/>
    <s v="Marketplace"/>
    <s v="P1022"/>
    <s v="C0105"/>
    <s v="Vancouver West"/>
    <s v="Debit Card"/>
    <n v="1"/>
    <s v="Liam Martin"/>
    <s v="Calgary"/>
    <s v="Consumer"/>
    <s v="Humidifier"/>
    <x v="2"/>
    <n v="239.67"/>
    <n v="1318.8600000000001"/>
    <n v="0"/>
    <x v="398"/>
    <n v="719.01"/>
    <x v="397"/>
    <n v="0.45482462126381878"/>
    <n v="2025"/>
    <x v="7"/>
    <s v="août"/>
    <s v="Q3"/>
    <s v="Alberta"/>
    <n v="0"/>
  </r>
  <r>
    <s v="ORD-2025-00400"/>
    <d v="2025-02-09T00:00:00"/>
    <s v="C0001"/>
    <s v="P1023"/>
    <s v="Ethan Roy, Halifax, Consumer"/>
    <s v="Calgary North"/>
    <s v="A. Morgan"/>
    <s v="Online"/>
    <n v="4"/>
    <n v="329.97"/>
    <n v="0"/>
    <s v="PayPal"/>
    <n v="8"/>
    <s v="No"/>
    <s v="Online"/>
    <s v="P1023"/>
    <s v="C0001"/>
    <s v="Calgary North"/>
    <s v="Paypal"/>
    <n v="1"/>
    <s v="Ethan Roy"/>
    <s v="Halifax"/>
    <s v="Consumer"/>
    <s v="Toaster"/>
    <x v="2"/>
    <n v="152.88"/>
    <n v="1319.88"/>
    <n v="0"/>
    <x v="399"/>
    <n v="611.52"/>
    <x v="398"/>
    <n v="0.53668515319574517"/>
    <n v="2025"/>
    <x v="2"/>
    <s v="février"/>
    <s v="Q1"/>
    <s v="Nova Scotia"/>
    <n v="0"/>
  </r>
  <r>
    <s v="ORD-2025-00401"/>
    <d v="2025-06-30T00:00:00"/>
    <s v="C0061"/>
    <s v="P1024"/>
    <s v="Zoe Hall , Vancouver , Consumer"/>
    <s v="Online Fulfillment"/>
    <s v="L. Chen"/>
    <s v="Retail Store"/>
    <n v="1"/>
    <n v="105.56"/>
    <n v="0.05"/>
    <s v="PayPal"/>
    <n v="1"/>
    <s v="No"/>
    <s v="Retail Store"/>
    <s v="P1024"/>
    <s v="C0061"/>
    <s v="Online Fulfillment"/>
    <s v="Paypal"/>
    <n v="1"/>
    <s v="Zoe Hall"/>
    <s v="Vancouver"/>
    <s v="Consumer"/>
    <s v="Food Scale"/>
    <x v="2"/>
    <n v="46.07"/>
    <n v="105.56"/>
    <n v="5.2780000000000005"/>
    <x v="400"/>
    <n v="46.07"/>
    <x v="399"/>
    <n v="0.54059552063181826"/>
    <n v="2025"/>
    <x v="5"/>
    <s v="juin"/>
    <s v="Q2"/>
    <s v="British Columbia"/>
    <n v="0"/>
  </r>
  <r>
    <s v="ORD-2025-00402"/>
    <d v="2025-02-03T00:00:00"/>
    <s v="C0035"/>
    <s v="P1022"/>
    <s v="Amelia Scott , Edmonton , Small Business"/>
    <s v="Montreal Central"/>
    <s v="A. Morgan"/>
    <s v="Marketplace"/>
    <n v="1"/>
    <n v="411.6"/>
    <n v="0"/>
    <s v="PayPal"/>
    <n v="4"/>
    <s v="No"/>
    <s v="Marketplace"/>
    <s v="P1022"/>
    <s v="C0035"/>
    <s v="Montreal Central"/>
    <s v="Paypal"/>
    <n v="1"/>
    <s v="Amelia Scott"/>
    <s v="Edmonton"/>
    <s v="Small Business"/>
    <s v="Humidifier"/>
    <x v="2"/>
    <n v="239.67"/>
    <n v="411.6"/>
    <n v="0"/>
    <x v="401"/>
    <n v="239.67"/>
    <x v="400"/>
    <n v="0.41771137026239075"/>
    <n v="2025"/>
    <x v="2"/>
    <s v="février"/>
    <s v="Q1"/>
    <s v="Alberta"/>
    <n v="0"/>
  </r>
  <r>
    <s v="ORD-2025-00403"/>
    <d v="2025-09-22T00:00:00"/>
    <s v="C0014"/>
    <s v="P1020"/>
    <s v="Zoe Scott , Montreal , Small Business"/>
    <s v="Montreal Central"/>
    <s v="S. Patel"/>
    <s v="Online"/>
    <n v="1"/>
    <n v="62.36"/>
    <n v="0"/>
    <s v="PayPal"/>
    <n v="6"/>
    <s v="No"/>
    <s v="Online"/>
    <s v="P1020"/>
    <s v="C0014"/>
    <s v="Montreal Central"/>
    <s v="Paypal"/>
    <n v="1"/>
    <s v="Zoe Scott"/>
    <s v="Montreal"/>
    <s v="Small Business"/>
    <s v="Blender"/>
    <x v="2"/>
    <n v="37.46"/>
    <n v="62.36"/>
    <n v="0"/>
    <x v="402"/>
    <n v="37.46"/>
    <x v="401"/>
    <n v="0.39929441949967925"/>
    <n v="2025"/>
    <x v="0"/>
    <s v="septembre"/>
    <s v="Q3"/>
    <s v="Quebec"/>
    <n v="0"/>
  </r>
  <r>
    <s v="ORD-2025-00404"/>
    <d v="2025-09-05T00:00:00"/>
    <s v="C0085"/>
    <s v="P1025"/>
    <s v="Yasmine Clark, Calgary, Consumer"/>
    <s v="Calgary North"/>
    <s v="A. Morgan"/>
    <s v="Online"/>
    <n v="1"/>
    <n v="310.61"/>
    <n v="0.25"/>
    <s v="Credit Card"/>
    <n v="5"/>
    <s v="No"/>
    <s v="Online"/>
    <s v="P1025"/>
    <s v="C0085"/>
    <s v="Calgary North"/>
    <s v="Credit Card"/>
    <n v="1"/>
    <s v="Yasmine Clark"/>
    <s v="Calgary"/>
    <s v="Consumer"/>
    <s v="Yoga Mat"/>
    <x v="0"/>
    <n v="197.33"/>
    <n v="310.61"/>
    <n v="77.652500000000003"/>
    <x v="403"/>
    <n v="197.33"/>
    <x v="402"/>
    <n v="0.15293562130431515"/>
    <n v="2025"/>
    <x v="0"/>
    <s v="septembre"/>
    <s v="Q3"/>
    <s v="Alberta"/>
    <n v="0"/>
  </r>
  <r>
    <s v="ORD-2025-00405"/>
    <d v="2025-11-27T00:00:00"/>
    <s v="C0006"/>
    <s v="P1003"/>
    <s v="Nora Wilson, Laval, Consumer"/>
    <s v="Online Fulfillment"/>
    <s v="R. Singh"/>
    <s v="Online"/>
    <n v="2"/>
    <n v="151.38999999999999"/>
    <n v="0.15"/>
    <s v="Credit Card"/>
    <n v="1"/>
    <s v="No"/>
    <s v="Online"/>
    <s v="P1003"/>
    <s v="C0006"/>
    <s v="Online Fulfillment"/>
    <s v="Credit Card"/>
    <n v="1"/>
    <s v="Nora Wilson"/>
    <s v="Laval"/>
    <s v="Consumer"/>
    <s v="Mouse"/>
    <x v="4"/>
    <n v="106.4"/>
    <n v="302.77999999999997"/>
    <n v="45.416999999999994"/>
    <x v="404"/>
    <n v="212.8"/>
    <x v="403"/>
    <n v="0.17315231793225905"/>
    <n v="2025"/>
    <x v="8"/>
    <s v="novembre"/>
    <s v="Q4"/>
    <s v="Quebec"/>
    <n v="0"/>
  </r>
  <r>
    <s v="ORD-2025-00406"/>
    <d v="2025-05-11T00:00:00"/>
    <s v="C0117"/>
    <s v="P1020"/>
    <s v="Ethan Hall, Vancouver, Consumer"/>
    <s v="Toronto Downtown"/>
    <s v="R. Singh"/>
    <s v="Online"/>
    <n v="1"/>
    <n v="67.59"/>
    <n v="0.2"/>
    <s v="Debit Card"/>
    <n v="3"/>
    <s v="No"/>
    <s v="Online"/>
    <s v="P1020"/>
    <s v="C0117"/>
    <s v="Toronto Downtown"/>
    <s v="Debit Card"/>
    <n v="1"/>
    <s v="Ethan Hall"/>
    <s v="Vancouver"/>
    <s v="Consumer"/>
    <s v="Blender"/>
    <x v="2"/>
    <n v="37.46"/>
    <n v="67.59"/>
    <n v="13.518000000000001"/>
    <x v="405"/>
    <n v="37.46"/>
    <x v="404"/>
    <n v="0.30722000295901764"/>
    <n v="2025"/>
    <x v="1"/>
    <s v="mai"/>
    <s v="Q2"/>
    <s v="British Columbia"/>
    <n v="0"/>
  </r>
  <r>
    <s v="ORD-2025-00407"/>
    <d v="2025-03-30T00:00:00"/>
    <s v="C0004"/>
    <s v="P1028"/>
    <s v="Mia Bennett, Laval, Consumer"/>
    <s v="Toronto Downtown"/>
    <s v="R. Singh"/>
    <s v="Online"/>
    <n v="4"/>
    <n v="369.52"/>
    <n v="0.05"/>
    <s v="Credit Card"/>
    <n v="5"/>
    <s v="No"/>
    <s v="Online"/>
    <s v="P1028"/>
    <s v="C0004"/>
    <s v="Toronto Downtown"/>
    <s v="Credit Card"/>
    <n v="1"/>
    <s v="Mia Bennett"/>
    <s v="Laval"/>
    <s v="Consumer"/>
    <s v="Foam Roller"/>
    <x v="0"/>
    <n v="212.02"/>
    <n v="1478.08"/>
    <n v="73.903999999999996"/>
    <x v="406"/>
    <n v="848.08"/>
    <x v="405"/>
    <n v="0.39603012727749221"/>
    <n v="2025"/>
    <x v="4"/>
    <s v="mars"/>
    <s v="Q1"/>
    <s v="Quebec"/>
    <n v="0"/>
  </r>
  <r>
    <s v="ORD-2025-00408"/>
    <d v="2025-05-09T00:00:00"/>
    <s v="C0054"/>
    <s v="P1038"/>
    <s v="Maya Hall, Surrey, Small Business"/>
    <s v="Vancouver West"/>
    <s v="J. Tremblay"/>
    <s v="Online"/>
    <n v="1"/>
    <n v="273.12"/>
    <n v="0"/>
    <s v="PayPal"/>
    <n v="1"/>
    <s v="No"/>
    <s v="Online"/>
    <s v="P1038"/>
    <s v="C0054"/>
    <s v="Vancouver West"/>
    <s v="Paypal"/>
    <n v="1"/>
    <s v="Maya Hall"/>
    <s v="Surrey"/>
    <s v="Small Business"/>
    <s v="Water Bottle"/>
    <x v="1"/>
    <n v="119.16"/>
    <n v="273.12"/>
    <n v="0"/>
    <x v="407"/>
    <n v="119.16"/>
    <x v="406"/>
    <n v="0.56370826010544817"/>
    <n v="2025"/>
    <x v="1"/>
    <s v="mai"/>
    <s v="Q2"/>
    <s v="British Columbia"/>
    <n v="0"/>
  </r>
  <r>
    <s v="ORD-2025-00409"/>
    <d v="2025-07-19T00:00:00"/>
    <s v="C0021"/>
    <s v="P1031"/>
    <s v="Nora King, Halifax, Corporate"/>
    <s v="Montreal Central"/>
    <s v="S. Patel"/>
    <s v="Retail Store"/>
    <n v="1"/>
    <n v="265.35000000000002"/>
    <n v="0.15"/>
    <s v="PayPal"/>
    <n v="0"/>
    <s v="No"/>
    <s v="Retail Store"/>
    <s v="P1031"/>
    <s v="C0021"/>
    <s v="Montreal Central"/>
    <s v="Paypal"/>
    <n v="1"/>
    <s v="Nora King"/>
    <s v="Halifax"/>
    <s v="Corporate"/>
    <s v="Dumbbell Set"/>
    <x v="0"/>
    <n v="131.72999999999999"/>
    <n v="265.35000000000002"/>
    <n v="39.802500000000002"/>
    <x v="408"/>
    <n v="131.72999999999999"/>
    <x v="407"/>
    <n v="0.41595451069065281"/>
    <n v="2025"/>
    <x v="10"/>
    <s v="juillet"/>
    <s v="Q3"/>
    <s v="Nova Scotia"/>
    <n v="0"/>
  </r>
  <r>
    <s v="ORD-2025-00410"/>
    <d v="2025-12-20T00:00:00"/>
    <s v="C0113"/>
    <s v="P1015"/>
    <s v="Olivia Johnson, Surrey, Consumer"/>
    <s v="Calgary North"/>
    <s v="L. Chen"/>
    <s v="Online"/>
    <n v="4"/>
    <n v="369.84"/>
    <n v="0.15"/>
    <s v="Credit Card"/>
    <n v="9"/>
    <s v="No"/>
    <s v="Online"/>
    <s v="P1015"/>
    <s v="C0113"/>
    <s v="Calgary North"/>
    <s v="Credit Card"/>
    <n v="1"/>
    <s v="Olivia Johnson"/>
    <s v="Surrey"/>
    <s v="Consumer"/>
    <s v="Desk Organizer"/>
    <x v="3"/>
    <n v="235.76"/>
    <n v="1479.36"/>
    <n v="221.90399999999997"/>
    <x v="409"/>
    <n v="943.04"/>
    <x v="408"/>
    <n v="0.25004135333562366"/>
    <n v="2025"/>
    <x v="6"/>
    <s v="décembre"/>
    <s v="Q4"/>
    <s v="British Columbia"/>
    <n v="0"/>
  </r>
  <r>
    <s v="ORD-2025-00411"/>
    <d v="2025-09-24T00:00:00"/>
    <s v="C0072"/>
    <s v="P1027"/>
    <s v="Ryan Bennett, Montreal, Corporate"/>
    <s v="Calgary North"/>
    <s v="L. Chen"/>
    <s v="Online"/>
    <n v="1"/>
    <n v="54.86"/>
    <n v="0"/>
    <s v="Credit Card"/>
    <n v="2"/>
    <s v="No"/>
    <s v="Online"/>
    <s v="P1027"/>
    <s v="C0072"/>
    <s v="Calgary North"/>
    <s v="Credit Card"/>
    <n v="1"/>
    <s v="Ryan Bennett"/>
    <s v="Montreal"/>
    <s v="Corporate"/>
    <s v="Kettlebell"/>
    <x v="0"/>
    <n v="25.97"/>
    <n v="54.86"/>
    <n v="0"/>
    <x v="410"/>
    <n v="25.97"/>
    <x v="409"/>
    <n v="0.52661319722931099"/>
    <n v="2025"/>
    <x v="0"/>
    <s v="septembre"/>
    <s v="Q3"/>
    <s v="Quebec"/>
    <n v="0"/>
  </r>
  <r>
    <s v="ORD-2025-00412"/>
    <d v="2025-03-31T00:00:00"/>
    <s v="C0096"/>
    <s v="P1022"/>
    <s v="Ryan Roy, Laval, Corporate"/>
    <s v="Vancouver West"/>
    <s v="J. Tremblay"/>
    <s v="Online"/>
    <n v="2"/>
    <n v="405.32"/>
    <n v="0"/>
    <s v="Credit Card"/>
    <n v="5"/>
    <s v="No"/>
    <s v="Online"/>
    <s v="P1022"/>
    <s v="C0096"/>
    <s v="Vancouver West"/>
    <s v="Credit Card"/>
    <n v="1"/>
    <s v="Ryan Roy"/>
    <s v="Laval"/>
    <s v="Corporate"/>
    <s v="Humidifier"/>
    <x v="2"/>
    <n v="239.67"/>
    <n v="810.64"/>
    <n v="0"/>
    <x v="411"/>
    <n v="479.34"/>
    <x v="410"/>
    <n v="0.40868943057337415"/>
    <n v="2025"/>
    <x v="4"/>
    <s v="mars"/>
    <s v="Q1"/>
    <s v="Quebec"/>
    <n v="0"/>
  </r>
  <r>
    <s v="ORD-2025-00413"/>
    <d v="2025-05-02T00:00:00"/>
    <s v="C0120"/>
    <s v="P1040"/>
    <s v="Ethan King, Mississauga, Small Business"/>
    <s v="Montreal Central"/>
    <s v="M. Wilson"/>
    <s v="Online"/>
    <n v="2"/>
    <n v="316.13"/>
    <n v="0"/>
    <s v="Credit Card"/>
    <n v="6"/>
    <s v="Yes"/>
    <s v="Online"/>
    <s v="P1040"/>
    <s v="C0120"/>
    <s v="Montreal Central"/>
    <s v="Credit Card"/>
    <n v="1"/>
    <s v="Ethan King"/>
    <s v="Mississauga"/>
    <s v="Small Business"/>
    <s v="Desk Pad"/>
    <x v="1"/>
    <n v="177.57"/>
    <n v="632.26"/>
    <n v="0"/>
    <x v="412"/>
    <n v="355.14"/>
    <x v="411"/>
    <n v="0.43830069907949265"/>
    <n v="2025"/>
    <x v="1"/>
    <s v="mai"/>
    <s v="Q2"/>
    <s v="Ontario"/>
    <n v="1"/>
  </r>
  <r>
    <s v="ORD-2025-00414"/>
    <d v="2025-10-11T00:00:00"/>
    <s v="C0041"/>
    <s v="P1031"/>
    <s v="Amine Chen, Halifax, Small Business"/>
    <s v="Vancouver West"/>
    <s v="N. Brown"/>
    <s v="Online"/>
    <n v="4"/>
    <n v="245.77"/>
    <n v="0"/>
    <s v="Gift Card"/>
    <n v="9"/>
    <s v="No"/>
    <s v="Online"/>
    <s v="P1031"/>
    <s v="C0041"/>
    <s v="Vancouver West"/>
    <s v="Gift Card"/>
    <n v="1"/>
    <s v="Amine Chen"/>
    <s v="Halifax"/>
    <s v="Small Business"/>
    <s v="Dumbbell Set"/>
    <x v="0"/>
    <n v="131.72999999999999"/>
    <n v="983.08"/>
    <n v="0"/>
    <x v="413"/>
    <n v="526.91999999999996"/>
    <x v="412"/>
    <n v="0.46401106725800551"/>
    <n v="2025"/>
    <x v="11"/>
    <s v="octobre"/>
    <s v="Q4"/>
    <s v="Nova Scotia"/>
    <n v="0"/>
  </r>
  <r>
    <s v="ORD-2025-00415"/>
    <d v="2025-11-11T00:00:00"/>
    <s v="C0067"/>
    <s v="P1012"/>
    <s v="Leo Bennett, Mississauga, Consumer"/>
    <s v="Online Fulfillment"/>
    <s v="A. Morgan"/>
    <s v="Marketplace"/>
    <n v="1"/>
    <n v="85.38"/>
    <n v="0"/>
    <s v="Credit Card"/>
    <n v="7"/>
    <s v="No"/>
    <s v="Marketplace"/>
    <s v="P1012"/>
    <s v="C0067"/>
    <s v="Online Fulfillment"/>
    <s v="Credit Card"/>
    <n v="1"/>
    <s v="Leo Bennett"/>
    <s v="Mississauga"/>
    <s v="Consumer"/>
    <s v="Standing Desk"/>
    <x v="3"/>
    <n v="45.17"/>
    <n v="85.38"/>
    <n v="0"/>
    <x v="414"/>
    <n v="45.17"/>
    <x v="413"/>
    <n v="0.47095338486765048"/>
    <n v="2025"/>
    <x v="8"/>
    <s v="novembre"/>
    <s v="Q4"/>
    <s v="Ontario"/>
    <n v="0"/>
  </r>
  <r>
    <s v="ORD-2025-00416"/>
    <d v="2025-03-24T00:00:00"/>
    <s v="C0043"/>
    <s v="P1033"/>
    <s v="Ava Brown, Ottawa, Small Business"/>
    <s v="Montreal Central"/>
    <s v="A. Morgan"/>
    <s v="Online"/>
    <n v="1"/>
    <n v="303.56"/>
    <n v="0"/>
    <s v="Gift Card"/>
    <n v="4"/>
    <s v="No"/>
    <s v="Online"/>
    <s v="P1033"/>
    <s v="C0043"/>
    <s v="Montreal Central"/>
    <s v="Gift Card"/>
    <n v="1"/>
    <s v="Ava Brown"/>
    <s v="Ottawa"/>
    <s v="Small Business"/>
    <s v="Backpack"/>
    <x v="1"/>
    <n v="152.55000000000001"/>
    <n v="303.56"/>
    <n v="0"/>
    <x v="415"/>
    <n v="152.55000000000001"/>
    <x v="414"/>
    <n v="0.49746343391751213"/>
    <n v="2025"/>
    <x v="4"/>
    <s v="mars"/>
    <s v="Q1"/>
    <s v="Ontario"/>
    <n v="0"/>
  </r>
  <r>
    <s v="ORD-2025-00417"/>
    <d v="2025-06-01T00:00:00"/>
    <s v="C0053"/>
    <s v="P1038"/>
    <s v="Ryan Lee, Laval, Consumer"/>
    <s v="Vancouver West"/>
    <s v="R. Singh"/>
    <s v="Online"/>
    <n v="2"/>
    <n v="276.93"/>
    <n v="0.25"/>
    <s v="Debit Card"/>
    <n v="1"/>
    <s v="No"/>
    <s v="Online"/>
    <s v="P1038"/>
    <s v="C0053"/>
    <s v="Vancouver West"/>
    <s v="Debit Card"/>
    <n v="1"/>
    <s v="Ryan Lee"/>
    <s v="Laval"/>
    <s v="Consumer"/>
    <s v="Water Bottle"/>
    <x v="1"/>
    <n v="119.16"/>
    <n v="553.86"/>
    <n v="138.465"/>
    <x v="416"/>
    <n v="238.32"/>
    <x v="415"/>
    <n v="0.42628100964142562"/>
    <n v="2025"/>
    <x v="5"/>
    <s v="juin"/>
    <s v="Q2"/>
    <s v="Quebec"/>
    <n v="0"/>
  </r>
  <r>
    <s v="ORD-2025-00418"/>
    <d v="2025-11-19T00:00:00"/>
    <s v="C0006"/>
    <s v="P1020"/>
    <s v="Nora Wilson , Laval , Consumer"/>
    <s v="Online Fulfillment"/>
    <s v="M. Wilson"/>
    <s v="Retail Store"/>
    <n v="1"/>
    <n v="65.44"/>
    <n v="0.1"/>
    <s v="Credit Card"/>
    <n v="4"/>
    <s v="No"/>
    <s v="Retail Store"/>
    <s v="P1020"/>
    <s v="C0006"/>
    <s v="Online Fulfillment"/>
    <s v="Credit Card"/>
    <n v="1"/>
    <s v="Nora Wilson"/>
    <s v="Laval"/>
    <s v="Consumer"/>
    <s v="Blender"/>
    <x v="2"/>
    <n v="37.46"/>
    <n v="65.44"/>
    <n v="6.5440000000000005"/>
    <x v="417"/>
    <n v="37.46"/>
    <x v="416"/>
    <n v="0.3639635968486824"/>
    <n v="2025"/>
    <x v="8"/>
    <s v="novembre"/>
    <s v="Q4"/>
    <s v="Quebec"/>
    <n v="0"/>
  </r>
  <r>
    <s v="ORD-2025-00419"/>
    <d v="2025-08-23T00:00:00"/>
    <s v="C0077"/>
    <s v="P1029"/>
    <s v="Amine Taylor, Surrey, Small Business"/>
    <s v="Calgary North"/>
    <s v="R. Singh"/>
    <s v="Retail Store"/>
    <n v="2"/>
    <n v="206.15"/>
    <n v="0.1"/>
    <s v="Debit Card"/>
    <n v="3"/>
    <s v="No"/>
    <s v="Retail Store"/>
    <s v="P1029"/>
    <s v="C0077"/>
    <s v="Calgary North"/>
    <s v="Debit Card"/>
    <n v="1"/>
    <s v="Amine Taylor"/>
    <s v="Surrey"/>
    <s v="Small Business"/>
    <s v="Jump Rope"/>
    <x v="0"/>
    <n v="101"/>
    <n v="412.3"/>
    <n v="41.230000000000004"/>
    <x v="418"/>
    <n v="202"/>
    <x v="417"/>
    <n v="0.4556283181070957"/>
    <n v="2025"/>
    <x v="7"/>
    <s v="août"/>
    <s v="Q3"/>
    <s v="British Columbia"/>
    <n v="0"/>
  </r>
  <r>
    <s v="ORD-2025-00420"/>
    <d v="2025-08-08T00:00:00"/>
    <s v="C0059"/>
    <s v="P1026"/>
    <s v="Lucas Chen , Vancouver , Corporate"/>
    <s v="Toronto Downtown"/>
    <s v="R. Singh"/>
    <s v="Retail Store"/>
    <n v="2"/>
    <n v="212.26"/>
    <n v="0.1"/>
    <s v="Credit Card"/>
    <n v="0"/>
    <s v="No"/>
    <s v="Retail Store"/>
    <s v="P1026"/>
    <s v="C0059"/>
    <s v="Toronto Downtown"/>
    <s v="Credit Card"/>
    <n v="1"/>
    <s v="Lucas Chen"/>
    <s v="Vancouver"/>
    <s v="Corporate"/>
    <s v="Resistance Bands"/>
    <x v="0"/>
    <n v="139.19999999999999"/>
    <n v="424.52"/>
    <n v="42.451999999999998"/>
    <x v="419"/>
    <n v="278.39999999999998"/>
    <x v="418"/>
    <n v="0.27133389867772234"/>
    <n v="2025"/>
    <x v="7"/>
    <s v="août"/>
    <s v="Q3"/>
    <s v="British Columbia"/>
    <n v="0"/>
  </r>
  <r>
    <s v="ORD-2025-00421"/>
    <d v="2025-05-24T00:00:00"/>
    <s v="C0005"/>
    <s v="P1036"/>
    <s v="Yasmine Taylor, Calgary, Consumer"/>
    <s v="Vancouver West"/>
    <s v="R. Singh"/>
    <s v="market place"/>
    <n v="1"/>
    <n v="165.6"/>
    <n v="0.2"/>
    <s v="Debit Card"/>
    <n v="4"/>
    <s v="No"/>
    <s v="Marketplace"/>
    <s v="P1036"/>
    <s v="C0005"/>
    <s v="Vancouver West"/>
    <s v="Debit Card"/>
    <n v="1"/>
    <s v="Yasmine Taylor"/>
    <s v="Calgary"/>
    <s v="Consumer"/>
    <s v="Power Bank"/>
    <x v="1"/>
    <n v="76.97"/>
    <n v="165.6"/>
    <n v="33.119999999999997"/>
    <x v="420"/>
    <n v="76.97"/>
    <x v="419"/>
    <n v="0.41900664251207725"/>
    <n v="2025"/>
    <x v="1"/>
    <s v="mai"/>
    <s v="Q2"/>
    <s v="Alberta"/>
    <n v="0"/>
  </r>
  <r>
    <s v="ORD-2025-00422"/>
    <d v="2025-03-27T00:00:00"/>
    <s v="C0110"/>
    <s v="P1022"/>
    <s v="Sarah Smith, Laval, Consumer"/>
    <s v="Calgary  North"/>
    <s v="J. Tremblay"/>
    <s v="Retail Store"/>
    <n v="1"/>
    <n v="394.3"/>
    <n v="0"/>
    <s v="Credit Card"/>
    <n v="4"/>
    <s v="No"/>
    <s v="Retail Store"/>
    <s v="P1022"/>
    <s v="C0110"/>
    <s v="Calgary North"/>
    <s v="Credit Card"/>
    <n v="1"/>
    <s v="Sarah Smith"/>
    <s v="Laval"/>
    <s v="Consumer"/>
    <s v="Humidifier"/>
    <x v="2"/>
    <n v="239.67"/>
    <n v="394.3"/>
    <n v="0"/>
    <x v="421"/>
    <n v="239.67"/>
    <x v="420"/>
    <n v="0.39216332741567339"/>
    <n v="2025"/>
    <x v="4"/>
    <s v="mars"/>
    <s v="Q1"/>
    <s v="Quebec"/>
    <n v="0"/>
  </r>
  <r>
    <s v="ORD-2025-00423"/>
    <d v="2025-03-31T00:00:00"/>
    <s v="C0026"/>
    <s v="P1026"/>
    <s v="Adam Hall, Surrey, Corporate"/>
    <s v="Toronto Downtown"/>
    <s v="R. Singh"/>
    <s v="Retail  Store"/>
    <n v="1"/>
    <n v="236.77"/>
    <n v="0.1"/>
    <s v="Credit Card"/>
    <n v="0"/>
    <s v="No"/>
    <s v="Retail Store"/>
    <s v="P1026"/>
    <s v="C0026"/>
    <s v="Toronto Downtown"/>
    <s v="Credit Card"/>
    <n v="1"/>
    <s v="Adam Hall"/>
    <s v="Surrey"/>
    <s v="Corporate"/>
    <s v="Resistance Bands"/>
    <x v="0"/>
    <n v="139.19999999999999"/>
    <n v="236.77"/>
    <n v="23.677000000000003"/>
    <x v="422"/>
    <n v="139.19999999999999"/>
    <x v="421"/>
    <n v="0.34676408891892285"/>
    <n v="2025"/>
    <x v="4"/>
    <s v="mars"/>
    <s v="Q1"/>
    <s v="British Columbia"/>
    <n v="0"/>
  </r>
  <r>
    <s v="ORD-2025-00424"/>
    <d v="2025-12-01T00:00:00"/>
    <s v="C0111"/>
    <s v="P1013"/>
    <s v="Noah Khan, Halifax, Consumer"/>
    <s v="Online Fulfillment"/>
    <s v="N. Brown"/>
    <s v="Retail Store"/>
    <n v="1"/>
    <n v="123.65"/>
    <n v="0.2"/>
    <s v="CC"/>
    <n v="3"/>
    <s v="No"/>
    <s v="Retail Store"/>
    <s v="P1013"/>
    <s v="C0111"/>
    <s v="Online Fulfillment"/>
    <s v="Credit Card"/>
    <n v="1"/>
    <s v="Noah Khan"/>
    <s v="Halifax"/>
    <s v="Consumer"/>
    <s v="Whiteboard"/>
    <x v="3"/>
    <n v="85.73"/>
    <n v="123.65"/>
    <n v="24.730000000000004"/>
    <x v="423"/>
    <n v="85.73"/>
    <x v="422"/>
    <n v="0.13334007278608975"/>
    <n v="2025"/>
    <x v="6"/>
    <s v="décembre"/>
    <s v="Q4"/>
    <s v="Nova Scotia"/>
    <n v="0"/>
  </r>
  <r>
    <s v="ORD-2025-00425"/>
    <d v="2025-11-09T00:00:00"/>
    <s v="C0067"/>
    <s v="P1039"/>
    <s v="Leo Bennett, Mississauga, Consumer"/>
    <s v="Calgary North"/>
    <s v="R. Singh"/>
    <s v="Retail Store"/>
    <n v="4"/>
    <n v="342.63"/>
    <n v="0.05"/>
    <s v="Credit Card"/>
    <n v="2"/>
    <s v="No"/>
    <s v="Retail Store"/>
    <s v="P1039"/>
    <s v="C0067"/>
    <s v="Calgary North"/>
    <s v="Credit Card"/>
    <n v="1"/>
    <s v="Leo Bennett"/>
    <s v="Mississauga"/>
    <s v="Consumer"/>
    <s v="Travel Adapter"/>
    <x v="1"/>
    <n v="229.86"/>
    <n v="1370.52"/>
    <n v="68.525999999999996"/>
    <x v="424"/>
    <n v="919.44"/>
    <x v="423"/>
    <n v="0.29382163051442622"/>
    <n v="2025"/>
    <x v="8"/>
    <s v="novembre"/>
    <s v="Q4"/>
    <s v="Ontario"/>
    <n v="0"/>
  </r>
  <r>
    <s v="ORD-2025-00426"/>
    <d v="2025-08-12T00:00:00"/>
    <s v="C0005"/>
    <s v="P1017"/>
    <s v="Yasmine Taylor, Calgary, Consumer"/>
    <s v="Online Fulfillment"/>
    <s v="S. Patel"/>
    <s v="Retail Store"/>
    <n v="3"/>
    <n v="380.43"/>
    <n v="0"/>
    <s v="Debit Card"/>
    <n v="1"/>
    <s v="Yes"/>
    <s v="Retail Store"/>
    <s v="P1017"/>
    <s v="C0005"/>
    <s v="Online Fulfillment"/>
    <s v="Debit Card"/>
    <n v="1"/>
    <s v="Yasmine Taylor"/>
    <s v="Calgary"/>
    <s v="Consumer"/>
    <s v="Coffee Maker"/>
    <x v="2"/>
    <n v="241.16"/>
    <n v="1141.29"/>
    <n v="0"/>
    <x v="425"/>
    <n v="723.48"/>
    <x v="424"/>
    <n v="0.36608574507793806"/>
    <n v="2025"/>
    <x v="7"/>
    <s v="août"/>
    <s v="Q3"/>
    <s v="Alberta"/>
    <n v="1"/>
  </r>
  <r>
    <s v="ORD-2025-00427"/>
    <d v="2025-07-02T00:00:00"/>
    <s v="C0018"/>
    <s v="P1001"/>
    <s v="Sophia Tremblay, Laval, Small Business"/>
    <s v="Online Fulfillment"/>
    <s v="M. Wilson"/>
    <s v="Online"/>
    <n v="2"/>
    <n v="351.69"/>
    <n v="0"/>
    <s v="Credit Card"/>
    <n v="2"/>
    <s v="No"/>
    <s v="Online"/>
    <s v="P1001"/>
    <s v="C0018"/>
    <s v="Online Fulfillment"/>
    <s v="Credit Card"/>
    <n v="1"/>
    <s v="Sophia Tremblay"/>
    <s v="Laval"/>
    <s v="Small Business"/>
    <s v="Headphones"/>
    <x v="4"/>
    <n v="254.6"/>
    <n v="703.38"/>
    <n v="0"/>
    <x v="426"/>
    <n v="509.2"/>
    <x v="425"/>
    <n v="0.27606699081577529"/>
    <n v="2025"/>
    <x v="10"/>
    <s v="juillet"/>
    <s v="Q3"/>
    <s v="Quebec"/>
    <n v="0"/>
  </r>
  <r>
    <s v="ORD-2025-00428"/>
    <d v="2025-09-24T00:00:00"/>
    <s v="C0048"/>
    <s v="P1016"/>
    <s v="Amelia Brown, Quebec City, Corporate"/>
    <s v="Calgary North"/>
    <s v="S. Patel"/>
    <s v="Online"/>
    <n v="2"/>
    <n v="336.2"/>
    <n v="0.05"/>
    <s v="PayPal"/>
    <n v="6"/>
    <s v="No"/>
    <s v="Online"/>
    <s v="P1016"/>
    <s v="C0048"/>
    <s v="Calgary North"/>
    <s v="Paypal"/>
    <n v="1"/>
    <s v="Amelia Brown"/>
    <s v="Quebec City"/>
    <s v="Corporate"/>
    <s v="Printer"/>
    <x v="3"/>
    <n v="156.75"/>
    <n v="672.4"/>
    <n v="33.619999999999997"/>
    <x v="427"/>
    <n v="313.5"/>
    <x v="426"/>
    <n v="0.50922070196311719"/>
    <n v="2025"/>
    <x v="0"/>
    <s v="septembre"/>
    <s v="Q3"/>
    <s v="Quebec"/>
    <n v="0"/>
  </r>
  <r>
    <s v="ORD-2025-00429"/>
    <d v="2025-03-03T00:00:00"/>
    <s v="C0065"/>
    <s v="P1020"/>
    <s v="Mia Wilson, Quebec City, Consumer"/>
    <s v="Montreal Central"/>
    <s v="S. Patel"/>
    <s v="Online"/>
    <n v="3"/>
    <n v="65.599999999999994"/>
    <n v="0.05"/>
    <s v="PayPal"/>
    <n v="4"/>
    <s v="No"/>
    <s v="Online"/>
    <s v="P1020"/>
    <s v="C0065"/>
    <s v="Montreal Central"/>
    <s v="Paypal"/>
    <n v="1"/>
    <s v="Mia Wilson"/>
    <s v="Quebec City"/>
    <s v="Consumer"/>
    <s v="Blender"/>
    <x v="2"/>
    <n v="37.46"/>
    <n v="196.79999999999998"/>
    <n v="9.84"/>
    <x v="428"/>
    <n v="112.38"/>
    <x v="427"/>
    <n v="0.39890885750962768"/>
    <n v="2025"/>
    <x v="4"/>
    <s v="mars"/>
    <s v="Q1"/>
    <s v="Quebec"/>
    <n v="0"/>
  </r>
  <r>
    <s v="ORD-2025-00430"/>
    <d v="2025-12-13T00:00:00"/>
    <s v="C0051"/>
    <s v="P1004"/>
    <s v="Daniel Brown, Vancouver, Small Business"/>
    <s v="Calgary North"/>
    <s v="R. Singh"/>
    <s v="Online"/>
    <n v="1"/>
    <n v="273.05"/>
    <n v="0"/>
    <s v="Credit Card"/>
    <n v="2"/>
    <s v="Yes"/>
    <s v="Online"/>
    <s v="P1004"/>
    <s v="C0051"/>
    <s v="Calgary North"/>
    <s v="Credit Card"/>
    <n v="1"/>
    <s v="Daniel Brown"/>
    <s v="Vancouver"/>
    <s v="Small Business"/>
    <s v="Webcam"/>
    <x v="4"/>
    <n v="154.72999999999999"/>
    <n v="273.05"/>
    <n v="0"/>
    <x v="429"/>
    <n v="154.72999999999999"/>
    <x v="428"/>
    <n v="0.43332722944515661"/>
    <n v="2025"/>
    <x v="6"/>
    <s v="décembre"/>
    <s v="Q4"/>
    <s v="British Columbia"/>
    <n v="1"/>
  </r>
  <r>
    <s v="ORD-2025-00431"/>
    <d v="2025-06-26T00:00:00"/>
    <s v="C0078"/>
    <s v="P1011"/>
    <s v="Sarah Smith, Edmonton, Corporate"/>
    <s v="Toronto Downtown"/>
    <s v="J. Tremblay"/>
    <s v="Online"/>
    <n v="1"/>
    <n v="80.47"/>
    <n v="0.25"/>
    <s v="Debit Card"/>
    <n v="4"/>
    <s v="No"/>
    <s v="Online"/>
    <s v="P1011"/>
    <s v="C0078"/>
    <s v="Toronto Downtown"/>
    <s v="Debit Card"/>
    <n v="1"/>
    <s v="Sarah Smith"/>
    <s v="Edmonton"/>
    <s v="Corporate"/>
    <s v="Office Chair"/>
    <x v="3"/>
    <n v="39.26"/>
    <n v="80.47"/>
    <n v="20.1175"/>
    <x v="430"/>
    <n v="39.26"/>
    <x v="429"/>
    <n v="0.34948842218632203"/>
    <n v="2025"/>
    <x v="5"/>
    <s v="juin"/>
    <s v="Q2"/>
    <s v="Alberta"/>
    <n v="0"/>
  </r>
  <r>
    <s v="ORD-2025-00432"/>
    <d v="2025-04-11T00:00:00"/>
    <s v="C0088"/>
    <s v="P1013"/>
    <s v="Olivia Bennett, Vancouver, Small Business"/>
    <s v="Online Fulfillment"/>
    <s v="N. Brown"/>
    <s v="Online"/>
    <n v="1"/>
    <n v="117.18"/>
    <n v="0.05"/>
    <s v="Credit Card"/>
    <n v="7"/>
    <s v="No"/>
    <s v="Online"/>
    <s v="P1013"/>
    <s v="C0088"/>
    <s v="Online Fulfillment"/>
    <s v="Credit Card"/>
    <n v="1"/>
    <s v="Olivia Bennett"/>
    <s v="Vancouver"/>
    <s v="Small Business"/>
    <s v="Whiteboard"/>
    <x v="3"/>
    <n v="85.73"/>
    <n v="117.18"/>
    <n v="5.8590000000000009"/>
    <x v="431"/>
    <n v="85.73"/>
    <x v="430"/>
    <n v="0.22988474771157288"/>
    <n v="2025"/>
    <x v="9"/>
    <s v="avril"/>
    <s v="Q2"/>
    <s v="British Columbia"/>
    <n v="0"/>
  </r>
  <r>
    <s v="ORD-2025-00433"/>
    <d v="2025-01-14T00:00:00"/>
    <s v="C0115"/>
    <s v="P1003"/>
    <s v="Nora Lee, Calgary, Consumer"/>
    <s v="Calgary North"/>
    <s v="L. Chen"/>
    <s v="Retail Store"/>
    <n v="1"/>
    <n v="161.27000000000001"/>
    <n v="0"/>
    <s v="PayPal"/>
    <n v="1"/>
    <s v="No"/>
    <s v="Retail Store"/>
    <s v="P1003"/>
    <s v="C0115"/>
    <s v="Calgary North"/>
    <s v="Paypal"/>
    <n v="1"/>
    <s v="Nora Lee"/>
    <s v="Calgary"/>
    <s v="Consumer"/>
    <s v="Mouse"/>
    <x v="4"/>
    <n v="106.4"/>
    <n v="161.27000000000001"/>
    <n v="0"/>
    <x v="432"/>
    <n v="106.4"/>
    <x v="431"/>
    <n v="0.34023686984560053"/>
    <n v="2025"/>
    <x v="3"/>
    <s v="janvier"/>
    <s v="Q1"/>
    <s v="Alberta"/>
    <n v="0"/>
  </r>
  <r>
    <s v="ORD-2025-00434"/>
    <d v="2025-07-09T00:00:00"/>
    <s v="C0023"/>
    <s v="P1017"/>
    <s v="Ryan Gagnon, Ottawa, Small Business"/>
    <s v="Vancouver West"/>
    <s v="J. Tremblay"/>
    <s v="Retail Store"/>
    <n v="1"/>
    <n v="376.37"/>
    <n v="0.15"/>
    <s v="Credit Card"/>
    <n v="4"/>
    <s v="Yes"/>
    <s v="Retail Store"/>
    <s v="P1017"/>
    <s v="C0023"/>
    <s v="Vancouver West"/>
    <s v="Credit Card"/>
    <n v="1"/>
    <s v="Ryan Gagnon"/>
    <s v="Ottawa"/>
    <s v="Small Business"/>
    <s v="Coffee Maker"/>
    <x v="2"/>
    <n v="241.16"/>
    <n v="376.37"/>
    <n v="56.455500000000001"/>
    <x v="433"/>
    <n v="241.16"/>
    <x v="432"/>
    <n v="0.24617358700527792"/>
    <n v="2025"/>
    <x v="10"/>
    <s v="juillet"/>
    <s v="Q3"/>
    <s v="Ontario"/>
    <n v="1"/>
  </r>
  <r>
    <s v="ORD-2025-00435"/>
    <d v="2025-02-01T00:00:00"/>
    <s v="C0066"/>
    <s v="P1017"/>
    <s v="Noah Clark, Laval, Consumer"/>
    <s v="Montreal Central"/>
    <s v="N. Brown"/>
    <s v="Marketplace"/>
    <n v="5"/>
    <n v="356.85"/>
    <n v="0"/>
    <s v="PayPal"/>
    <n v="1"/>
    <s v="No"/>
    <s v="Marketplace"/>
    <s v="P1017"/>
    <s v="C0066"/>
    <s v="Montreal Central"/>
    <s v="Paypal"/>
    <n v="1"/>
    <s v="Noah Clark"/>
    <s v="Laval"/>
    <s v="Consumer"/>
    <s v="Coffee Maker"/>
    <x v="2"/>
    <n v="241.16"/>
    <n v="1784.25"/>
    <n v="0"/>
    <x v="434"/>
    <n v="1205.8"/>
    <x v="433"/>
    <n v="0.32419784223062914"/>
    <n v="2025"/>
    <x v="2"/>
    <s v="février"/>
    <s v="Q1"/>
    <s v="Quebec"/>
    <n v="0"/>
  </r>
  <r>
    <s v="ORD-2025-00436"/>
    <d v="2025-01-14T00:00:00"/>
    <s v="C0119"/>
    <s v="P1019"/>
    <s v="Liam Chen, Winnipeg, Consumer"/>
    <s v="Toronto Downtown"/>
    <s v="L. Chen"/>
    <s v="Retail Store"/>
    <n v="5"/>
    <n v="277.52999999999997"/>
    <n v="0.25"/>
    <s v="Credit Card"/>
    <n v="0"/>
    <s v="No"/>
    <s v="Retail Store"/>
    <s v="P1019"/>
    <s v="C0119"/>
    <s v="Toronto Downtown"/>
    <s v="Credit Card"/>
    <n v="1"/>
    <s v="Liam Chen"/>
    <s v="Winnipeg"/>
    <s v="Consumer"/>
    <s v="Vacuum"/>
    <x v="2"/>
    <n v="186.94"/>
    <n v="1387.6499999999999"/>
    <n v="346.91249999999997"/>
    <x v="435"/>
    <n v="934.7"/>
    <x v="434"/>
    <n v="0.10188688309972486"/>
    <n v="2025"/>
    <x v="3"/>
    <s v="janvier"/>
    <s v="Q1"/>
    <s v="Manitoba"/>
    <n v="0"/>
  </r>
  <r>
    <s v="ORD-2025-00437"/>
    <d v="2025-12-12T00:00:00"/>
    <s v="C0060"/>
    <s v="P1025"/>
    <s v="Sarah Wilson, Quebec City, Corporate"/>
    <s v="Toronto Downtown"/>
    <s v="R. Singh"/>
    <s v="Online"/>
    <n v="1"/>
    <n v="302.3"/>
    <n v="0"/>
    <s v="Credit Card"/>
    <n v="3"/>
    <s v="No"/>
    <s v="Online"/>
    <s v="P1025"/>
    <s v="C0060"/>
    <s v="Toronto Downtown"/>
    <s v="Credit Card"/>
    <n v="1"/>
    <s v="Sarah Wilson"/>
    <s v="Quebec City"/>
    <s v="Corporate"/>
    <s v="Yoga Mat"/>
    <x v="0"/>
    <n v="197.33"/>
    <n v="302.3"/>
    <n v="0"/>
    <x v="436"/>
    <n v="197.33"/>
    <x v="435"/>
    <n v="0.34723784320211709"/>
    <n v="2025"/>
    <x v="6"/>
    <s v="décembre"/>
    <s v="Q4"/>
    <s v="Quebec"/>
    <n v="0"/>
  </r>
  <r>
    <s v="ORD-2025-00438"/>
    <d v="2025-08-10T00:00:00"/>
    <s v="C0094"/>
    <s v="P1006"/>
    <s v="Mia Singh, Quebec City, Consumer"/>
    <s v="Toronto  Downtown"/>
    <s v="E. Roy"/>
    <s v="Retail Store"/>
    <n v="1"/>
    <n v="99.22"/>
    <n v="0.05"/>
    <s v="Gift Card"/>
    <n v="3"/>
    <s v="No"/>
    <s v="Retail Store"/>
    <s v="P1006"/>
    <s v="C0094"/>
    <s v="Toronto Downtown"/>
    <s v="Gift Card"/>
    <n v="1"/>
    <s v="Mia Singh"/>
    <s v="Quebec City"/>
    <s v="Consumer"/>
    <s v="USB-C Hub"/>
    <x v="4"/>
    <n v="72"/>
    <n v="99.22"/>
    <n v="4.9610000000000003"/>
    <x v="437"/>
    <n v="72"/>
    <x v="436"/>
    <n v="0.23614721140686831"/>
    <n v="2025"/>
    <x v="7"/>
    <s v="août"/>
    <s v="Q3"/>
    <s v="Quebec"/>
    <n v="0"/>
  </r>
  <r>
    <s v="ORD-2025-00439"/>
    <d v="2025-04-11T00:00:00"/>
    <s v="C0060"/>
    <s v="P1026"/>
    <s v="Sarah Wilson, Quebec City, Corporate"/>
    <s v="Calgary North"/>
    <s v="M. Wilson"/>
    <s v="Retail Store"/>
    <n v="1"/>
    <n v="217.33"/>
    <n v="0.15"/>
    <s v="Debit Card"/>
    <n v="2"/>
    <s v="No"/>
    <s v="Retail Store"/>
    <s v="P1026"/>
    <s v="C0060"/>
    <s v="Calgary North"/>
    <s v="Debit Card"/>
    <n v="1"/>
    <s v="Sarah Wilson"/>
    <s v="Quebec City"/>
    <s v="Corporate"/>
    <s v="Resistance Bands"/>
    <x v="0"/>
    <n v="139.19999999999999"/>
    <n v="217.33"/>
    <n v="32.599499999999999"/>
    <x v="438"/>
    <n v="139.19999999999999"/>
    <x v="437"/>
    <n v="0.24646985744097491"/>
    <n v="2025"/>
    <x v="9"/>
    <s v="avril"/>
    <s v="Q2"/>
    <s v="Quebec"/>
    <n v="0"/>
  </r>
  <r>
    <s v="ORD-2025-00440"/>
    <d v="2025-07-12T00:00:00"/>
    <s v="C0084"/>
    <s v="P1038"/>
    <s v="Ryan Clark, Montreal, Corporate"/>
    <s v="Online Fulfillment"/>
    <s v="A. Morgan"/>
    <s v="Retail Store"/>
    <n v="1"/>
    <n v="269.99"/>
    <n v="0.15"/>
    <s v="PayPal"/>
    <n v="0"/>
    <s v="No"/>
    <s v="Retail Store"/>
    <s v="P1038"/>
    <s v="C0084"/>
    <s v="Online Fulfillment"/>
    <s v="Paypal"/>
    <n v="1"/>
    <s v="Ryan Clark"/>
    <s v="Montreal"/>
    <s v="Corporate"/>
    <s v="Water Bottle"/>
    <x v="1"/>
    <n v="119.16"/>
    <n v="269.99"/>
    <n v="40.4985"/>
    <x v="439"/>
    <n v="119.16"/>
    <x v="438"/>
    <n v="0.48076508280263103"/>
    <n v="2025"/>
    <x v="10"/>
    <s v="juillet"/>
    <s v="Q3"/>
    <s v="Quebec"/>
    <n v="0"/>
  </r>
  <r>
    <s v="ORD-2025-00441"/>
    <d v="2025-10-26T00:00:00"/>
    <s v="C0089"/>
    <s v="P1026"/>
    <s v="Lucas Martin, Vancouver, Consumer"/>
    <s v="Online Fulfillment"/>
    <s v="R. Singh"/>
    <s v="Online"/>
    <n v="3"/>
    <n v="236.23"/>
    <n v="0"/>
    <s v="Credit Card"/>
    <n v="3"/>
    <s v="No"/>
    <s v="Online"/>
    <s v="P1026"/>
    <s v="C0089"/>
    <s v="Online Fulfillment"/>
    <s v="Credit Card"/>
    <n v="1"/>
    <s v="Lucas Martin"/>
    <s v="Vancouver"/>
    <s v="Consumer"/>
    <s v="Resistance Bands"/>
    <x v="0"/>
    <n v="139.19999999999999"/>
    <n v="708.68999999999994"/>
    <n v="0"/>
    <x v="440"/>
    <n v="417.59999999999997"/>
    <x v="439"/>
    <n v="0.41074376666807771"/>
    <n v="2025"/>
    <x v="11"/>
    <s v="octobre"/>
    <s v="Q4"/>
    <s v="British Columbia"/>
    <n v="0"/>
  </r>
  <r>
    <s v="ORD-2025-00442"/>
    <d v="2025-04-21T00:00:00"/>
    <s v="C0096"/>
    <s v="P1032"/>
    <s v="Ryan Roy, Laval, Corporate"/>
    <s v="Calgary North"/>
    <s v="S. Patel"/>
    <s v="Online"/>
    <n v="2"/>
    <n v="191.17"/>
    <n v="0"/>
    <s v="Credit Card"/>
    <n v="9"/>
    <s v="No"/>
    <s v="Online"/>
    <s v="P1032"/>
    <s v="C0096"/>
    <s v="Calgary North"/>
    <s v="Credit Card"/>
    <n v="1"/>
    <s v="Ryan Roy"/>
    <s v="Laval"/>
    <s v="Corporate"/>
    <s v="Gym Bag"/>
    <x v="0"/>
    <n v="132.72"/>
    <n v="382.34"/>
    <n v="0"/>
    <x v="441"/>
    <n v="265.44"/>
    <x v="440"/>
    <n v="0.3057488099597217"/>
    <n v="2025"/>
    <x v="9"/>
    <s v="avril"/>
    <s v="Q2"/>
    <s v="Quebec"/>
    <n v="0"/>
  </r>
  <r>
    <s v="ORD-2025-00443"/>
    <d v="2025-06-05T00:00:00"/>
    <s v="C0025"/>
    <s v="P1030"/>
    <s v="Emma Gagnon, Surrey, Corporate"/>
    <s v="Online Fulfillment"/>
    <s v="R. Singh"/>
    <s v="Online"/>
    <n v="1"/>
    <n v="259.19"/>
    <n v="0.1"/>
    <s v="Credit Card"/>
    <n v="3"/>
    <s v="No"/>
    <s v="Online"/>
    <s v="P1030"/>
    <s v="C0025"/>
    <s v="Online Fulfillment"/>
    <s v="Credit Card"/>
    <n v="1"/>
    <s v="Emma Gagnon"/>
    <s v="Surrey"/>
    <s v="Corporate"/>
    <s v="Pull-up Bar"/>
    <x v="0"/>
    <n v="125.4"/>
    <n v="259.19"/>
    <n v="25.919"/>
    <x v="442"/>
    <n v="125.4"/>
    <x v="441"/>
    <n v="0.4624278200033437"/>
    <n v="2025"/>
    <x v="5"/>
    <s v="juin"/>
    <s v="Q2"/>
    <s v="British Columbia"/>
    <n v="0"/>
  </r>
  <r>
    <s v="ORD-2025-00444"/>
    <d v="2025-06-02T00:00:00"/>
    <s v="C0017"/>
    <s v="P1028"/>
    <s v="Yasmine Khan, Mississauga, Corporate"/>
    <s v="Calgary North"/>
    <s v="R. Singh"/>
    <s v="Online"/>
    <n v="1"/>
    <n v="365.39"/>
    <n v="0.15"/>
    <s v="PayPal"/>
    <n v="8"/>
    <s v="No"/>
    <s v="Online"/>
    <s v="P1028"/>
    <s v="C0017"/>
    <s v="Calgary North"/>
    <s v="Paypal"/>
    <n v="1"/>
    <s v="Yasmine Khan"/>
    <s v="Mississauga"/>
    <s v="Corporate"/>
    <s v="Foam Roller"/>
    <x v="0"/>
    <n v="212.02"/>
    <n v="365.39"/>
    <n v="54.808499999999995"/>
    <x v="443"/>
    <n v="212.02"/>
    <x v="442"/>
    <n v="0.31734504469841246"/>
    <n v="2025"/>
    <x v="5"/>
    <s v="juin"/>
    <s v="Q2"/>
    <s v="Ontario"/>
    <n v="0"/>
  </r>
  <r>
    <s v="ORD-2025-00445"/>
    <d v="2025-10-09T00:00:00"/>
    <s v="C0096"/>
    <s v="P1005"/>
    <s v="Ryan Roy, Laval, Corporate"/>
    <s v="Toronto Downtown"/>
    <s v="L. Chen"/>
    <s v="Retail Store"/>
    <n v="1"/>
    <n v="245.43"/>
    <n v="0.2"/>
    <s v="PayPal"/>
    <n v="2"/>
    <s v="Yes"/>
    <s v="Retail Store"/>
    <s v="P1005"/>
    <s v="C0096"/>
    <s v="Toronto Downtown"/>
    <s v="Paypal"/>
    <n v="1"/>
    <s v="Ryan Roy"/>
    <s v="Laval"/>
    <s v="Corporate"/>
    <s v="Portable SSD"/>
    <x v="4"/>
    <n v="131.19"/>
    <n v="245.43"/>
    <n v="49.086000000000006"/>
    <x v="444"/>
    <n v="131.19"/>
    <x v="443"/>
    <n v="0.33183596137391513"/>
    <n v="2025"/>
    <x v="11"/>
    <s v="octobre"/>
    <s v="Q4"/>
    <s v="Quebec"/>
    <n v="1"/>
  </r>
  <r>
    <s v="ORD-2025-00446"/>
    <d v="2025-11-05T00:00:00"/>
    <s v="C0049"/>
    <s v="P1028"/>
    <s v="Olivia Scott, Quebec City, Consumer"/>
    <s v="Online Fulfillment"/>
    <s v="N. Brown"/>
    <s v="Marketplace"/>
    <n v="3"/>
    <n v="352.01"/>
    <n v="0.1"/>
    <s v="Credit Card"/>
    <n v="3"/>
    <s v="No"/>
    <s v="Marketplace"/>
    <s v="P1028"/>
    <s v="C0049"/>
    <s v="Online Fulfillment"/>
    <s v="Credit Card"/>
    <n v="1"/>
    <s v="Olivia Scott"/>
    <s v="Quebec City"/>
    <s v="Consumer"/>
    <s v="Foam Roller"/>
    <x v="0"/>
    <n v="212.02"/>
    <n v="1056.03"/>
    <n v="105.60300000000001"/>
    <x v="445"/>
    <n v="636.06000000000006"/>
    <x v="444"/>
    <n v="0.33076396188239587"/>
    <n v="2025"/>
    <x v="8"/>
    <s v="novembre"/>
    <s v="Q4"/>
    <s v="Quebec"/>
    <n v="0"/>
  </r>
  <r>
    <s v="ORD-2025-00447"/>
    <d v="2025-06-24T00:00:00"/>
    <s v="C0119"/>
    <s v="P1038"/>
    <s v="Liam Chen, Winnipeg, Consumer"/>
    <s v="Calgary North"/>
    <s v="N. Brown"/>
    <s v="Marketplace"/>
    <n v="1"/>
    <n v="259.24"/>
    <n v="0.2"/>
    <s v="Credit Card"/>
    <n v="6"/>
    <s v="No"/>
    <s v="Marketplace"/>
    <s v="P1038"/>
    <s v="C0119"/>
    <s v="Calgary North"/>
    <s v="Credit Card"/>
    <n v="1"/>
    <s v="Liam Chen"/>
    <s v="Winnipeg"/>
    <s v="Consumer"/>
    <s v="Water Bottle"/>
    <x v="1"/>
    <n v="119.16"/>
    <n v="259.24"/>
    <n v="51.848000000000006"/>
    <x v="446"/>
    <n v="119.16"/>
    <x v="445"/>
    <n v="0.42543588952322176"/>
    <n v="2025"/>
    <x v="5"/>
    <s v="juin"/>
    <s v="Q2"/>
    <s v="Manitoba"/>
    <n v="0"/>
  </r>
  <r>
    <s v="ORD-2025-00448"/>
    <d v="2025-08-06T00:00:00"/>
    <s v="C0014"/>
    <s v="P1011"/>
    <s v="Zoe Scott , Montreal , Small Business"/>
    <s v="Toronto Downtown"/>
    <s v="E. Roy"/>
    <s v="Online"/>
    <n v="1"/>
    <n v="83.23"/>
    <n v="0.05"/>
    <s v="PayPal"/>
    <n v="6"/>
    <s v="No"/>
    <s v="Online"/>
    <s v="P1011"/>
    <s v="C0014"/>
    <s v="Toronto Downtown"/>
    <s v="Paypal"/>
    <n v="1"/>
    <s v="Zoe Scott"/>
    <s v="Montreal"/>
    <s v="Small Business"/>
    <s v="Office Chair"/>
    <x v="3"/>
    <n v="39.26"/>
    <n v="83.23"/>
    <n v="4.1615000000000002"/>
    <x v="447"/>
    <n v="39.26"/>
    <x v="446"/>
    <n v="0.50346851148055172"/>
    <n v="2025"/>
    <x v="7"/>
    <s v="août"/>
    <s v="Q3"/>
    <s v="Quebec"/>
    <n v="0"/>
  </r>
  <r>
    <s v="ORD-2025-00449"/>
    <d v="2025-09-24T00:00:00"/>
    <s v="C0002"/>
    <s v="P1006"/>
    <s v="Ryan Johnson, Montreal, Small Business"/>
    <s v="Toronto Downtown"/>
    <s v="S. Patel"/>
    <s v="Marketplace"/>
    <n v="4"/>
    <n v="109.34"/>
    <n v="0.2"/>
    <s v="Credit Card"/>
    <n v="7"/>
    <s v="No"/>
    <s v="Marketplace"/>
    <s v="P1006"/>
    <s v="C0002"/>
    <s v="Toronto Downtown"/>
    <s v="Credit Card"/>
    <n v="1"/>
    <s v="Ryan Johnson"/>
    <s v="Montreal"/>
    <s v="Small Business"/>
    <s v="USB-C Hub"/>
    <x v="4"/>
    <n v="72"/>
    <n v="437.36"/>
    <n v="87.472000000000008"/>
    <x v="448"/>
    <n v="288"/>
    <x v="447"/>
    <n v="0.1768794585695995"/>
    <n v="2025"/>
    <x v="0"/>
    <s v="septembre"/>
    <s v="Q3"/>
    <s v="Quebec"/>
    <n v="0"/>
  </r>
  <r>
    <s v="ORD-2025-00450"/>
    <d v="2025-10-31T00:00:00"/>
    <s v="C0034"/>
    <s v="P1019"/>
    <s v="Noah Tremblay, Toronto, Corporate"/>
    <s v="Calgary North"/>
    <s v="L. Chen"/>
    <s v="Online"/>
    <n v="1"/>
    <n v="263.44"/>
    <n v="0"/>
    <m/>
    <n v="2"/>
    <s v="No"/>
    <s v="Online"/>
    <s v="P1019"/>
    <s v="C0034"/>
    <s v="Calgary North"/>
    <s v="Non renseigné"/>
    <n v="1"/>
    <s v="Noah Tremblay"/>
    <s v="Toronto"/>
    <s v="Corporate"/>
    <s v="Vacuum"/>
    <x v="2"/>
    <n v="186.94"/>
    <n v="263.44"/>
    <n v="0"/>
    <x v="449"/>
    <n v="186.94"/>
    <x v="448"/>
    <n v="0.29038870331005162"/>
    <n v="2025"/>
    <x v="11"/>
    <s v="octobre"/>
    <s v="Q4"/>
    <s v="Ontario"/>
    <n v="0"/>
  </r>
  <r>
    <s v="ORD-2025-00451"/>
    <d v="2025-01-07T00:00:00"/>
    <s v="C0050"/>
    <s v="P1006"/>
    <s v="Sarah Singh, Mississauga, Consumer"/>
    <s v="Online Fulfillment"/>
    <s v="S. Patel"/>
    <s v="Retail Store"/>
    <n v="1"/>
    <n v="102.79"/>
    <n v="0.05"/>
    <s v="Credit Card"/>
    <n v="1"/>
    <s v="No"/>
    <s v="Retail Store"/>
    <s v="P1006"/>
    <s v="C0050"/>
    <s v="Online Fulfillment"/>
    <s v="Credit Card"/>
    <n v="1"/>
    <s v="Sarah Singh"/>
    <s v="Mississauga"/>
    <s v="Consumer"/>
    <s v="USB-C Hub"/>
    <x v="4"/>
    <n v="72"/>
    <n v="102.79"/>
    <n v="5.1395000000000008"/>
    <x v="450"/>
    <n v="72"/>
    <x v="449"/>
    <n v="0.26267658639740715"/>
    <n v="2025"/>
    <x v="3"/>
    <s v="janvier"/>
    <s v="Q1"/>
    <s v="Ontario"/>
    <n v="0"/>
  </r>
  <r>
    <s v="ORD-2025-00452"/>
    <d v="2025-01-26T00:00:00"/>
    <s v="C0028"/>
    <s v="P1039"/>
    <s v="Mia Clark , Victoria , Consumer"/>
    <s v="Calgary North"/>
    <s v="J. Tremblay"/>
    <s v="Retail Store"/>
    <n v="1"/>
    <n v="334.66"/>
    <n v="0.2"/>
    <s v="PayPal"/>
    <n v="2"/>
    <s v="No"/>
    <s v="Retail Store"/>
    <s v="P1039"/>
    <s v="C0028"/>
    <s v="Calgary North"/>
    <s v="Paypal"/>
    <n v="1"/>
    <s v="Mia Clark"/>
    <s v="Victoria"/>
    <s v="Consumer"/>
    <s v="Travel Adapter"/>
    <x v="1"/>
    <n v="229.86"/>
    <n v="334.66"/>
    <n v="66.932000000000002"/>
    <x v="451"/>
    <n v="229.86"/>
    <x v="450"/>
    <n v="0.1414420605988167"/>
    <n v="2025"/>
    <x v="3"/>
    <s v="janvier"/>
    <s v="Q1"/>
    <s v="British Columbia"/>
    <n v="0"/>
  </r>
  <r>
    <s v="ORD-2025-00453"/>
    <d v="2025-12-16T00:00:00"/>
    <s v="C0098"/>
    <s v="P1034"/>
    <s v="Nora Young, Winnipeg, Consumer"/>
    <s v="Vancouver West"/>
    <s v="J. Tremblay"/>
    <s v="Retail Store"/>
    <n v="2"/>
    <n v="142.21"/>
    <n v="0.05"/>
    <s v="Credit Card"/>
    <n v="2"/>
    <s v="No"/>
    <s v="Retail Store"/>
    <s v="P1034"/>
    <s v="C0098"/>
    <s v="Vancouver West"/>
    <s v="Credit Card"/>
    <n v="1"/>
    <s v="Nora Young"/>
    <s v="Winnipeg"/>
    <s v="Consumer"/>
    <s v="Laptop Sleeve"/>
    <x v="1"/>
    <n v="78.95"/>
    <n v="284.42"/>
    <n v="14.221000000000002"/>
    <x v="452"/>
    <n v="157.9"/>
    <x v="451"/>
    <n v="0.41561589791227949"/>
    <n v="2025"/>
    <x v="6"/>
    <s v="décembre"/>
    <s v="Q4"/>
    <s v="Manitoba"/>
    <n v="0"/>
  </r>
  <r>
    <s v="ORD-2025-00454"/>
    <d v="2025-05-20T00:00:00"/>
    <s v="C0021"/>
    <s v="P1029"/>
    <s v="Nora King, Halifax, Corporate"/>
    <s v="Vancouver West"/>
    <s v="S. Patel"/>
    <s v="Retail Store"/>
    <n v="1"/>
    <n v="203.87"/>
    <n v="0"/>
    <s v="Debit Card"/>
    <n v="2"/>
    <s v="No"/>
    <s v="Retail Store"/>
    <s v="P1029"/>
    <s v="C0021"/>
    <s v="Vancouver West"/>
    <s v="Debit Card"/>
    <n v="1"/>
    <s v="Nora King"/>
    <s v="Halifax"/>
    <s v="Corporate"/>
    <s v="Jump Rope"/>
    <x v="0"/>
    <n v="101"/>
    <n v="203.87"/>
    <n v="0"/>
    <x v="453"/>
    <n v="101"/>
    <x v="452"/>
    <n v="0.50458625594741746"/>
    <n v="2025"/>
    <x v="1"/>
    <s v="mai"/>
    <s v="Q2"/>
    <s v="Nova Scotia"/>
    <n v="0"/>
  </r>
  <r>
    <s v="ORD-2025-00455"/>
    <d v="2025-12-02T00:00:00"/>
    <s v="C0051"/>
    <s v="P1020"/>
    <s v="Daniel Brown, Vancouver, Small Business"/>
    <s v="Online Fulfillment"/>
    <s v="A. Morgan"/>
    <s v="Online"/>
    <n v="4"/>
    <n v="66.59"/>
    <n v="0.15"/>
    <s v="PayPal"/>
    <n v="4"/>
    <s v="No"/>
    <s v="Online"/>
    <s v="P1020"/>
    <s v="C0051"/>
    <s v="Online Fulfillment"/>
    <s v="Paypal"/>
    <n v="1"/>
    <s v="Daniel Brown"/>
    <s v="Vancouver"/>
    <s v="Small Business"/>
    <s v="Blender"/>
    <x v="2"/>
    <n v="37.46"/>
    <n v="266.36"/>
    <n v="39.954000000000001"/>
    <x v="454"/>
    <n v="149.84"/>
    <x v="453"/>
    <n v="0.33818008356668994"/>
    <n v="2025"/>
    <x v="6"/>
    <s v="décembre"/>
    <s v="Q4"/>
    <s v="British Columbia"/>
    <n v="0"/>
  </r>
  <r>
    <s v="ORD-2025-00456"/>
    <d v="2025-07-14T00:00:00"/>
    <s v="C0108"/>
    <s v="P1010"/>
    <s v="Noah Lee, Surrey, Consumer"/>
    <s v="Online Fulfillment"/>
    <s v="S. Patel"/>
    <s v="Retail Store"/>
    <n v="2"/>
    <n v="210.56"/>
    <n v="0.05"/>
    <s v="Credit Card"/>
    <n v="2"/>
    <s v="No"/>
    <s v="Retail Store"/>
    <s v="P1010"/>
    <s v="C0108"/>
    <s v="Online Fulfillment"/>
    <s v="Credit Card"/>
    <n v="1"/>
    <s v="Noah Lee"/>
    <s v="Surrey"/>
    <s v="Consumer"/>
    <s v="Desk Lamp"/>
    <x v="3"/>
    <n v="127.21"/>
    <n v="421.12"/>
    <n v="21.056000000000001"/>
    <x v="455"/>
    <n v="254.42"/>
    <x v="454"/>
    <n v="0.36405175171972493"/>
    <n v="2025"/>
    <x v="10"/>
    <s v="juillet"/>
    <s v="Q3"/>
    <s v="British Columbia"/>
    <n v="0"/>
  </r>
  <r>
    <s v="ORD-2025-00457"/>
    <d v="2025-12-28T00:00:00"/>
    <s v="C0077"/>
    <s v="P1023"/>
    <s v="Amine Taylor, Surrey, Small Business"/>
    <s v="Online Fulfillment"/>
    <s v="R. Singh"/>
    <s v="Retail Store"/>
    <n v="2"/>
    <n v="350.32"/>
    <n v="0.2"/>
    <s v="Credit Card"/>
    <n v="2"/>
    <s v="No"/>
    <s v="Retail Store"/>
    <s v="P1023"/>
    <s v="C0077"/>
    <s v="Online Fulfillment"/>
    <s v="Credit Card"/>
    <n v="1"/>
    <s v="Amine Taylor"/>
    <s v="Surrey"/>
    <s v="Small Business"/>
    <s v="Toaster"/>
    <x v="2"/>
    <n v="152.88"/>
    <n v="700.64"/>
    <n v="140.12800000000001"/>
    <x v="456"/>
    <n v="305.76"/>
    <x v="455"/>
    <n v="0.45449874400548068"/>
    <n v="2025"/>
    <x v="6"/>
    <s v="décembre"/>
    <s v="Q4"/>
    <s v="British Columbia"/>
    <n v="0"/>
  </r>
  <r>
    <s v="ORD-2025-00458"/>
    <d v="2025-09-08T00:00:00"/>
    <s v="C0020"/>
    <s v="P1030"/>
    <s v="Nora Khan, Mississauga, Consumer"/>
    <s v="Online Fulfillment"/>
    <s v="E. Roy"/>
    <s v="Retail Store"/>
    <n v="3"/>
    <n v="252.66"/>
    <n v="0.25"/>
    <s v="Debit Card"/>
    <n v="2"/>
    <s v="No"/>
    <s v="Retail Store"/>
    <s v="P1030"/>
    <s v="C0020"/>
    <s v="Online Fulfillment"/>
    <s v="Debit Card"/>
    <n v="1"/>
    <s v="Nora Khan"/>
    <s v="Mississauga"/>
    <s v="Consumer"/>
    <s v="Pull-up Bar"/>
    <x v="0"/>
    <n v="125.4"/>
    <n v="757.98"/>
    <n v="189.495"/>
    <x v="457"/>
    <n v="376.20000000000005"/>
    <x v="456"/>
    <n v="0.3382411145412807"/>
    <n v="2025"/>
    <x v="0"/>
    <s v="septembre"/>
    <s v="Q3"/>
    <s v="Ontario"/>
    <n v="0"/>
  </r>
  <r>
    <s v="ORD-2025-00459"/>
    <d v="2025-09-08T00:00:00"/>
    <s v="C0039"/>
    <s v="P1026"/>
    <s v="Sarah Wilson, Halifax, Consumer"/>
    <s v="Montreal Central"/>
    <s v="S. Patel"/>
    <s v="Marketplace"/>
    <n v="2"/>
    <n v="235.33"/>
    <n v="0.05"/>
    <s v="Debit Card"/>
    <n v="2"/>
    <s v="No"/>
    <s v="Marketplace"/>
    <s v="P1026"/>
    <s v="C0039"/>
    <s v="Montreal Central"/>
    <s v="Debit Card"/>
    <n v="1"/>
    <s v="Sarah Wilson"/>
    <s v="Halifax"/>
    <s v="Consumer"/>
    <s v="Resistance Bands"/>
    <x v="0"/>
    <n v="139.19999999999999"/>
    <n v="470.66"/>
    <n v="23.533000000000001"/>
    <x v="458"/>
    <n v="278.39999999999998"/>
    <x v="457"/>
    <n v="0.37735811078284254"/>
    <n v="2025"/>
    <x v="0"/>
    <s v="septembre"/>
    <s v="Q3"/>
    <s v="Nova Scotia"/>
    <n v="0"/>
  </r>
  <r>
    <s v="ORD-2025-00460"/>
    <d v="2025-03-18T00:00:00"/>
    <s v="C0038"/>
    <s v="P1009"/>
    <s v="Noah Brown, Montreal, Consumer"/>
    <s v="Toronto Downtown"/>
    <s v="N. Brown"/>
    <s v="Retail  Store"/>
    <n v="3"/>
    <n v="277.63"/>
    <n v="0.1"/>
    <s v="PayPal"/>
    <n v="3"/>
    <s v="No"/>
    <s v="Retail Store"/>
    <s v="P1009"/>
    <s v="C0038"/>
    <s v="Toronto Downtown"/>
    <s v="Paypal"/>
    <n v="1"/>
    <s v="Noah Brown"/>
    <s v="Montreal"/>
    <s v="Consumer"/>
    <s v="Notebook"/>
    <x v="3"/>
    <n v="176.13"/>
    <n v="832.89"/>
    <n v="83.289000000000001"/>
    <x v="459"/>
    <n v="528.39"/>
    <x v="458"/>
    <n v="0.29510499585779637"/>
    <n v="2025"/>
    <x v="4"/>
    <s v="mars"/>
    <s v="Q1"/>
    <s v="Quebec"/>
    <n v="0"/>
  </r>
  <r>
    <s v="ORD-2025-00461"/>
    <d v="2025-11-23T00:00:00"/>
    <s v="C0060"/>
    <s v="P1001"/>
    <s v="Sarah Wilson, Quebec City, Corporate"/>
    <s v="Montreal Central"/>
    <s v="N. Brown"/>
    <s v="Retail Store"/>
    <n v="1"/>
    <n v="392.21"/>
    <n v="0"/>
    <s v="Credit Card"/>
    <n v="1"/>
    <s v="No"/>
    <s v="Retail Store"/>
    <s v="P1001"/>
    <s v="C0060"/>
    <s v="Montreal Central"/>
    <s v="Credit Card"/>
    <n v="1"/>
    <s v="Sarah Wilson"/>
    <s v="Quebec City"/>
    <s v="Corporate"/>
    <s v="Headphones"/>
    <x v="4"/>
    <n v="254.6"/>
    <n v="392.21"/>
    <n v="0"/>
    <x v="460"/>
    <n v="254.6"/>
    <x v="459"/>
    <n v="0.35085795874658982"/>
    <n v="2025"/>
    <x v="8"/>
    <s v="novembre"/>
    <s v="Q4"/>
    <s v="Quebec"/>
    <n v="0"/>
  </r>
  <r>
    <s v="ORD-2025-00462"/>
    <d v="2025-08-27T00:00:00"/>
    <s v="C0044"/>
    <s v="P1004"/>
    <s v="Nora Young, Vancouver, Corporate"/>
    <s v="Vancouver West"/>
    <s v="L. Chen"/>
    <s v="Online"/>
    <n v="1"/>
    <n v="279.77"/>
    <n v="0"/>
    <s v="Debit Card"/>
    <n v="4"/>
    <s v="No"/>
    <s v="Online"/>
    <s v="P1004"/>
    <s v="C0044"/>
    <s v="Vancouver West"/>
    <s v="Debit Card"/>
    <n v="1"/>
    <s v="Nora Young"/>
    <s v="Vancouver"/>
    <s v="Corporate"/>
    <s v="Webcam"/>
    <x v="4"/>
    <n v="154.72999999999999"/>
    <n v="279.77"/>
    <n v="0"/>
    <x v="461"/>
    <n v="154.72999999999999"/>
    <x v="460"/>
    <n v="0.44693855667155163"/>
    <n v="2025"/>
    <x v="7"/>
    <s v="août"/>
    <s v="Q3"/>
    <s v="British Columbia"/>
    <n v="0"/>
  </r>
  <r>
    <s v="ORD-2025-00463"/>
    <d v="2025-04-07T00:00:00"/>
    <s v="C0110"/>
    <s v="P1024"/>
    <s v="Sarah Smith, Laval, Consumer"/>
    <s v="Montreal Central"/>
    <s v="N. Brown"/>
    <s v="Marketplace"/>
    <n v="1"/>
    <n v="103.89"/>
    <n v="0.25"/>
    <s v="Debit Card"/>
    <n v="8"/>
    <s v="No"/>
    <s v="Marketplace"/>
    <s v="P1024"/>
    <s v="C0110"/>
    <s v="Montreal Central"/>
    <s v="Debit Card"/>
    <n v="1"/>
    <s v="Sarah Smith"/>
    <s v="Laval"/>
    <s v="Consumer"/>
    <s v="Food Scale"/>
    <x v="2"/>
    <n v="46.07"/>
    <n v="103.89"/>
    <n v="25.9725"/>
    <x v="462"/>
    <n v="46.07"/>
    <x v="461"/>
    <n v="0.40873359643212376"/>
    <n v="2025"/>
    <x v="9"/>
    <s v="avril"/>
    <s v="Q2"/>
    <s v="Quebec"/>
    <n v="0"/>
  </r>
  <r>
    <s v="ORD-2025-00464"/>
    <d v="2025-05-04T00:00:00"/>
    <s v="C0047"/>
    <s v="P1038"/>
    <s v="Amine King, Victoria, Consumer"/>
    <s v="Montreal Central"/>
    <s v="E. Roy"/>
    <s v="Retail Store"/>
    <n v="1"/>
    <n v="273.39"/>
    <n v="0.1"/>
    <s v="PayPal"/>
    <n v="3"/>
    <s v="No"/>
    <s v="Retail Store"/>
    <s v="P1038"/>
    <s v="C0047"/>
    <s v="Montreal Central"/>
    <s v="Paypal"/>
    <n v="1"/>
    <s v="Amine King"/>
    <s v="Victoria"/>
    <s v="Consumer"/>
    <s v="Water Bottle"/>
    <x v="1"/>
    <n v="119.16"/>
    <n v="273.39"/>
    <n v="27.338999999999999"/>
    <x v="463"/>
    <n v="119.16"/>
    <x v="462"/>
    <n v="0.51571015765024319"/>
    <n v="2025"/>
    <x v="1"/>
    <s v="mai"/>
    <s v="Q2"/>
    <s v="British Columbia"/>
    <n v="0"/>
  </r>
  <r>
    <s v="ORD-2025-00465"/>
    <d v="2025-09-12T00:00:00"/>
    <s v="C0075"/>
    <s v="P1025"/>
    <s v="Amelia Wilson, Vancouver, Consumer"/>
    <s v="Vancouver West"/>
    <s v="L. Chen"/>
    <s v="Marketplace"/>
    <n v="1"/>
    <n v="295.25"/>
    <n v="0.1"/>
    <s v="Gift Card"/>
    <n v="5"/>
    <s v="No"/>
    <s v="Marketplace"/>
    <s v="P1025"/>
    <s v="C0075"/>
    <s v="Vancouver West"/>
    <s v="Gift Card"/>
    <n v="1"/>
    <s v="Amelia Wilson"/>
    <s v="Vancouver"/>
    <s v="Consumer"/>
    <s v="Yoga Mat"/>
    <x v="0"/>
    <n v="197.33"/>
    <n v="295.25"/>
    <n v="29.525000000000002"/>
    <x v="464"/>
    <n v="197.33"/>
    <x v="463"/>
    <n v="0.25739015899896511"/>
    <n v="2025"/>
    <x v="0"/>
    <s v="septembre"/>
    <s v="Q3"/>
    <s v="British Columbia"/>
    <n v="0"/>
  </r>
  <r>
    <s v="ORD-2025-00466"/>
    <d v="2025-01-28T00:00:00"/>
    <s v="C0120"/>
    <s v="P1014"/>
    <s v="Ethan King, Mississauga, Small Business"/>
    <s v="Online Fulfillment"/>
    <s v="M. Wilson"/>
    <s v="Marketplace"/>
    <n v="1"/>
    <n v="252.23"/>
    <n v="0"/>
    <s v="Debit Card"/>
    <n v="2"/>
    <s v="No"/>
    <s v="Marketplace"/>
    <s v="P1014"/>
    <s v="C0120"/>
    <s v="Online Fulfillment"/>
    <s v="Debit Card"/>
    <n v="1"/>
    <s v="Ethan King"/>
    <s v="Mississauga"/>
    <s v="Small Business"/>
    <s v="Document Shredder"/>
    <x v="3"/>
    <n v="117.65"/>
    <n v="252.23"/>
    <n v="0"/>
    <x v="465"/>
    <n v="117.65"/>
    <x v="464"/>
    <n v="0.53356063909923479"/>
    <n v="2025"/>
    <x v="3"/>
    <s v="janvier"/>
    <s v="Q1"/>
    <s v="Ontario"/>
    <n v="0"/>
  </r>
  <r>
    <s v="ORD-2025-00467"/>
    <d v="2025-09-06T00:00:00"/>
    <s v="C0044"/>
    <s v="P1034"/>
    <s v="Nora Young, Vancouver, Corporate"/>
    <s v="Vancouver West"/>
    <s v="S. Patel"/>
    <s v="Marketplace"/>
    <n v="3"/>
    <n v="145.91999999999999"/>
    <n v="0"/>
    <s v="Debit  Card"/>
    <n v="7"/>
    <s v="No"/>
    <s v="Marketplace"/>
    <s v="P1034"/>
    <s v="C0044"/>
    <s v="Vancouver West"/>
    <s v="Debit Card"/>
    <n v="1"/>
    <s v="Nora Young"/>
    <s v="Vancouver"/>
    <s v="Corporate"/>
    <s v="Laptop Sleeve"/>
    <x v="1"/>
    <n v="78.95"/>
    <n v="437.76"/>
    <n v="0"/>
    <x v="466"/>
    <n v="236.85000000000002"/>
    <x v="465"/>
    <n v="0.45895010964912275"/>
    <n v="2025"/>
    <x v="0"/>
    <s v="septembre"/>
    <s v="Q3"/>
    <s v="British Columbia"/>
    <n v="0"/>
  </r>
  <r>
    <s v="ORD-2025-00468"/>
    <d v="2025-06-29T00:00:00"/>
    <s v="C0096"/>
    <s v="P1021"/>
    <s v="Ryan Roy, Laval, Corporate"/>
    <s v="Montreal Central"/>
    <s v="A. Morgan"/>
    <s v="Online"/>
    <n v="3"/>
    <n v="314.99"/>
    <n v="0.15"/>
    <s v="Debit Card"/>
    <n v="9"/>
    <s v="No"/>
    <s v="Online"/>
    <s v="P1021"/>
    <s v="C0096"/>
    <s v="Montreal Central"/>
    <s v="Debit Card"/>
    <n v="1"/>
    <s v="Ryan Roy"/>
    <s v="Laval"/>
    <s v="Corporate"/>
    <s v="Kettle"/>
    <x v="2"/>
    <n v="139.86000000000001"/>
    <n v="944.97"/>
    <n v="141.74549999999999"/>
    <x v="467"/>
    <n v="419.58000000000004"/>
    <x v="466"/>
    <n v="0.47763047566402667"/>
    <n v="2025"/>
    <x v="5"/>
    <s v="juin"/>
    <s v="Q2"/>
    <s v="Quebec"/>
    <n v="0"/>
  </r>
  <r>
    <s v="ORD-2025-00469"/>
    <d v="2025-02-19T00:00:00"/>
    <s v="C0045"/>
    <s v="P1001"/>
    <s v="Lucas Chen, Ottawa, Corporate"/>
    <s v="Calgary North"/>
    <s v="N. Brown"/>
    <s v="Retail Store"/>
    <n v="1"/>
    <n v="380.08"/>
    <n v="0"/>
    <s v="PayPal"/>
    <n v="4"/>
    <s v="No"/>
    <s v="Retail Store"/>
    <s v="P1001"/>
    <s v="C0045"/>
    <s v="Calgary North"/>
    <s v="Paypal"/>
    <n v="1"/>
    <s v="Lucas Chen"/>
    <s v="Ottawa"/>
    <s v="Corporate"/>
    <s v="Headphones"/>
    <x v="4"/>
    <n v="254.6"/>
    <n v="380.08"/>
    <n v="0"/>
    <x v="468"/>
    <n v="254.6"/>
    <x v="467"/>
    <n v="0.33014102294253839"/>
    <n v="2025"/>
    <x v="2"/>
    <s v="février"/>
    <s v="Q1"/>
    <s v="Ontario"/>
    <n v="0"/>
  </r>
  <r>
    <s v="ORD-2025-00470"/>
    <d v="2025-05-08T00:00:00"/>
    <s v="C0003"/>
    <s v="P1021"/>
    <s v="Amelia Young, Ottawa, Corporate"/>
    <s v="Calgary North"/>
    <s v="N. Brown"/>
    <s v="Online"/>
    <n v="4"/>
    <n v="310.64999999999998"/>
    <n v="0.1"/>
    <s v="Debit Card"/>
    <n v="1"/>
    <s v="No"/>
    <s v="Online"/>
    <s v="P1021"/>
    <s v="C0003"/>
    <s v="Calgary North"/>
    <s v="Debit Card"/>
    <n v="1"/>
    <s v="Amelia Young"/>
    <s v="Ottawa"/>
    <s v="Corporate"/>
    <s v="Kettle"/>
    <x v="2"/>
    <n v="139.86000000000001"/>
    <n v="1242.5999999999999"/>
    <n v="124.25999999999999"/>
    <x v="469"/>
    <n v="559.44000000000005"/>
    <x v="468"/>
    <n v="0.49975857073877344"/>
    <n v="2025"/>
    <x v="1"/>
    <s v="mai"/>
    <s v="Q2"/>
    <s v="Ontario"/>
    <n v="0"/>
  </r>
  <r>
    <s v="ORD-2025-00471"/>
    <d v="2025-05-29T00:00:00"/>
    <s v="C0117"/>
    <s v="P1022"/>
    <s v="Ethan Hall, Vancouver, Consumer"/>
    <s v="Online Fulfillment"/>
    <s v="E. Roy"/>
    <s v="Retail Store"/>
    <n v="2"/>
    <n v="440.76"/>
    <n v="0.2"/>
    <s v="Credit Card"/>
    <n v="2"/>
    <s v="No"/>
    <s v="Retail Store"/>
    <s v="P1022"/>
    <s v="C0117"/>
    <s v="Online Fulfillment"/>
    <s v="Credit Card"/>
    <n v="1"/>
    <s v="Ethan Hall"/>
    <s v="Vancouver"/>
    <s v="Consumer"/>
    <s v="Humidifier"/>
    <x v="2"/>
    <n v="239.67"/>
    <n v="881.52"/>
    <n v="176.304"/>
    <x v="470"/>
    <n v="479.34"/>
    <x v="469"/>
    <n v="0.32029335692894095"/>
    <n v="2025"/>
    <x v="1"/>
    <s v="mai"/>
    <s v="Q2"/>
    <s v="British Columbia"/>
    <n v="0"/>
  </r>
  <r>
    <s v="ORD-2025-00472"/>
    <d v="2025-11-17T00:00:00"/>
    <s v="C0037"/>
    <s v="P1008"/>
    <s v="Lucas Scott, Victoria, Small Business"/>
    <s v="Online Fulfillment"/>
    <s v="E. Roy"/>
    <s v="Marketplace"/>
    <n v="1"/>
    <n v="133.57"/>
    <n v="0.15"/>
    <s v="Gift Card"/>
    <n v="9"/>
    <s v="No"/>
    <s v="Marketplace"/>
    <s v="P1008"/>
    <s v="C0037"/>
    <s v="Online Fulfillment"/>
    <s v="Gift Card"/>
    <n v="1"/>
    <s v="Lucas Scott"/>
    <s v="Victoria"/>
    <s v="Small Business"/>
    <s v="Smart Speaker"/>
    <x v="4"/>
    <n v="69"/>
    <n v="133.57"/>
    <n v="20.035499999999999"/>
    <x v="471"/>
    <n v="69"/>
    <x v="470"/>
    <n v="0.39225521757703602"/>
    <n v="2025"/>
    <x v="8"/>
    <s v="novembre"/>
    <s v="Q4"/>
    <s v="British Columbia"/>
    <n v="0"/>
  </r>
  <r>
    <s v="ORD-2025-00473"/>
    <d v="2025-02-05T00:00:00"/>
    <s v="C0074"/>
    <s v="P1020"/>
    <s v="Sophia Chen, Vancouver, Corporate"/>
    <s v="Montreal Central"/>
    <s v="A. Morgan"/>
    <s v="Retail Store"/>
    <n v="1"/>
    <n v="68.52"/>
    <n v="0.1"/>
    <s v="Credit Card"/>
    <n v="1"/>
    <s v="No"/>
    <s v="Retail Store"/>
    <s v="P1020"/>
    <s v="C0074"/>
    <s v="Montreal Central"/>
    <s v="Credit Card"/>
    <n v="1"/>
    <s v="Sophia Chen"/>
    <s v="Vancouver"/>
    <s v="Corporate"/>
    <s v="Blender"/>
    <x v="2"/>
    <n v="37.46"/>
    <n v="68.52"/>
    <n v="6.8520000000000003"/>
    <x v="472"/>
    <n v="37.46"/>
    <x v="471"/>
    <n v="0.3925536745151455"/>
    <n v="2025"/>
    <x v="2"/>
    <s v="février"/>
    <s v="Q1"/>
    <s v="British Columbia"/>
    <n v="0"/>
  </r>
  <r>
    <s v="ORD-2025-00474"/>
    <d v="2025-06-04T00:00:00"/>
    <s v="C0064"/>
    <s v="P1025"/>
    <s v="Amine Khan, Edmonton, Consumer"/>
    <s v="Toronto Downtown"/>
    <s v="M. Wilson"/>
    <s v="Marketplace"/>
    <n v="1"/>
    <n v="294.06"/>
    <n v="0.15"/>
    <s v="Credit Card"/>
    <n v="8"/>
    <s v="No"/>
    <s v="Marketplace"/>
    <s v="P1025"/>
    <s v="C0064"/>
    <s v="Toronto Downtown"/>
    <s v="Credit Card"/>
    <n v="1"/>
    <s v="Amine Khan"/>
    <s v="Edmonton"/>
    <s v="Consumer"/>
    <s v="Yoga Mat"/>
    <x v="0"/>
    <n v="197.33"/>
    <n v="294.06"/>
    <n v="44.109000000000002"/>
    <x v="473"/>
    <n v="197.33"/>
    <x v="472"/>
    <n v="0.21052526295153842"/>
    <n v="2025"/>
    <x v="5"/>
    <s v="juin"/>
    <s v="Q2"/>
    <s v="Alberta"/>
    <n v="0"/>
  </r>
  <r>
    <s v="ORD-2025-00475"/>
    <d v="2025-08-27T00:00:00"/>
    <s v="C0094"/>
    <s v="P1006"/>
    <s v="Mia Singh, Quebec City, Consumer"/>
    <s v="Toronto Downtown"/>
    <s v="A. Morgan"/>
    <s v="Online"/>
    <n v="3"/>
    <n v="111.3"/>
    <n v="0.2"/>
    <s v="Debit Card"/>
    <n v="4"/>
    <s v="No"/>
    <s v="Online"/>
    <s v="P1006"/>
    <s v="C0094"/>
    <s v="Toronto Downtown"/>
    <s v="Debit Card"/>
    <n v="1"/>
    <s v="Mia Singh"/>
    <s v="Quebec City"/>
    <s v="Consumer"/>
    <s v="USB-C Hub"/>
    <x v="4"/>
    <n v="72"/>
    <n v="333.9"/>
    <n v="66.78"/>
    <x v="474"/>
    <n v="216"/>
    <x v="473"/>
    <n v="0.19137466307277629"/>
    <n v="2025"/>
    <x v="7"/>
    <s v="août"/>
    <s v="Q3"/>
    <s v="Quebec"/>
    <n v="0"/>
  </r>
  <r>
    <s v="ORD-2025-00476"/>
    <d v="2025-11-13T00:00:00"/>
    <s v="C0001"/>
    <s v="P1022"/>
    <s v="Ethan Roy , Halifax , Consumer"/>
    <s v="Vancouver West"/>
    <s v="E. Roy"/>
    <s v="Retail Store"/>
    <n v="2"/>
    <n v="401.68"/>
    <n v="0.1"/>
    <s v="Debit Card"/>
    <n v="3"/>
    <s v="No"/>
    <s v="Retail Store"/>
    <s v="P1022"/>
    <s v="C0001"/>
    <s v="Vancouver West"/>
    <s v="Debit Card"/>
    <n v="1"/>
    <s v="Ethan Roy"/>
    <s v="Halifax"/>
    <s v="Consumer"/>
    <s v="Humidifier"/>
    <x v="2"/>
    <n v="239.67"/>
    <n v="803.36"/>
    <n v="80.336000000000013"/>
    <x v="475"/>
    <n v="479.34"/>
    <x v="474"/>
    <n v="0.3370344552877913"/>
    <n v="2025"/>
    <x v="8"/>
    <s v="novembre"/>
    <s v="Q4"/>
    <s v="Nova Scotia"/>
    <n v="0"/>
  </r>
  <r>
    <s v="ORD-2025-00477"/>
    <d v="2025-04-26T00:00:00"/>
    <s v="C0063"/>
    <s v="P1016"/>
    <s v="Adam Singh , Laval , Small Business"/>
    <s v="Online Fulfillment"/>
    <s v="J. Tremblay"/>
    <s v="Online"/>
    <n v="3"/>
    <n v="329.79"/>
    <n v="0.1"/>
    <s v="PayPal"/>
    <n v="3"/>
    <s v="No"/>
    <s v="Online"/>
    <s v="P1016"/>
    <s v="C0063"/>
    <s v="Online Fulfillment"/>
    <s v="Paypal"/>
    <n v="1"/>
    <s v="Adam Singh"/>
    <s v="Laval"/>
    <s v="Small Business"/>
    <s v="Printer"/>
    <x v="3"/>
    <n v="156.75"/>
    <n v="989.37000000000012"/>
    <n v="98.937000000000012"/>
    <x v="476"/>
    <n v="470.25"/>
    <x v="475"/>
    <n v="0.47188614977207727"/>
    <n v="2025"/>
    <x v="9"/>
    <s v="avril"/>
    <s v="Q2"/>
    <s v="Quebec"/>
    <n v="0"/>
  </r>
  <r>
    <s v="ORD-2025-00478"/>
    <d v="2025-06-29T00:00:00"/>
    <s v="C0041"/>
    <s v="P1032"/>
    <s v="Amine Chen, Halifax, Small Business"/>
    <s v="Online Fulfillment"/>
    <s v="S. Patel"/>
    <s v="Online"/>
    <n v="1"/>
    <n v="202.81"/>
    <n v="0.15"/>
    <s v="Credit Card"/>
    <n v="9"/>
    <s v="No"/>
    <s v="Online"/>
    <s v="P1032"/>
    <s v="C0041"/>
    <s v="Online Fulfillment"/>
    <s v="Credit Card"/>
    <n v="1"/>
    <s v="Amine Chen"/>
    <s v="Halifax"/>
    <s v="Small Business"/>
    <s v="Gym Bag"/>
    <x v="0"/>
    <n v="132.72"/>
    <n v="202.81"/>
    <n v="30.421499999999998"/>
    <x v="477"/>
    <n v="132.72"/>
    <x v="476"/>
    <n v="0.23011105729210474"/>
    <n v="2025"/>
    <x v="5"/>
    <s v="juin"/>
    <s v="Q2"/>
    <s v="Nova Scotia"/>
    <n v="0"/>
  </r>
  <r>
    <s v="ORD-2025-00479"/>
    <d v="2025-10-26T00:00:00"/>
    <s v="C0033"/>
    <s v="P1008"/>
    <s v="Maya Hall, Winnipeg, Consumer"/>
    <s v="Vancouver  West"/>
    <s v="M. Wilson"/>
    <s v="Online"/>
    <n v="2"/>
    <n v="128.86000000000001"/>
    <n v="0"/>
    <s v="Credit Card"/>
    <n v="6"/>
    <s v="Yes"/>
    <s v="Online"/>
    <s v="P1008"/>
    <s v="C0033"/>
    <s v="Vancouver West"/>
    <s v="Credit Card"/>
    <n v="1"/>
    <s v="Maya Hall"/>
    <s v="Winnipeg"/>
    <s v="Consumer"/>
    <s v="Smart Speaker"/>
    <x v="4"/>
    <n v="69"/>
    <n v="257.72000000000003"/>
    <n v="0"/>
    <x v="478"/>
    <n v="138"/>
    <x v="477"/>
    <n v="0.46453515443116566"/>
    <n v="2025"/>
    <x v="11"/>
    <s v="octobre"/>
    <s v="Q4"/>
    <s v="Manitoba"/>
    <n v="1"/>
  </r>
  <r>
    <s v="ORD-2025-00480"/>
    <d v="2025-03-19T00:00:00"/>
    <s v="C0116"/>
    <s v="P1026"/>
    <s v="Lucas Brown, Mississauga, Corporate"/>
    <s v="Vancouver West"/>
    <s v="S. Patel"/>
    <s v="Online"/>
    <n v="2"/>
    <n v="223.1"/>
    <n v="0.25"/>
    <s v="Credit Card"/>
    <n v="8"/>
    <s v="No"/>
    <s v="Online"/>
    <s v="P1026"/>
    <s v="C0116"/>
    <s v="Vancouver West"/>
    <s v="Credit Card"/>
    <n v="1"/>
    <s v="Lucas Brown"/>
    <s v="Mississauga"/>
    <s v="Corporate"/>
    <s v="Resistance Bands"/>
    <x v="0"/>
    <n v="139.19999999999999"/>
    <n v="446.2"/>
    <n v="111.55"/>
    <x v="479"/>
    <n v="278.39999999999998"/>
    <x v="478"/>
    <n v="0.16808606006275215"/>
    <n v="2025"/>
    <x v="4"/>
    <s v="mars"/>
    <s v="Q1"/>
    <s v="Ontario"/>
    <n v="0"/>
  </r>
  <r>
    <s v="ORD-2025-00481"/>
    <d v="2025-04-21T00:00:00"/>
    <s v="C0099"/>
    <s v="P1031"/>
    <s v="Amine Gagnon, Laval, Small Business"/>
    <s v="Toronto Downtown"/>
    <s v="M. Wilson"/>
    <s v="Retail Store"/>
    <n v="2"/>
    <n v="254.63"/>
    <n v="0.1"/>
    <s v="PayPal"/>
    <n v="2"/>
    <s v="No"/>
    <s v="Retail Store"/>
    <s v="P1031"/>
    <s v="C0099"/>
    <s v="Toronto Downtown"/>
    <s v="Paypal"/>
    <n v="1"/>
    <s v="Amine Gagnon"/>
    <s v="Laval"/>
    <s v="Small Business"/>
    <s v="Dumbbell Set"/>
    <x v="0"/>
    <n v="131.72999999999999"/>
    <n v="509.26"/>
    <n v="50.926000000000002"/>
    <x v="480"/>
    <n v="263.45999999999998"/>
    <x v="479"/>
    <n v="0.42517901792142854"/>
    <n v="2025"/>
    <x v="9"/>
    <s v="avril"/>
    <s v="Q2"/>
    <s v="Quebec"/>
    <n v="0"/>
  </r>
  <r>
    <s v="ORD-2025-00482"/>
    <d v="2025-05-24T00:00:00"/>
    <s v="C0014"/>
    <s v="P1001"/>
    <s v="Zoe Scott, Montreal, Small Business"/>
    <s v="Vancouver West"/>
    <s v="A. Morgan"/>
    <s v="Online"/>
    <n v="2"/>
    <n v="375.55"/>
    <n v="0.05"/>
    <s v="Credit Card"/>
    <n v="8"/>
    <s v="No"/>
    <s v="Online"/>
    <s v="P1001"/>
    <s v="C0014"/>
    <s v="Vancouver West"/>
    <s v="Credit Card"/>
    <n v="1"/>
    <s v="Zoe Scott"/>
    <s v="Montreal"/>
    <s v="Small Business"/>
    <s v="Headphones"/>
    <x v="4"/>
    <n v="254.6"/>
    <n v="751.1"/>
    <n v="37.555"/>
    <x v="481"/>
    <n v="509.2"/>
    <x v="480"/>
    <n v="0.28637997603514853"/>
    <n v="2025"/>
    <x v="1"/>
    <s v="mai"/>
    <s v="Q2"/>
    <s v="Quebec"/>
    <n v="0"/>
  </r>
  <r>
    <s v="ORD-2025-00483"/>
    <d v="2025-07-09T00:00:00"/>
    <s v="C0066"/>
    <s v="P1029"/>
    <s v="Noah Clark, Laval, Consumer"/>
    <s v="Montreal Central"/>
    <s v="M. Wilson"/>
    <s v="Retail Store"/>
    <n v="2"/>
    <n v="190.66"/>
    <n v="0"/>
    <s v="Credit Card"/>
    <n v="3"/>
    <s v="No"/>
    <s v="Retail Store"/>
    <s v="P1029"/>
    <s v="C0066"/>
    <s v="Montreal Central"/>
    <s v="Credit Card"/>
    <n v="1"/>
    <s v="Noah Clark"/>
    <s v="Laval"/>
    <s v="Consumer"/>
    <s v="Jump Rope"/>
    <x v="0"/>
    <n v="101"/>
    <n v="381.32"/>
    <n v="0"/>
    <x v="482"/>
    <n v="202"/>
    <x v="481"/>
    <n v="0.47026119794398402"/>
    <n v="2025"/>
    <x v="10"/>
    <s v="juillet"/>
    <s v="Q3"/>
    <s v="Quebec"/>
    <n v="0"/>
  </r>
  <r>
    <s v="ORD-2025-00484"/>
    <d v="2025-05-08T00:00:00"/>
    <s v="C0064"/>
    <s v="P1014"/>
    <s v="Amine Khan, Edmonton, Consumer"/>
    <s v="Calgary North"/>
    <s v="A. Morgan"/>
    <s v="Marketplace"/>
    <n v="1"/>
    <n v="229.48"/>
    <n v="0.1"/>
    <s v="Gift Card"/>
    <n v="3"/>
    <s v="No"/>
    <s v="Marketplace"/>
    <s v="P1014"/>
    <s v="C0064"/>
    <s v="Calgary North"/>
    <s v="Gift Card"/>
    <n v="1"/>
    <s v="Amine Khan"/>
    <s v="Edmonton"/>
    <s v="Consumer"/>
    <s v="Document Shredder"/>
    <x v="3"/>
    <n v="117.65"/>
    <n v="229.48"/>
    <n v="22.948"/>
    <x v="483"/>
    <n v="117.65"/>
    <x v="482"/>
    <n v="0.43035461817054976"/>
    <n v="2025"/>
    <x v="1"/>
    <s v="mai"/>
    <s v="Q2"/>
    <s v="Alberta"/>
    <n v="0"/>
  </r>
  <r>
    <s v="ORD-2025-00485"/>
    <d v="2025-02-20T00:00:00"/>
    <s v="C0088"/>
    <s v="P1026"/>
    <s v="Olivia Bennett, Vancouver, Small Business"/>
    <s v="Online Fulfillment"/>
    <s v="R. Singh"/>
    <s v="Retail Store"/>
    <n v="1"/>
    <n v="231.28"/>
    <n v="0"/>
    <s v="PayPal"/>
    <n v="2"/>
    <s v="Yes"/>
    <s v="Retail Store"/>
    <s v="P1026"/>
    <s v="C0088"/>
    <s v="Online Fulfillment"/>
    <s v="Paypal"/>
    <n v="1"/>
    <s v="Olivia Bennett"/>
    <s v="Vancouver"/>
    <s v="Small Business"/>
    <s v="Resistance Bands"/>
    <x v="0"/>
    <n v="139.19999999999999"/>
    <n v="231.28"/>
    <n v="0"/>
    <x v="484"/>
    <n v="139.19999999999999"/>
    <x v="483"/>
    <n v="0.39813213420961613"/>
    <n v="2025"/>
    <x v="2"/>
    <s v="février"/>
    <s v="Q1"/>
    <s v="British Columbia"/>
    <n v="1"/>
  </r>
  <r>
    <s v="ORD-2025-00486"/>
    <d v="2025-07-03T00:00:00"/>
    <s v="C0059"/>
    <s v="P1013"/>
    <s v="Lucas Chen, Vancouver, Corporate"/>
    <s v="Online Fulfillment"/>
    <s v="L. Chen"/>
    <s v="Online"/>
    <n v="2"/>
    <n v="121.51"/>
    <n v="0.1"/>
    <m/>
    <n v="7"/>
    <s v="No"/>
    <s v="Online"/>
    <s v="P1013"/>
    <s v="C0059"/>
    <s v="Online Fulfillment"/>
    <s v="Non renseigné"/>
    <n v="1"/>
    <s v="Lucas Chen"/>
    <s v="Vancouver"/>
    <s v="Corporate"/>
    <s v="Whiteboard"/>
    <x v="3"/>
    <n v="85.73"/>
    <n v="243.02"/>
    <n v="24.302000000000003"/>
    <x v="485"/>
    <n v="171.46"/>
    <x v="484"/>
    <n v="0.21606817911648793"/>
    <n v="2025"/>
    <x v="10"/>
    <s v="juillet"/>
    <s v="Q3"/>
    <s v="British Columbia"/>
    <n v="0"/>
  </r>
  <r>
    <s v="ORD-2025-00487"/>
    <d v="2025-05-23T00:00:00"/>
    <s v="C0111"/>
    <s v="P1009"/>
    <s v="Noah Khan, Halifax, Consumer"/>
    <s v="Vancouver West"/>
    <s v="S. Patel"/>
    <s v="Online"/>
    <n v="1"/>
    <n v="296.25"/>
    <n v="0.2"/>
    <s v="Credit Card"/>
    <n v="3"/>
    <s v="No"/>
    <s v="Online"/>
    <s v="P1009"/>
    <s v="C0111"/>
    <s v="Vancouver West"/>
    <s v="Credit Card"/>
    <n v="1"/>
    <s v="Noah Khan"/>
    <s v="Halifax"/>
    <s v="Consumer"/>
    <s v="Notebook"/>
    <x v="3"/>
    <n v="176.13"/>
    <n v="296.25"/>
    <n v="59.25"/>
    <x v="486"/>
    <n v="176.13"/>
    <x v="485"/>
    <n v="0.25683544303797468"/>
    <n v="2025"/>
    <x v="1"/>
    <s v="mai"/>
    <s v="Q2"/>
    <s v="Nova Scotia"/>
    <n v="0"/>
  </r>
  <r>
    <s v="ORD-2025-00488"/>
    <d v="2025-08-03T00:00:00"/>
    <s v="C0045"/>
    <s v="P1030"/>
    <s v="Lucas Chen, Ottawa, Corporate"/>
    <s v="Calgary North"/>
    <s v="J. Tremblay"/>
    <s v="Online"/>
    <n v="2"/>
    <n v="238.38"/>
    <n v="0.15"/>
    <s v="PayPal"/>
    <n v="6"/>
    <s v="No"/>
    <s v="Online"/>
    <s v="P1030"/>
    <s v="C0045"/>
    <s v="Calgary North"/>
    <s v="Paypal"/>
    <n v="1"/>
    <s v="Lucas Chen"/>
    <s v="Ottawa"/>
    <s v="Corporate"/>
    <s v="Pull-up Bar"/>
    <x v="0"/>
    <n v="125.4"/>
    <n v="476.76"/>
    <n v="71.513999999999996"/>
    <x v="487"/>
    <n v="250.8"/>
    <x v="486"/>
    <n v="0.38111665506877296"/>
    <n v="2025"/>
    <x v="7"/>
    <s v="août"/>
    <s v="Q3"/>
    <s v="Ontario"/>
    <n v="0"/>
  </r>
  <r>
    <s v="ORD-2025-00489"/>
    <d v="2025-07-11T00:00:00"/>
    <s v="C0103"/>
    <s v="P1025"/>
    <s v="Zoe Singh, Saskatoon, Corporate"/>
    <s v="Calgary North"/>
    <s v="A. Morgan"/>
    <s v="Marketplace"/>
    <n v="1"/>
    <n v="295.45"/>
    <n v="0.2"/>
    <s v="Debit Card"/>
    <n v="6"/>
    <s v="No"/>
    <s v="Marketplace"/>
    <s v="P1025"/>
    <s v="C0103"/>
    <s v="Calgary North"/>
    <s v="Debit Card"/>
    <n v="1"/>
    <s v="Zoe Singh"/>
    <s v="Saskatoon"/>
    <s v="Corporate"/>
    <s v="Yoga Mat"/>
    <x v="0"/>
    <n v="197.33"/>
    <n v="295.45"/>
    <n v="59.09"/>
    <x v="488"/>
    <n v="197.33"/>
    <x v="487"/>
    <n v="0.16512946353020805"/>
    <n v="2025"/>
    <x v="10"/>
    <s v="juillet"/>
    <s v="Q3"/>
    <s v="Saskatchewan"/>
    <n v="0"/>
  </r>
  <r>
    <s v="ORD-2025-00490"/>
    <d v="2025-07-11T00:00:00"/>
    <s v="C0046"/>
    <s v="P1022"/>
    <s v="Amelia Bennett, Laval, Consumer"/>
    <s v="Montreal Central"/>
    <s v="M. Wilson"/>
    <s v="Retail Store"/>
    <n v="1"/>
    <n v="420.77"/>
    <n v="0.05"/>
    <m/>
    <n v="1"/>
    <s v="No"/>
    <s v="Retail Store"/>
    <s v="P1022"/>
    <s v="C0046"/>
    <s v="Montreal Central"/>
    <s v="Non renseigné"/>
    <n v="1"/>
    <s v="Amelia Bennett"/>
    <s v="Laval"/>
    <s v="Consumer"/>
    <s v="Humidifier"/>
    <x v="2"/>
    <n v="239.67"/>
    <n v="420.77"/>
    <n v="21.038499999999999"/>
    <x v="489"/>
    <n v="239.67"/>
    <x v="488"/>
    <n v="0.40042253362569624"/>
    <n v="2025"/>
    <x v="10"/>
    <s v="juillet"/>
    <s v="Q3"/>
    <s v="Quebec"/>
    <n v="0"/>
  </r>
  <r>
    <s v="ORD-2025-00491"/>
    <d v="2025-02-03T00:00:00"/>
    <s v="C0042"/>
    <s v="P1035"/>
    <s v="Emma King, Quebec City, Consumer"/>
    <s v="Toronto Downtown"/>
    <s v="A. Morgan"/>
    <s v="Retail Store"/>
    <n v="2"/>
    <n v="88.09"/>
    <n v="0"/>
    <s v="Credit Card"/>
    <n v="1"/>
    <s v="No"/>
    <s v="Retail Store"/>
    <s v="P1035"/>
    <s v="C0042"/>
    <s v="Toronto Downtown"/>
    <s v="Credit Card"/>
    <n v="1"/>
    <s v="Emma King"/>
    <s v="Quebec City"/>
    <s v="Consumer"/>
    <s v="Phone Stand"/>
    <x v="1"/>
    <n v="59.85"/>
    <n v="176.18"/>
    <n v="0"/>
    <x v="490"/>
    <n v="119.7"/>
    <x v="489"/>
    <n v="0.32058122374843911"/>
    <n v="2025"/>
    <x v="2"/>
    <s v="février"/>
    <s v="Q1"/>
    <s v="Quebec"/>
    <n v="0"/>
  </r>
  <r>
    <s v="ORD-2025-00492"/>
    <d v="2025-08-27T00:00:00"/>
    <s v="C0012"/>
    <s v="P1004"/>
    <s v="Daniel Taylor, Victoria, Corporate"/>
    <s v="Calgary North"/>
    <s v="A. Morgan"/>
    <s v="Online"/>
    <n v="3"/>
    <n v="274.23"/>
    <n v="0"/>
    <s v="PayPal"/>
    <n v="6"/>
    <s v="Yes"/>
    <s v="Online"/>
    <s v="P1004"/>
    <s v="C0012"/>
    <s v="Calgary North"/>
    <s v="Paypal"/>
    <n v="1"/>
    <s v="Daniel Taylor"/>
    <s v="Victoria"/>
    <s v="Corporate"/>
    <s v="Webcam"/>
    <x v="4"/>
    <n v="154.72999999999999"/>
    <n v="822.69"/>
    <n v="0"/>
    <x v="491"/>
    <n v="464.18999999999994"/>
    <x v="490"/>
    <n v="0.43576559822047195"/>
    <n v="2025"/>
    <x v="7"/>
    <s v="août"/>
    <s v="Q3"/>
    <s v="British Columbia"/>
    <n v="1"/>
  </r>
  <r>
    <s v="ORD-2025-00493"/>
    <d v="2025-02-16T00:00:00"/>
    <s v="C0030"/>
    <s v="P1007"/>
    <s v="Emma Lee, Calgary, Corporate"/>
    <s v="Toronto Downtown"/>
    <s v="E. Roy"/>
    <s v="Retail Store"/>
    <n v="1"/>
    <n v="360.8"/>
    <n v="0"/>
    <s v="Credit Card"/>
    <n v="2"/>
    <s v="No"/>
    <s v="Retail Store"/>
    <s v="P1007"/>
    <s v="C0030"/>
    <s v="Toronto Downtown"/>
    <s v="Credit Card"/>
    <n v="1"/>
    <s v="Emma Lee"/>
    <s v="Calgary"/>
    <s v="Corporate"/>
    <s v="Monitor"/>
    <x v="4"/>
    <n v="224.47"/>
    <n v="360.8"/>
    <n v="0"/>
    <x v="492"/>
    <n v="224.47"/>
    <x v="491"/>
    <n v="0.37785476718403549"/>
    <n v="2025"/>
    <x v="2"/>
    <s v="février"/>
    <s v="Q1"/>
    <s v="Alberta"/>
    <n v="0"/>
  </r>
  <r>
    <s v="ORD-2025-00494"/>
    <d v="2025-06-11T00:00:00"/>
    <s v="C0059"/>
    <s v="P1023"/>
    <s v="Lucas Chen, Vancouver, Corporate"/>
    <s v="Toronto Downtown"/>
    <s v="M. Wilson"/>
    <s v="Retail  Store"/>
    <n v="1"/>
    <n v="345.91"/>
    <n v="0.2"/>
    <s v="Credit Card"/>
    <n v="1"/>
    <s v="No"/>
    <s v="Retail Store"/>
    <s v="P1023"/>
    <s v="C0059"/>
    <s v="Toronto Downtown"/>
    <s v="Credit Card"/>
    <n v="1"/>
    <s v="Lucas Chen"/>
    <s v="Vancouver"/>
    <s v="Corporate"/>
    <s v="Toaster"/>
    <x v="2"/>
    <n v="152.88"/>
    <n v="345.91"/>
    <n v="69.182000000000002"/>
    <x v="493"/>
    <n v="152.88"/>
    <x v="492"/>
    <n v="0.44754415888525922"/>
    <n v="2025"/>
    <x v="5"/>
    <s v="juin"/>
    <s v="Q2"/>
    <s v="British Columbia"/>
    <n v="0"/>
  </r>
  <r>
    <s v="ORD-2025-00495"/>
    <d v="2025-09-28T00:00:00"/>
    <s v="C0064"/>
    <s v="P1032"/>
    <s v="Amine Khan , Edmonton , Consumer"/>
    <s v="Toronto Downtown"/>
    <s v="R. Singh"/>
    <s v="Retail Store"/>
    <n v="2"/>
    <n v="202.09"/>
    <n v="0.05"/>
    <s v="Credit Card"/>
    <n v="2"/>
    <s v="No"/>
    <s v="Retail Store"/>
    <s v="P1032"/>
    <s v="C0064"/>
    <s v="Toronto Downtown"/>
    <s v="Credit Card"/>
    <n v="1"/>
    <s v="Amine Khan"/>
    <s v="Edmonton"/>
    <s v="Consumer"/>
    <s v="Gym Bag"/>
    <x v="0"/>
    <n v="132.72"/>
    <n v="404.18"/>
    <n v="20.209000000000003"/>
    <x v="494"/>
    <n v="265.44"/>
    <x v="493"/>
    <n v="0.30869779228118793"/>
    <n v="2025"/>
    <x v="0"/>
    <s v="septembre"/>
    <s v="Q3"/>
    <s v="Alberta"/>
    <n v="0"/>
  </r>
  <r>
    <s v="ORD-2025-00496"/>
    <d v="2025-08-13T00:00:00"/>
    <s v="C0035"/>
    <s v="P1026"/>
    <s v="Amelia Scott , Edmonton , Small Business"/>
    <s v="Toronto Downtown"/>
    <s v="R. Singh"/>
    <s v="Online"/>
    <n v="2"/>
    <n v="230.29"/>
    <n v="0.25"/>
    <s v="Credit Card"/>
    <n v="5"/>
    <s v="No"/>
    <s v="Online"/>
    <s v="P1026"/>
    <s v="C0035"/>
    <s v="Toronto Downtown"/>
    <s v="Credit Card"/>
    <n v="1"/>
    <s v="Amelia Scott"/>
    <s v="Edmonton"/>
    <s v="Small Business"/>
    <s v="Resistance Bands"/>
    <x v="0"/>
    <n v="139.19999999999999"/>
    <n v="460.58"/>
    <n v="115.145"/>
    <x v="495"/>
    <n v="278.39999999999998"/>
    <x v="494"/>
    <n v="0.19405966390203663"/>
    <n v="2025"/>
    <x v="7"/>
    <s v="août"/>
    <s v="Q3"/>
    <s v="Alberta"/>
    <n v="0"/>
  </r>
  <r>
    <s v="ORD-2025-00497"/>
    <d v="2025-01-08T00:00:00"/>
    <s v="C0088"/>
    <s v="P1008"/>
    <s v="Olivia Bennett, Vancouver, Small Business"/>
    <s v="Montreal Central"/>
    <s v="S. Patel"/>
    <s v="Online"/>
    <n v="2"/>
    <n v="131.4"/>
    <n v="0"/>
    <s v="Credit Card"/>
    <n v="1"/>
    <s v="No"/>
    <s v="Online"/>
    <s v="P1008"/>
    <s v="C0088"/>
    <s v="Montreal Central"/>
    <s v="Credit Card"/>
    <n v="1"/>
    <s v="Olivia Bennett"/>
    <s v="Vancouver"/>
    <s v="Small Business"/>
    <s v="Smart Speaker"/>
    <x v="4"/>
    <n v="69"/>
    <n v="262.8"/>
    <n v="0"/>
    <x v="496"/>
    <n v="138"/>
    <x v="495"/>
    <n v="0.47488584474885848"/>
    <n v="2025"/>
    <x v="3"/>
    <s v="janvier"/>
    <s v="Q1"/>
    <s v="British Columbia"/>
    <n v="0"/>
  </r>
  <r>
    <s v="ORD-2025-00498"/>
    <d v="2025-10-18T00:00:00"/>
    <s v="C0108"/>
    <s v="P1035"/>
    <s v="Noah Lee, Surrey, Consumer"/>
    <s v="Vancouver West"/>
    <s v="E. Roy"/>
    <s v="Online"/>
    <n v="2"/>
    <n v="85.25"/>
    <n v="0"/>
    <s v="PayPal"/>
    <n v="5"/>
    <s v="No"/>
    <s v="Online"/>
    <s v="P1035"/>
    <s v="C0108"/>
    <s v="Vancouver West"/>
    <s v="Paypal"/>
    <n v="1"/>
    <s v="Noah Lee"/>
    <s v="Surrey"/>
    <s v="Consumer"/>
    <s v="Phone Stand"/>
    <x v="1"/>
    <n v="59.85"/>
    <n v="170.5"/>
    <n v="0"/>
    <x v="497"/>
    <n v="119.7"/>
    <x v="496"/>
    <n v="0.2979472140762463"/>
    <n v="2025"/>
    <x v="11"/>
    <s v="octobre"/>
    <s v="Q4"/>
    <s v="British Columbia"/>
    <n v="0"/>
  </r>
  <r>
    <s v="ORD-2025-00499"/>
    <d v="2025-10-10T00:00:00"/>
    <s v="C0037"/>
    <s v="P1040"/>
    <s v="Lucas Scott, Victoria, Small Business"/>
    <s v="Vancouver West"/>
    <s v="E. Roy"/>
    <s v="Retail Store"/>
    <n v="3"/>
    <n v="291.72000000000003"/>
    <n v="0.1"/>
    <s v="PayPal"/>
    <n v="0"/>
    <s v="No"/>
    <s v="Retail Store"/>
    <s v="P1040"/>
    <s v="C0037"/>
    <s v="Vancouver West"/>
    <s v="Paypal"/>
    <n v="1"/>
    <s v="Lucas Scott"/>
    <s v="Victoria"/>
    <s v="Small Business"/>
    <s v="Desk Pad"/>
    <x v="1"/>
    <n v="177.57"/>
    <n v="875.16000000000008"/>
    <n v="87.51600000000002"/>
    <x v="498"/>
    <n v="532.71"/>
    <x v="497"/>
    <n v="0.32366652954888248"/>
    <n v="2025"/>
    <x v="11"/>
    <s v="octobre"/>
    <s v="Q4"/>
    <s v="British Columbia"/>
    <n v="0"/>
  </r>
  <r>
    <s v="ORD-2025-00500"/>
    <d v="2025-03-16T00:00:00"/>
    <s v="C0081"/>
    <s v="P1004"/>
    <s v="Yasmine Bennett, Saskatoon, Small Business"/>
    <s v="Toronto Downtown"/>
    <s v="R. Singh"/>
    <s v="Retail Store"/>
    <n v="1"/>
    <n v="282.05"/>
    <n v="0.2"/>
    <s v="Debit Card"/>
    <n v="1"/>
    <s v="No"/>
    <s v="Retail Store"/>
    <s v="P1004"/>
    <s v="C0081"/>
    <s v="Toronto Downtown"/>
    <s v="Debit Card"/>
    <n v="1"/>
    <s v="Yasmine Bennett"/>
    <s v="Saskatoon"/>
    <s v="Small Business"/>
    <s v="Webcam"/>
    <x v="4"/>
    <n v="154.72999999999999"/>
    <n v="282.05"/>
    <n v="56.410000000000004"/>
    <x v="499"/>
    <n v="154.72999999999999"/>
    <x v="498"/>
    <n v="0.31426165573479886"/>
    <n v="2025"/>
    <x v="4"/>
    <s v="mars"/>
    <s v="Q1"/>
    <s v="Saskatchewan"/>
    <n v="0"/>
  </r>
  <r>
    <s v="ORD-2025-00501"/>
    <d v="2025-05-21T00:00:00"/>
    <s v="C0031"/>
    <s v="P1014"/>
    <s v="Leo Gagnon, Surrey, Small Business"/>
    <s v="Vancouver West"/>
    <s v="E. Roy"/>
    <s v="Marketplace"/>
    <n v="1"/>
    <n v="230.73"/>
    <n v="0.1"/>
    <s v="PayPal"/>
    <n v="5"/>
    <s v="No"/>
    <s v="Marketplace"/>
    <s v="P1014"/>
    <s v="C0031"/>
    <s v="Vancouver West"/>
    <s v="Paypal"/>
    <n v="1"/>
    <s v="Leo Gagnon"/>
    <s v="Surrey"/>
    <s v="Small Business"/>
    <s v="Document Shredder"/>
    <x v="3"/>
    <n v="117.65"/>
    <n v="230.73"/>
    <n v="23.073"/>
    <x v="500"/>
    <n v="117.65"/>
    <x v="499"/>
    <n v="0.43344072195977013"/>
    <n v="2025"/>
    <x v="1"/>
    <s v="mai"/>
    <s v="Q2"/>
    <s v="British Columbia"/>
    <n v="0"/>
  </r>
  <r>
    <s v="ORD-2025-00502"/>
    <d v="2025-05-27T00:00:00"/>
    <s v="C0058"/>
    <s v="P1025"/>
    <s v="Mia Singh, Laval, Consumer"/>
    <s v="Online Fulfillment"/>
    <s v="J. Tremblay"/>
    <s v="Online"/>
    <n v="1"/>
    <n v="326.2"/>
    <n v="0"/>
    <s v="Debit Card"/>
    <n v="1"/>
    <s v="No"/>
    <s v="Online"/>
    <s v="P1025"/>
    <s v="C0058"/>
    <s v="Online Fulfillment"/>
    <s v="Debit Card"/>
    <n v="1"/>
    <s v="Mia Singh"/>
    <s v="Laval"/>
    <s v="Consumer"/>
    <s v="Yoga Mat"/>
    <x v="0"/>
    <n v="197.33"/>
    <n v="326.2"/>
    <n v="0"/>
    <x v="501"/>
    <n v="197.33"/>
    <x v="500"/>
    <n v="0.39506437768240338"/>
    <n v="2025"/>
    <x v="1"/>
    <s v="mai"/>
    <s v="Q2"/>
    <s v="Quebec"/>
    <n v="0"/>
  </r>
  <r>
    <s v="ORD-2025-00503"/>
    <d v="2025-08-06T00:00:00"/>
    <s v="C0026"/>
    <s v="P1028"/>
    <s v="Adam Hall, Surrey, Corporate"/>
    <s v="Montreal Central"/>
    <s v="M. Wilson"/>
    <s v="Online"/>
    <n v="1"/>
    <n v="353.25"/>
    <n v="0.2"/>
    <s v="Credit Card"/>
    <n v="1"/>
    <s v="No"/>
    <s v="Online"/>
    <s v="P1028"/>
    <s v="C0026"/>
    <s v="Montreal Central"/>
    <s v="Credit Card"/>
    <n v="1"/>
    <s v="Adam Hall"/>
    <s v="Surrey"/>
    <s v="Corporate"/>
    <s v="Foam Roller"/>
    <x v="0"/>
    <n v="212.02"/>
    <n v="353.25"/>
    <n v="70.650000000000006"/>
    <x v="502"/>
    <n v="212.02"/>
    <x v="501"/>
    <n v="0.24975230007077143"/>
    <n v="2025"/>
    <x v="7"/>
    <s v="août"/>
    <s v="Q3"/>
    <s v="British Columbia"/>
    <n v="0"/>
  </r>
  <r>
    <s v="ORD-2025-00504"/>
    <d v="2025-08-11T00:00:00"/>
    <s v="C0067"/>
    <s v="P1030"/>
    <s v="Leo Bennett, Mississauga, Consumer"/>
    <s v="Calgary North"/>
    <s v="N. Brown"/>
    <s v="Online"/>
    <n v="1"/>
    <n v="247.11"/>
    <n v="0.1"/>
    <s v="Credit Card"/>
    <n v="5"/>
    <s v="No"/>
    <s v="Online"/>
    <s v="P1030"/>
    <s v="C0067"/>
    <s v="Calgary North"/>
    <s v="Credit Card"/>
    <n v="1"/>
    <s v="Leo Bennett"/>
    <s v="Mississauga"/>
    <s v="Consumer"/>
    <s v="Pull-up Bar"/>
    <x v="0"/>
    <n v="125.4"/>
    <n v="247.11"/>
    <n v="24.711000000000002"/>
    <x v="503"/>
    <n v="125.4"/>
    <x v="502"/>
    <n v="0.43614854383338053"/>
    <n v="2025"/>
    <x v="7"/>
    <s v="août"/>
    <s v="Q3"/>
    <s v="Ontario"/>
    <n v="0"/>
  </r>
  <r>
    <s v="ORD-2025-00505"/>
    <d v="2025-12-16T00:00:00"/>
    <s v="C0001"/>
    <s v="P1036"/>
    <s v="Ethan Roy, Halifax, Consumer"/>
    <s v="Toronto Downtown"/>
    <s v="N. Brown"/>
    <s v="Online"/>
    <n v="1"/>
    <n v="161.33000000000001"/>
    <n v="0.05"/>
    <s v="CC"/>
    <n v="1"/>
    <s v="No"/>
    <s v="Online"/>
    <s v="P1036"/>
    <s v="C0001"/>
    <s v="Toronto Downtown"/>
    <s v="Credit Card"/>
    <n v="1"/>
    <s v="Ethan Roy"/>
    <s v="Halifax"/>
    <s v="Consumer"/>
    <s v="Power Bank"/>
    <x v="1"/>
    <n v="76.97"/>
    <n v="161.33000000000001"/>
    <n v="8.0665000000000013"/>
    <x v="504"/>
    <n v="76.97"/>
    <x v="503"/>
    <n v="0.49779301660212649"/>
    <n v="2025"/>
    <x v="6"/>
    <s v="décembre"/>
    <s v="Q4"/>
    <s v="Nova Scotia"/>
    <n v="0"/>
  </r>
  <r>
    <s v="ORD-2025-00506"/>
    <d v="2025-10-21T00:00:00"/>
    <s v="C0063"/>
    <s v="P1033"/>
    <s v="Adam Singh, Laval, Small Business"/>
    <s v="Vancouver West"/>
    <s v="J. Tremblay"/>
    <s v="Online"/>
    <n v="4"/>
    <n v="299.89999999999998"/>
    <n v="0.05"/>
    <s v="Credit Card"/>
    <n v="7"/>
    <s v="No"/>
    <s v="Online"/>
    <s v="P1033"/>
    <s v="C0063"/>
    <s v="Vancouver West"/>
    <s v="Credit Card"/>
    <n v="1"/>
    <s v="Adam Singh"/>
    <s v="Laval"/>
    <s v="Small Business"/>
    <s v="Backpack"/>
    <x v="1"/>
    <n v="152.55000000000001"/>
    <n v="1199.5999999999999"/>
    <n v="59.98"/>
    <x v="505"/>
    <n v="610.20000000000005"/>
    <x v="504"/>
    <n v="0.46455836155911612"/>
    <n v="2025"/>
    <x v="11"/>
    <s v="octobre"/>
    <s v="Q4"/>
    <s v="Quebec"/>
    <n v="0"/>
  </r>
  <r>
    <s v="ORD-2025-00507"/>
    <d v="2025-08-03T00:00:00"/>
    <s v="C0093"/>
    <s v="P1032"/>
    <s v="Ethan Roy, Winnipeg, Consumer"/>
    <s v="Calgary North"/>
    <s v="L. Chen"/>
    <s v="Online"/>
    <n v="2"/>
    <n v="204.99"/>
    <n v="0"/>
    <s v="Debit Card"/>
    <n v="7"/>
    <s v="No"/>
    <s v="Online"/>
    <s v="P1032"/>
    <s v="C0093"/>
    <s v="Calgary North"/>
    <s v="Debit Card"/>
    <n v="1"/>
    <s v="Ethan Roy"/>
    <s v="Winnipeg"/>
    <s v="Consumer"/>
    <s v="Gym Bag"/>
    <x v="0"/>
    <n v="132.72"/>
    <n v="409.98"/>
    <n v="0"/>
    <x v="506"/>
    <n v="265.44"/>
    <x v="505"/>
    <n v="0.35255378311137131"/>
    <n v="2025"/>
    <x v="7"/>
    <s v="août"/>
    <s v="Q3"/>
    <s v="Manitoba"/>
    <n v="0"/>
  </r>
  <r>
    <s v="ORD-2025-00508"/>
    <d v="2025-12-17T00:00:00"/>
    <s v="C0056"/>
    <s v="P1016"/>
    <s v="Sarah Wilson, Halifax, Consumer"/>
    <s v="Toronto Downtown"/>
    <s v="A. Morgan"/>
    <s v="Online"/>
    <n v="2"/>
    <n v="337.92"/>
    <n v="0.1"/>
    <s v="PayPal"/>
    <n v="6"/>
    <s v="No"/>
    <s v="Online"/>
    <s v="P1016"/>
    <s v="C0056"/>
    <s v="Toronto Downtown"/>
    <s v="Paypal"/>
    <n v="1"/>
    <s v="Sarah Wilson"/>
    <s v="Halifax"/>
    <s v="Consumer"/>
    <s v="Printer"/>
    <x v="3"/>
    <n v="156.75"/>
    <n v="675.84"/>
    <n v="67.584000000000003"/>
    <x v="507"/>
    <n v="313.5"/>
    <x v="506"/>
    <n v="0.48459201388888895"/>
    <n v="2025"/>
    <x v="6"/>
    <s v="décembre"/>
    <s v="Q4"/>
    <s v="Nova Scotia"/>
    <n v="0"/>
  </r>
  <r>
    <s v="ORD-2025-00509"/>
    <d v="2025-08-26T00:00:00"/>
    <s v="C0118"/>
    <s v="P1038"/>
    <s v="Ryan Smith, Victoria, Small Business"/>
    <s v="Toronto Downtown"/>
    <s v="E. Roy"/>
    <s v="Online"/>
    <n v="1"/>
    <n v="249.77"/>
    <n v="0"/>
    <s v="Debit  Card"/>
    <n v="7"/>
    <s v="No"/>
    <s v="Online"/>
    <s v="P1038"/>
    <s v="C0118"/>
    <s v="Toronto Downtown"/>
    <s v="Debit Card"/>
    <n v="1"/>
    <s v="Ryan Smith"/>
    <s v="Victoria"/>
    <s v="Small Business"/>
    <s v="Water Bottle"/>
    <x v="1"/>
    <n v="119.16"/>
    <n v="249.77"/>
    <n v="0"/>
    <x v="508"/>
    <n v="119.16"/>
    <x v="507"/>
    <n v="0.52292108740040844"/>
    <n v="2025"/>
    <x v="7"/>
    <s v="août"/>
    <s v="Q3"/>
    <s v="British Columbia"/>
    <n v="0"/>
  </r>
  <r>
    <s v="ORD-2025-00510"/>
    <d v="2025-04-02T00:00:00"/>
    <s v="C0098"/>
    <s v="P1034"/>
    <s v="Nora Young, Winnipeg, Consumer"/>
    <s v="Vancouver West"/>
    <s v="N. Brown"/>
    <s v="Retail Store"/>
    <n v="1"/>
    <n v="139.44"/>
    <n v="0"/>
    <s v="PayPal"/>
    <n v="3"/>
    <s v="No"/>
    <s v="Retail Store"/>
    <s v="P1034"/>
    <s v="C0098"/>
    <s v="Vancouver West"/>
    <s v="Paypal"/>
    <n v="1"/>
    <s v="Nora Young"/>
    <s v="Winnipeg"/>
    <s v="Consumer"/>
    <s v="Laptop Sleeve"/>
    <x v="1"/>
    <n v="78.95"/>
    <n v="139.44"/>
    <n v="0"/>
    <x v="509"/>
    <n v="78.95"/>
    <x v="508"/>
    <n v="0.43380665519219735"/>
    <n v="2025"/>
    <x v="9"/>
    <s v="avril"/>
    <s v="Q2"/>
    <s v="Manitoba"/>
    <n v="0"/>
  </r>
  <r>
    <s v="ORD-2025-00511"/>
    <d v="2025-11-25T00:00:00"/>
    <s v="C0016"/>
    <s v="P1029"/>
    <s v="Nora Singh, Calgary, Consumer"/>
    <s v="Montreal Central"/>
    <s v="N. Brown"/>
    <s v="Online"/>
    <n v="2"/>
    <n v="199.62"/>
    <n v="0.15"/>
    <s v="PayPal"/>
    <n v="6"/>
    <s v="No"/>
    <s v="Online"/>
    <s v="P1029"/>
    <s v="C0016"/>
    <s v="Montreal Central"/>
    <s v="Paypal"/>
    <n v="1"/>
    <s v="Nora Singh"/>
    <s v="Calgary"/>
    <s v="Consumer"/>
    <s v="Jump Rope"/>
    <x v="0"/>
    <n v="101"/>
    <n v="399.24"/>
    <n v="59.885999999999996"/>
    <x v="510"/>
    <n v="202"/>
    <x v="509"/>
    <n v="0.40475138056424864"/>
    <n v="2025"/>
    <x v="8"/>
    <s v="novembre"/>
    <s v="Q4"/>
    <s v="Alberta"/>
    <n v="0"/>
  </r>
  <r>
    <s v="ORD-2025-00512"/>
    <d v="2025-10-27T00:00:00"/>
    <s v="C0006"/>
    <s v="P1021"/>
    <s v="Nora Wilson , Laval , Consumer"/>
    <s v="Montreal Central"/>
    <s v="S. Patel"/>
    <s v="Retail Store"/>
    <n v="1"/>
    <n v="316.77999999999997"/>
    <n v="0"/>
    <s v="Credit Card"/>
    <n v="4"/>
    <s v="No"/>
    <s v="Retail Store"/>
    <s v="P1021"/>
    <s v="C0006"/>
    <s v="Montreal Central"/>
    <s v="Credit Card"/>
    <n v="1"/>
    <s v="Nora Wilson"/>
    <s v="Laval"/>
    <s v="Consumer"/>
    <s v="Kettle"/>
    <x v="2"/>
    <n v="139.86000000000001"/>
    <n v="316.77999999999997"/>
    <n v="0"/>
    <x v="511"/>
    <n v="139.86000000000001"/>
    <x v="510"/>
    <n v="0.55849485447313585"/>
    <n v="2025"/>
    <x v="11"/>
    <s v="octobre"/>
    <s v="Q4"/>
    <s v="Quebec"/>
    <n v="0"/>
  </r>
  <r>
    <s v="ORD-2025-00513"/>
    <d v="2025-07-13T00:00:00"/>
    <s v="C0093"/>
    <s v="P1004"/>
    <s v="Ethan Roy, Winnipeg, Consumer"/>
    <s v="Online  Fulfillment"/>
    <s v="A. Morgan"/>
    <s v="Retail Store"/>
    <n v="1"/>
    <n v="277.89999999999998"/>
    <n v="0.1"/>
    <s v="Debit Card"/>
    <n v="1"/>
    <s v="Yes"/>
    <s v="Retail Store"/>
    <s v="P1004"/>
    <s v="C0093"/>
    <s v="Online Fulfillment"/>
    <s v="Debit Card"/>
    <n v="1"/>
    <s v="Ethan Roy"/>
    <s v="Winnipeg"/>
    <s v="Consumer"/>
    <s v="Webcam"/>
    <x v="4"/>
    <n v="154.72999999999999"/>
    <n v="277.89999999999998"/>
    <n v="27.79"/>
    <x v="512"/>
    <n v="154.72999999999999"/>
    <x v="511"/>
    <n v="0.38135220502978689"/>
    <n v="2025"/>
    <x v="10"/>
    <s v="juillet"/>
    <s v="Q3"/>
    <s v="Manitoba"/>
    <n v="1"/>
  </r>
  <r>
    <s v="ORD-2025-00514"/>
    <d v="2025-11-12T00:00:00"/>
    <s v="C0045"/>
    <s v="P1025"/>
    <s v="Lucas Chen, Ottawa, Corporate"/>
    <s v="Calgary North"/>
    <s v="M. Wilson"/>
    <s v="Retail Store"/>
    <n v="3"/>
    <n v="324.2"/>
    <n v="0.25"/>
    <s v="CC"/>
    <n v="3"/>
    <s v="No"/>
    <s v="Retail Store"/>
    <s v="P1025"/>
    <s v="C0045"/>
    <s v="Calgary North"/>
    <s v="Credit Card"/>
    <n v="1"/>
    <s v="Lucas Chen"/>
    <s v="Ottawa"/>
    <s v="Corporate"/>
    <s v="Yoga Mat"/>
    <x v="0"/>
    <n v="197.33"/>
    <n v="972.59999999999991"/>
    <n v="243.14999999999998"/>
    <x v="513"/>
    <n v="591.99"/>
    <x v="512"/>
    <n v="0.18844334772773999"/>
    <n v="2025"/>
    <x v="8"/>
    <s v="novembre"/>
    <s v="Q4"/>
    <s v="Ontario"/>
    <n v="0"/>
  </r>
  <r>
    <s v="ORD-2025-00515"/>
    <d v="2025-01-30T00:00:00"/>
    <s v="C0068"/>
    <s v="P1010"/>
    <s v="Yasmine Martin , Calgary , Consumer"/>
    <s v="Calgary North"/>
    <s v="J. Tremblay"/>
    <s v="Retail Store"/>
    <n v="1"/>
    <n v="226.49"/>
    <n v="0.1"/>
    <s v="Credit Card"/>
    <n v="0"/>
    <s v="No"/>
    <s v="Retail Store"/>
    <s v="P1010"/>
    <s v="C0068"/>
    <s v="Calgary North"/>
    <s v="Credit Card"/>
    <n v="1"/>
    <s v="Yasmine Martin"/>
    <s v="Calgary"/>
    <s v="Consumer"/>
    <s v="Desk Lamp"/>
    <x v="3"/>
    <n v="127.21"/>
    <n v="226.49"/>
    <n v="22.649000000000001"/>
    <x v="514"/>
    <n v="127.21"/>
    <x v="513"/>
    <n v="0.37593516515323222"/>
    <n v="2025"/>
    <x v="3"/>
    <s v="janvier"/>
    <s v="Q1"/>
    <s v="Alberta"/>
    <n v="0"/>
  </r>
  <r>
    <s v="ORD-2025-00516"/>
    <d v="2025-11-12T00:00:00"/>
    <s v="C0071"/>
    <s v="P1007"/>
    <s v="Ethan Lee, Surrey, Consumer"/>
    <s v="Montreal Central"/>
    <s v="M. Wilson"/>
    <s v="Retail Store"/>
    <n v="4"/>
    <n v="374.13"/>
    <n v="0.05"/>
    <s v="Credit Card"/>
    <n v="0"/>
    <s v="No"/>
    <s v="Retail Store"/>
    <s v="P1007"/>
    <s v="C0071"/>
    <s v="Montreal Central"/>
    <s v="Credit Card"/>
    <n v="1"/>
    <s v="Ethan Lee"/>
    <s v="Surrey"/>
    <s v="Consumer"/>
    <s v="Monitor"/>
    <x v="4"/>
    <n v="224.47"/>
    <n v="1496.52"/>
    <n v="74.826000000000008"/>
    <x v="515"/>
    <n v="897.88"/>
    <x v="514"/>
    <n v="0.36844356099132441"/>
    <n v="2025"/>
    <x v="8"/>
    <s v="novembre"/>
    <s v="Q4"/>
    <s v="British Columbia"/>
    <n v="0"/>
  </r>
  <r>
    <s v="ORD-2025-00517"/>
    <d v="2025-04-05T00:00:00"/>
    <s v="C0118"/>
    <s v="P1020"/>
    <s v="Ryan Smith, Victoria, Small Business"/>
    <s v="Online Fulfillment"/>
    <s v="A. Morgan"/>
    <s v="Marketplace"/>
    <n v="2"/>
    <n v="63.34"/>
    <n v="0.1"/>
    <s v="Debit Card"/>
    <n v="6"/>
    <s v="No"/>
    <s v="Marketplace"/>
    <s v="P1020"/>
    <s v="C0118"/>
    <s v="Online Fulfillment"/>
    <s v="Debit Card"/>
    <n v="1"/>
    <s v="Ryan Smith"/>
    <s v="Victoria"/>
    <s v="Small Business"/>
    <s v="Blender"/>
    <x v="2"/>
    <n v="37.46"/>
    <n v="126.68"/>
    <n v="12.668000000000001"/>
    <x v="516"/>
    <n v="74.92"/>
    <x v="515"/>
    <n v="0.34287618847138895"/>
    <n v="2025"/>
    <x v="9"/>
    <s v="avril"/>
    <s v="Q2"/>
    <s v="British Columbia"/>
    <n v="0"/>
  </r>
  <r>
    <s v="ORD-2025-00518"/>
    <d v="2025-10-08T00:00:00"/>
    <s v="C0005"/>
    <s v="P1034"/>
    <s v="Yasmine Taylor, Calgary, Consumer"/>
    <s v="Toronto Downtown"/>
    <s v="L. Chen"/>
    <s v="Retail Store"/>
    <n v="3"/>
    <n v="140.27000000000001"/>
    <n v="0.15"/>
    <s v="Debit Card"/>
    <n v="4"/>
    <s v="No"/>
    <s v="Retail Store"/>
    <s v="P1034"/>
    <s v="C0005"/>
    <s v="Toronto Downtown"/>
    <s v="Debit Card"/>
    <n v="1"/>
    <s v="Yasmine Taylor"/>
    <s v="Calgary"/>
    <s v="Consumer"/>
    <s v="Laptop Sleeve"/>
    <x v="1"/>
    <n v="78.95"/>
    <n v="420.81000000000006"/>
    <n v="63.121500000000005"/>
    <x v="517"/>
    <n v="236.85000000000002"/>
    <x v="516"/>
    <n v="0.33783166078864713"/>
    <n v="2025"/>
    <x v="11"/>
    <s v="octobre"/>
    <s v="Q4"/>
    <s v="Alberta"/>
    <n v="0"/>
  </r>
  <r>
    <s v="ORD-2025-00519"/>
    <d v="2025-01-09T00:00:00"/>
    <s v="C0117"/>
    <s v="P1024"/>
    <s v="Ethan Hall, Vancouver, Consumer"/>
    <s v="Vancouver West"/>
    <s v="E. Roy"/>
    <s v="Online"/>
    <n v="3"/>
    <n v="101.4"/>
    <n v="0.1"/>
    <s v="PayPal"/>
    <n v="4"/>
    <s v="No"/>
    <s v="Online"/>
    <s v="P1024"/>
    <s v="C0117"/>
    <s v="Vancouver West"/>
    <s v="Paypal"/>
    <n v="1"/>
    <s v="Ethan Hall"/>
    <s v="Vancouver"/>
    <s v="Consumer"/>
    <s v="Food Scale"/>
    <x v="2"/>
    <n v="46.07"/>
    <n v="304.20000000000005"/>
    <n v="30.420000000000005"/>
    <x v="518"/>
    <n v="138.21"/>
    <x v="517"/>
    <n v="0.49517861056322598"/>
    <n v="2025"/>
    <x v="3"/>
    <s v="janvier"/>
    <s v="Q1"/>
    <s v="British Columbia"/>
    <n v="0"/>
  </r>
  <r>
    <s v="ORD-2025-00520"/>
    <d v="2025-01-04T00:00:00"/>
    <s v="C0074"/>
    <s v="P1012"/>
    <s v="Sophia Chen, Vancouver, Corporate"/>
    <s v="Montreal Central"/>
    <s v="M. Wilson"/>
    <s v="Retail Store"/>
    <n v="4"/>
    <n v="86.59"/>
    <n v="0.05"/>
    <s v="Credit Card"/>
    <n v="0"/>
    <s v="No"/>
    <s v="Retail Store"/>
    <s v="P1012"/>
    <s v="C0074"/>
    <s v="Montreal Central"/>
    <s v="Credit Card"/>
    <n v="1"/>
    <s v="Sophia Chen"/>
    <s v="Vancouver"/>
    <s v="Corporate"/>
    <s v="Standing Desk"/>
    <x v="3"/>
    <n v="45.17"/>
    <n v="346.36"/>
    <n v="17.318000000000001"/>
    <x v="519"/>
    <n v="180.68"/>
    <x v="518"/>
    <n v="0.45089076774393544"/>
    <n v="2025"/>
    <x v="3"/>
    <s v="janvier"/>
    <s v="Q1"/>
    <s v="British Columbia"/>
    <n v="0"/>
  </r>
  <r>
    <s v="ORD-2025-00521"/>
    <d v="2025-12-02T00:00:00"/>
    <s v="C0059"/>
    <s v="P1022"/>
    <s v="Lucas Chen, Vancouver, Corporate"/>
    <s v="Online  Fulfillment"/>
    <s v="A. Morgan"/>
    <s v="Online"/>
    <n v="2"/>
    <n v="416.28"/>
    <n v="0"/>
    <s v="PayPal"/>
    <n v="9"/>
    <s v="No"/>
    <s v="Online"/>
    <s v="P1022"/>
    <s v="C0059"/>
    <s v="Online Fulfillment"/>
    <s v="Paypal"/>
    <n v="1"/>
    <s v="Lucas Chen"/>
    <s v="Vancouver"/>
    <s v="Corporate"/>
    <s v="Humidifier"/>
    <x v="2"/>
    <n v="239.67"/>
    <n v="832.56"/>
    <n v="0"/>
    <x v="520"/>
    <n v="479.34"/>
    <x v="519"/>
    <n v="0.42425771115595273"/>
    <n v="2025"/>
    <x v="6"/>
    <s v="décembre"/>
    <s v="Q4"/>
    <s v="British Columbia"/>
    <n v="0"/>
  </r>
  <r>
    <s v="ORD-2025-00522"/>
    <d v="2025-03-14T00:00:00"/>
    <s v="C0013"/>
    <s v="P1026"/>
    <s v="Amelia Martin, Quebec City, Small Business"/>
    <s v="Toronto Downtown"/>
    <s v="M. Wilson"/>
    <s v="Online"/>
    <n v="2"/>
    <n v="222.18"/>
    <n v="0.25"/>
    <s v="Credit Card"/>
    <n v="3"/>
    <s v="No"/>
    <s v="Online"/>
    <s v="P1026"/>
    <s v="C0013"/>
    <s v="Toronto Downtown"/>
    <s v="Credit Card"/>
    <n v="1"/>
    <s v="Amelia Martin"/>
    <s v="Quebec City"/>
    <s v="Small Business"/>
    <s v="Resistance Bands"/>
    <x v="0"/>
    <n v="139.19999999999999"/>
    <n v="444.36"/>
    <n v="111.09"/>
    <x v="521"/>
    <n v="278.39999999999998"/>
    <x v="431"/>
    <n v="0.16464128184355029"/>
    <n v="2025"/>
    <x v="4"/>
    <s v="mars"/>
    <s v="Q1"/>
    <s v="Quebec"/>
    <n v="0"/>
  </r>
  <r>
    <s v="ORD-2025-00523"/>
    <d v="2025-11-19T00:00:00"/>
    <s v="C0037"/>
    <s v="P1006"/>
    <s v="Lucas Scott, Victoria, Small Business"/>
    <s v="Montreal Central"/>
    <s v="S. Patel"/>
    <s v="Online"/>
    <n v="1"/>
    <n v="106.25"/>
    <n v="0.05"/>
    <s v="Debit  Card"/>
    <n v="3"/>
    <s v="No"/>
    <s v="Online"/>
    <s v="P1006"/>
    <s v="C0037"/>
    <s v="Montreal Central"/>
    <s v="Debit Card"/>
    <n v="1"/>
    <s v="Lucas Scott"/>
    <s v="Victoria"/>
    <s v="Small Business"/>
    <s v="USB-C Hub"/>
    <x v="4"/>
    <n v="72"/>
    <n v="106.25"/>
    <n v="5.3125"/>
    <x v="522"/>
    <n v="72"/>
    <x v="520"/>
    <n v="0.286687306501548"/>
    <n v="2025"/>
    <x v="8"/>
    <s v="novembre"/>
    <s v="Q4"/>
    <s v="British Columbia"/>
    <n v="0"/>
  </r>
  <r>
    <s v="ORD-2025-00524"/>
    <d v="2025-11-19T00:00:00"/>
    <s v="C0084"/>
    <s v="P1040"/>
    <s v="Ryan Clark, Montreal, Corporate"/>
    <s v="Toronto Downtown"/>
    <s v="A. Morgan"/>
    <s v="Retail Store"/>
    <n v="2"/>
    <n v="298.18"/>
    <n v="0"/>
    <s v="PayPal"/>
    <n v="1"/>
    <s v="No"/>
    <s v="Retail Store"/>
    <s v="P1040"/>
    <s v="C0084"/>
    <s v="Toronto Downtown"/>
    <s v="Paypal"/>
    <n v="1"/>
    <s v="Ryan Clark"/>
    <s v="Montreal"/>
    <s v="Corporate"/>
    <s v="Desk Pad"/>
    <x v="1"/>
    <n v="177.57"/>
    <n v="596.36"/>
    <n v="0"/>
    <x v="523"/>
    <n v="355.14"/>
    <x v="521"/>
    <n v="0.40448722248306396"/>
    <n v="2025"/>
    <x v="8"/>
    <s v="novembre"/>
    <s v="Q4"/>
    <s v="Quebec"/>
    <n v="0"/>
  </r>
  <r>
    <s v="ORD-2025-00525"/>
    <d v="2025-05-09T00:00:00"/>
    <s v="C0089"/>
    <s v="P1036"/>
    <s v="Lucas Martin, Vancouver, Consumer"/>
    <s v="Calgary North"/>
    <s v="L. Chen"/>
    <s v="Retail Store"/>
    <n v="3"/>
    <n v="162.79"/>
    <n v="0.05"/>
    <s v="PayPal"/>
    <n v="0"/>
    <s v="No"/>
    <s v="Retail Store"/>
    <s v="P1036"/>
    <s v="C0089"/>
    <s v="Calgary North"/>
    <s v="Paypal"/>
    <n v="1"/>
    <s v="Lucas Martin"/>
    <s v="Vancouver"/>
    <s v="Consumer"/>
    <s v="Power Bank"/>
    <x v="1"/>
    <n v="76.97"/>
    <n v="488.37"/>
    <n v="24.418500000000002"/>
    <x v="524"/>
    <n v="230.91"/>
    <x v="522"/>
    <n v="0.50229711510793695"/>
    <n v="2025"/>
    <x v="1"/>
    <s v="mai"/>
    <s v="Q2"/>
    <s v="British Columbia"/>
    <n v="0"/>
  </r>
  <r>
    <s v="ORD-2025-00526"/>
    <d v="2025-03-07T00:00:00"/>
    <s v="C0076"/>
    <s v="P1025"/>
    <s v="Maya Taylor, Saskatoon, Corporate"/>
    <s v="Toronto Downtown"/>
    <s v="L. Chen"/>
    <s v="Marketplace"/>
    <n v="1"/>
    <n v="318.27"/>
    <n v="0"/>
    <s v="Debit Card"/>
    <n v="7"/>
    <s v="No"/>
    <s v="Marketplace"/>
    <s v="P1025"/>
    <s v="C0076"/>
    <s v="Toronto Downtown"/>
    <s v="Debit Card"/>
    <n v="1"/>
    <s v="Maya Taylor"/>
    <s v="Saskatoon"/>
    <s v="Corporate"/>
    <s v="Yoga Mat"/>
    <x v="0"/>
    <n v="197.33"/>
    <n v="318.27"/>
    <n v="0"/>
    <x v="525"/>
    <n v="197.33"/>
    <x v="523"/>
    <n v="0.37999183083545413"/>
    <n v="2025"/>
    <x v="4"/>
    <s v="mars"/>
    <s v="Q1"/>
    <s v="Saskatchewan"/>
    <n v="0"/>
  </r>
  <r>
    <s v="ORD-2025-00527"/>
    <d v="2025-06-10T00:00:00"/>
    <s v="C0093"/>
    <s v="P1029"/>
    <s v="Ethan Roy, Winnipeg, Consumer"/>
    <s v="Calgary North"/>
    <s v="E. Roy"/>
    <s v="Retail Store"/>
    <n v="1"/>
    <n v="207.24"/>
    <n v="0.15"/>
    <s v="PayPal"/>
    <n v="3"/>
    <s v="No"/>
    <s v="Retail Store"/>
    <s v="P1029"/>
    <s v="C0093"/>
    <s v="Calgary North"/>
    <s v="Paypal"/>
    <n v="1"/>
    <s v="Ethan Roy"/>
    <s v="Winnipeg"/>
    <s v="Consumer"/>
    <s v="Jump Rope"/>
    <x v="0"/>
    <n v="101"/>
    <n v="207.24"/>
    <n v="31.085999999999999"/>
    <x v="526"/>
    <n v="101"/>
    <x v="524"/>
    <n v="0.42663805533794291"/>
    <n v="2025"/>
    <x v="5"/>
    <s v="juin"/>
    <s v="Q2"/>
    <s v="Manitoba"/>
    <n v="0"/>
  </r>
  <r>
    <s v="ORD-2025-00528"/>
    <d v="2025-08-17T00:00:00"/>
    <s v="C0113"/>
    <s v="P1013"/>
    <s v="Olivia Johnson, Surrey, Consumer"/>
    <s v="Online Fulfillment"/>
    <s v="N. Brown"/>
    <s v="Marketplace"/>
    <n v="2"/>
    <n v="117.72"/>
    <n v="0.05"/>
    <s v="Credit Card"/>
    <n v="5"/>
    <s v="No"/>
    <s v="Marketplace"/>
    <s v="P1013"/>
    <s v="C0113"/>
    <s v="Online Fulfillment"/>
    <s v="Credit Card"/>
    <n v="1"/>
    <s v="Olivia Johnson"/>
    <s v="Surrey"/>
    <s v="Consumer"/>
    <s v="Whiteboard"/>
    <x v="3"/>
    <n v="85.73"/>
    <n v="235.44"/>
    <n v="11.772"/>
    <x v="527"/>
    <n v="171.46"/>
    <x v="525"/>
    <n v="0.23341738648353808"/>
    <n v="2025"/>
    <x v="7"/>
    <s v="août"/>
    <s v="Q3"/>
    <s v="British Columbia"/>
    <n v="0"/>
  </r>
  <r>
    <s v="ORD-2025-00529"/>
    <d v="2025-07-25T00:00:00"/>
    <s v="C0042"/>
    <s v="P1021"/>
    <s v="Emma King, Quebec City, Consumer"/>
    <s v="Montreal Central"/>
    <s v="R. Singh"/>
    <s v="Online"/>
    <n v="1"/>
    <n v="314.3"/>
    <n v="0.05"/>
    <s v="Credit Card"/>
    <n v="3"/>
    <s v="No"/>
    <s v="Online"/>
    <s v="P1021"/>
    <s v="C0042"/>
    <s v="Montreal Central"/>
    <s v="Credit Card"/>
    <n v="1"/>
    <s v="Emma King"/>
    <s v="Quebec City"/>
    <s v="Consumer"/>
    <s v="Kettle"/>
    <x v="2"/>
    <n v="139.86000000000001"/>
    <n v="314.3"/>
    <n v="15.715000000000002"/>
    <x v="528"/>
    <n v="139.86000000000001"/>
    <x v="526"/>
    <n v="0.53159066932364318"/>
    <n v="2025"/>
    <x v="10"/>
    <s v="juillet"/>
    <s v="Q3"/>
    <s v="Quebec"/>
    <n v="0"/>
  </r>
  <r>
    <s v="ORD-2025-00530"/>
    <d v="2025-01-05T00:00:00"/>
    <s v="C0042"/>
    <s v="P1015"/>
    <s v="Emma King, Quebec City, Consumer"/>
    <s v="Montreal Central"/>
    <s v="E. Roy"/>
    <s v="Online"/>
    <n v="1"/>
    <n v="400.01"/>
    <n v="0"/>
    <s v="Credit Card"/>
    <n v="6"/>
    <s v="No"/>
    <s v="Online"/>
    <s v="P1015"/>
    <s v="C0042"/>
    <s v="Montreal Central"/>
    <s v="Credit Card"/>
    <n v="1"/>
    <s v="Emma King"/>
    <s v="Quebec City"/>
    <s v="Consumer"/>
    <s v="Desk Organizer"/>
    <x v="3"/>
    <n v="235.76"/>
    <n v="400.01"/>
    <n v="0"/>
    <x v="529"/>
    <n v="235.76"/>
    <x v="527"/>
    <n v="0.41061473463163423"/>
    <n v="2025"/>
    <x v="3"/>
    <s v="janvier"/>
    <s v="Q1"/>
    <s v="Quebec"/>
    <n v="0"/>
  </r>
  <r>
    <s v="ORD-2025-00531"/>
    <d v="2025-09-02T00:00:00"/>
    <s v="C0112"/>
    <s v="P1036"/>
    <s v="Ava Bennett, Halifax, Consumer"/>
    <s v="Toronto Downtown"/>
    <s v="A. Morgan"/>
    <s v="Online"/>
    <n v="1"/>
    <n v="166.49"/>
    <n v="0.1"/>
    <s v="Credit Card"/>
    <n v="4"/>
    <s v="No"/>
    <s v="Online"/>
    <s v="P1036"/>
    <s v="C0112"/>
    <s v="Toronto Downtown"/>
    <s v="Credit Card"/>
    <n v="1"/>
    <s v="Ava Bennett"/>
    <s v="Halifax"/>
    <s v="Consumer"/>
    <s v="Power Bank"/>
    <x v="1"/>
    <n v="76.97"/>
    <n v="166.49"/>
    <n v="16.649000000000001"/>
    <x v="530"/>
    <n v="76.97"/>
    <x v="528"/>
    <n v="0.48632216816492152"/>
    <n v="2025"/>
    <x v="0"/>
    <s v="septembre"/>
    <s v="Q3"/>
    <s v="Nova Scotia"/>
    <n v="0"/>
  </r>
  <r>
    <s v="ORD-2025-00532"/>
    <d v="2025-12-07T00:00:00"/>
    <s v="C0051"/>
    <s v="P1015"/>
    <s v="Daniel Brown, Vancouver, Small Business"/>
    <s v="Calgary North"/>
    <s v="R. Singh"/>
    <s v="Online"/>
    <n v="1"/>
    <n v="358.44"/>
    <n v="0.05"/>
    <s v="Debit Card"/>
    <n v="6"/>
    <s v="No"/>
    <s v="Online"/>
    <s v="P1015"/>
    <s v="C0051"/>
    <s v="Calgary North"/>
    <s v="Debit Card"/>
    <n v="1"/>
    <s v="Daniel Brown"/>
    <s v="Vancouver"/>
    <s v="Small Business"/>
    <s v="Desk Organizer"/>
    <x v="3"/>
    <n v="235.76"/>
    <n v="358.44"/>
    <n v="17.922000000000001"/>
    <x v="531"/>
    <n v="235.76"/>
    <x v="529"/>
    <n v="0.30764306145343268"/>
    <n v="2025"/>
    <x v="6"/>
    <s v="décembre"/>
    <s v="Q4"/>
    <s v="British Columbia"/>
    <n v="0"/>
  </r>
  <r>
    <s v="ORD-2025-00533"/>
    <d v="2025-06-29T00:00:00"/>
    <s v="C0083"/>
    <s v="P1002"/>
    <s v="Amine King, Edmonton, Consumer"/>
    <s v="Calgary North"/>
    <s v="N. Brown"/>
    <s v="Online"/>
    <n v="3"/>
    <n v="39.380000000000003"/>
    <n v="0.15"/>
    <s v="Debit Card"/>
    <n v="2"/>
    <s v="No"/>
    <s v="Online"/>
    <s v="P1002"/>
    <s v="C0083"/>
    <s v="Calgary North"/>
    <s v="Debit Card"/>
    <n v="1"/>
    <s v="Amine King"/>
    <s v="Edmonton"/>
    <s v="Consumer"/>
    <s v="Keyboard"/>
    <x v="4"/>
    <n v="23.5"/>
    <n v="118.14000000000001"/>
    <n v="17.721"/>
    <x v="532"/>
    <n v="70.5"/>
    <x v="530"/>
    <n v="0.29794162459295559"/>
    <n v="2025"/>
    <x v="5"/>
    <s v="juin"/>
    <s v="Q2"/>
    <s v="Alberta"/>
    <n v="0"/>
  </r>
  <r>
    <s v="ORD-2025-00534"/>
    <d v="2025-05-29T00:00:00"/>
    <s v="C0004"/>
    <s v="P1002"/>
    <s v="Mia Bennett, Laval, Consumer"/>
    <s v="Toronto Downtown"/>
    <s v="A. Morgan"/>
    <s v="Online"/>
    <n v="3"/>
    <n v="38.880000000000003"/>
    <n v="0"/>
    <s v="PayPal"/>
    <n v="7"/>
    <s v="No"/>
    <s v="Online"/>
    <s v="P1002"/>
    <s v="C0004"/>
    <s v="Toronto Downtown"/>
    <s v="Paypal"/>
    <n v="1"/>
    <s v="Mia Bennett"/>
    <s v="Laval"/>
    <s v="Consumer"/>
    <s v="Keyboard"/>
    <x v="4"/>
    <n v="23.5"/>
    <n v="116.64000000000001"/>
    <n v="0"/>
    <x v="533"/>
    <n v="70.5"/>
    <x v="531"/>
    <n v="0.39557613168724287"/>
    <n v="2025"/>
    <x v="1"/>
    <s v="mai"/>
    <s v="Q2"/>
    <s v="Quebec"/>
    <n v="0"/>
  </r>
  <r>
    <s v="ORD-2025-00535"/>
    <d v="2025-11-09T00:00:00"/>
    <s v="C0034"/>
    <s v="P1009"/>
    <s v="Noah Tremblay, Toronto, Corporate"/>
    <s v="Online  Fulfillment"/>
    <s v="J. Tremblay"/>
    <s v="Retail Store"/>
    <n v="3"/>
    <n v="299.64"/>
    <n v="0"/>
    <s v="Credit Card"/>
    <n v="3"/>
    <s v="No"/>
    <s v="Retail Store"/>
    <s v="P1009"/>
    <s v="C0034"/>
    <s v="Online Fulfillment"/>
    <s v="Credit Card"/>
    <n v="1"/>
    <s v="Noah Tremblay"/>
    <s v="Toronto"/>
    <s v="Corporate"/>
    <s v="Notebook"/>
    <x v="3"/>
    <n v="176.13"/>
    <n v="898.92"/>
    <n v="0"/>
    <x v="534"/>
    <n v="528.39"/>
    <x v="532"/>
    <n v="0.41219463356027231"/>
    <n v="2025"/>
    <x v="8"/>
    <s v="novembre"/>
    <s v="Q4"/>
    <s v="Ontario"/>
    <n v="0"/>
  </r>
  <r>
    <s v="ORD-2025-00536"/>
    <d v="2025-01-12T00:00:00"/>
    <s v="C0051"/>
    <s v="P1037"/>
    <s v="Daniel Brown, Vancouver, Small Business"/>
    <s v="Vancouver West"/>
    <s v="J. Tremblay"/>
    <s v="Online"/>
    <n v="2"/>
    <n v="370.98"/>
    <n v="0.15"/>
    <s v="Credit Card"/>
    <n v="5"/>
    <s v="No"/>
    <s v="Online"/>
    <s v="P1037"/>
    <s v="C0051"/>
    <s v="Vancouver West"/>
    <s v="Credit Card"/>
    <n v="1"/>
    <s v="Daniel Brown"/>
    <s v="Vancouver"/>
    <s v="Small Business"/>
    <s v="Cable Set"/>
    <x v="1"/>
    <n v="200.16"/>
    <n v="741.96"/>
    <n v="111.294"/>
    <x v="535"/>
    <n v="400.32"/>
    <x v="533"/>
    <n v="0.36524245797300003"/>
    <n v="2025"/>
    <x v="3"/>
    <s v="janvier"/>
    <s v="Q1"/>
    <s v="British Columbia"/>
    <n v="0"/>
  </r>
  <r>
    <s v="ORD-2025-00537"/>
    <d v="2025-02-05T00:00:00"/>
    <s v="C0112"/>
    <s v="P1027"/>
    <s v="Ava Bennett , Halifax , Consumer"/>
    <s v="Online Fulfillment"/>
    <s v="E. Roy"/>
    <s v="Marketplace"/>
    <n v="2"/>
    <n v="56.24"/>
    <n v="0"/>
    <s v="Debit Card"/>
    <n v="3"/>
    <s v="No"/>
    <s v="Marketplace"/>
    <s v="P1027"/>
    <s v="C0112"/>
    <s v="Online Fulfillment"/>
    <s v="Debit Card"/>
    <n v="1"/>
    <s v="Ava Bennett"/>
    <s v="Halifax"/>
    <s v="Consumer"/>
    <s v="Kettlebell"/>
    <x v="0"/>
    <n v="25.97"/>
    <n v="112.48"/>
    <n v="0"/>
    <x v="536"/>
    <n v="51.94"/>
    <x v="534"/>
    <n v="0.53822901849217641"/>
    <n v="2025"/>
    <x v="2"/>
    <s v="février"/>
    <s v="Q1"/>
    <s v="Nova Scotia"/>
    <n v="0"/>
  </r>
  <r>
    <s v="ORD-2025-00538"/>
    <d v="2025-03-06T00:00:00"/>
    <s v="C0032"/>
    <s v="P1008"/>
    <s v="Nora Bennett, Surrey, Consumer"/>
    <s v="Online Fulfillment"/>
    <s v="N. Brown"/>
    <s v="Online"/>
    <n v="2"/>
    <n v="136.83000000000001"/>
    <n v="0.15"/>
    <s v="PayPal"/>
    <n v="3"/>
    <s v="No"/>
    <s v="Online"/>
    <s v="P1008"/>
    <s v="C0032"/>
    <s v="Online Fulfillment"/>
    <s v="Paypal"/>
    <n v="1"/>
    <s v="Nora Bennett"/>
    <s v="Surrey"/>
    <s v="Consumer"/>
    <s v="Smart Speaker"/>
    <x v="4"/>
    <n v="69"/>
    <n v="273.66000000000003"/>
    <n v="41.048999999999999"/>
    <x v="537"/>
    <n v="138"/>
    <x v="535"/>
    <n v="0.406734849168784"/>
    <n v="2025"/>
    <x v="4"/>
    <s v="mars"/>
    <s v="Q1"/>
    <s v="British Columbia"/>
    <n v="0"/>
  </r>
  <r>
    <s v="ORD-2025-00539"/>
    <d v="2025-03-05T00:00:00"/>
    <s v="C0057"/>
    <s v="P1012"/>
    <s v="Adam Khan , Edmonton , Small Business"/>
    <s v="Vancouver West"/>
    <s v="J. Tremblay"/>
    <s v="Online"/>
    <n v="1"/>
    <n v="82.59"/>
    <n v="0.2"/>
    <s v="PayPal"/>
    <n v="6"/>
    <s v="No"/>
    <s v="Online"/>
    <s v="P1012"/>
    <s v="C0057"/>
    <s v="Vancouver West"/>
    <s v="Paypal"/>
    <n v="1"/>
    <s v="Adam Khan"/>
    <s v="Edmonton"/>
    <s v="Small Business"/>
    <s v="Standing Desk"/>
    <x v="3"/>
    <n v="45.17"/>
    <n v="82.59"/>
    <n v="16.518000000000001"/>
    <x v="538"/>
    <n v="45.17"/>
    <x v="536"/>
    <n v="0.31635185857852038"/>
    <n v="2025"/>
    <x v="4"/>
    <s v="mars"/>
    <s v="Q1"/>
    <s v="Alberta"/>
    <n v="0"/>
  </r>
  <r>
    <s v="ORD-2025-00540"/>
    <d v="2025-09-28T00:00:00"/>
    <s v="C0084"/>
    <s v="P1012"/>
    <s v="Ryan Clark, Montreal, Corporate"/>
    <s v="Calgary North"/>
    <s v="S. Patel"/>
    <s v="Online"/>
    <n v="2"/>
    <n v="82.4"/>
    <n v="0.05"/>
    <s v="Credit Card"/>
    <n v="7"/>
    <s v="No"/>
    <s v="Online"/>
    <s v="P1012"/>
    <s v="C0084"/>
    <s v="Calgary North"/>
    <s v="Credit Card"/>
    <n v="1"/>
    <s v="Ryan Clark"/>
    <s v="Montreal"/>
    <s v="Corporate"/>
    <s v="Standing Desk"/>
    <x v="3"/>
    <n v="45.17"/>
    <n v="164.8"/>
    <n v="8.24"/>
    <x v="539"/>
    <n v="90.34"/>
    <x v="537"/>
    <n v="0.42296882984159428"/>
    <n v="2025"/>
    <x v="0"/>
    <s v="septembre"/>
    <s v="Q3"/>
    <s v="Quebec"/>
    <n v="0"/>
  </r>
  <r>
    <s v="ORD-2025-00541"/>
    <d v="2025-04-26T00:00:00"/>
    <s v="C0013"/>
    <s v="P1029"/>
    <s v="Amelia Martin, Quebec City, Small Business"/>
    <s v="Toronto Downtown"/>
    <s v="L. Chen"/>
    <s v="Marketplace"/>
    <n v="1"/>
    <n v="191.25"/>
    <n v="0"/>
    <s v="Debit Card"/>
    <n v="1"/>
    <s v="No"/>
    <s v="Marketplace"/>
    <s v="P1029"/>
    <s v="C0013"/>
    <s v="Toronto Downtown"/>
    <s v="Debit Card"/>
    <n v="1"/>
    <s v="Amelia Martin"/>
    <s v="Quebec City"/>
    <s v="Small Business"/>
    <s v="Jump Rope"/>
    <x v="0"/>
    <n v="101"/>
    <n v="191.25"/>
    <n v="0"/>
    <x v="540"/>
    <n v="101"/>
    <x v="538"/>
    <n v="0.4718954248366013"/>
    <n v="2025"/>
    <x v="9"/>
    <s v="avril"/>
    <s v="Q2"/>
    <s v="Quebec"/>
    <n v="0"/>
  </r>
  <r>
    <s v="ORD-2025-00542"/>
    <d v="2025-05-30T00:00:00"/>
    <s v="C0111"/>
    <s v="P1031"/>
    <s v="Noah Khan, Halifax, Consumer"/>
    <s v="Vancouver West"/>
    <s v="J. Tremblay"/>
    <s v="Marketplace"/>
    <n v="1"/>
    <n v="257.38"/>
    <n v="0.05"/>
    <s v="PayPal"/>
    <n v="6"/>
    <s v="No"/>
    <s v="Marketplace"/>
    <s v="P1031"/>
    <s v="C0111"/>
    <s v="Vancouver West"/>
    <s v="Paypal"/>
    <n v="1"/>
    <s v="Noah Khan"/>
    <s v="Halifax"/>
    <s v="Consumer"/>
    <s v="Dumbbell Set"/>
    <x v="0"/>
    <n v="131.72999999999999"/>
    <n v="257.38"/>
    <n v="12.869"/>
    <x v="541"/>
    <n v="131.72999999999999"/>
    <x v="539"/>
    <n v="0.46125123205090979"/>
    <n v="2025"/>
    <x v="1"/>
    <s v="mai"/>
    <s v="Q2"/>
    <s v="Nova Scotia"/>
    <n v="0"/>
  </r>
  <r>
    <s v="ORD-2025-00543"/>
    <d v="2025-06-20T00:00:00"/>
    <s v="C0044"/>
    <s v="P1013"/>
    <s v="Nora Young , Vancouver , Corporate"/>
    <s v="Calgary North"/>
    <s v="J. Tremblay"/>
    <s v="Online"/>
    <n v="1"/>
    <n v="124.54"/>
    <n v="0.05"/>
    <s v="Debit Card"/>
    <n v="4"/>
    <s v="No"/>
    <s v="Online"/>
    <s v="P1013"/>
    <s v="C0044"/>
    <s v="Calgary North"/>
    <s v="Debit Card"/>
    <n v="1"/>
    <s v="Nora Young"/>
    <s v="Vancouver"/>
    <s v="Corporate"/>
    <s v="Whiteboard"/>
    <x v="3"/>
    <n v="85.73"/>
    <n v="124.54"/>
    <n v="6.2270000000000003"/>
    <x v="542"/>
    <n v="85.73"/>
    <x v="540"/>
    <n v="0.27539661744694155"/>
    <n v="2025"/>
    <x v="5"/>
    <s v="juin"/>
    <s v="Q2"/>
    <s v="British Columbia"/>
    <n v="0"/>
  </r>
  <r>
    <s v="ORD-2025-00544"/>
    <d v="2025-09-02T00:00:00"/>
    <s v="C0026"/>
    <s v="P1036"/>
    <s v="Adam Hall, Surrey, Corporate"/>
    <s v="Toronto Downtown"/>
    <s v="M. Wilson"/>
    <s v="Online"/>
    <n v="4"/>
    <n v="153.62"/>
    <n v="0"/>
    <s v="Debit Card"/>
    <n v="3"/>
    <s v="No"/>
    <s v="Online"/>
    <s v="P1036"/>
    <s v="C0026"/>
    <s v="Toronto Downtown"/>
    <s v="Debit Card"/>
    <n v="1"/>
    <s v="Adam Hall"/>
    <s v="Surrey"/>
    <s v="Corporate"/>
    <s v="Power Bank"/>
    <x v="1"/>
    <n v="76.97"/>
    <n v="614.48"/>
    <n v="0"/>
    <x v="543"/>
    <n v="307.88"/>
    <x v="541"/>
    <n v="0.49895846894935558"/>
    <n v="2025"/>
    <x v="0"/>
    <s v="septembre"/>
    <s v="Q3"/>
    <s v="British Columbia"/>
    <n v="0"/>
  </r>
  <r>
    <s v="ORD-2025-00545"/>
    <d v="2025-01-23T00:00:00"/>
    <s v="C0079"/>
    <s v="P1006"/>
    <s v="Sophia Scott, Ottawa, Consumer"/>
    <s v="Toronto Downtown"/>
    <s v="A. Morgan"/>
    <s v="Marketplace"/>
    <n v="1"/>
    <n v="100.86"/>
    <n v="0.15"/>
    <s v="Debit Card"/>
    <n v="5"/>
    <s v="No"/>
    <s v="Marketplace"/>
    <s v="P1006"/>
    <s v="C0079"/>
    <s v="Toronto Downtown"/>
    <s v="Debit Card"/>
    <n v="1"/>
    <s v="Sophia Scott"/>
    <s v="Ottawa"/>
    <s v="Consumer"/>
    <s v="USB-C Hub"/>
    <x v="4"/>
    <n v="72"/>
    <n v="100.86"/>
    <n v="15.129"/>
    <x v="544"/>
    <n v="72"/>
    <x v="542"/>
    <n v="0.16016376806522722"/>
    <n v="2025"/>
    <x v="3"/>
    <s v="janvier"/>
    <s v="Q1"/>
    <s v="Ontario"/>
    <n v="0"/>
  </r>
  <r>
    <s v="ORD-2025-00546"/>
    <d v="2025-05-03T00:00:00"/>
    <s v="C0116"/>
    <s v="P1019"/>
    <s v="Lucas Brown, Mississauga, Corporate"/>
    <s v="Montreal Central"/>
    <s v="N. Brown"/>
    <s v="Marketplace"/>
    <n v="1"/>
    <n v="263.81"/>
    <n v="0"/>
    <s v="Credit Card"/>
    <n v="7"/>
    <s v="No"/>
    <s v="Marketplace"/>
    <s v="P1019"/>
    <s v="C0116"/>
    <s v="Montreal Central"/>
    <s v="Credit Card"/>
    <n v="1"/>
    <s v="Lucas Brown"/>
    <s v="Mississauga"/>
    <s v="Corporate"/>
    <s v="Vacuum"/>
    <x v="2"/>
    <n v="186.94"/>
    <n v="263.81"/>
    <n v="0"/>
    <x v="545"/>
    <n v="186.94"/>
    <x v="543"/>
    <n v="0.29138395057048633"/>
    <n v="2025"/>
    <x v="1"/>
    <s v="mai"/>
    <s v="Q2"/>
    <s v="Ontario"/>
    <n v="0"/>
  </r>
  <r>
    <s v="ORD-2025-00547"/>
    <d v="2025-09-26T00:00:00"/>
    <s v="C0107"/>
    <s v="P1040"/>
    <s v="Ava Lee, Calgary, Small Business"/>
    <s v="Online Fulfillment"/>
    <s v="S. Patel"/>
    <s v="Online"/>
    <n v="3"/>
    <n v="291.04000000000002"/>
    <n v="0.1"/>
    <s v="Debit  Card"/>
    <n v="9"/>
    <s v="No"/>
    <s v="Online"/>
    <s v="P1040"/>
    <s v="C0107"/>
    <s v="Online Fulfillment"/>
    <s v="Debit Card"/>
    <n v="1"/>
    <s v="Ava Lee"/>
    <s v="Calgary"/>
    <s v="Small Business"/>
    <s v="Desk Pad"/>
    <x v="1"/>
    <n v="177.57"/>
    <n v="873.12000000000012"/>
    <n v="87.312000000000012"/>
    <x v="546"/>
    <n v="532.71"/>
    <x v="544"/>
    <n v="0.32208631115997804"/>
    <n v="2025"/>
    <x v="0"/>
    <s v="septembre"/>
    <s v="Q3"/>
    <s v="Alberta"/>
    <n v="0"/>
  </r>
  <r>
    <s v="ORD-2025-00548"/>
    <d v="2025-06-16T00:00:00"/>
    <s v="C0118"/>
    <s v="P1002"/>
    <s v="Ryan Smith, Victoria, Small Business"/>
    <s v="Toronto Downtown"/>
    <s v="A. Morgan"/>
    <s v="Marketplace"/>
    <n v="1"/>
    <n v="36.26"/>
    <n v="0.05"/>
    <s v="Debit Card"/>
    <n v="1"/>
    <s v="Yes"/>
    <s v="Marketplace"/>
    <s v="P1002"/>
    <s v="C0118"/>
    <s v="Toronto Downtown"/>
    <s v="Debit Card"/>
    <n v="1"/>
    <s v="Ryan Smith"/>
    <s v="Victoria"/>
    <s v="Small Business"/>
    <s v="Keyboard"/>
    <x v="4"/>
    <n v="23.5"/>
    <n v="36.26"/>
    <n v="1.8129999999999999"/>
    <x v="547"/>
    <n v="23.5"/>
    <x v="545"/>
    <n v="0.31779255087525754"/>
    <n v="2025"/>
    <x v="5"/>
    <s v="juin"/>
    <s v="Q2"/>
    <s v="British Columbia"/>
    <n v="1"/>
  </r>
  <r>
    <s v="ORD-2025-00549"/>
    <d v="2025-11-17T00:00:00"/>
    <s v="C0027"/>
    <s v="P1032"/>
    <s v="Nora Wilson, Toronto, Small Business"/>
    <s v="Online Fulfillment"/>
    <s v="A. Morgan"/>
    <s v="Online"/>
    <n v="3"/>
    <n v="206.48"/>
    <n v="0.2"/>
    <s v="Credit Card"/>
    <n v="1"/>
    <s v="No"/>
    <s v="Online"/>
    <s v="P1032"/>
    <s v="C0027"/>
    <s v="Online Fulfillment"/>
    <s v="Credit Card"/>
    <n v="1"/>
    <s v="Nora Wilson"/>
    <s v="Toronto"/>
    <s v="Small Business"/>
    <s v="Gym Bag"/>
    <x v="0"/>
    <n v="132.72"/>
    <n v="619.43999999999994"/>
    <n v="123.88799999999999"/>
    <x v="548"/>
    <n v="398.15999999999997"/>
    <x v="546"/>
    <n v="0.19653235180162729"/>
    <n v="2025"/>
    <x v="8"/>
    <s v="novembre"/>
    <s v="Q4"/>
    <s v="Ontario"/>
    <n v="0"/>
  </r>
  <r>
    <s v="ORD-2025-00550"/>
    <d v="2025-11-04T00:00:00"/>
    <s v="C0025"/>
    <s v="P1004"/>
    <s v="Emma Gagnon, Surrey, Corporate"/>
    <s v="Vancouver West"/>
    <s v="J. Tremblay"/>
    <s v="Online"/>
    <n v="1"/>
    <n v="291.87"/>
    <n v="0.05"/>
    <s v="Debit Card"/>
    <n v="9"/>
    <s v="No"/>
    <s v="Online"/>
    <s v="P1004"/>
    <s v="C0025"/>
    <s v="Vancouver West"/>
    <s v="Debit Card"/>
    <n v="1"/>
    <s v="Emma Gagnon"/>
    <s v="Surrey"/>
    <s v="Corporate"/>
    <s v="Webcam"/>
    <x v="4"/>
    <n v="154.72999999999999"/>
    <n v="291.87"/>
    <n v="14.593500000000001"/>
    <x v="549"/>
    <n v="154.72999999999999"/>
    <x v="547"/>
    <n v="0.44196496998483464"/>
    <n v="2025"/>
    <x v="8"/>
    <s v="novembre"/>
    <s v="Q4"/>
    <s v="British Columbia"/>
    <n v="0"/>
  </r>
  <r>
    <s v="ORD-2025-00551"/>
    <d v="2025-02-18T00:00:00"/>
    <s v="C0084"/>
    <s v="P1016"/>
    <s v="Ryan Clark, Montreal, Corporate"/>
    <s v="Online Fulfillment"/>
    <s v="N. Brown"/>
    <s v="Online"/>
    <n v="1"/>
    <n v="314.67"/>
    <n v="0"/>
    <s v="Credit Card"/>
    <n v="9"/>
    <s v="No"/>
    <s v="Online"/>
    <s v="P1016"/>
    <s v="C0084"/>
    <s v="Online Fulfillment"/>
    <s v="Credit Card"/>
    <n v="1"/>
    <s v="Ryan Clark"/>
    <s v="Montreal"/>
    <s v="Corporate"/>
    <s v="Printer"/>
    <x v="3"/>
    <n v="156.75"/>
    <n v="314.67"/>
    <n v="0"/>
    <x v="550"/>
    <n v="156.75"/>
    <x v="548"/>
    <n v="0.50185909047573651"/>
    <n v="2025"/>
    <x v="2"/>
    <s v="février"/>
    <s v="Q1"/>
    <s v="Quebec"/>
    <n v="0"/>
  </r>
  <r>
    <s v="ORD-2025-00552"/>
    <d v="2025-01-27T00:00:00"/>
    <s v="C0105"/>
    <s v="P1005"/>
    <s v="Liam Martin , Calgary , Consumer"/>
    <s v="Online Fulfillment"/>
    <s v="S. Patel"/>
    <s v="Marketplace"/>
    <n v="1"/>
    <n v="250.61"/>
    <n v="0"/>
    <s v="Debit Card"/>
    <n v="2"/>
    <s v="No"/>
    <s v="Marketplace"/>
    <s v="P1005"/>
    <s v="C0105"/>
    <s v="Online Fulfillment"/>
    <s v="Debit Card"/>
    <n v="1"/>
    <s v="Liam Martin"/>
    <s v="Calgary"/>
    <s v="Consumer"/>
    <s v="Portable SSD"/>
    <x v="4"/>
    <n v="131.19"/>
    <n v="250.61"/>
    <n v="0"/>
    <x v="551"/>
    <n v="131.19"/>
    <x v="549"/>
    <n v="0.4765172977933842"/>
    <n v="2025"/>
    <x v="3"/>
    <s v="janvier"/>
    <s v="Q1"/>
    <s v="Alberta"/>
    <n v="0"/>
  </r>
  <r>
    <s v="ORD-2025-00553"/>
    <d v="2025-08-22T00:00:00"/>
    <s v="C0078"/>
    <s v="P1033"/>
    <s v="Sarah Smith, Edmonton, Corporate"/>
    <s v="Toronto Downtown"/>
    <s v="L. Chen"/>
    <s v="Retail Store"/>
    <n v="2"/>
    <n v="318.20999999999998"/>
    <n v="0"/>
    <s v="Debit Card"/>
    <n v="3"/>
    <s v="No"/>
    <s v="Retail Store"/>
    <s v="P1033"/>
    <s v="C0078"/>
    <s v="Toronto Downtown"/>
    <s v="Debit Card"/>
    <n v="1"/>
    <s v="Sarah Smith"/>
    <s v="Edmonton"/>
    <s v="Corporate"/>
    <s v="Backpack"/>
    <x v="1"/>
    <n v="152.55000000000001"/>
    <n v="636.41999999999996"/>
    <n v="0"/>
    <x v="552"/>
    <n v="305.10000000000002"/>
    <x v="550"/>
    <n v="0.52059960403507111"/>
    <n v="2025"/>
    <x v="7"/>
    <s v="août"/>
    <s v="Q3"/>
    <s v="Alberta"/>
    <n v="0"/>
  </r>
  <r>
    <s v="ORD-2025-00554"/>
    <d v="2025-05-22T00:00:00"/>
    <s v="C0071"/>
    <s v="P1040"/>
    <s v="Ethan Lee, Surrey, Consumer"/>
    <s v="Online Fulfillment"/>
    <s v="R. Singh"/>
    <s v="Marketplace"/>
    <n v="5"/>
    <n v="323.45"/>
    <n v="0.05"/>
    <s v="Credit Card"/>
    <n v="2"/>
    <s v="No"/>
    <s v="Marketplace"/>
    <s v="P1040"/>
    <s v="C0071"/>
    <s v="Online Fulfillment"/>
    <s v="Credit Card"/>
    <n v="1"/>
    <s v="Ethan Lee"/>
    <s v="Surrey"/>
    <s v="Consumer"/>
    <s v="Desk Pad"/>
    <x v="1"/>
    <n v="177.57"/>
    <n v="1617.25"/>
    <n v="80.862500000000011"/>
    <x v="553"/>
    <n v="887.84999999999991"/>
    <x v="551"/>
    <n v="0.42211844342654448"/>
    <n v="2025"/>
    <x v="1"/>
    <s v="mai"/>
    <s v="Q2"/>
    <s v="British Columbia"/>
    <n v="0"/>
  </r>
  <r>
    <s v="ORD-2025-00555"/>
    <d v="2025-08-13T00:00:00"/>
    <s v="C0058"/>
    <s v="P1017"/>
    <s v="Mia Singh, Laval, Consumer"/>
    <s v="Online Fulfillment"/>
    <s v="J. Tremblay"/>
    <s v="Online"/>
    <n v="1"/>
    <n v="368.38"/>
    <n v="0.15"/>
    <s v="Gift  Card"/>
    <n v="5"/>
    <s v="No"/>
    <s v="Online"/>
    <s v="P1017"/>
    <s v="C0058"/>
    <s v="Online Fulfillment"/>
    <s v="Gift Card"/>
    <n v="1"/>
    <s v="Mia Singh"/>
    <s v="Laval"/>
    <s v="Consumer"/>
    <s v="Coffee Maker"/>
    <x v="2"/>
    <n v="241.16"/>
    <n v="368.38"/>
    <n v="55.256999999999998"/>
    <x v="554"/>
    <n v="241.16"/>
    <x v="552"/>
    <n v="0.22982342402186998"/>
    <n v="2025"/>
    <x v="7"/>
    <s v="août"/>
    <s v="Q3"/>
    <s v="Quebec"/>
    <n v="0"/>
  </r>
  <r>
    <s v="ORD-2025-00556"/>
    <d v="2025-12-05T00:00:00"/>
    <s v="C0108"/>
    <s v="P1016"/>
    <s v="Noah Lee, Surrey, Consumer"/>
    <s v="Toronto Downtown"/>
    <s v="A. Morgan"/>
    <s v="Online"/>
    <n v="3"/>
    <n v="316.8"/>
    <n v="0.25"/>
    <s v="Credit Card"/>
    <n v="5"/>
    <s v="No"/>
    <s v="Online"/>
    <s v="P1016"/>
    <s v="C0108"/>
    <s v="Toronto Downtown"/>
    <s v="Credit Card"/>
    <n v="1"/>
    <s v="Noah Lee"/>
    <s v="Surrey"/>
    <s v="Consumer"/>
    <s v="Printer"/>
    <x v="3"/>
    <n v="156.75"/>
    <n v="950.40000000000009"/>
    <n v="237.60000000000002"/>
    <x v="555"/>
    <n v="470.25"/>
    <x v="553"/>
    <n v="0.34027777777777785"/>
    <n v="2025"/>
    <x v="6"/>
    <s v="décembre"/>
    <s v="Q4"/>
    <s v="British Columbia"/>
    <n v="0"/>
  </r>
  <r>
    <s v="ORD-2025-00557"/>
    <d v="2025-04-22T00:00:00"/>
    <s v="C0044"/>
    <s v="P1025"/>
    <s v="Nora Young, Vancouver, Corporate"/>
    <s v="Toronto Downtown"/>
    <s v="N. Brown"/>
    <s v="Marketplace"/>
    <n v="3"/>
    <n v="308.24"/>
    <n v="0.05"/>
    <s v="Debit Card"/>
    <n v="8"/>
    <s v="No"/>
    <s v="Marketplace"/>
    <s v="P1025"/>
    <s v="C0044"/>
    <s v="Toronto Downtown"/>
    <s v="Debit Card"/>
    <n v="1"/>
    <s v="Nora Young"/>
    <s v="Vancouver"/>
    <s v="Corporate"/>
    <s v="Yoga Mat"/>
    <x v="0"/>
    <n v="197.33"/>
    <n v="924.72"/>
    <n v="46.236000000000004"/>
    <x v="556"/>
    <n v="591.99"/>
    <x v="554"/>
    <n v="0.32612318494133075"/>
    <n v="2025"/>
    <x v="9"/>
    <s v="avril"/>
    <s v="Q2"/>
    <s v="British Columbia"/>
    <n v="0"/>
  </r>
  <r>
    <s v="ORD-2025-00558"/>
    <d v="2025-12-14T00:00:00"/>
    <s v="C0085"/>
    <s v="P1022"/>
    <s v="Yasmine Clark, Calgary, Consumer"/>
    <s v="Toronto Downtown"/>
    <s v="A. Morgan"/>
    <s v="Online"/>
    <n v="1"/>
    <n v="428.94"/>
    <n v="0"/>
    <s v="Credit Card"/>
    <n v="4"/>
    <s v="No"/>
    <s v="Online"/>
    <s v="P1022"/>
    <s v="C0085"/>
    <s v="Toronto Downtown"/>
    <s v="Credit Card"/>
    <n v="1"/>
    <s v="Yasmine Clark"/>
    <s v="Calgary"/>
    <s v="Consumer"/>
    <s v="Humidifier"/>
    <x v="2"/>
    <n v="239.67"/>
    <n v="428.94"/>
    <n v="0"/>
    <x v="557"/>
    <n v="239.67"/>
    <x v="555"/>
    <n v="0.44125052454888797"/>
    <n v="2025"/>
    <x v="6"/>
    <s v="décembre"/>
    <s v="Q4"/>
    <s v="Alberta"/>
    <n v="0"/>
  </r>
  <r>
    <s v="ORD-2025-00559"/>
    <d v="2025-03-11T00:00:00"/>
    <s v="C0118"/>
    <s v="P1012"/>
    <s v="Ryan Smith, Victoria, Small Business"/>
    <s v="Toronto Downtown"/>
    <s v="R. Singh"/>
    <s v="Marketplace"/>
    <n v="1"/>
    <n v="83.97"/>
    <n v="0.1"/>
    <s v="Credit Card"/>
    <n v="5"/>
    <s v="No"/>
    <s v="Marketplace"/>
    <s v="P1012"/>
    <s v="C0118"/>
    <s v="Toronto Downtown"/>
    <s v="Credit Card"/>
    <n v="1"/>
    <s v="Ryan Smith"/>
    <s v="Victoria"/>
    <s v="Small Business"/>
    <s v="Standing Desk"/>
    <x v="3"/>
    <n v="45.17"/>
    <n v="83.97"/>
    <n v="8.3970000000000002"/>
    <x v="558"/>
    <n v="45.17"/>
    <x v="556"/>
    <n v="0.40229976314292132"/>
    <n v="2025"/>
    <x v="4"/>
    <s v="mars"/>
    <s v="Q1"/>
    <s v="British Columbia"/>
    <n v="0"/>
  </r>
  <r>
    <s v="ORD-2025-00560"/>
    <d v="2025-09-09T00:00:00"/>
    <s v="C0088"/>
    <s v="P1038"/>
    <s v="Olivia Bennett, Vancouver, Small Business"/>
    <s v="Vancouver West"/>
    <s v="A. Morgan"/>
    <s v="Retail Store"/>
    <n v="2"/>
    <n v="260.72000000000003"/>
    <n v="0.05"/>
    <s v="Credit Card"/>
    <n v="4"/>
    <s v="Yes"/>
    <s v="Retail Store"/>
    <s v="P1038"/>
    <s v="C0088"/>
    <s v="Vancouver West"/>
    <s v="Credit Card"/>
    <n v="1"/>
    <s v="Olivia Bennett"/>
    <s v="Vancouver"/>
    <s v="Small Business"/>
    <s v="Water Bottle"/>
    <x v="1"/>
    <n v="119.16"/>
    <n v="521.44000000000005"/>
    <n v="26.072000000000003"/>
    <x v="559"/>
    <n v="238.32"/>
    <x v="557"/>
    <n v="0.51890311848968851"/>
    <n v="2025"/>
    <x v="0"/>
    <s v="septembre"/>
    <s v="Q3"/>
    <s v="British Columbia"/>
    <n v="1"/>
  </r>
  <r>
    <s v="ORD-2025-00561"/>
    <d v="2025-12-13T00:00:00"/>
    <s v="C0116"/>
    <s v="P1012"/>
    <s v="Lucas Brown , Mississauga , Corporate"/>
    <s v="Toronto Downtown"/>
    <s v="A. Morgan"/>
    <s v="Marketplace"/>
    <n v="3"/>
    <n v="81.14"/>
    <n v="0"/>
    <s v="PayPal"/>
    <n v="6"/>
    <s v="No"/>
    <s v="Marketplace"/>
    <s v="P1012"/>
    <s v="C0116"/>
    <s v="Toronto Downtown"/>
    <s v="Paypal"/>
    <n v="1"/>
    <s v="Lucas Brown"/>
    <s v="Mississauga"/>
    <s v="Corporate"/>
    <s v="Standing Desk"/>
    <x v="3"/>
    <n v="45.17"/>
    <n v="243.42000000000002"/>
    <n v="0"/>
    <x v="560"/>
    <n v="135.51"/>
    <x v="558"/>
    <n v="0.44330786295292096"/>
    <n v="2025"/>
    <x v="6"/>
    <s v="décembre"/>
    <s v="Q4"/>
    <s v="Ontario"/>
    <n v="0"/>
  </r>
  <r>
    <s v="ORD-2025-00562"/>
    <d v="2025-02-09T00:00:00"/>
    <s v="C0019"/>
    <s v="P1007"/>
    <s v="Lucas Taylor, Montreal, Small Business"/>
    <s v="Online Fulfillment"/>
    <s v="R. Singh"/>
    <s v="Online"/>
    <n v="2"/>
    <n v="367.23"/>
    <n v="0.05"/>
    <s v="PayPal"/>
    <n v="6"/>
    <s v="No"/>
    <s v="Online"/>
    <s v="P1007"/>
    <s v="C0019"/>
    <s v="Online Fulfillment"/>
    <s v="Paypal"/>
    <n v="1"/>
    <s v="Lucas Taylor"/>
    <s v="Montreal"/>
    <s v="Small Business"/>
    <s v="Monitor"/>
    <x v="4"/>
    <n v="224.47"/>
    <n v="734.46"/>
    <n v="36.723000000000006"/>
    <x v="561"/>
    <n v="448.94"/>
    <x v="559"/>
    <n v="0.35657704837209442"/>
    <n v="2025"/>
    <x v="2"/>
    <s v="février"/>
    <s v="Q1"/>
    <s v="Quebec"/>
    <n v="0"/>
  </r>
  <r>
    <s v="ORD-2025-00563"/>
    <d v="2025-12-09T00:00:00"/>
    <s v="C0107"/>
    <s v="P1035"/>
    <s v="Ava Lee, Calgary, Small Business"/>
    <s v="Toronto Downtown"/>
    <s v="L. Chen"/>
    <s v="Online"/>
    <n v="1"/>
    <n v="80.66"/>
    <n v="0.1"/>
    <s v="Credit Card"/>
    <n v="1"/>
    <s v="No"/>
    <s v="Online"/>
    <s v="P1035"/>
    <s v="C0107"/>
    <s v="Toronto Downtown"/>
    <s v="Credit Card"/>
    <n v="1"/>
    <s v="Ava Lee"/>
    <s v="Calgary"/>
    <s v="Small Business"/>
    <s v="Phone Stand"/>
    <x v="1"/>
    <n v="59.85"/>
    <n v="80.66"/>
    <n v="8.0660000000000007"/>
    <x v="562"/>
    <n v="59.85"/>
    <x v="560"/>
    <n v="0.17555169848747823"/>
    <n v="2025"/>
    <x v="6"/>
    <s v="décembre"/>
    <s v="Q4"/>
    <s v="Alberta"/>
    <n v="0"/>
  </r>
  <r>
    <s v="ORD-2025-00564"/>
    <d v="2025-07-20T00:00:00"/>
    <s v="C0038"/>
    <s v="P1025"/>
    <s v="Noah Brown, Montreal, Consumer"/>
    <s v="Montreal Central"/>
    <s v="L. Chen"/>
    <s v="Online"/>
    <n v="1"/>
    <n v="301.2"/>
    <n v="0"/>
    <s v="PayPal"/>
    <n v="1"/>
    <s v="No"/>
    <s v="Online"/>
    <s v="P1025"/>
    <s v="C0038"/>
    <s v="Montreal Central"/>
    <s v="Paypal"/>
    <n v="1"/>
    <s v="Noah Brown"/>
    <s v="Montreal"/>
    <s v="Consumer"/>
    <s v="Yoga Mat"/>
    <x v="0"/>
    <n v="197.33"/>
    <n v="301.2"/>
    <n v="0"/>
    <x v="563"/>
    <n v="197.33"/>
    <x v="561"/>
    <n v="0.34485391766268253"/>
    <n v="2025"/>
    <x v="10"/>
    <s v="juillet"/>
    <s v="Q3"/>
    <s v="Quebec"/>
    <n v="0"/>
  </r>
  <r>
    <s v="ORD-2025-00565"/>
    <d v="2025-03-06T00:00:00"/>
    <s v="C0062"/>
    <s v="P1037"/>
    <s v="Yasmine Scott, Toronto, Consumer"/>
    <s v="Calgary  North"/>
    <s v="M. Wilson"/>
    <s v="Online"/>
    <n v="1"/>
    <n v="348.97"/>
    <n v="0"/>
    <s v="Credit Card"/>
    <n v="5"/>
    <s v="No"/>
    <s v="Online"/>
    <s v="P1037"/>
    <s v="C0062"/>
    <s v="Calgary North"/>
    <s v="Credit Card"/>
    <n v="1"/>
    <s v="Yasmine Scott"/>
    <s v="Toronto"/>
    <s v="Consumer"/>
    <s v="Cable Set"/>
    <x v="1"/>
    <n v="200.16"/>
    <n v="348.97"/>
    <n v="0"/>
    <x v="564"/>
    <n v="200.16"/>
    <x v="562"/>
    <n v="0.42642634037309801"/>
    <n v="2025"/>
    <x v="4"/>
    <s v="mars"/>
    <s v="Q1"/>
    <s v="Ontario"/>
    <n v="0"/>
  </r>
  <r>
    <s v="ORD-2025-00566"/>
    <d v="2025-12-18T00:00:00"/>
    <s v="C0059"/>
    <s v="P1011"/>
    <s v="Lucas Chen, Vancouver, Corporate"/>
    <s v="Vancouver West"/>
    <s v="N. Brown"/>
    <s v="Marketplace"/>
    <n v="1"/>
    <n v="83.93"/>
    <n v="0.15"/>
    <s v="Credit Card"/>
    <n v="1"/>
    <s v="No"/>
    <s v="Marketplace"/>
    <s v="P1011"/>
    <s v="C0059"/>
    <s v="Vancouver West"/>
    <s v="Credit Card"/>
    <n v="1"/>
    <s v="Lucas Chen"/>
    <s v="Vancouver"/>
    <s v="Corporate"/>
    <s v="Office Chair"/>
    <x v="3"/>
    <n v="39.26"/>
    <n v="83.93"/>
    <n v="12.589500000000001"/>
    <x v="565"/>
    <n v="39.26"/>
    <x v="563"/>
    <n v="0.449681457236773"/>
    <n v="2025"/>
    <x v="6"/>
    <s v="décembre"/>
    <s v="Q4"/>
    <s v="British Columbia"/>
    <n v="0"/>
  </r>
  <r>
    <s v="ORD-2025-00567"/>
    <d v="2025-05-24T00:00:00"/>
    <s v="C0010"/>
    <s v="P1017"/>
    <s v="Ethan Martin , Victoria , Corporate"/>
    <s v="Toronto Downtown"/>
    <s v="J. Tremblay"/>
    <s v="Online"/>
    <n v="2"/>
    <n v="384"/>
    <n v="0"/>
    <s v="Debit Card"/>
    <n v="4"/>
    <s v="No"/>
    <s v="Online"/>
    <s v="P1017"/>
    <s v="C0010"/>
    <s v="Toronto Downtown"/>
    <s v="Debit Card"/>
    <n v="1"/>
    <s v="Ethan Martin"/>
    <s v="Victoria"/>
    <s v="Corporate"/>
    <s v="Coffee Maker"/>
    <x v="2"/>
    <n v="241.16"/>
    <n v="768"/>
    <n v="0"/>
    <x v="566"/>
    <n v="482.32"/>
    <x v="564"/>
    <n v="0.37197916666666669"/>
    <n v="2025"/>
    <x v="1"/>
    <s v="mai"/>
    <s v="Q2"/>
    <s v="British Columbia"/>
    <n v="0"/>
  </r>
  <r>
    <s v="ORD-2025-00568"/>
    <d v="2025-01-05T00:00:00"/>
    <s v="C0035"/>
    <s v="P1022"/>
    <s v="Amelia Scott, Edmonton, Small Business"/>
    <s v="Montreal Central"/>
    <s v="L. Chen"/>
    <s v="Marketplace"/>
    <n v="2"/>
    <n v="414.63"/>
    <n v="0.15"/>
    <s v="Credit Card"/>
    <n v="5"/>
    <s v="No"/>
    <s v="Marketplace"/>
    <s v="P1022"/>
    <s v="C0035"/>
    <s v="Montreal Central"/>
    <s v="Credit Card"/>
    <n v="1"/>
    <s v="Amelia Scott"/>
    <s v="Edmonton"/>
    <s v="Small Business"/>
    <s v="Humidifier"/>
    <x v="2"/>
    <n v="239.67"/>
    <n v="829.26"/>
    <n v="124.389"/>
    <x v="567"/>
    <n v="479.34"/>
    <x v="565"/>
    <n v="0.31996067365517949"/>
    <n v="2025"/>
    <x v="3"/>
    <s v="janvier"/>
    <s v="Q1"/>
    <s v="Alberta"/>
    <n v="0"/>
  </r>
  <r>
    <s v="ORD-2025-00569"/>
    <d v="2025-06-09T00:00:00"/>
    <s v="C0027"/>
    <s v="P1002"/>
    <s v="Nora Wilson, Toronto, Small Business"/>
    <s v="Online Fulfillment"/>
    <s v="A. Morgan"/>
    <s v="Online"/>
    <n v="3"/>
    <n v="39.950000000000003"/>
    <n v="0"/>
    <s v="Gift Card"/>
    <n v="8"/>
    <s v="No"/>
    <s v="Online"/>
    <s v="P1002"/>
    <s v="C0027"/>
    <s v="Online Fulfillment"/>
    <s v="Gift Card"/>
    <n v="1"/>
    <s v="Nora Wilson"/>
    <s v="Toronto"/>
    <s v="Small Business"/>
    <s v="Keyboard"/>
    <x v="4"/>
    <n v="23.5"/>
    <n v="119.85000000000001"/>
    <n v="0"/>
    <x v="568"/>
    <n v="70.5"/>
    <x v="566"/>
    <n v="0.41176470588235298"/>
    <n v="2025"/>
    <x v="5"/>
    <s v="juin"/>
    <s v="Q2"/>
    <s v="Ontario"/>
    <n v="0"/>
  </r>
  <r>
    <s v="ORD-2025-00570"/>
    <d v="2025-05-19T00:00:00"/>
    <s v="C0050"/>
    <s v="P1032"/>
    <s v="Sarah Singh, Mississauga, Consumer"/>
    <s v="Vancouver West"/>
    <s v="R. Singh"/>
    <s v="Retail Store"/>
    <n v="1"/>
    <n v="189.83"/>
    <n v="0.2"/>
    <s v="PayPal"/>
    <n v="3"/>
    <s v="No"/>
    <s v="Retail Store"/>
    <s v="P1032"/>
    <s v="C0050"/>
    <s v="Vancouver West"/>
    <s v="Paypal"/>
    <n v="1"/>
    <s v="Sarah Singh"/>
    <s v="Mississauga"/>
    <s v="Consumer"/>
    <s v="Gym Bag"/>
    <x v="0"/>
    <n v="132.72"/>
    <n v="189.83"/>
    <n v="37.966000000000001"/>
    <x v="569"/>
    <n v="132.72"/>
    <x v="567"/>
    <n v="0.12606015908971188"/>
    <n v="2025"/>
    <x v="1"/>
    <s v="mai"/>
    <s v="Q2"/>
    <s v="Ontario"/>
    <n v="0"/>
  </r>
  <r>
    <s v="ORD-2025-00571"/>
    <d v="2025-03-03T00:00:00"/>
    <s v="C0028"/>
    <s v="P1013"/>
    <s v="Mia Clark, Victoria, Consumer"/>
    <s v="Toronto Downtown"/>
    <s v="L. Chen"/>
    <s v="Online"/>
    <n v="3"/>
    <n v="119.26"/>
    <n v="0"/>
    <s v="Credit Card"/>
    <n v="2"/>
    <s v="No"/>
    <s v="Online"/>
    <s v="P1013"/>
    <s v="C0028"/>
    <s v="Toronto Downtown"/>
    <s v="Credit Card"/>
    <n v="1"/>
    <s v="Mia Clark"/>
    <s v="Victoria"/>
    <s v="Consumer"/>
    <s v="Whiteboard"/>
    <x v="3"/>
    <n v="85.73"/>
    <n v="357.78000000000003"/>
    <n v="0"/>
    <x v="570"/>
    <n v="257.19"/>
    <x v="568"/>
    <n v="0.28115042763709547"/>
    <n v="2025"/>
    <x v="4"/>
    <s v="mars"/>
    <s v="Q1"/>
    <s v="British Columbia"/>
    <n v="0"/>
  </r>
  <r>
    <s v="ORD-2025-00572"/>
    <d v="2025-03-30T00:00:00"/>
    <s v="C0032"/>
    <s v="P1021"/>
    <s v="Nora Bennett, Surrey, Consumer"/>
    <s v="Online Fulfillment"/>
    <s v="E. Roy"/>
    <s v="Online"/>
    <n v="1"/>
    <n v="298.7"/>
    <n v="0"/>
    <s v="Debit  Card"/>
    <n v="6"/>
    <s v="No"/>
    <s v="Online"/>
    <s v="P1021"/>
    <s v="C0032"/>
    <s v="Online Fulfillment"/>
    <s v="Debit Card"/>
    <n v="1"/>
    <s v="Nora Bennett"/>
    <s v="Surrey"/>
    <s v="Consumer"/>
    <s v="Kettle"/>
    <x v="2"/>
    <n v="139.86000000000001"/>
    <n v="298.7"/>
    <n v="0"/>
    <x v="571"/>
    <n v="139.86000000000001"/>
    <x v="569"/>
    <n v="0.53177100770003338"/>
    <n v="2025"/>
    <x v="4"/>
    <s v="mars"/>
    <s v="Q1"/>
    <s v="British Columbia"/>
    <n v="0"/>
  </r>
  <r>
    <s v="ORD-2025-00573"/>
    <d v="2025-02-18T00:00:00"/>
    <s v="C0037"/>
    <s v="P1023"/>
    <s v="Lucas Scott, Victoria, Small Business"/>
    <s v="Calgary North"/>
    <s v="E. Roy"/>
    <s v="Online"/>
    <n v="2"/>
    <n v="317.93"/>
    <n v="0.2"/>
    <s v="PayPal"/>
    <n v="1"/>
    <s v="No"/>
    <s v="Online"/>
    <s v="P1023"/>
    <s v="C0037"/>
    <s v="Calgary North"/>
    <s v="Paypal"/>
    <n v="1"/>
    <s v="Lucas Scott"/>
    <s v="Victoria"/>
    <s v="Small Business"/>
    <s v="Toaster"/>
    <x v="2"/>
    <n v="152.88"/>
    <n v="635.86"/>
    <n v="127.17200000000001"/>
    <x v="572"/>
    <n v="305.76"/>
    <x v="570"/>
    <n v="0.39892429151070991"/>
    <n v="2025"/>
    <x v="2"/>
    <s v="février"/>
    <s v="Q1"/>
    <s v="British Columbia"/>
    <n v="0"/>
  </r>
  <r>
    <s v="ORD-2025-00574"/>
    <d v="2025-01-07T00:00:00"/>
    <s v="C0109"/>
    <s v="P1023"/>
    <s v="Emma Wilson, Victoria, Consumer"/>
    <s v="Montreal Central"/>
    <s v="A. Morgan"/>
    <s v="Online"/>
    <n v="4"/>
    <n v="330.62"/>
    <n v="0"/>
    <s v="PayPal"/>
    <n v="1"/>
    <s v="No"/>
    <s v="Online"/>
    <s v="P1023"/>
    <s v="C0109"/>
    <s v="Montreal Central"/>
    <s v="Paypal"/>
    <n v="1"/>
    <s v="Emma Wilson"/>
    <s v="Victoria"/>
    <s v="Consumer"/>
    <s v="Toaster"/>
    <x v="2"/>
    <n v="152.88"/>
    <n v="1322.48"/>
    <n v="0"/>
    <x v="573"/>
    <n v="611.52"/>
    <x v="571"/>
    <n v="0.53759603169802195"/>
    <n v="2025"/>
    <x v="3"/>
    <s v="janvier"/>
    <s v="Q1"/>
    <s v="British Columbia"/>
    <n v="0"/>
  </r>
  <r>
    <s v="ORD-2025-00575"/>
    <d v="2025-02-16T00:00:00"/>
    <s v="C0038"/>
    <s v="P1005"/>
    <s v="Noah Brown, Montreal, Consumer"/>
    <s v="Calgary North"/>
    <s v="M. Wilson"/>
    <s v="Retail Store"/>
    <n v="3"/>
    <n v="248.18"/>
    <n v="0.05"/>
    <s v="Credit Card"/>
    <n v="2"/>
    <s v="No"/>
    <s v="Retail Store"/>
    <s v="P1005"/>
    <s v="C0038"/>
    <s v="Calgary North"/>
    <s v="Credit Card"/>
    <n v="1"/>
    <s v="Noah Brown"/>
    <s v="Montreal"/>
    <s v="Consumer"/>
    <s v="Portable SSD"/>
    <x v="4"/>
    <n v="131.19"/>
    <n v="744.54"/>
    <n v="37.226999999999997"/>
    <x v="574"/>
    <n v="393.57"/>
    <x v="572"/>
    <n v="0.44357024400795686"/>
    <n v="2025"/>
    <x v="2"/>
    <s v="février"/>
    <s v="Q1"/>
    <s v="Quebec"/>
    <n v="0"/>
  </r>
  <r>
    <s v="ORD-2025-00576"/>
    <d v="2025-02-02T00:00:00"/>
    <s v="C0011"/>
    <s v="P1034"/>
    <s v="Ethan Hall, Quebec City, Consumer"/>
    <s v="Vancouver West"/>
    <s v="N. Brown"/>
    <s v="Marketplace"/>
    <n v="1"/>
    <n v="152.36000000000001"/>
    <n v="0.05"/>
    <s v="Credit Card"/>
    <n v="2"/>
    <s v="No"/>
    <s v="Marketplace"/>
    <s v="P1034"/>
    <s v="C0011"/>
    <s v="Vancouver West"/>
    <s v="Credit Card"/>
    <n v="1"/>
    <s v="Ethan Hall"/>
    <s v="Quebec City"/>
    <s v="Consumer"/>
    <s v="Laptop Sleeve"/>
    <x v="1"/>
    <n v="78.95"/>
    <n v="152.36000000000001"/>
    <n v="7.6180000000000012"/>
    <x v="575"/>
    <n v="78.95"/>
    <x v="573"/>
    <n v="0.45454671069903696"/>
    <n v="2025"/>
    <x v="2"/>
    <s v="février"/>
    <s v="Q1"/>
    <s v="Quebec"/>
    <n v="0"/>
  </r>
  <r>
    <s v="ORD-2025-00577"/>
    <d v="2025-09-11T00:00:00"/>
    <s v="C0049"/>
    <s v="P1003"/>
    <s v="Olivia Scott, Quebec City, Consumer"/>
    <s v="Vancouver  West"/>
    <s v="J. Tremblay"/>
    <s v="Retail Store"/>
    <n v="4"/>
    <n v="158.27000000000001"/>
    <n v="0.15"/>
    <s v="Debit Card"/>
    <n v="2"/>
    <s v="No"/>
    <s v="Retail Store"/>
    <s v="P1003"/>
    <s v="C0049"/>
    <s v="Vancouver West"/>
    <s v="Debit Card"/>
    <n v="1"/>
    <s v="Olivia Scott"/>
    <s v="Quebec City"/>
    <s v="Consumer"/>
    <s v="Mouse"/>
    <x v="4"/>
    <n v="106.4"/>
    <n v="633.08000000000004"/>
    <n v="94.962000000000003"/>
    <x v="576"/>
    <n v="425.6"/>
    <x v="574"/>
    <n v="0.20909540286702921"/>
    <n v="2025"/>
    <x v="0"/>
    <s v="septembre"/>
    <s v="Q3"/>
    <s v="Quebec"/>
    <n v="0"/>
  </r>
  <r>
    <s v="ORD-2025-00578"/>
    <d v="2025-10-13T00:00:00"/>
    <s v="C0012"/>
    <s v="P1005"/>
    <s v="Daniel Taylor, Victoria, Corporate"/>
    <s v="Toronto Downtown"/>
    <s v="J. Tremblay"/>
    <s v="Online"/>
    <n v="1"/>
    <n v="237.69"/>
    <n v="0.2"/>
    <s v="Credit Card"/>
    <n v="7"/>
    <s v="Yes"/>
    <s v="Online"/>
    <s v="P1005"/>
    <s v="C0012"/>
    <s v="Toronto Downtown"/>
    <s v="Credit Card"/>
    <n v="1"/>
    <s v="Daniel Taylor"/>
    <s v="Victoria"/>
    <s v="Corporate"/>
    <s v="Portable SSD"/>
    <x v="4"/>
    <n v="131.19"/>
    <n v="237.69"/>
    <n v="47.538000000000004"/>
    <x v="577"/>
    <n v="131.19"/>
    <x v="575"/>
    <n v="0.31007825318692411"/>
    <n v="2025"/>
    <x v="11"/>
    <s v="octobre"/>
    <s v="Q4"/>
    <s v="British Columbia"/>
    <n v="1"/>
  </r>
  <r>
    <s v="ORD-2025-00579"/>
    <d v="2025-12-10T00:00:00"/>
    <s v="C0093"/>
    <s v="P1004"/>
    <s v="Ethan Roy, Winnipeg, Consumer"/>
    <s v="Toronto Downtown"/>
    <s v="R. Singh"/>
    <s v="Online"/>
    <n v="1"/>
    <n v="270.91000000000003"/>
    <n v="0.2"/>
    <s v="Credit Card"/>
    <n v="3"/>
    <s v="No"/>
    <s v="Online"/>
    <s v="P1004"/>
    <s v="C0093"/>
    <s v="Toronto Downtown"/>
    <s v="Credit Card"/>
    <n v="1"/>
    <s v="Ethan Roy"/>
    <s v="Winnipeg"/>
    <s v="Consumer"/>
    <s v="Webcam"/>
    <x v="4"/>
    <n v="154.72999999999999"/>
    <n v="270.91000000000003"/>
    <n v="54.182000000000009"/>
    <x v="578"/>
    <n v="154.72999999999999"/>
    <x v="576"/>
    <n v="0.28606363737034446"/>
    <n v="2025"/>
    <x v="6"/>
    <s v="décembre"/>
    <s v="Q4"/>
    <s v="Manitoba"/>
    <n v="0"/>
  </r>
  <r>
    <s v="ORD-2025-00580"/>
    <d v="2025-04-24T00:00:00"/>
    <s v="C0026"/>
    <s v="P1014"/>
    <s v="Adam Hall, Surrey, Corporate"/>
    <s v="Vancouver West"/>
    <s v="R. Singh"/>
    <s v="Online"/>
    <n v="3"/>
    <n v="236.49"/>
    <n v="0.1"/>
    <s v="Credit Card"/>
    <n v="8"/>
    <s v="Yes"/>
    <s v="Online"/>
    <s v="P1014"/>
    <s v="C0026"/>
    <s v="Vancouver West"/>
    <s v="Credit Card"/>
    <n v="1"/>
    <s v="Adam Hall"/>
    <s v="Surrey"/>
    <s v="Corporate"/>
    <s v="Document Shredder"/>
    <x v="3"/>
    <n v="117.65"/>
    <n v="709.47"/>
    <n v="70.947000000000003"/>
    <x v="579"/>
    <n v="352.95000000000005"/>
    <x v="577"/>
    <n v="0.44723995846664877"/>
    <n v="2025"/>
    <x v="9"/>
    <s v="avril"/>
    <s v="Q2"/>
    <s v="British Columbia"/>
    <n v="1"/>
  </r>
  <r>
    <s v="ORD-2025-00581"/>
    <d v="2025-02-10T00:00:00"/>
    <s v="C0026"/>
    <s v="P1018"/>
    <s v="Adam Hall , Surrey , Corporate"/>
    <s v="Calgary North"/>
    <s v="R. Singh"/>
    <s v="Online"/>
    <n v="2"/>
    <n v="31.95"/>
    <n v="0.05"/>
    <s v="PayPal"/>
    <n v="5"/>
    <s v="No"/>
    <s v="Online"/>
    <s v="P1018"/>
    <s v="C0026"/>
    <s v="Calgary North"/>
    <s v="Paypal"/>
    <n v="1"/>
    <s v="Adam Hall"/>
    <s v="Surrey"/>
    <s v="Corporate"/>
    <s v="Air Fryer"/>
    <x v="2"/>
    <n v="14.58"/>
    <n v="63.9"/>
    <n v="3.1950000000000003"/>
    <x v="580"/>
    <n v="29.16"/>
    <x v="578"/>
    <n v="0.51964418087472197"/>
    <n v="2025"/>
    <x v="2"/>
    <s v="février"/>
    <s v="Q1"/>
    <s v="British Columbia"/>
    <n v="0"/>
  </r>
  <r>
    <s v="ORD-2025-00582"/>
    <d v="2025-12-27T00:00:00"/>
    <s v="C0114"/>
    <s v="P1002"/>
    <s v="Olivia Johnson, Ottawa, Consumer"/>
    <s v="Calgary North"/>
    <s v="S. Patel"/>
    <s v="Retail Store"/>
    <n v="1"/>
    <n v="39.03"/>
    <n v="0.2"/>
    <s v="Credit Card"/>
    <n v="0"/>
    <s v="No"/>
    <s v="Retail Store"/>
    <s v="P1002"/>
    <s v="C0114"/>
    <s v="Calgary North"/>
    <s v="Credit Card"/>
    <n v="1"/>
    <s v="Olivia Johnson"/>
    <s v="Ottawa"/>
    <s v="Consumer"/>
    <s v="Keyboard"/>
    <x v="4"/>
    <n v="23.5"/>
    <n v="39.03"/>
    <n v="7.8060000000000009"/>
    <x v="581"/>
    <n v="23.5"/>
    <x v="579"/>
    <n v="0.24737381501409172"/>
    <n v="2025"/>
    <x v="6"/>
    <s v="décembre"/>
    <s v="Q4"/>
    <s v="Ontario"/>
    <n v="0"/>
  </r>
  <r>
    <s v="ORD-2025-00583"/>
    <d v="2025-05-08T00:00:00"/>
    <s v="C0035"/>
    <s v="P1028"/>
    <s v="Amelia Scott, Edmonton, Small Business"/>
    <s v="Vancouver West"/>
    <s v="E. Roy"/>
    <s v="Online"/>
    <n v="1"/>
    <n v="377.22"/>
    <n v="0.05"/>
    <s v="Debit Card"/>
    <n v="7"/>
    <s v="No"/>
    <s v="Online"/>
    <s v="P1028"/>
    <s v="C0035"/>
    <s v="Vancouver West"/>
    <s v="Debit Card"/>
    <n v="1"/>
    <s v="Amelia Scott"/>
    <s v="Edmonton"/>
    <s v="Small Business"/>
    <s v="Foam Roller"/>
    <x v="0"/>
    <n v="212.02"/>
    <n v="377.22"/>
    <n v="18.861000000000001"/>
    <x v="582"/>
    <n v="212.02"/>
    <x v="580"/>
    <n v="0.40835865710084024"/>
    <n v="2025"/>
    <x v="1"/>
    <s v="mai"/>
    <s v="Q2"/>
    <s v="Alberta"/>
    <n v="0"/>
  </r>
  <r>
    <s v="ORD-2025-00584"/>
    <d v="2025-11-27T00:00:00"/>
    <s v="C0064"/>
    <s v="P1040"/>
    <s v="Amine Khan, Edmonton, Consumer"/>
    <s v="Vancouver West"/>
    <s v="M. Wilson"/>
    <s v="Retail Store"/>
    <n v="3"/>
    <n v="292.93"/>
    <n v="0.05"/>
    <s v="Debit Card"/>
    <n v="0"/>
    <s v="No"/>
    <s v="Retail Store"/>
    <s v="P1040"/>
    <s v="C0064"/>
    <s v="Vancouver West"/>
    <s v="Debit Card"/>
    <n v="1"/>
    <s v="Amine Khan"/>
    <s v="Edmonton"/>
    <s v="Consumer"/>
    <s v="Desk Pad"/>
    <x v="1"/>
    <n v="177.57"/>
    <n v="878.79"/>
    <n v="43.939500000000002"/>
    <x v="583"/>
    <n v="532.71"/>
    <x v="581"/>
    <n v="0.36190970718709514"/>
    <n v="2025"/>
    <x v="8"/>
    <s v="novembre"/>
    <s v="Q4"/>
    <s v="Alberta"/>
    <n v="0"/>
  </r>
  <r>
    <s v="ORD-2025-00585"/>
    <d v="2025-03-02T00:00:00"/>
    <s v="C0052"/>
    <s v="P1002"/>
    <s v="Liam Bennett, Edmonton, Corporate"/>
    <s v="Calgary North"/>
    <s v="S. Patel"/>
    <s v="Online"/>
    <n v="1"/>
    <n v="36.51"/>
    <n v="0"/>
    <s v="PayPal"/>
    <n v="9"/>
    <s v="No"/>
    <s v="Online"/>
    <s v="P1002"/>
    <s v="C0052"/>
    <s v="Calgary North"/>
    <s v="Paypal"/>
    <n v="1"/>
    <s v="Liam Bennett"/>
    <s v="Edmonton"/>
    <s v="Corporate"/>
    <s v="Keyboard"/>
    <x v="4"/>
    <n v="23.5"/>
    <n v="36.51"/>
    <n v="0"/>
    <x v="584"/>
    <n v="23.5"/>
    <x v="582"/>
    <n v="0.3563407285675157"/>
    <n v="2025"/>
    <x v="4"/>
    <s v="mars"/>
    <s v="Q1"/>
    <s v="Alberta"/>
    <n v="0"/>
  </r>
  <r>
    <s v="ORD-2025-00586"/>
    <d v="2025-12-02T00:00:00"/>
    <s v="C0049"/>
    <s v="P1003"/>
    <s v="Olivia Scott, Quebec City, Consumer"/>
    <s v="Calgary North"/>
    <s v="J. Tremblay"/>
    <s v="Online"/>
    <n v="1"/>
    <n v="165.55"/>
    <n v="0.05"/>
    <s v="Credit Card"/>
    <n v="7"/>
    <s v="No"/>
    <s v="Online"/>
    <s v="P1003"/>
    <s v="C0049"/>
    <s v="Calgary North"/>
    <s v="Credit Card"/>
    <n v="1"/>
    <s v="Olivia Scott"/>
    <s v="Quebec City"/>
    <s v="Consumer"/>
    <s v="Mouse"/>
    <x v="4"/>
    <n v="106.4"/>
    <n v="165.55"/>
    <n v="8.2775000000000016"/>
    <x v="585"/>
    <n v="106.4"/>
    <x v="583"/>
    <n v="0.32346723044397463"/>
    <n v="2025"/>
    <x v="6"/>
    <s v="décembre"/>
    <s v="Q4"/>
    <s v="Quebec"/>
    <n v="0"/>
  </r>
  <r>
    <s v="ORD-2025-00587"/>
    <d v="2025-11-18T00:00:00"/>
    <s v="C0085"/>
    <s v="P1031"/>
    <s v="Yasmine Clark, Calgary, Consumer"/>
    <s v="Montreal Central"/>
    <s v="E. Roy"/>
    <s v="Retail Store"/>
    <n v="1"/>
    <n v="242.19"/>
    <n v="0"/>
    <s v="Gift Card"/>
    <n v="1"/>
    <s v="No"/>
    <s v="Retail Store"/>
    <s v="P1031"/>
    <s v="C0085"/>
    <s v="Montreal Central"/>
    <s v="Gift Card"/>
    <n v="1"/>
    <s v="Yasmine Clark"/>
    <s v="Calgary"/>
    <s v="Consumer"/>
    <s v="Dumbbell Set"/>
    <x v="0"/>
    <n v="131.72999999999999"/>
    <n v="242.19"/>
    <n v="0"/>
    <x v="586"/>
    <n v="131.72999999999999"/>
    <x v="584"/>
    <n v="0.45608819521863003"/>
    <n v="2025"/>
    <x v="8"/>
    <s v="novembre"/>
    <s v="Q4"/>
    <s v="Alberta"/>
    <n v="0"/>
  </r>
  <r>
    <s v="ORD-2025-00588"/>
    <d v="2025-07-08T00:00:00"/>
    <s v="C0091"/>
    <s v="P1024"/>
    <s v="Leo Taylor, Victoria, Small Business"/>
    <s v="Vancouver West"/>
    <s v="S. Patel"/>
    <s v="Marketplace"/>
    <n v="1"/>
    <n v="102.63"/>
    <n v="0.05"/>
    <s v="PayPal"/>
    <n v="3"/>
    <s v="No"/>
    <s v="Marketplace"/>
    <s v="P1024"/>
    <s v="C0091"/>
    <s v="Vancouver West"/>
    <s v="Paypal"/>
    <n v="1"/>
    <s v="Leo Taylor"/>
    <s v="Victoria"/>
    <s v="Small Business"/>
    <s v="Food Scale"/>
    <x v="2"/>
    <n v="46.07"/>
    <n v="102.63"/>
    <n v="5.1315"/>
    <x v="587"/>
    <n v="46.07"/>
    <x v="585"/>
    <n v="0.52747990994733251"/>
    <n v="2025"/>
    <x v="10"/>
    <s v="juillet"/>
    <s v="Q3"/>
    <s v="British Columbia"/>
    <n v="0"/>
  </r>
  <r>
    <s v="ORD-2025-00589"/>
    <d v="2025-01-07T00:00:00"/>
    <s v="C0048"/>
    <s v="P1031"/>
    <s v="Amelia Brown, Quebec City, Corporate"/>
    <s v="Toronto Downtown"/>
    <s v="E. Roy"/>
    <s v="Online"/>
    <n v="2"/>
    <n v="250.16"/>
    <n v="0"/>
    <s v="Debit  Card"/>
    <n v="7"/>
    <s v="No"/>
    <s v="Online"/>
    <s v="P1031"/>
    <s v="C0048"/>
    <s v="Toronto Downtown"/>
    <s v="Debit Card"/>
    <n v="1"/>
    <s v="Amelia Brown"/>
    <s v="Quebec City"/>
    <s v="Corporate"/>
    <s v="Dumbbell Set"/>
    <x v="0"/>
    <n v="131.72999999999999"/>
    <n v="500.32"/>
    <n v="0"/>
    <x v="588"/>
    <n v="263.45999999999998"/>
    <x v="586"/>
    <n v="0.47341701311160861"/>
    <n v="2025"/>
    <x v="3"/>
    <s v="janvier"/>
    <s v="Q1"/>
    <s v="Quebec"/>
    <n v="0"/>
  </r>
  <r>
    <s v="ORD-2025-00590"/>
    <d v="2025-02-17T00:00:00"/>
    <s v="C0047"/>
    <s v="P1019"/>
    <s v="Amine King, Victoria, Consumer"/>
    <s v="Montreal Central"/>
    <s v="R. Singh"/>
    <s v="Online"/>
    <n v="1"/>
    <n v="285.14999999999998"/>
    <n v="0.05"/>
    <s v="Debit Card"/>
    <n v="5"/>
    <s v="No"/>
    <s v="Online"/>
    <s v="P1019"/>
    <s v="C0047"/>
    <s v="Montreal Central"/>
    <s v="Debit Card"/>
    <n v="1"/>
    <s v="Amine King"/>
    <s v="Victoria"/>
    <s v="Consumer"/>
    <s v="Vacuum"/>
    <x v="2"/>
    <n v="186.94"/>
    <n v="285.14999999999998"/>
    <n v="14.2575"/>
    <x v="589"/>
    <n v="186.94"/>
    <x v="587"/>
    <n v="0.30991075795749234"/>
    <n v="2025"/>
    <x v="2"/>
    <s v="février"/>
    <s v="Q1"/>
    <s v="British Columbia"/>
    <n v="0"/>
  </r>
  <r>
    <s v="ORD-2025-00591"/>
    <d v="2025-04-28T00:00:00"/>
    <s v="C0022"/>
    <s v="P1016"/>
    <s v="Adam White , Victoria , Consumer"/>
    <s v="Toronto Downtown"/>
    <s v="J. Tremblay"/>
    <s v="Retail Store"/>
    <n v="2"/>
    <n v="334.51"/>
    <n v="0.15"/>
    <s v="CC"/>
    <n v="1"/>
    <s v="No"/>
    <s v="Retail Store"/>
    <s v="P1016"/>
    <s v="C0022"/>
    <s v="Toronto Downtown"/>
    <s v="Credit Card"/>
    <n v="1"/>
    <s v="Adam White"/>
    <s v="Victoria"/>
    <s v="Consumer"/>
    <s v="Printer"/>
    <x v="3"/>
    <n v="156.75"/>
    <n v="669.02"/>
    <n v="100.35299999999999"/>
    <x v="590"/>
    <n v="313.5"/>
    <x v="588"/>
    <n v="0.44871075691045903"/>
    <n v="2025"/>
    <x v="9"/>
    <s v="avril"/>
    <s v="Q2"/>
    <s v="British Columbia"/>
    <n v="0"/>
  </r>
  <r>
    <s v="ORD-2025-00592"/>
    <d v="2025-07-11T00:00:00"/>
    <s v="C0089"/>
    <s v="P1004"/>
    <s v="Lucas Martin, Vancouver, Consumer"/>
    <s v="Online Fulfillment"/>
    <s v="J. Tremblay"/>
    <s v="Online"/>
    <n v="3"/>
    <n v="286.7"/>
    <n v="0"/>
    <s v="PayPal"/>
    <n v="6"/>
    <s v="No"/>
    <s v="Online"/>
    <s v="P1004"/>
    <s v="C0089"/>
    <s v="Online Fulfillment"/>
    <s v="Paypal"/>
    <n v="1"/>
    <s v="Lucas Martin"/>
    <s v="Vancouver"/>
    <s v="Consumer"/>
    <s v="Webcam"/>
    <x v="4"/>
    <n v="154.72999999999999"/>
    <n v="860.09999999999991"/>
    <n v="0"/>
    <x v="591"/>
    <n v="464.18999999999994"/>
    <x v="589"/>
    <n v="0.46030694105336589"/>
    <n v="2025"/>
    <x v="10"/>
    <s v="juillet"/>
    <s v="Q3"/>
    <s v="British Columbia"/>
    <n v="0"/>
  </r>
  <r>
    <s v="ORD-2025-00593"/>
    <d v="2025-03-31T00:00:00"/>
    <s v="C0020"/>
    <s v="P1014"/>
    <s v="Nora Khan, Mississauga, Consumer"/>
    <s v="Online Fulfillment"/>
    <s v="J. Tremblay"/>
    <s v="Online"/>
    <n v="1"/>
    <n v="227.24"/>
    <n v="0.1"/>
    <s v="Debit Card"/>
    <n v="5"/>
    <s v="No"/>
    <s v="Online"/>
    <s v="P1014"/>
    <s v="C0020"/>
    <s v="Online Fulfillment"/>
    <s v="Debit Card"/>
    <n v="1"/>
    <s v="Nora Khan"/>
    <s v="Mississauga"/>
    <s v="Consumer"/>
    <s v="Document Shredder"/>
    <x v="3"/>
    <n v="117.65"/>
    <n v="227.24"/>
    <n v="22.724000000000004"/>
    <x v="592"/>
    <n v="117.65"/>
    <x v="590"/>
    <n v="0.4247393846936181"/>
    <n v="2025"/>
    <x v="4"/>
    <s v="mars"/>
    <s v="Q1"/>
    <s v="Ontario"/>
    <n v="0"/>
  </r>
  <r>
    <s v="ORD-2025-00594"/>
    <d v="2025-09-16T00:00:00"/>
    <s v="C0038"/>
    <s v="P1032"/>
    <s v="Noah Brown, Montreal, Consumer"/>
    <s v="Toronto Downtown"/>
    <s v="R. Singh"/>
    <s v="Marketplace"/>
    <n v="4"/>
    <n v="197.43"/>
    <n v="0"/>
    <s v="CC"/>
    <n v="4"/>
    <s v="No"/>
    <s v="Marketplace"/>
    <s v="P1032"/>
    <s v="C0038"/>
    <s v="Toronto Downtown"/>
    <s v="Credit Card"/>
    <n v="1"/>
    <s v="Noah Brown"/>
    <s v="Montreal"/>
    <s v="Consumer"/>
    <s v="Gym Bag"/>
    <x v="0"/>
    <n v="132.72"/>
    <n v="789.72"/>
    <n v="0"/>
    <x v="593"/>
    <n v="530.88"/>
    <x v="591"/>
    <n v="0.32776173833763866"/>
    <n v="2025"/>
    <x v="0"/>
    <s v="septembre"/>
    <s v="Q3"/>
    <s v="Quebec"/>
    <n v="0"/>
  </r>
  <r>
    <s v="ORD-2025-00595"/>
    <d v="2025-03-12T00:00:00"/>
    <s v="C0103"/>
    <s v="P1005"/>
    <s v="Zoe Singh, Saskatoon, Corporate"/>
    <s v="Toronto Downtown"/>
    <s v="E. Roy"/>
    <s v="Online"/>
    <n v="1"/>
    <n v="247.8"/>
    <n v="0.2"/>
    <s v="PayPal"/>
    <n v="3"/>
    <s v="No"/>
    <s v="Online"/>
    <s v="P1005"/>
    <s v="C0103"/>
    <s v="Toronto Downtown"/>
    <s v="Paypal"/>
    <n v="1"/>
    <s v="Zoe Singh"/>
    <s v="Saskatoon"/>
    <s v="Corporate"/>
    <s v="Portable SSD"/>
    <x v="4"/>
    <n v="131.19"/>
    <n v="247.8"/>
    <n v="49.56"/>
    <x v="594"/>
    <n v="131.19"/>
    <x v="592"/>
    <n v="0.338226392251816"/>
    <n v="2025"/>
    <x v="4"/>
    <s v="mars"/>
    <s v="Q1"/>
    <s v="Saskatchewan"/>
    <n v="0"/>
  </r>
  <r>
    <s v="ORD-2025-00596"/>
    <d v="2025-04-09T00:00:00"/>
    <s v="C0079"/>
    <s v="P1007"/>
    <s v="Sophia Scott, Ottawa, Consumer"/>
    <s v="Montreal Central"/>
    <s v="J. Tremblay"/>
    <s v="Online"/>
    <n v="1"/>
    <n v="347.2"/>
    <n v="0.25"/>
    <s v="Credit Card"/>
    <n v="3"/>
    <s v="No"/>
    <s v="Online"/>
    <s v="P1007"/>
    <s v="C0079"/>
    <s v="Montreal Central"/>
    <s v="Credit Card"/>
    <n v="1"/>
    <s v="Sophia Scott"/>
    <s v="Ottawa"/>
    <s v="Consumer"/>
    <s v="Monitor"/>
    <x v="4"/>
    <n v="224.47"/>
    <n v="347.2"/>
    <n v="86.8"/>
    <x v="595"/>
    <n v="224.47"/>
    <x v="593"/>
    <n v="0.13798003072196613"/>
    <n v="2025"/>
    <x v="9"/>
    <s v="avril"/>
    <s v="Q2"/>
    <s v="Ontario"/>
    <n v="0"/>
  </r>
  <r>
    <s v="ORD-2025-00597"/>
    <d v="2025-10-06T00:00:00"/>
    <s v="C0047"/>
    <s v="P1038"/>
    <s v="Amine King, Victoria, Consumer"/>
    <s v="Calgary North"/>
    <s v="M. Wilson"/>
    <s v="Retail Store"/>
    <n v="2"/>
    <n v="269.25"/>
    <n v="0.15"/>
    <s v="Credit Card"/>
    <n v="4"/>
    <s v="No"/>
    <s v="Retail Store"/>
    <s v="P1038"/>
    <s v="C0047"/>
    <s v="Calgary North"/>
    <s v="Credit Card"/>
    <n v="1"/>
    <s v="Amine King"/>
    <s v="Victoria"/>
    <s v="Consumer"/>
    <s v="Water Bottle"/>
    <x v="1"/>
    <n v="119.16"/>
    <n v="538.5"/>
    <n v="80.774999999999991"/>
    <x v="596"/>
    <n v="238.32"/>
    <x v="594"/>
    <n v="0.47933803047681472"/>
    <n v="2025"/>
    <x v="11"/>
    <s v="octobre"/>
    <s v="Q4"/>
    <s v="British Columbia"/>
    <n v="0"/>
  </r>
  <r>
    <s v="ORD-2025-00598"/>
    <d v="2025-06-23T00:00:00"/>
    <s v="C0018"/>
    <s v="P1032"/>
    <s v="Sophia Tremblay, Laval, Small Business"/>
    <s v="Calgary North"/>
    <s v="J. Tremblay"/>
    <s v="Online"/>
    <n v="2"/>
    <n v="203.99"/>
    <n v="0"/>
    <s v="Credit Card"/>
    <n v="3"/>
    <s v="No"/>
    <s v="Online"/>
    <s v="P1032"/>
    <s v="C0018"/>
    <s v="Calgary North"/>
    <s v="Credit Card"/>
    <n v="1"/>
    <s v="Sophia Tremblay"/>
    <s v="Laval"/>
    <s v="Small Business"/>
    <s v="Gym Bag"/>
    <x v="0"/>
    <n v="132.72"/>
    <n v="407.98"/>
    <n v="0"/>
    <x v="597"/>
    <n v="265.44"/>
    <x v="595"/>
    <n v="0.34937987156233152"/>
    <n v="2025"/>
    <x v="5"/>
    <s v="juin"/>
    <s v="Q2"/>
    <s v="Quebec"/>
    <n v="0"/>
  </r>
  <r>
    <s v="ORD-2025-00599"/>
    <d v="2025-07-04T00:00:00"/>
    <s v="C0115"/>
    <s v="P1029"/>
    <s v="Nora Lee, Calgary, Consumer"/>
    <s v="Online Fulfillment"/>
    <s v="M. Wilson"/>
    <s v="Online"/>
    <n v="2"/>
    <n v="212.05"/>
    <n v="0"/>
    <s v="Credit Card"/>
    <n v="2"/>
    <s v="No"/>
    <s v="Online"/>
    <s v="P1029"/>
    <s v="C0115"/>
    <s v="Online Fulfillment"/>
    <s v="Credit Card"/>
    <n v="1"/>
    <s v="Nora Lee"/>
    <s v="Calgary"/>
    <s v="Consumer"/>
    <s v="Jump Rope"/>
    <x v="0"/>
    <n v="101"/>
    <n v="424.1"/>
    <n v="0"/>
    <x v="598"/>
    <n v="202"/>
    <x v="596"/>
    <n v="0.52369724121669425"/>
    <n v="2025"/>
    <x v="10"/>
    <s v="juillet"/>
    <s v="Q3"/>
    <s v="Alberta"/>
    <n v="0"/>
  </r>
  <r>
    <s v="ORD-2025-00600"/>
    <d v="2025-10-19T00:00:00"/>
    <s v="C0115"/>
    <s v="P1014"/>
    <s v="Nora Lee, Calgary, Consumer"/>
    <s v="Toronto Downtown"/>
    <s v="J. Tremblay"/>
    <s v="Online"/>
    <n v="1"/>
    <n v="228.4"/>
    <n v="0.05"/>
    <s v="Debit Card"/>
    <n v="7"/>
    <s v="No"/>
    <s v="Online"/>
    <s v="P1014"/>
    <s v="C0115"/>
    <s v="Toronto Downtown"/>
    <s v="Debit Card"/>
    <n v="1"/>
    <s v="Nora Lee"/>
    <s v="Calgary"/>
    <s v="Consumer"/>
    <s v="Document Shredder"/>
    <x v="3"/>
    <n v="117.65"/>
    <n v="228.4"/>
    <n v="11.420000000000002"/>
    <x v="599"/>
    <n v="117.65"/>
    <x v="597"/>
    <n v="0.45778412756936127"/>
    <n v="2025"/>
    <x v="11"/>
    <s v="octobre"/>
    <s v="Q4"/>
    <s v="Alberta"/>
    <n v="0"/>
  </r>
  <r>
    <s v="ORD-2025-00601"/>
    <d v="2025-01-22T00:00:00"/>
    <s v="C0091"/>
    <s v="P1025"/>
    <s v="Leo Taylor, Victoria, Small Business"/>
    <s v="Calgary North"/>
    <s v="E. Roy"/>
    <s v="Online"/>
    <n v="3"/>
    <n v="308.48"/>
    <n v="0.2"/>
    <s v="Debit Card"/>
    <n v="7"/>
    <s v="No"/>
    <s v="Online"/>
    <s v="P1025"/>
    <s v="C0091"/>
    <s v="Calgary North"/>
    <s v="Debit Card"/>
    <n v="1"/>
    <s v="Leo Taylor"/>
    <s v="Victoria"/>
    <s v="Small Business"/>
    <s v="Yoga Mat"/>
    <x v="0"/>
    <n v="197.33"/>
    <n v="925.44"/>
    <n v="185.08800000000002"/>
    <x v="600"/>
    <n v="591.99"/>
    <x v="598"/>
    <n v="0.2003938667012449"/>
    <n v="2025"/>
    <x v="3"/>
    <s v="janvier"/>
    <s v="Q1"/>
    <s v="British Columbia"/>
    <n v="0"/>
  </r>
  <r>
    <s v="ORD-2025-00602"/>
    <d v="2025-06-08T00:00:00"/>
    <s v="C0079"/>
    <s v="P1034"/>
    <s v="Sophia Scott, Ottawa, Consumer"/>
    <s v="Vancouver West"/>
    <s v="L. Chen"/>
    <s v="Retail Store"/>
    <n v="1"/>
    <n v="137.82"/>
    <n v="0.1"/>
    <s v="PayPal"/>
    <n v="2"/>
    <s v="No"/>
    <s v="Retail Store"/>
    <s v="P1034"/>
    <s v="C0079"/>
    <s v="Vancouver West"/>
    <s v="Paypal"/>
    <n v="1"/>
    <s v="Sophia Scott"/>
    <s v="Ottawa"/>
    <s v="Consumer"/>
    <s v="Laptop Sleeve"/>
    <x v="1"/>
    <n v="78.95"/>
    <n v="137.82"/>
    <n v="13.782"/>
    <x v="601"/>
    <n v="78.95"/>
    <x v="599"/>
    <n v="0.36350150760250888"/>
    <n v="2025"/>
    <x v="5"/>
    <s v="juin"/>
    <s v="Q2"/>
    <s v="Ontario"/>
    <n v="0"/>
  </r>
  <r>
    <s v="ORD-2025-00603"/>
    <d v="2025-10-27T00:00:00"/>
    <s v="C0049"/>
    <s v="P1001"/>
    <s v="Olivia Scott, Quebec City, Consumer"/>
    <s v="Vancouver West"/>
    <s v="M. Wilson"/>
    <s v="Online"/>
    <n v="1"/>
    <n v="355.43"/>
    <n v="0.05"/>
    <s v="PayPal"/>
    <n v="4"/>
    <s v="No"/>
    <s v="Online"/>
    <s v="P1001"/>
    <s v="C0049"/>
    <s v="Vancouver West"/>
    <s v="Paypal"/>
    <n v="1"/>
    <s v="Olivia Scott"/>
    <s v="Quebec City"/>
    <s v="Consumer"/>
    <s v="Headphones"/>
    <x v="4"/>
    <n v="254.6"/>
    <n v="355.43"/>
    <n v="17.7715"/>
    <x v="602"/>
    <n v="254.6"/>
    <x v="600"/>
    <n v="0.24598373800748391"/>
    <n v="2025"/>
    <x v="11"/>
    <s v="octobre"/>
    <s v="Q4"/>
    <s v="Quebec"/>
    <n v="0"/>
  </r>
  <r>
    <s v="ORD-2025-00604"/>
    <d v="2025-08-30T00:00:00"/>
    <s v="C0070"/>
    <s v="P1035"/>
    <s v="Sophia Young, Halifax, Corporate"/>
    <s v="Montreal Central"/>
    <s v="L. Chen"/>
    <s v="Retail Store"/>
    <n v="1"/>
    <n v="83.52"/>
    <n v="0.2"/>
    <s v="Debit Card"/>
    <n v="1"/>
    <s v="No"/>
    <s v="Retail Store"/>
    <s v="P1035"/>
    <s v="C0070"/>
    <s v="Montreal Central"/>
    <s v="Debit Card"/>
    <n v="1"/>
    <s v="Sophia Young"/>
    <s v="Halifax"/>
    <s v="Corporate"/>
    <s v="Phone Stand"/>
    <x v="1"/>
    <n v="59.85"/>
    <n v="83.52"/>
    <n v="16.704000000000001"/>
    <x v="603"/>
    <n v="59.85"/>
    <x v="601"/>
    <n v="0.1042564655172414"/>
    <n v="2025"/>
    <x v="7"/>
    <s v="août"/>
    <s v="Q3"/>
    <s v="Nova Scotia"/>
    <n v="0"/>
  </r>
  <r>
    <s v="ORD-2025-00605"/>
    <d v="2025-01-31T00:00:00"/>
    <s v="C0072"/>
    <s v="P1029"/>
    <s v="Ryan Bennett, Montreal, Corporate"/>
    <s v="Montreal Central"/>
    <s v="J. Tremblay"/>
    <s v="Retail Store"/>
    <n v="2"/>
    <n v="207.51"/>
    <n v="0"/>
    <s v="Gift Card"/>
    <n v="3"/>
    <s v="No"/>
    <s v="Retail Store"/>
    <s v="P1029"/>
    <s v="C0072"/>
    <s v="Montreal Central"/>
    <s v="Gift Card"/>
    <n v="1"/>
    <s v="Ryan Bennett"/>
    <s v="Montreal"/>
    <s v="Corporate"/>
    <s v="Jump Rope"/>
    <x v="0"/>
    <n v="101"/>
    <n v="415.02"/>
    <n v="0"/>
    <x v="604"/>
    <n v="202"/>
    <x v="602"/>
    <n v="0.51327646860392273"/>
    <n v="2025"/>
    <x v="3"/>
    <s v="janvier"/>
    <s v="Q1"/>
    <s v="Quebec"/>
    <n v="0"/>
  </r>
  <r>
    <s v="ORD-2025-00606"/>
    <d v="2025-09-04T00:00:00"/>
    <s v="C0030"/>
    <s v="P1024"/>
    <s v="Emma Lee, Calgary, Corporate"/>
    <s v="Montreal Central"/>
    <s v="S. Patel"/>
    <s v="Online"/>
    <n v="1"/>
    <n v="106.45"/>
    <n v="0.1"/>
    <s v="Credit Card"/>
    <n v="7"/>
    <s v="No"/>
    <s v="Online"/>
    <s v="P1024"/>
    <s v="C0030"/>
    <s v="Montreal Central"/>
    <s v="Credit Card"/>
    <n v="1"/>
    <s v="Emma Lee"/>
    <s v="Calgary"/>
    <s v="Corporate"/>
    <s v="Food Scale"/>
    <x v="2"/>
    <n v="46.07"/>
    <n v="106.45"/>
    <n v="10.645000000000001"/>
    <x v="605"/>
    <n v="46.07"/>
    <x v="603"/>
    <n v="0.5191273941861072"/>
    <n v="2025"/>
    <x v="0"/>
    <s v="septembre"/>
    <s v="Q3"/>
    <s v="Alberta"/>
    <n v="0"/>
  </r>
  <r>
    <s v="ORD-2025-00607"/>
    <d v="2025-05-24T00:00:00"/>
    <s v="C0019"/>
    <s v="P1018"/>
    <s v="Lucas Taylor, Montreal, Small Business"/>
    <s v="Toronto Downtown"/>
    <s v="J. Tremblay"/>
    <s v="Online"/>
    <n v="1"/>
    <n v="31.95"/>
    <n v="0.15"/>
    <s v="Credit Card"/>
    <n v="4"/>
    <s v="No"/>
    <s v="Online"/>
    <s v="P1018"/>
    <s v="C0019"/>
    <s v="Toronto Downtown"/>
    <s v="Credit Card"/>
    <n v="1"/>
    <s v="Lucas Taylor"/>
    <s v="Montreal"/>
    <s v="Small Business"/>
    <s v="Air Fryer"/>
    <x v="2"/>
    <n v="14.58"/>
    <n v="31.95"/>
    <n v="4.7924999999999995"/>
    <x v="606"/>
    <n v="14.58"/>
    <x v="604"/>
    <n v="0.46313173156586573"/>
    <n v="2025"/>
    <x v="1"/>
    <s v="mai"/>
    <s v="Q2"/>
    <s v="Quebec"/>
    <n v="0"/>
  </r>
  <r>
    <s v="ORD-2025-00608"/>
    <d v="2025-11-04T00:00:00"/>
    <s v="C0108"/>
    <s v="P1027"/>
    <s v="Noah Lee, Surrey, Consumer"/>
    <s v="Toronto Downtown"/>
    <s v="R. Singh"/>
    <s v="Online"/>
    <n v="1"/>
    <n v="54.15"/>
    <n v="0"/>
    <s v="Credit Card"/>
    <n v="9"/>
    <s v="No"/>
    <s v="Online"/>
    <s v="P1027"/>
    <s v="C0108"/>
    <s v="Toronto Downtown"/>
    <s v="Credit Card"/>
    <n v="1"/>
    <s v="Noah Lee"/>
    <s v="Surrey"/>
    <s v="Consumer"/>
    <s v="Kettlebell"/>
    <x v="0"/>
    <n v="25.97"/>
    <n v="54.15"/>
    <n v="0"/>
    <x v="607"/>
    <n v="25.97"/>
    <x v="605"/>
    <n v="0.52040627885503232"/>
    <n v="2025"/>
    <x v="8"/>
    <s v="novembre"/>
    <s v="Q4"/>
    <s v="British Columbia"/>
    <n v="0"/>
  </r>
  <r>
    <s v="ORD-2025-00609"/>
    <d v="2025-11-10T00:00:00"/>
    <s v="C0037"/>
    <s v="P1038"/>
    <s v="Lucas Scott , Victoria , Small Business"/>
    <s v="Online Fulfillment"/>
    <s v="R. Singh"/>
    <s v="Online"/>
    <n v="1"/>
    <n v="275.77999999999997"/>
    <n v="0.05"/>
    <s v="Credit Card"/>
    <n v="4"/>
    <s v="No"/>
    <s v="Online"/>
    <s v="P1038"/>
    <s v="C0037"/>
    <s v="Online Fulfillment"/>
    <s v="Credit Card"/>
    <n v="1"/>
    <s v="Lucas Scott"/>
    <s v="Victoria"/>
    <s v="Small Business"/>
    <s v="Water Bottle"/>
    <x v="1"/>
    <n v="119.16"/>
    <n v="275.77999999999997"/>
    <n v="13.789"/>
    <x v="608"/>
    <n v="119.16"/>
    <x v="606"/>
    <n v="0.54517521594253238"/>
    <n v="2025"/>
    <x v="8"/>
    <s v="novembre"/>
    <s v="Q4"/>
    <s v="British Columbia"/>
    <n v="0"/>
  </r>
  <r>
    <s v="ORD-2025-00610"/>
    <d v="2025-07-04T00:00:00"/>
    <s v="C0068"/>
    <s v="P1030"/>
    <s v="Yasmine Martin, Calgary, Consumer"/>
    <s v="Toronto Downtown"/>
    <s v="E. Roy"/>
    <s v="Retail Store"/>
    <n v="1"/>
    <n v="241.92"/>
    <n v="0.1"/>
    <s v="Credit Card"/>
    <n v="0"/>
    <s v="No"/>
    <s v="Retail Store"/>
    <s v="P1030"/>
    <s v="C0068"/>
    <s v="Toronto Downtown"/>
    <s v="Credit Card"/>
    <n v="1"/>
    <s v="Yasmine Martin"/>
    <s v="Calgary"/>
    <s v="Consumer"/>
    <s v="Pull-up Bar"/>
    <x v="0"/>
    <n v="125.4"/>
    <n v="241.92"/>
    <n v="24.192"/>
    <x v="609"/>
    <n v="125.4"/>
    <x v="607"/>
    <n v="0.42405202821869481"/>
    <n v="2025"/>
    <x v="10"/>
    <s v="juillet"/>
    <s v="Q3"/>
    <s v="Alberta"/>
    <n v="0"/>
  </r>
  <r>
    <s v="ORD-2025-00611"/>
    <d v="2025-04-16T00:00:00"/>
    <s v="C0060"/>
    <s v="P1032"/>
    <s v="Sarah Wilson , Quebec City , Corporate"/>
    <s v="Montreal Central"/>
    <s v="N. Brown"/>
    <s v="Online"/>
    <n v="2"/>
    <n v="209.11"/>
    <n v="0.05"/>
    <s v="Debit Card"/>
    <n v="8"/>
    <s v="No"/>
    <s v="Online"/>
    <s v="P1032"/>
    <s v="C0060"/>
    <s v="Montreal Central"/>
    <s v="Debit Card"/>
    <n v="1"/>
    <s v="Sarah Wilson"/>
    <s v="Quebec City"/>
    <s v="Corporate"/>
    <s v="Gym Bag"/>
    <x v="0"/>
    <n v="132.72"/>
    <n v="418.22"/>
    <n v="20.911000000000001"/>
    <x v="610"/>
    <n v="265.44"/>
    <x v="608"/>
    <n v="0.33190539353500681"/>
    <n v="2025"/>
    <x v="9"/>
    <s v="avril"/>
    <s v="Q2"/>
    <s v="Quebec"/>
    <n v="0"/>
  </r>
  <r>
    <s v="ORD-2025-00612"/>
    <d v="2025-05-03T00:00:00"/>
    <s v="C0066"/>
    <s v="P1036"/>
    <s v="Noah Clark, Laval, Consumer"/>
    <s v="Vancouver West"/>
    <s v="A. Morgan"/>
    <s v="Online"/>
    <n v="1"/>
    <n v="156.22"/>
    <n v="0.25"/>
    <s v="PayPal"/>
    <n v="8"/>
    <s v="Yes"/>
    <s v="Online"/>
    <s v="P1036"/>
    <s v="C0066"/>
    <s v="Vancouver West"/>
    <s v="Paypal"/>
    <n v="1"/>
    <s v="Noah Clark"/>
    <s v="Laval"/>
    <s v="Consumer"/>
    <s v="Power Bank"/>
    <x v="1"/>
    <n v="76.97"/>
    <n v="156.22"/>
    <n v="39.055"/>
    <x v="611"/>
    <n v="76.97"/>
    <x v="609"/>
    <n v="0.34306320146801517"/>
    <n v="2025"/>
    <x v="1"/>
    <s v="mai"/>
    <s v="Q2"/>
    <s v="Quebec"/>
    <n v="1"/>
  </r>
  <r>
    <s v="ORD-2025-00613"/>
    <d v="2025-10-16T00:00:00"/>
    <s v="C0005"/>
    <s v="P1006"/>
    <s v="Yasmine Taylor, Calgary, Consumer"/>
    <s v="Toronto Downtown"/>
    <s v="N. Brown"/>
    <s v="Retail Store"/>
    <n v="4"/>
    <n v="100.23"/>
    <n v="0.05"/>
    <s v="Debit Card"/>
    <n v="0"/>
    <s v="No"/>
    <s v="Retail Store"/>
    <s v="P1006"/>
    <s v="C0005"/>
    <s v="Toronto Downtown"/>
    <s v="Debit Card"/>
    <n v="1"/>
    <s v="Yasmine Taylor"/>
    <s v="Calgary"/>
    <s v="Consumer"/>
    <s v="USB-C Hub"/>
    <x v="4"/>
    <n v="72"/>
    <n v="400.92"/>
    <n v="20.046000000000003"/>
    <x v="612"/>
    <n v="288"/>
    <x v="610"/>
    <n v="0.24384442098961867"/>
    <n v="2025"/>
    <x v="11"/>
    <s v="octobre"/>
    <s v="Q4"/>
    <s v="Alberta"/>
    <n v="0"/>
  </r>
  <r>
    <s v="ORD-2025-00614"/>
    <d v="2025-09-18T00:00:00"/>
    <s v="C0065"/>
    <s v="P1013"/>
    <s v="Mia Wilson, Quebec City, Consumer"/>
    <s v="Montreal Central"/>
    <s v="L. Chen"/>
    <s v="Online"/>
    <n v="1"/>
    <n v="126.75"/>
    <n v="0"/>
    <s v="PayPal"/>
    <n v="6"/>
    <s v="No"/>
    <s v="Online"/>
    <s v="P1013"/>
    <s v="C0065"/>
    <s v="Montreal Central"/>
    <s v="Paypal"/>
    <n v="1"/>
    <s v="Mia Wilson"/>
    <s v="Quebec City"/>
    <s v="Consumer"/>
    <s v="Whiteboard"/>
    <x v="3"/>
    <n v="85.73"/>
    <n v="126.75"/>
    <n v="0"/>
    <x v="613"/>
    <n v="85.73"/>
    <x v="611"/>
    <n v="0.32362919132149898"/>
    <n v="2025"/>
    <x v="0"/>
    <s v="septembre"/>
    <s v="Q3"/>
    <s v="Quebec"/>
    <n v="0"/>
  </r>
  <r>
    <s v="ORD-2025-00615"/>
    <d v="2025-03-12T00:00:00"/>
    <s v="C0072"/>
    <s v="P1004"/>
    <s v="Ryan Bennett, Montreal, Corporate"/>
    <s v="Montreal Central"/>
    <s v="A. Morgan"/>
    <s v="Retail Store"/>
    <n v="1"/>
    <n v="286.02"/>
    <n v="0.25"/>
    <s v="Credit Card"/>
    <n v="0"/>
    <s v="No"/>
    <s v="Retail Store"/>
    <s v="P1004"/>
    <s v="C0072"/>
    <s v="Montreal Central"/>
    <s v="Credit Card"/>
    <n v="1"/>
    <s v="Ryan Bennett"/>
    <s v="Montreal"/>
    <s v="Corporate"/>
    <s v="Webcam"/>
    <x v="4"/>
    <n v="154.72999999999999"/>
    <n v="286.02"/>
    <n v="71.504999999999995"/>
    <x v="614"/>
    <n v="154.72999999999999"/>
    <x v="612"/>
    <n v="0.27869845931519943"/>
    <n v="2025"/>
    <x v="4"/>
    <s v="mars"/>
    <s v="Q1"/>
    <s v="Quebec"/>
    <n v="0"/>
  </r>
  <r>
    <s v="ORD-2025-00616"/>
    <d v="2025-06-29T00:00:00"/>
    <s v="C0049"/>
    <s v="P1028"/>
    <s v="Olivia Scott, Quebec City, Consumer"/>
    <s v="Montreal Central"/>
    <s v="N. Brown"/>
    <s v="Retail Store"/>
    <n v="5"/>
    <n v="374.98"/>
    <n v="0.15"/>
    <s v="Credit  Card"/>
    <n v="4"/>
    <s v="No"/>
    <s v="Retail Store"/>
    <s v="P1028"/>
    <s v="C0049"/>
    <s v="Montreal Central"/>
    <s v="Credit Card"/>
    <n v="1"/>
    <s v="Olivia Scott"/>
    <s v="Quebec City"/>
    <s v="Consumer"/>
    <s v="Foam Roller"/>
    <x v="0"/>
    <n v="212.02"/>
    <n v="1874.9"/>
    <n v="281.23500000000001"/>
    <x v="615"/>
    <n v="1060.1000000000001"/>
    <x v="613"/>
    <n v="0.33480373855233053"/>
    <n v="2025"/>
    <x v="5"/>
    <s v="juin"/>
    <s v="Q2"/>
    <s v="Quebec"/>
    <n v="0"/>
  </r>
  <r>
    <s v="ORD-2025-00617"/>
    <d v="2025-11-25T00:00:00"/>
    <s v="C0112"/>
    <s v="P1001"/>
    <s v="Ava Bennett, Halifax, Consumer"/>
    <s v="Online Fulfillment"/>
    <s v="L. Chen"/>
    <s v="Retail Store"/>
    <n v="2"/>
    <n v="375.13"/>
    <n v="0.1"/>
    <s v="Credit Card"/>
    <n v="1"/>
    <s v="No"/>
    <s v="Retail Store"/>
    <s v="P1001"/>
    <s v="C0112"/>
    <s v="Online Fulfillment"/>
    <s v="Credit Card"/>
    <n v="1"/>
    <s v="Ava Bennett"/>
    <s v="Halifax"/>
    <s v="Consumer"/>
    <s v="Headphones"/>
    <x v="4"/>
    <n v="254.6"/>
    <n v="750.26"/>
    <n v="75.025999999999996"/>
    <x v="616"/>
    <n v="509.2"/>
    <x v="614"/>
    <n v="0.24589105406422077"/>
    <n v="2025"/>
    <x v="8"/>
    <s v="novembre"/>
    <s v="Q4"/>
    <s v="Nova Scotia"/>
    <n v="0"/>
  </r>
  <r>
    <s v="ORD-2025-00618"/>
    <d v="2025-10-08T00:00:00"/>
    <s v="C0113"/>
    <s v="P1032"/>
    <s v="Olivia Johnson, Surrey, Consumer"/>
    <s v="Montreal Central"/>
    <s v="J. Tremblay"/>
    <s v="Online"/>
    <n v="2"/>
    <n v="198.16"/>
    <n v="0.25"/>
    <s v="Credit Card"/>
    <n v="1"/>
    <s v="No"/>
    <s v="Online"/>
    <s v="P1032"/>
    <s v="C0113"/>
    <s v="Montreal Central"/>
    <s v="Credit Card"/>
    <n v="1"/>
    <s v="Olivia Johnson"/>
    <s v="Surrey"/>
    <s v="Consumer"/>
    <s v="Gym Bag"/>
    <x v="0"/>
    <n v="132.72"/>
    <n v="396.32"/>
    <n v="99.08"/>
    <x v="617"/>
    <n v="265.44"/>
    <x v="615"/>
    <n v="0.10698425514735571"/>
    <n v="2025"/>
    <x v="11"/>
    <s v="octobre"/>
    <s v="Q4"/>
    <s v="British Columbia"/>
    <n v="0"/>
  </r>
  <r>
    <s v="ORD-2025-00619"/>
    <d v="2025-03-09T00:00:00"/>
    <s v="C0032"/>
    <s v="P1019"/>
    <s v="Nora Bennett, Surrey, Consumer"/>
    <s v="Calgary North"/>
    <s v="J. Tremblay"/>
    <s v="Retail Store"/>
    <n v="1"/>
    <n v="262.02999999999997"/>
    <n v="0.2"/>
    <s v="Debit Card"/>
    <n v="3"/>
    <s v="No"/>
    <s v="Retail Store"/>
    <s v="P1019"/>
    <s v="C0032"/>
    <s v="Calgary North"/>
    <s v="Debit Card"/>
    <n v="1"/>
    <s v="Nora Bennett"/>
    <s v="Surrey"/>
    <s v="Consumer"/>
    <s v="Vacuum"/>
    <x v="2"/>
    <n v="186.94"/>
    <n v="262.02999999999997"/>
    <n v="52.405999999999999"/>
    <x v="618"/>
    <n v="186.94"/>
    <x v="616"/>
    <n v="0.10821280006106158"/>
    <n v="2025"/>
    <x v="4"/>
    <s v="mars"/>
    <s v="Q1"/>
    <s v="British Columbia"/>
    <n v="0"/>
  </r>
  <r>
    <s v="ORD-2025-00620"/>
    <d v="2025-01-19T00:00:00"/>
    <s v="C0114"/>
    <s v="P1040"/>
    <s v="Olivia Johnson, Ottawa, Consumer"/>
    <s v="Online Fulfillment"/>
    <s v="L. Chen"/>
    <s v="Online"/>
    <n v="4"/>
    <n v="302"/>
    <n v="0.05"/>
    <s v="PayPal"/>
    <n v="6"/>
    <s v="No"/>
    <s v="Online"/>
    <s v="P1040"/>
    <s v="C0114"/>
    <s v="Online Fulfillment"/>
    <s v="Paypal"/>
    <n v="1"/>
    <s v="Olivia Johnson"/>
    <s v="Ottawa"/>
    <s v="Consumer"/>
    <s v="Desk Pad"/>
    <x v="1"/>
    <n v="177.57"/>
    <n v="1208"/>
    <n v="60.400000000000006"/>
    <x v="619"/>
    <n v="710.28"/>
    <x v="617"/>
    <n v="0.38107354478912508"/>
    <n v="2025"/>
    <x v="3"/>
    <s v="janvier"/>
    <s v="Q1"/>
    <s v="Ontario"/>
    <n v="0"/>
  </r>
  <r>
    <s v="ORD-2025-00621"/>
    <d v="2025-06-19T00:00:00"/>
    <s v="C0067"/>
    <s v="P1018"/>
    <s v="Leo Bennett, Mississauga, Consumer"/>
    <s v="Vancouver West"/>
    <s v="M. Wilson"/>
    <s v="Marketplace"/>
    <n v="2"/>
    <n v="28.79"/>
    <n v="0.05"/>
    <s v="PayPal"/>
    <n v="4"/>
    <s v="No"/>
    <s v="Marketplace"/>
    <s v="P1018"/>
    <s v="C0067"/>
    <s v="Vancouver West"/>
    <s v="Paypal"/>
    <n v="1"/>
    <s v="Leo Bennett"/>
    <s v="Mississauga"/>
    <s v="Consumer"/>
    <s v="Air Fryer"/>
    <x v="2"/>
    <n v="14.58"/>
    <n v="57.58"/>
    <n v="2.879"/>
    <x v="620"/>
    <n v="29.16"/>
    <x v="618"/>
    <n v="0.4669201659933091"/>
    <n v="2025"/>
    <x v="5"/>
    <s v="juin"/>
    <s v="Q2"/>
    <s v="Ontario"/>
    <n v="0"/>
  </r>
  <r>
    <s v="ORD-2025-00622"/>
    <d v="2025-04-02T00:00:00"/>
    <s v="C0052"/>
    <s v="P1028"/>
    <s v="Liam Bennett, Edmonton, Corporate"/>
    <s v="Vancouver West"/>
    <s v="J. Tremblay"/>
    <s v="Marketplace"/>
    <n v="1"/>
    <n v="342.07"/>
    <n v="0.05"/>
    <s v="Credit Card"/>
    <n v="9"/>
    <s v="No"/>
    <s v="Marketplace"/>
    <s v="P1028"/>
    <s v="C0052"/>
    <s v="Vancouver West"/>
    <s v="Credit Card"/>
    <n v="1"/>
    <s v="Liam Bennett"/>
    <s v="Edmonton"/>
    <s v="Corporate"/>
    <s v="Foam Roller"/>
    <x v="0"/>
    <n v="212.02"/>
    <n v="342.07"/>
    <n v="17.1035"/>
    <x v="621"/>
    <n v="212.02"/>
    <x v="619"/>
    <n v="0.34756351808571034"/>
    <n v="2025"/>
    <x v="9"/>
    <s v="avril"/>
    <s v="Q2"/>
    <s v="Alberta"/>
    <n v="0"/>
  </r>
  <r>
    <s v="ORD-2025-00623"/>
    <d v="2025-12-19T00:00:00"/>
    <s v="C0065"/>
    <s v="P1002"/>
    <s v="Mia Wilson, Quebec City, Consumer"/>
    <s v="Online Fulfillment"/>
    <s v="L. Chen"/>
    <s v="Online"/>
    <n v="2"/>
    <n v="38.06"/>
    <n v="0"/>
    <s v="Gift  Card"/>
    <n v="5"/>
    <s v="No"/>
    <s v="Online"/>
    <s v="P1002"/>
    <s v="C0065"/>
    <s v="Online Fulfillment"/>
    <s v="Gift Card"/>
    <n v="1"/>
    <s v="Mia Wilson"/>
    <s v="Quebec City"/>
    <s v="Consumer"/>
    <s v="Keyboard"/>
    <x v="4"/>
    <n v="23.5"/>
    <n v="76.12"/>
    <n v="0"/>
    <x v="622"/>
    <n v="47"/>
    <x v="620"/>
    <n v="0.38255386232264849"/>
    <n v="2025"/>
    <x v="6"/>
    <s v="décembre"/>
    <s v="Q4"/>
    <s v="Quebec"/>
    <n v="0"/>
  </r>
  <r>
    <s v="ORD-2025-00624"/>
    <d v="2025-01-05T00:00:00"/>
    <s v="C0112"/>
    <s v="P1003"/>
    <s v="Ava Bennett , Halifax , Consumer"/>
    <s v="Calgary North"/>
    <s v="N. Brown"/>
    <s v="Retail Store"/>
    <n v="4"/>
    <n v="155.75"/>
    <n v="0.1"/>
    <s v="Credit Card"/>
    <n v="1"/>
    <s v="No"/>
    <s v="Retail Store"/>
    <s v="P1003"/>
    <s v="C0112"/>
    <s v="Calgary North"/>
    <s v="Credit Card"/>
    <n v="1"/>
    <s v="Ava Bennett"/>
    <s v="Halifax"/>
    <s v="Consumer"/>
    <s v="Mouse"/>
    <x v="4"/>
    <n v="106.4"/>
    <n v="623"/>
    <n v="62.300000000000004"/>
    <x v="623"/>
    <n v="425.6"/>
    <x v="621"/>
    <n v="0.24094881398252188"/>
    <n v="2025"/>
    <x v="3"/>
    <s v="janvier"/>
    <s v="Q1"/>
    <s v="Nova Scotia"/>
    <n v="0"/>
  </r>
  <r>
    <s v="ORD-2025-00625"/>
    <d v="2025-05-09T00:00:00"/>
    <s v="C0096"/>
    <s v="P1016"/>
    <s v="Ryan Roy, Laval, Corporate"/>
    <s v="Montreal Central"/>
    <s v="M. Wilson"/>
    <s v="Online"/>
    <n v="4"/>
    <n v="319.06"/>
    <n v="0.1"/>
    <s v="Credit Card"/>
    <n v="2"/>
    <s v="No"/>
    <s v="Online"/>
    <s v="P1016"/>
    <s v="C0096"/>
    <s v="Montreal Central"/>
    <s v="Credit Card"/>
    <n v="1"/>
    <s v="Ryan Roy"/>
    <s v="Laval"/>
    <s v="Corporate"/>
    <s v="Printer"/>
    <x v="3"/>
    <n v="156.75"/>
    <n v="1276.24"/>
    <n v="127.62400000000001"/>
    <x v="624"/>
    <n v="627"/>
    <x v="622"/>
    <n v="0.45412566079525274"/>
    <n v="2025"/>
    <x v="1"/>
    <s v="mai"/>
    <s v="Q2"/>
    <s v="Quebec"/>
    <n v="0"/>
  </r>
  <r>
    <s v="ORD-2025-00626"/>
    <d v="2025-08-24T00:00:00"/>
    <s v="C0095"/>
    <s v="P1004"/>
    <s v="Maya White , Quebec City , Corporate"/>
    <s v="Montreal Central"/>
    <s v="E. Roy"/>
    <s v="Online"/>
    <n v="2"/>
    <n v="296.08"/>
    <n v="0"/>
    <s v="Credit Card"/>
    <n v="1"/>
    <s v="No"/>
    <s v="Online"/>
    <s v="P1004"/>
    <s v="C0095"/>
    <s v="Montreal Central"/>
    <s v="Credit Card"/>
    <n v="1"/>
    <s v="Maya White"/>
    <s v="Quebec City"/>
    <s v="Corporate"/>
    <s v="Webcam"/>
    <x v="4"/>
    <n v="154.72999999999999"/>
    <n v="592.16"/>
    <n v="0"/>
    <x v="625"/>
    <n v="309.45999999999998"/>
    <x v="623"/>
    <n v="0.47740475547149419"/>
    <n v="2025"/>
    <x v="7"/>
    <s v="août"/>
    <s v="Q3"/>
    <s v="Quebec"/>
    <n v="0"/>
  </r>
  <r>
    <s v="ORD-2025-00627"/>
    <d v="2025-05-03T00:00:00"/>
    <s v="C0060"/>
    <s v="P1001"/>
    <s v="Sarah Wilson, Quebec City, Corporate"/>
    <s v="Vancouver West"/>
    <s v="M. Wilson"/>
    <s v="Retail Store"/>
    <n v="1"/>
    <n v="376.61"/>
    <n v="0.05"/>
    <s v="Debit Card"/>
    <n v="1"/>
    <s v="No"/>
    <s v="Retail Store"/>
    <s v="P1001"/>
    <s v="C0060"/>
    <s v="Vancouver West"/>
    <s v="Debit Card"/>
    <n v="1"/>
    <s v="Sarah Wilson"/>
    <s v="Quebec City"/>
    <s v="Corporate"/>
    <s v="Headphones"/>
    <x v="4"/>
    <n v="254.6"/>
    <n v="376.61"/>
    <n v="18.830500000000001"/>
    <x v="626"/>
    <n v="254.6"/>
    <x v="624"/>
    <n v="0.28838851862669601"/>
    <n v="2025"/>
    <x v="1"/>
    <s v="mai"/>
    <s v="Q2"/>
    <s v="Quebec"/>
    <n v="0"/>
  </r>
  <r>
    <s v="ORD-2025-00628"/>
    <d v="2025-05-14T00:00:00"/>
    <s v="C0028"/>
    <s v="P1037"/>
    <s v="Mia Clark, Victoria, Consumer"/>
    <s v="Vancouver West"/>
    <s v="A. Morgan"/>
    <s v="Retail Store"/>
    <n v="2"/>
    <n v="364.47"/>
    <n v="0.25"/>
    <s v="Credit Card"/>
    <n v="4"/>
    <s v="No"/>
    <s v="Retail Store"/>
    <s v="P1037"/>
    <s v="C0028"/>
    <s v="Vancouver West"/>
    <s v="Credit Card"/>
    <n v="1"/>
    <s v="Mia Clark"/>
    <s v="Victoria"/>
    <s v="Consumer"/>
    <s v="Cable Set"/>
    <x v="1"/>
    <n v="200.16"/>
    <n v="728.94"/>
    <n v="182.23500000000001"/>
    <x v="627"/>
    <n v="400.32"/>
    <x v="625"/>
    <n v="0.26775866326446629"/>
    <n v="2025"/>
    <x v="1"/>
    <s v="mai"/>
    <s v="Q2"/>
    <s v="British Columbia"/>
    <n v="0"/>
  </r>
  <r>
    <s v="ORD-2025-00629"/>
    <d v="2025-04-02T00:00:00"/>
    <s v="C0083"/>
    <s v="P1009"/>
    <s v="Amine King , Edmonton , Consumer"/>
    <s v="Calgary North"/>
    <s v="N. Brown"/>
    <s v="Online"/>
    <n v="2"/>
    <n v="309.31"/>
    <n v="0.2"/>
    <s v="PayPal"/>
    <n v="1"/>
    <s v="No"/>
    <s v="Online"/>
    <s v="P1009"/>
    <s v="C0083"/>
    <s v="Calgary North"/>
    <s v="Paypal"/>
    <n v="1"/>
    <s v="Amine King"/>
    <s v="Edmonton"/>
    <s v="Consumer"/>
    <s v="Notebook"/>
    <x v="3"/>
    <n v="176.13"/>
    <n v="618.62"/>
    <n v="123.724"/>
    <x v="628"/>
    <n v="352.26"/>
    <x v="626"/>
    <n v="0.28821408942484888"/>
    <n v="2025"/>
    <x v="9"/>
    <s v="avril"/>
    <s v="Q2"/>
    <s v="Alberta"/>
    <n v="0"/>
  </r>
  <r>
    <s v="ORD-2025-00630"/>
    <d v="2025-10-23T00:00:00"/>
    <s v="C0037"/>
    <s v="P1037"/>
    <s v="Lucas Scott, Victoria, Small Business"/>
    <s v="Online Fulfillment"/>
    <s v="E. Roy"/>
    <s v="Online"/>
    <n v="1"/>
    <n v="370.32"/>
    <n v="0"/>
    <s v="Debit Card"/>
    <n v="5"/>
    <s v="No"/>
    <s v="Online"/>
    <s v="P1037"/>
    <s v="C0037"/>
    <s v="Online Fulfillment"/>
    <s v="Debit Card"/>
    <n v="1"/>
    <s v="Lucas Scott"/>
    <s v="Victoria"/>
    <s v="Small Business"/>
    <s v="Cable Set"/>
    <x v="1"/>
    <n v="200.16"/>
    <n v="370.32"/>
    <n v="0"/>
    <x v="629"/>
    <n v="200.16"/>
    <x v="627"/>
    <n v="0.4594944912508101"/>
    <n v="2025"/>
    <x v="11"/>
    <s v="octobre"/>
    <s v="Q4"/>
    <s v="British Columbia"/>
    <n v="0"/>
  </r>
  <r>
    <s v="ORD-2025-00631"/>
    <d v="2025-02-10T00:00:00"/>
    <s v="C0002"/>
    <s v="P1009"/>
    <s v="Ryan Johnson, Montreal, Small Business"/>
    <s v="Online Fulfillment"/>
    <s v="E. Roy"/>
    <s v="Retail Store"/>
    <n v="1"/>
    <n v="295.52"/>
    <n v="0"/>
    <s v="Debit Card"/>
    <n v="3"/>
    <s v="No"/>
    <s v="Retail Store"/>
    <s v="P1009"/>
    <s v="C0002"/>
    <s v="Online Fulfillment"/>
    <s v="Debit Card"/>
    <n v="1"/>
    <s v="Ryan Johnson"/>
    <s v="Montreal"/>
    <s v="Small Business"/>
    <s v="Notebook"/>
    <x v="3"/>
    <n v="176.13"/>
    <n v="295.52"/>
    <n v="0"/>
    <x v="630"/>
    <n v="176.13"/>
    <x v="628"/>
    <n v="0.40399972929074174"/>
    <n v="2025"/>
    <x v="2"/>
    <s v="février"/>
    <s v="Q1"/>
    <s v="Quebec"/>
    <n v="0"/>
  </r>
  <r>
    <s v="ORD-2025-00632"/>
    <d v="2025-10-25T00:00:00"/>
    <s v="C0080"/>
    <s v="P1011"/>
    <s v="Sarah Smith, Mississauga, Corporate"/>
    <s v="Vancouver West"/>
    <s v="E. Roy"/>
    <s v="Retail Store"/>
    <n v="2"/>
    <n v="83.8"/>
    <n v="0.05"/>
    <s v="Credit Card"/>
    <n v="3"/>
    <s v="No"/>
    <s v="Retail Store"/>
    <s v="P1011"/>
    <s v="C0080"/>
    <s v="Vancouver West"/>
    <s v="Credit Card"/>
    <n v="1"/>
    <s v="Sarah Smith"/>
    <s v="Mississauga"/>
    <s v="Corporate"/>
    <s v="Office Chair"/>
    <x v="3"/>
    <n v="39.26"/>
    <n v="167.6"/>
    <n v="8.3800000000000008"/>
    <x v="631"/>
    <n v="78.52"/>
    <x v="629"/>
    <n v="0.5068458736339656"/>
    <n v="2025"/>
    <x v="11"/>
    <s v="octobre"/>
    <s v="Q4"/>
    <s v="Ontario"/>
    <n v="0"/>
  </r>
  <r>
    <s v="ORD-2025-00633"/>
    <d v="2025-01-03T00:00:00"/>
    <s v="C0038"/>
    <s v="P1019"/>
    <s v="Noah Brown , Montreal , Consumer"/>
    <s v="Toronto Downtown"/>
    <s v="N. Brown"/>
    <s v="Online"/>
    <n v="1"/>
    <n v="258"/>
    <n v="0.2"/>
    <s v="Credit Card"/>
    <n v="8"/>
    <s v="No"/>
    <s v="Online"/>
    <s v="P1019"/>
    <s v="C0038"/>
    <s v="Toronto Downtown"/>
    <s v="Credit Card"/>
    <n v="1"/>
    <s v="Noah Brown"/>
    <s v="Montreal"/>
    <s v="Consumer"/>
    <s v="Vacuum"/>
    <x v="2"/>
    <n v="186.94"/>
    <n v="258"/>
    <n v="51.6"/>
    <x v="632"/>
    <n v="186.94"/>
    <x v="630"/>
    <n v="9.4282945736434143E-2"/>
    <n v="2025"/>
    <x v="3"/>
    <s v="janvier"/>
    <s v="Q1"/>
    <s v="Quebec"/>
    <n v="0"/>
  </r>
  <r>
    <s v="ORD-2025-00634"/>
    <d v="2025-08-02T00:00:00"/>
    <s v="C0060"/>
    <s v="P1030"/>
    <s v="Sarah Wilson, Quebec City, Corporate"/>
    <s v="Montreal Central"/>
    <s v="N. Brown"/>
    <s v="Online"/>
    <n v="1"/>
    <n v="247.09"/>
    <n v="0.1"/>
    <s v="Credit Card"/>
    <n v="4"/>
    <s v="No"/>
    <s v="Online"/>
    <s v="P1030"/>
    <s v="C0060"/>
    <s v="Montreal Central"/>
    <s v="Credit Card"/>
    <n v="1"/>
    <s v="Sarah Wilson"/>
    <s v="Quebec City"/>
    <s v="Corporate"/>
    <s v="Pull-up Bar"/>
    <x v="0"/>
    <n v="125.4"/>
    <n v="247.09"/>
    <n v="24.709000000000003"/>
    <x v="633"/>
    <n v="125.4"/>
    <x v="631"/>
    <n v="0.43610290447475275"/>
    <n v="2025"/>
    <x v="7"/>
    <s v="août"/>
    <s v="Q3"/>
    <s v="Quebec"/>
    <n v="0"/>
  </r>
  <r>
    <s v="ORD-2025-00635"/>
    <d v="2025-08-15T00:00:00"/>
    <s v="C0104"/>
    <s v="P1029"/>
    <s v="Ava Scott , Edmonton , Corporate"/>
    <s v="Toronto Downtown"/>
    <s v="L. Chen"/>
    <s v="Online"/>
    <n v="3"/>
    <n v="212.15"/>
    <n v="0.05"/>
    <s v="Credit Card"/>
    <n v="1"/>
    <s v="No"/>
    <s v="Online"/>
    <s v="P1029"/>
    <s v="C0104"/>
    <s v="Toronto Downtown"/>
    <s v="Credit Card"/>
    <n v="1"/>
    <s v="Ava Scott"/>
    <s v="Edmonton"/>
    <s v="Corporate"/>
    <s v="Jump Rope"/>
    <x v="0"/>
    <n v="101"/>
    <n v="636.45000000000005"/>
    <n v="31.822500000000005"/>
    <x v="634"/>
    <n v="303"/>
    <x v="632"/>
    <n v="0.49886500365927788"/>
    <n v="2025"/>
    <x v="7"/>
    <s v="août"/>
    <s v="Q3"/>
    <s v="Alberta"/>
    <n v="0"/>
  </r>
  <r>
    <s v="ORD-2025-00636"/>
    <d v="2025-07-15T00:00:00"/>
    <s v="C0017"/>
    <s v="P1008"/>
    <s v="Yasmine Khan, Mississauga, Corporate"/>
    <s v="Vancouver West"/>
    <s v="S. Patel"/>
    <s v="Online"/>
    <n v="1"/>
    <n v="139.57"/>
    <n v="0.25"/>
    <s v="Credit Card"/>
    <n v="7"/>
    <s v="No"/>
    <s v="Online"/>
    <s v="P1008"/>
    <s v="C0017"/>
    <s v="Vancouver West"/>
    <s v="Credit Card"/>
    <n v="1"/>
    <s v="Yasmine Khan"/>
    <s v="Mississauga"/>
    <s v="Corporate"/>
    <s v="Smart Speaker"/>
    <x v="4"/>
    <n v="69"/>
    <n v="139.57"/>
    <n v="34.892499999999998"/>
    <x v="635"/>
    <n v="69"/>
    <x v="633"/>
    <n v="0.34083255713978644"/>
    <n v="2025"/>
    <x v="10"/>
    <s v="juillet"/>
    <s v="Q3"/>
    <s v="Ontario"/>
    <n v="0"/>
  </r>
  <r>
    <s v="ORD-2025-00637"/>
    <d v="2025-10-16T00:00:00"/>
    <s v="C0049"/>
    <s v="P1008"/>
    <s v="Olivia Scott, Quebec City, Consumer"/>
    <s v="Montreal Central"/>
    <s v="E. Roy"/>
    <s v="Online"/>
    <n v="3"/>
    <n v="138.75"/>
    <n v="0.25"/>
    <s v="Credit Card"/>
    <n v="8"/>
    <s v="Yes"/>
    <s v="Online"/>
    <s v="P1008"/>
    <s v="C0049"/>
    <s v="Montreal Central"/>
    <s v="Credit Card"/>
    <n v="1"/>
    <s v="Olivia Scott"/>
    <s v="Quebec City"/>
    <s v="Consumer"/>
    <s v="Smart Speaker"/>
    <x v="4"/>
    <n v="69"/>
    <n v="416.25"/>
    <n v="104.0625"/>
    <x v="636"/>
    <n v="207"/>
    <x v="634"/>
    <n v="0.33693693693693694"/>
    <n v="2025"/>
    <x v="11"/>
    <s v="octobre"/>
    <s v="Q4"/>
    <s v="Quebec"/>
    <n v="1"/>
  </r>
  <r>
    <s v="ORD-2025-00638"/>
    <d v="2025-08-29T00:00:00"/>
    <s v="C0022"/>
    <s v="P1039"/>
    <s v="Adam White, Victoria, Consumer"/>
    <s v="Online Fulfillment"/>
    <s v="S. Patel"/>
    <s v="Online"/>
    <n v="4"/>
    <n v="346.87"/>
    <n v="0.05"/>
    <s v="Credit Card"/>
    <n v="2"/>
    <s v="No"/>
    <s v="Online"/>
    <s v="P1039"/>
    <s v="C0022"/>
    <s v="Online Fulfillment"/>
    <s v="Credit Card"/>
    <n v="1"/>
    <s v="Adam White"/>
    <s v="Victoria"/>
    <s v="Consumer"/>
    <s v="Travel Adapter"/>
    <x v="1"/>
    <n v="229.86"/>
    <n v="1387.48"/>
    <n v="69.374000000000009"/>
    <x v="637"/>
    <n v="919.44"/>
    <x v="635"/>
    <n v="0.30245367216293678"/>
    <n v="2025"/>
    <x v="7"/>
    <s v="août"/>
    <s v="Q3"/>
    <s v="British Columbia"/>
    <n v="0"/>
  </r>
  <r>
    <s v="ORD-2025-00639"/>
    <d v="2025-12-06T00:00:00"/>
    <s v="C0100"/>
    <s v="P1021"/>
    <s v="Yasmine Smith, Mississauga, Consumer"/>
    <s v="Montreal Central"/>
    <s v="S. Patel"/>
    <s v="Online"/>
    <n v="3"/>
    <n v="312.94"/>
    <n v="0.1"/>
    <s v="Debit Card"/>
    <n v="1"/>
    <s v="No"/>
    <s v="Online"/>
    <s v="P1021"/>
    <s v="C0100"/>
    <s v="Montreal Central"/>
    <s v="Debit Card"/>
    <n v="1"/>
    <s v="Yasmine Smith"/>
    <s v="Mississauga"/>
    <s v="Consumer"/>
    <s v="Kettle"/>
    <x v="2"/>
    <n v="139.86000000000001"/>
    <n v="938.81999999999994"/>
    <n v="93.882000000000005"/>
    <x v="638"/>
    <n v="419.58000000000004"/>
    <x v="636"/>
    <n v="0.50341918578641265"/>
    <n v="2025"/>
    <x v="6"/>
    <s v="décembre"/>
    <s v="Q4"/>
    <s v="Ontario"/>
    <n v="0"/>
  </r>
  <r>
    <s v="ORD-2025-00640"/>
    <d v="2025-04-07T00:00:00"/>
    <s v="C0014"/>
    <s v="P1010"/>
    <s v="Zoe Scott, Montreal, Small Business"/>
    <s v="Online Fulfillment"/>
    <s v="J. Tremblay"/>
    <s v="Retail Store"/>
    <n v="2"/>
    <n v="215.98"/>
    <n v="0.05"/>
    <s v="PayPal"/>
    <n v="4"/>
    <s v="No"/>
    <s v="Retail Store"/>
    <s v="P1010"/>
    <s v="C0014"/>
    <s v="Online Fulfillment"/>
    <s v="Paypal"/>
    <n v="1"/>
    <s v="Zoe Scott"/>
    <s v="Montreal"/>
    <s v="Small Business"/>
    <s v="Desk Lamp"/>
    <x v="3"/>
    <n v="127.21"/>
    <n v="431.96"/>
    <n v="21.597999999999999"/>
    <x v="639"/>
    <n v="254.42"/>
    <x v="637"/>
    <n v="0.38001081971527578"/>
    <n v="2025"/>
    <x v="9"/>
    <s v="avril"/>
    <s v="Q2"/>
    <s v="Quebec"/>
    <n v="0"/>
  </r>
  <r>
    <s v="ORD-2025-00641"/>
    <d v="2025-01-27T00:00:00"/>
    <s v="C0101"/>
    <s v="P1037"/>
    <s v="Noah Martin, Saskatoon, Small Business"/>
    <s v="Calgary North"/>
    <s v="M. Wilson"/>
    <s v="Retail Store"/>
    <n v="3"/>
    <n v="366.11"/>
    <n v="0"/>
    <s v="Credit Card"/>
    <n v="4"/>
    <s v="No"/>
    <s v="Retail Store"/>
    <s v="P1037"/>
    <s v="C0101"/>
    <s v="Calgary North"/>
    <s v="Credit Card"/>
    <n v="1"/>
    <s v="Noah Martin"/>
    <s v="Saskatoon"/>
    <s v="Small Business"/>
    <s v="Cable Set"/>
    <x v="1"/>
    <n v="200.16"/>
    <n v="1098.33"/>
    <n v="0"/>
    <x v="640"/>
    <n v="600.48"/>
    <x v="638"/>
    <n v="0.45327906913222799"/>
    <n v="2025"/>
    <x v="3"/>
    <s v="janvier"/>
    <s v="Q1"/>
    <s v="Saskatchewan"/>
    <n v="0"/>
  </r>
  <r>
    <s v="ORD-2025-00642"/>
    <d v="2025-02-15T00:00:00"/>
    <s v="C0105"/>
    <s v="P1013"/>
    <s v="Liam Martin, Calgary, Consumer"/>
    <s v="Toronto Downtown"/>
    <s v="A. Morgan"/>
    <s v="Retail Store"/>
    <n v="1"/>
    <n v="122.63"/>
    <n v="0"/>
    <s v="Credit Card"/>
    <n v="4"/>
    <s v="No"/>
    <s v="Retail Store"/>
    <s v="P1013"/>
    <s v="C0105"/>
    <s v="Toronto Downtown"/>
    <s v="Credit Card"/>
    <n v="1"/>
    <s v="Liam Martin"/>
    <s v="Calgary"/>
    <s v="Consumer"/>
    <s v="Whiteboard"/>
    <x v="3"/>
    <n v="85.73"/>
    <n v="122.63"/>
    <n v="0"/>
    <x v="641"/>
    <n v="85.73"/>
    <x v="639"/>
    <n v="0.30090516186903687"/>
    <n v="2025"/>
    <x v="2"/>
    <s v="février"/>
    <s v="Q1"/>
    <s v="Alberta"/>
    <n v="0"/>
  </r>
  <r>
    <s v="ORD-2025-00643"/>
    <d v="2025-12-14T00:00:00"/>
    <s v="C0102"/>
    <s v="P1001"/>
    <s v="Adam Roy , Edmonton , Corporate"/>
    <s v="Montreal Central"/>
    <s v="N. Brown"/>
    <s v="Online"/>
    <n v="1"/>
    <n v="379.66"/>
    <n v="0"/>
    <s v="PayPal"/>
    <n v="5"/>
    <s v="No"/>
    <s v="Online"/>
    <s v="P1001"/>
    <s v="C0102"/>
    <s v="Montreal Central"/>
    <s v="Paypal"/>
    <n v="1"/>
    <s v="Adam Roy"/>
    <s v="Edmonton"/>
    <s v="Corporate"/>
    <s v="Headphones"/>
    <x v="4"/>
    <n v="254.6"/>
    <n v="379.66"/>
    <n v="0"/>
    <x v="642"/>
    <n v="254.6"/>
    <x v="640"/>
    <n v="0.32939998946425753"/>
    <n v="2025"/>
    <x v="6"/>
    <s v="décembre"/>
    <s v="Q4"/>
    <s v="Alberta"/>
    <n v="0"/>
  </r>
  <r>
    <s v="ORD-2025-00644"/>
    <d v="2025-01-28T00:00:00"/>
    <s v="C0031"/>
    <s v="P1003"/>
    <s v="Leo Gagnon , Surrey , Small Business"/>
    <s v="Toronto Downtown"/>
    <s v="L. Chen"/>
    <s v="Online"/>
    <n v="2"/>
    <n v="164.07"/>
    <n v="0"/>
    <s v="Credit Card"/>
    <n v="5"/>
    <s v="No"/>
    <s v="Online"/>
    <s v="P1003"/>
    <s v="C0031"/>
    <s v="Toronto Downtown"/>
    <s v="Credit Card"/>
    <n v="1"/>
    <s v="Leo Gagnon"/>
    <s v="Surrey"/>
    <s v="Small Business"/>
    <s v="Mouse"/>
    <x v="4"/>
    <n v="106.4"/>
    <n v="328.14"/>
    <n v="0"/>
    <x v="643"/>
    <n v="212.8"/>
    <x v="641"/>
    <n v="0.35149631254952146"/>
    <n v="2025"/>
    <x v="3"/>
    <s v="janvier"/>
    <s v="Q1"/>
    <s v="British Columbia"/>
    <n v="0"/>
  </r>
  <r>
    <s v="ORD-2025-00645"/>
    <d v="2025-06-09T00:00:00"/>
    <s v="C0067"/>
    <s v="P1032"/>
    <s v="Leo Bennett, Mississauga, Consumer"/>
    <s v="Vancouver West"/>
    <s v="E. Roy"/>
    <s v="Online"/>
    <n v="3"/>
    <n v="205.35"/>
    <n v="0.1"/>
    <s v="Credit Card"/>
    <n v="6"/>
    <s v="No"/>
    <s v="Online"/>
    <s v="P1032"/>
    <s v="C0067"/>
    <s v="Vancouver West"/>
    <s v="Credit Card"/>
    <n v="1"/>
    <s v="Leo Bennett"/>
    <s v="Mississauga"/>
    <s v="Consumer"/>
    <s v="Gym Bag"/>
    <x v="0"/>
    <n v="132.72"/>
    <n v="616.04999999999995"/>
    <n v="61.604999999999997"/>
    <x v="644"/>
    <n v="398.15999999999997"/>
    <x v="642"/>
    <n v="0.28187647106566022"/>
    <n v="2025"/>
    <x v="5"/>
    <s v="juin"/>
    <s v="Q2"/>
    <s v="Ontario"/>
    <n v="0"/>
  </r>
  <r>
    <s v="ORD-2025-00646"/>
    <d v="2025-09-06T00:00:00"/>
    <s v="C0084"/>
    <s v="P1003"/>
    <s v="Ryan Clark, Montreal, Corporate"/>
    <s v="Vancouver West"/>
    <s v="L. Chen"/>
    <s v="Online"/>
    <n v="2"/>
    <n v="163.54"/>
    <n v="0.1"/>
    <s v="Debit Card"/>
    <n v="4"/>
    <s v="No"/>
    <s v="Online"/>
    <s v="P1003"/>
    <s v="C0084"/>
    <s v="Vancouver West"/>
    <s v="Debit Card"/>
    <n v="1"/>
    <s v="Ryan Clark"/>
    <s v="Montreal"/>
    <s v="Corporate"/>
    <s v="Mouse"/>
    <x v="4"/>
    <n v="106.4"/>
    <n v="327.08"/>
    <n v="32.707999999999998"/>
    <x v="645"/>
    <n v="212.8"/>
    <x v="643"/>
    <n v="0.27710515945810049"/>
    <n v="2025"/>
    <x v="0"/>
    <s v="septembre"/>
    <s v="Q3"/>
    <s v="Quebec"/>
    <n v="0"/>
  </r>
  <r>
    <s v="ORD-2025-00647"/>
    <d v="2025-09-12T00:00:00"/>
    <s v="C0021"/>
    <s v="P1023"/>
    <s v="Nora King , Halifax , Corporate"/>
    <s v="Calgary North"/>
    <s v="R. Singh"/>
    <s v="Retail Store"/>
    <n v="2"/>
    <n v="323.04000000000002"/>
    <n v="0.05"/>
    <s v="Debit Card"/>
    <n v="1"/>
    <s v="No"/>
    <s v="Retail Store"/>
    <s v="P1023"/>
    <s v="C0021"/>
    <s v="Calgary North"/>
    <s v="Debit Card"/>
    <n v="1"/>
    <s v="Nora King"/>
    <s v="Halifax"/>
    <s v="Corporate"/>
    <s v="Toaster"/>
    <x v="2"/>
    <n v="152.88"/>
    <n v="646.08000000000004"/>
    <n v="32.304000000000002"/>
    <x v="646"/>
    <n v="305.76"/>
    <x v="644"/>
    <n v="0.50183780401970757"/>
    <n v="2025"/>
    <x v="0"/>
    <s v="septembre"/>
    <s v="Q3"/>
    <s v="Nova Scotia"/>
    <n v="0"/>
  </r>
  <r>
    <s v="ORD-2025-00648"/>
    <d v="2025-05-10T00:00:00"/>
    <s v="C0062"/>
    <s v="P1039"/>
    <s v="Yasmine Scott, Toronto, Consumer"/>
    <s v="Vancouver West"/>
    <s v="J. Tremblay"/>
    <s v="Online"/>
    <n v="2"/>
    <n v="336.56"/>
    <n v="0.25"/>
    <s v="Gift Card"/>
    <n v="6"/>
    <s v="No"/>
    <s v="Online"/>
    <s v="P1039"/>
    <s v="C0062"/>
    <s v="Vancouver West"/>
    <s v="Gift Card"/>
    <n v="1"/>
    <s v="Yasmine Scott"/>
    <s v="Toronto"/>
    <s v="Consumer"/>
    <s v="Travel Adapter"/>
    <x v="1"/>
    <n v="229.86"/>
    <n v="673.12"/>
    <n v="168.28"/>
    <x v="647"/>
    <n v="459.72"/>
    <x v="645"/>
    <n v="8.9374851438079397E-2"/>
    <n v="2025"/>
    <x v="1"/>
    <s v="mai"/>
    <s v="Q2"/>
    <s v="Ontario"/>
    <n v="0"/>
  </r>
  <r>
    <s v="ORD-2025-00649"/>
    <d v="2025-12-15T00:00:00"/>
    <s v="C0030"/>
    <s v="P1031"/>
    <s v="Emma Lee, Calgary, Corporate"/>
    <s v="Toronto Downtown"/>
    <s v="S. Patel"/>
    <s v="Online"/>
    <n v="2"/>
    <n v="263.13"/>
    <n v="0"/>
    <s v="Credit Card"/>
    <n v="4"/>
    <s v="No"/>
    <s v="Online"/>
    <s v="P1031"/>
    <s v="C0030"/>
    <s v="Toronto Downtown"/>
    <s v="Credit Card"/>
    <n v="1"/>
    <s v="Emma Lee"/>
    <s v="Calgary"/>
    <s v="Corporate"/>
    <s v="Dumbbell Set"/>
    <x v="0"/>
    <n v="131.72999999999999"/>
    <n v="526.26"/>
    <n v="0"/>
    <x v="648"/>
    <n v="263.45999999999998"/>
    <x v="646"/>
    <n v="0.4993729335309543"/>
    <n v="2025"/>
    <x v="6"/>
    <s v="décembre"/>
    <s v="Q4"/>
    <s v="Alberta"/>
    <n v="0"/>
  </r>
  <r>
    <s v="ORD-2025-00650"/>
    <d v="2025-04-06T00:00:00"/>
    <s v="C0086"/>
    <s v="P1013"/>
    <s v="Adam Gagnon , Winnipeg , Consumer"/>
    <s v="Online Fulfillment"/>
    <s v="S. Patel"/>
    <s v="Online"/>
    <n v="1"/>
    <n v="117.96"/>
    <n v="0"/>
    <s v="Credit Card"/>
    <n v="4"/>
    <s v="No"/>
    <s v="Online"/>
    <s v="P1013"/>
    <s v="C0086"/>
    <s v="Online Fulfillment"/>
    <s v="Credit Card"/>
    <n v="1"/>
    <s v="Adam Gagnon"/>
    <s v="Winnipeg"/>
    <s v="Consumer"/>
    <s v="Whiteboard"/>
    <x v="3"/>
    <n v="85.73"/>
    <n v="117.96"/>
    <n v="0"/>
    <x v="378"/>
    <n v="85.73"/>
    <x v="647"/>
    <n v="0.27322821295354349"/>
    <n v="2025"/>
    <x v="9"/>
    <s v="avril"/>
    <s v="Q2"/>
    <s v="Manitoba"/>
    <n v="0"/>
  </r>
  <r>
    <s v="ORD-2025-00651"/>
    <d v="2025-02-06T00:00:00"/>
    <s v="C0101"/>
    <s v="P1014"/>
    <s v="Noah Martin, Saskatoon, Small Business"/>
    <s v="Montreal  Central"/>
    <s v="M. Wilson"/>
    <s v="Online"/>
    <n v="1"/>
    <n v="246.22"/>
    <n v="0.25"/>
    <s v="Debit Card"/>
    <n v="2"/>
    <s v="No"/>
    <s v="Online"/>
    <s v="P1014"/>
    <s v="C0101"/>
    <s v="Montreal Central"/>
    <s v="Debit Card"/>
    <n v="1"/>
    <s v="Noah Martin"/>
    <s v="Saskatoon"/>
    <s v="Small Business"/>
    <s v="Document Shredder"/>
    <x v="3"/>
    <n v="117.65"/>
    <n v="246.22"/>
    <n v="61.555"/>
    <x v="649"/>
    <n v="117.65"/>
    <x v="648"/>
    <n v="0.36290038718760992"/>
    <n v="2025"/>
    <x v="2"/>
    <s v="février"/>
    <s v="Q1"/>
    <s v="Saskatchewan"/>
    <n v="0"/>
  </r>
  <r>
    <s v="ORD-2025-00652"/>
    <d v="2025-02-27T00:00:00"/>
    <s v="C0093"/>
    <s v="P1020"/>
    <s v="Ethan Roy, Winnipeg, Consumer"/>
    <s v="Online  Fulfillment"/>
    <s v="N. Brown"/>
    <s v="Online"/>
    <n v="1"/>
    <n v="69.75"/>
    <n v="0.05"/>
    <s v="Debit Card"/>
    <n v="4"/>
    <s v="No"/>
    <s v="Online"/>
    <s v="P1020"/>
    <s v="C0093"/>
    <s v="Online Fulfillment"/>
    <s v="Debit Card"/>
    <n v="1"/>
    <s v="Ethan Roy"/>
    <s v="Winnipeg"/>
    <s v="Consumer"/>
    <s v="Blender"/>
    <x v="2"/>
    <n v="37.46"/>
    <n v="69.75"/>
    <n v="3.4875000000000003"/>
    <x v="650"/>
    <n v="37.46"/>
    <x v="649"/>
    <n v="0.43467270326353519"/>
    <n v="2025"/>
    <x v="2"/>
    <s v="février"/>
    <s v="Q1"/>
    <s v="Manitoba"/>
    <n v="0"/>
  </r>
  <r>
    <s v="ORD-2025-00653"/>
    <d v="2025-05-15T00:00:00"/>
    <s v="C0092"/>
    <s v="P1001"/>
    <s v="Lucas Tremblay, Saskatoon, Consumer"/>
    <s v="Online Fulfillment"/>
    <s v="E. Roy"/>
    <s v="Online"/>
    <n v="3"/>
    <n v="354.76"/>
    <n v="0.15"/>
    <s v="Credit Card"/>
    <n v="3"/>
    <s v="No"/>
    <s v="Online"/>
    <s v="P1001"/>
    <s v="C0092"/>
    <s v="Online Fulfillment"/>
    <s v="Credit Card"/>
    <n v="1"/>
    <s v="Lucas Tremblay"/>
    <s v="Saskatoon"/>
    <s v="Consumer"/>
    <s v="Headphones"/>
    <x v="4"/>
    <n v="254.6"/>
    <n v="1064.28"/>
    <n v="159.642"/>
    <x v="651"/>
    <n v="763.8"/>
    <x v="650"/>
    <n v="0.15568437319679251"/>
    <n v="2025"/>
    <x v="1"/>
    <s v="mai"/>
    <s v="Q2"/>
    <s v="Saskatchewan"/>
    <n v="0"/>
  </r>
  <r>
    <s v="ORD-2025-00654"/>
    <d v="2025-03-31T00:00:00"/>
    <s v="C0047"/>
    <s v="P1004"/>
    <s v="Amine King, Victoria, Consumer"/>
    <s v="Montreal Central"/>
    <s v="N. Brown"/>
    <s v="Retail Store"/>
    <n v="1"/>
    <n v="272.07"/>
    <n v="0"/>
    <s v="Credit Card"/>
    <n v="3"/>
    <s v="No"/>
    <s v="Retail Store"/>
    <s v="P1004"/>
    <s v="C0047"/>
    <s v="Montreal Central"/>
    <s v="Credit Card"/>
    <n v="1"/>
    <s v="Amine King"/>
    <s v="Victoria"/>
    <s v="Consumer"/>
    <s v="Webcam"/>
    <x v="4"/>
    <n v="154.72999999999999"/>
    <n v="272.07"/>
    <n v="0"/>
    <x v="652"/>
    <n v="154.72999999999999"/>
    <x v="651"/>
    <n v="0.43128606608593378"/>
    <n v="2025"/>
    <x v="4"/>
    <s v="mars"/>
    <s v="Q1"/>
    <s v="British Columbia"/>
    <n v="0"/>
  </r>
  <r>
    <s v="ORD-2025-00655"/>
    <d v="2025-03-19T00:00:00"/>
    <s v="C0103"/>
    <s v="P1002"/>
    <s v="Zoe Singh, Saskatoon, Corporate"/>
    <s v="Calgary North"/>
    <s v="N. Brown"/>
    <s v="Online"/>
    <n v="1"/>
    <n v="38.159999999999997"/>
    <n v="0"/>
    <s v="PayPal"/>
    <n v="5"/>
    <s v="No"/>
    <s v="Online"/>
    <s v="P1002"/>
    <s v="C0103"/>
    <s v="Calgary North"/>
    <s v="Paypal"/>
    <n v="1"/>
    <s v="Zoe Singh"/>
    <s v="Saskatoon"/>
    <s v="Corporate"/>
    <s v="Keyboard"/>
    <x v="4"/>
    <n v="23.5"/>
    <n v="38.159999999999997"/>
    <n v="0"/>
    <x v="653"/>
    <n v="23.5"/>
    <x v="652"/>
    <n v="0.38417190775681337"/>
    <n v="2025"/>
    <x v="4"/>
    <s v="mars"/>
    <s v="Q1"/>
    <s v="Saskatchewan"/>
    <n v="0"/>
  </r>
  <r>
    <s v="ORD-2025-00656"/>
    <d v="2025-11-01T00:00:00"/>
    <s v="C0086"/>
    <s v="P1015"/>
    <s v="Adam Gagnon, Winnipeg, Consumer"/>
    <s v="Online Fulfillment"/>
    <s v="A. Morgan"/>
    <s v="Online"/>
    <n v="4"/>
    <n v="380.79"/>
    <n v="0.15"/>
    <s v="Credit Card"/>
    <n v="5"/>
    <s v="No"/>
    <s v="Online"/>
    <s v="P1015"/>
    <s v="C0086"/>
    <s v="Online Fulfillment"/>
    <s v="Credit Card"/>
    <n v="1"/>
    <s v="Adam Gagnon"/>
    <s v="Winnipeg"/>
    <s v="Consumer"/>
    <s v="Desk Organizer"/>
    <x v="3"/>
    <n v="235.76"/>
    <n v="1523.16"/>
    <n v="228.47400000000002"/>
    <x v="654"/>
    <n v="943.04"/>
    <x v="653"/>
    <n v="0.27160716961487197"/>
    <n v="2025"/>
    <x v="8"/>
    <s v="novembre"/>
    <s v="Q4"/>
    <s v="Manitoba"/>
    <n v="0"/>
  </r>
  <r>
    <s v="ORD-2025-00657"/>
    <d v="2025-12-15T00:00:00"/>
    <s v="C0097"/>
    <s v="P1007"/>
    <s v="Sarah Khan, Montreal, Consumer"/>
    <s v="Montreal Central"/>
    <s v="M. Wilson"/>
    <s v="Online"/>
    <n v="2"/>
    <n v="373.93"/>
    <n v="0"/>
    <s v="Credit Card"/>
    <n v="1"/>
    <s v="No"/>
    <s v="Online"/>
    <s v="P1007"/>
    <s v="C0097"/>
    <s v="Montreal Central"/>
    <s v="Credit Card"/>
    <n v="1"/>
    <s v="Sarah Khan"/>
    <s v="Montreal"/>
    <s v="Consumer"/>
    <s v="Monitor"/>
    <x v="4"/>
    <n v="224.47"/>
    <n v="747.86"/>
    <n v="0"/>
    <x v="655"/>
    <n v="448.94"/>
    <x v="654"/>
    <n v="0.39970047869922182"/>
    <n v="2025"/>
    <x v="6"/>
    <s v="décembre"/>
    <s v="Q4"/>
    <s v="Quebec"/>
    <n v="0"/>
  </r>
  <r>
    <s v="ORD-2025-00658"/>
    <d v="2025-06-08T00:00:00"/>
    <s v="C0070"/>
    <s v="P1028"/>
    <s v="Sophia Young, Halifax, Corporate"/>
    <s v="Toronto Downtown"/>
    <s v="M. Wilson"/>
    <s v="Online"/>
    <n v="2"/>
    <n v="375.09"/>
    <n v="0.05"/>
    <s v="Debit Card"/>
    <n v="1"/>
    <s v="No"/>
    <s v="Online"/>
    <s v="P1028"/>
    <s v="C0070"/>
    <s v="Toronto Downtown"/>
    <s v="Debit Card"/>
    <n v="1"/>
    <s v="Sophia Young"/>
    <s v="Halifax"/>
    <s v="Corporate"/>
    <s v="Foam Roller"/>
    <x v="0"/>
    <n v="212.02"/>
    <n v="750.18"/>
    <n v="37.509"/>
    <x v="656"/>
    <n v="424.04"/>
    <x v="655"/>
    <n v="0.40499894060513186"/>
    <n v="2025"/>
    <x v="5"/>
    <s v="juin"/>
    <s v="Q2"/>
    <s v="Nova Scotia"/>
    <n v="0"/>
  </r>
  <r>
    <s v="ORD-2025-00659"/>
    <d v="2025-10-08T00:00:00"/>
    <s v="C0060"/>
    <s v="P1011"/>
    <s v="Sarah Wilson, Quebec City, Corporate"/>
    <s v="Toronto Downtown"/>
    <s v="N. Brown"/>
    <s v="Online"/>
    <n v="1"/>
    <n v="80.88"/>
    <n v="0.05"/>
    <s v="Credit Card"/>
    <n v="6"/>
    <s v="Yes"/>
    <s v="Online"/>
    <s v="P1011"/>
    <s v="C0060"/>
    <s v="Toronto Downtown"/>
    <s v="Credit Card"/>
    <n v="1"/>
    <s v="Sarah Wilson"/>
    <s v="Quebec City"/>
    <s v="Corporate"/>
    <s v="Office Chair"/>
    <x v="3"/>
    <n v="39.26"/>
    <n v="80.88"/>
    <n v="4.0439999999999996"/>
    <x v="657"/>
    <n v="39.26"/>
    <x v="656"/>
    <n v="0.48904159508563694"/>
    <n v="2025"/>
    <x v="11"/>
    <s v="octobre"/>
    <s v="Q4"/>
    <s v="Quebec"/>
    <n v="1"/>
  </r>
  <r>
    <s v="ORD-2025-00660"/>
    <d v="2025-01-16T00:00:00"/>
    <s v="C0096"/>
    <s v="P1026"/>
    <s v="Ryan Roy , Laval , Corporate"/>
    <s v="Online Fulfillment"/>
    <s v="A. Morgan"/>
    <s v="Online"/>
    <n v="2"/>
    <n v="217.75"/>
    <n v="0.15"/>
    <s v="Credit Card"/>
    <n v="2"/>
    <s v="No"/>
    <s v="Online"/>
    <s v="P1026"/>
    <s v="C0096"/>
    <s v="Online Fulfillment"/>
    <s v="Credit Card"/>
    <n v="1"/>
    <s v="Ryan Roy"/>
    <s v="Laval"/>
    <s v="Corporate"/>
    <s v="Resistance Bands"/>
    <x v="0"/>
    <n v="139.19999999999999"/>
    <n v="435.5"/>
    <n v="65.325000000000003"/>
    <x v="658"/>
    <n v="278.39999999999998"/>
    <x v="657"/>
    <n v="0.24792327952995213"/>
    <n v="2025"/>
    <x v="3"/>
    <s v="janvier"/>
    <s v="Q1"/>
    <s v="Quebec"/>
    <n v="0"/>
  </r>
  <r>
    <s v="ORD-2025-00661"/>
    <d v="2025-05-05T00:00:00"/>
    <s v="C0019"/>
    <s v="P1026"/>
    <s v="Lucas Taylor, Montreal, Small Business"/>
    <s v="Toronto Downtown"/>
    <s v="J. Tremblay"/>
    <s v="Marketplace"/>
    <n v="1"/>
    <n v="223.78"/>
    <n v="0.1"/>
    <s v="Credit Card"/>
    <n v="3"/>
    <s v="No"/>
    <s v="Marketplace"/>
    <s v="P1026"/>
    <s v="C0019"/>
    <s v="Toronto Downtown"/>
    <s v="Credit Card"/>
    <n v="1"/>
    <s v="Lucas Taylor"/>
    <s v="Montreal"/>
    <s v="Small Business"/>
    <s v="Resistance Bands"/>
    <x v="0"/>
    <n v="139.19999999999999"/>
    <n v="223.78"/>
    <n v="22.378"/>
    <x v="659"/>
    <n v="139.19999999999999"/>
    <x v="658"/>
    <n v="0.30884499657401615"/>
    <n v="2025"/>
    <x v="1"/>
    <s v="mai"/>
    <s v="Q2"/>
    <s v="Quebec"/>
    <n v="0"/>
  </r>
  <r>
    <s v="ORD-2025-00662"/>
    <d v="2025-04-28T00:00:00"/>
    <s v="C0038"/>
    <s v="P1006"/>
    <s v="Noah Brown, Montreal, Consumer"/>
    <s v="Vancouver West"/>
    <s v="A. Morgan"/>
    <s v="Online"/>
    <n v="1"/>
    <n v="99.27"/>
    <n v="0"/>
    <s v="Credit Card"/>
    <n v="5"/>
    <s v="No"/>
    <s v="Online"/>
    <s v="P1006"/>
    <s v="C0038"/>
    <s v="Vancouver West"/>
    <s v="Credit Card"/>
    <n v="1"/>
    <s v="Noah Brown"/>
    <s v="Montreal"/>
    <s v="Consumer"/>
    <s v="USB-C Hub"/>
    <x v="4"/>
    <n v="72"/>
    <n v="99.27"/>
    <n v="0"/>
    <x v="660"/>
    <n v="72"/>
    <x v="659"/>
    <n v="0.27470534904805072"/>
    <n v="2025"/>
    <x v="9"/>
    <s v="avril"/>
    <s v="Q2"/>
    <s v="Quebec"/>
    <n v="0"/>
  </r>
  <r>
    <s v="ORD-2025-00663"/>
    <d v="2025-01-01T00:00:00"/>
    <s v="C0027"/>
    <s v="P1023"/>
    <s v="Nora Wilson , Toronto , Small Business"/>
    <s v="Online Fulfillment"/>
    <s v="L. Chen"/>
    <s v="Retail Store"/>
    <n v="3"/>
    <n v="335.87"/>
    <n v="0.2"/>
    <s v="Debit Card"/>
    <n v="2"/>
    <s v="Yes"/>
    <s v="Retail Store"/>
    <s v="P1023"/>
    <s v="C0027"/>
    <s v="Online Fulfillment"/>
    <s v="Debit Card"/>
    <n v="1"/>
    <s v="Nora Wilson"/>
    <s v="Toronto"/>
    <s v="Small Business"/>
    <s v="Toaster"/>
    <x v="2"/>
    <n v="152.88"/>
    <n v="1007.61"/>
    <n v="201.52200000000002"/>
    <x v="661"/>
    <n v="458.64"/>
    <x v="660"/>
    <n v="0.43102986274451421"/>
    <n v="2025"/>
    <x v="3"/>
    <s v="janvier"/>
    <s v="Q1"/>
    <s v="Ontario"/>
    <n v="1"/>
  </r>
  <r>
    <s v="ORD-2025-00664"/>
    <d v="2025-09-22T00:00:00"/>
    <s v="C0040"/>
    <s v="P1034"/>
    <s v="Ethan Young, Surrey, Consumer"/>
    <s v="Calgary North"/>
    <s v="N. Brown"/>
    <s v="Online"/>
    <n v="3"/>
    <n v="143.22999999999999"/>
    <n v="0.1"/>
    <s v="PayPal"/>
    <n v="3"/>
    <s v="No"/>
    <s v="Online"/>
    <s v="P1034"/>
    <s v="C0040"/>
    <s v="Calgary North"/>
    <s v="Paypal"/>
    <n v="1"/>
    <s v="Ethan Young"/>
    <s v="Surrey"/>
    <s v="Consumer"/>
    <s v="Laptop Sleeve"/>
    <x v="1"/>
    <n v="78.95"/>
    <n v="429.68999999999994"/>
    <n v="42.968999999999994"/>
    <x v="662"/>
    <n v="236.85000000000002"/>
    <x v="661"/>
    <n v="0.38754295732582389"/>
    <n v="2025"/>
    <x v="0"/>
    <s v="septembre"/>
    <s v="Q3"/>
    <s v="British Columbia"/>
    <n v="0"/>
  </r>
  <r>
    <s v="ORD-2025-00665"/>
    <d v="2025-03-21T00:00:00"/>
    <s v="C0053"/>
    <s v="P1033"/>
    <s v="Ryan Lee , Laval , Consumer"/>
    <s v="Toronto Downtown"/>
    <s v="R. Singh"/>
    <s v="Online"/>
    <n v="2"/>
    <n v="304.67"/>
    <n v="0.1"/>
    <s v="Debit Card"/>
    <n v="6"/>
    <s v="No"/>
    <s v="Online"/>
    <s v="P1033"/>
    <s v="C0053"/>
    <s v="Toronto Downtown"/>
    <s v="Debit Card"/>
    <n v="1"/>
    <s v="Ryan Lee"/>
    <s v="Laval"/>
    <s v="Consumer"/>
    <s v="Backpack"/>
    <x v="1"/>
    <n v="152.55000000000001"/>
    <n v="609.34"/>
    <n v="60.934000000000005"/>
    <x v="663"/>
    <n v="305.10000000000002"/>
    <x v="662"/>
    <n v="0.44366035382545049"/>
    <n v="2025"/>
    <x v="4"/>
    <s v="mars"/>
    <s v="Q1"/>
    <s v="Quebec"/>
    <n v="0"/>
  </r>
  <r>
    <s v="ORD-2025-00666"/>
    <d v="2025-09-05T00:00:00"/>
    <s v="C0111"/>
    <s v="P1021"/>
    <s v="Noah Khan, Halifax, Consumer"/>
    <s v="Online Fulfillment"/>
    <s v="S. Patel"/>
    <s v="Retail Store"/>
    <n v="1"/>
    <n v="320.24"/>
    <n v="0.05"/>
    <s v="Credit Card"/>
    <n v="3"/>
    <s v="No"/>
    <s v="Retail Store"/>
    <s v="P1021"/>
    <s v="C0111"/>
    <s v="Online Fulfillment"/>
    <s v="Credit Card"/>
    <n v="1"/>
    <s v="Noah Khan"/>
    <s v="Halifax"/>
    <s v="Consumer"/>
    <s v="Kettle"/>
    <x v="2"/>
    <n v="139.86000000000001"/>
    <n v="320.24"/>
    <n v="16.012"/>
    <x v="664"/>
    <n v="139.86000000000001"/>
    <x v="663"/>
    <n v="0.54027900127535922"/>
    <n v="2025"/>
    <x v="0"/>
    <s v="septembre"/>
    <s v="Q3"/>
    <s v="Nova Scotia"/>
    <n v="0"/>
  </r>
  <r>
    <s v="ORD-2025-00667"/>
    <d v="2025-11-10T00:00:00"/>
    <s v="C0063"/>
    <s v="P1001"/>
    <s v="Adam Singh, Laval, Small Business"/>
    <s v="Calgary North"/>
    <s v="S. Patel"/>
    <s v="Online"/>
    <n v="5"/>
    <n v="377.75"/>
    <n v="0.1"/>
    <s v="Debit Card"/>
    <n v="7"/>
    <s v="No"/>
    <s v="Online"/>
    <s v="P1001"/>
    <s v="C0063"/>
    <s v="Calgary North"/>
    <s v="Debit Card"/>
    <n v="1"/>
    <s v="Adam Singh"/>
    <s v="Laval"/>
    <s v="Small Business"/>
    <s v="Headphones"/>
    <x v="4"/>
    <n v="254.6"/>
    <n v="1888.75"/>
    <n v="188.875"/>
    <x v="665"/>
    <n v="1273"/>
    <x v="664"/>
    <n v="0.25112140598573424"/>
    <n v="2025"/>
    <x v="8"/>
    <s v="novembre"/>
    <s v="Q4"/>
    <s v="Quebec"/>
    <n v="0"/>
  </r>
  <r>
    <s v="ORD-2025-00668"/>
    <d v="2025-10-21T00:00:00"/>
    <s v="C0025"/>
    <s v="P1012"/>
    <s v="Emma Gagnon, Surrey, Corporate"/>
    <s v="Toronto Downtown"/>
    <s v="N. Brown"/>
    <s v="Marketplace"/>
    <n v="1"/>
    <n v="83.34"/>
    <n v="0.15"/>
    <s v="PayPal"/>
    <n v="2"/>
    <s v="No"/>
    <s v="Marketplace"/>
    <s v="P1012"/>
    <s v="C0025"/>
    <s v="Toronto Downtown"/>
    <s v="Paypal"/>
    <n v="1"/>
    <s v="Emma Gagnon"/>
    <s v="Surrey"/>
    <s v="Corporate"/>
    <s v="Standing Desk"/>
    <x v="3"/>
    <n v="45.17"/>
    <n v="83.34"/>
    <n v="12.500999999999999"/>
    <x v="666"/>
    <n v="45.17"/>
    <x v="665"/>
    <n v="0.36235689380143704"/>
    <n v="2025"/>
    <x v="11"/>
    <s v="octobre"/>
    <s v="Q4"/>
    <s v="British Columbia"/>
    <n v="0"/>
  </r>
  <r>
    <s v="ORD-2025-00669"/>
    <d v="2025-08-10T00:00:00"/>
    <s v="C0069"/>
    <s v="P1037"/>
    <s v="Sarah White, Ottawa, Consumer"/>
    <s v="Toronto Downtown"/>
    <s v="L. Chen"/>
    <s v="Retail Store"/>
    <n v="1"/>
    <n v="354.02"/>
    <n v="0.15"/>
    <s v="PayPal"/>
    <n v="0"/>
    <s v="Yes"/>
    <s v="Retail Store"/>
    <s v="P1037"/>
    <s v="C0069"/>
    <s v="Toronto Downtown"/>
    <s v="Paypal"/>
    <n v="1"/>
    <s v="Sarah White"/>
    <s v="Ottawa"/>
    <s v="Consumer"/>
    <s v="Cable Set"/>
    <x v="1"/>
    <n v="200.16"/>
    <n v="354.02"/>
    <n v="53.102999999999994"/>
    <x v="667"/>
    <n v="200.16"/>
    <x v="666"/>
    <n v="0.3348331932061"/>
    <n v="2025"/>
    <x v="7"/>
    <s v="août"/>
    <s v="Q3"/>
    <s v="Ontario"/>
    <n v="1"/>
  </r>
  <r>
    <s v="ORD-2025-00670"/>
    <d v="2025-12-01T00:00:00"/>
    <s v="C0101"/>
    <s v="P1036"/>
    <s v="Noah Martin, Saskatoon, Small Business"/>
    <s v="Vancouver West"/>
    <s v="E. Roy"/>
    <s v="Online"/>
    <n v="1"/>
    <n v="163.31"/>
    <n v="0.2"/>
    <s v="Credit Card"/>
    <n v="3"/>
    <s v="No"/>
    <s v="Online"/>
    <s v="P1036"/>
    <s v="C0101"/>
    <s v="Vancouver West"/>
    <s v="Credit Card"/>
    <n v="1"/>
    <s v="Noah Martin"/>
    <s v="Saskatoon"/>
    <s v="Small Business"/>
    <s v="Power Bank"/>
    <x v="1"/>
    <n v="76.97"/>
    <n v="163.31"/>
    <n v="32.661999999999999"/>
    <x v="668"/>
    <n v="76.97"/>
    <x v="667"/>
    <n v="0.41085971465311372"/>
    <n v="2025"/>
    <x v="6"/>
    <s v="décembre"/>
    <s v="Q4"/>
    <s v="Saskatchewan"/>
    <n v="0"/>
  </r>
  <r>
    <s v="ORD-2025-00671"/>
    <d v="2025-12-21T00:00:00"/>
    <s v="C0044"/>
    <s v="P1030"/>
    <s v="Nora Young, Vancouver, Corporate"/>
    <s v="Online Fulfillment"/>
    <s v="L. Chen"/>
    <s v="Online"/>
    <n v="2"/>
    <n v="243.64"/>
    <n v="0.25"/>
    <s v="Debit Card"/>
    <n v="1"/>
    <s v="No"/>
    <s v="Online"/>
    <s v="P1030"/>
    <s v="C0044"/>
    <s v="Online Fulfillment"/>
    <s v="Debit Card"/>
    <n v="1"/>
    <s v="Nora Young"/>
    <s v="Vancouver"/>
    <s v="Corporate"/>
    <s v="Pull-up Bar"/>
    <x v="0"/>
    <n v="125.4"/>
    <n v="487.28"/>
    <n v="121.82"/>
    <x v="669"/>
    <n v="250.8"/>
    <x v="668"/>
    <n v="0.31374158594647833"/>
    <n v="2025"/>
    <x v="6"/>
    <s v="décembre"/>
    <s v="Q4"/>
    <s v="British Columbia"/>
    <n v="0"/>
  </r>
  <r>
    <s v="ORD-2025-00672"/>
    <d v="2025-05-18T00:00:00"/>
    <s v="C0012"/>
    <s v="P1016"/>
    <s v="Daniel Taylor, Victoria, Corporate"/>
    <s v="Montreal Central"/>
    <s v="L. Chen"/>
    <s v="Online"/>
    <n v="1"/>
    <n v="333.13"/>
    <n v="0"/>
    <s v="Credit Card"/>
    <n v="9"/>
    <s v="No"/>
    <s v="Online"/>
    <s v="P1016"/>
    <s v="C0012"/>
    <s v="Montreal Central"/>
    <s v="Credit Card"/>
    <n v="1"/>
    <s v="Daniel Taylor"/>
    <s v="Victoria"/>
    <s v="Corporate"/>
    <s v="Printer"/>
    <x v="3"/>
    <n v="156.75"/>
    <n v="333.13"/>
    <n v="0"/>
    <x v="670"/>
    <n v="156.75"/>
    <x v="669"/>
    <n v="0.52946297241317208"/>
    <n v="2025"/>
    <x v="1"/>
    <s v="mai"/>
    <s v="Q2"/>
    <s v="British Columbia"/>
    <n v="0"/>
  </r>
  <r>
    <s v="ORD-2025-00673"/>
    <d v="2025-03-09T00:00:00"/>
    <s v="C0113"/>
    <s v="P1033"/>
    <s v="Olivia Johnson , Surrey , Consumer"/>
    <s v="Montreal Central"/>
    <s v="S. Patel"/>
    <s v="Online"/>
    <n v="1"/>
    <n v="300.93"/>
    <n v="0.15"/>
    <s v="Credit Card"/>
    <n v="6"/>
    <s v="No"/>
    <s v="Online"/>
    <s v="P1033"/>
    <s v="C0113"/>
    <s v="Montreal Central"/>
    <s v="Credit Card"/>
    <n v="1"/>
    <s v="Olivia Johnson"/>
    <s v="Surrey"/>
    <s v="Consumer"/>
    <s v="Backpack"/>
    <x v="1"/>
    <n v="152.55000000000001"/>
    <n v="300.93"/>
    <n v="45.139499999999998"/>
    <x v="671"/>
    <n v="152.55000000000001"/>
    <x v="670"/>
    <n v="0.40361350401989127"/>
    <n v="2025"/>
    <x v="4"/>
    <s v="mars"/>
    <s v="Q1"/>
    <s v="British Columbia"/>
    <n v="0"/>
  </r>
  <r>
    <s v="ORD-2025-00674"/>
    <d v="2025-11-08T00:00:00"/>
    <s v="C0030"/>
    <s v="P1010"/>
    <s v="Emma Lee, Calgary, Corporate"/>
    <s v="Online Fulfillment"/>
    <s v="N. Brown"/>
    <s v="Online"/>
    <n v="3"/>
    <n v="211.4"/>
    <n v="0.15"/>
    <m/>
    <n v="2"/>
    <s v="No"/>
    <s v="Online"/>
    <s v="P1010"/>
    <s v="C0030"/>
    <s v="Online Fulfillment"/>
    <s v="Non renseigné"/>
    <n v="1"/>
    <s v="Emma Lee"/>
    <s v="Calgary"/>
    <s v="Corporate"/>
    <s v="Desk Lamp"/>
    <x v="3"/>
    <n v="127.21"/>
    <n v="634.20000000000005"/>
    <n v="95.13000000000001"/>
    <x v="672"/>
    <n v="381.63"/>
    <x v="671"/>
    <n v="0.29205854527241365"/>
    <n v="2025"/>
    <x v="8"/>
    <s v="novembre"/>
    <s v="Q4"/>
    <s v="Alberta"/>
    <n v="0"/>
  </r>
  <r>
    <s v="ORD-2025-00675"/>
    <d v="2025-11-19T00:00:00"/>
    <s v="C0009"/>
    <s v="P1029"/>
    <s v="Ethan Tremblay, Mississauga, Corporate"/>
    <s v="Toronto Downtown"/>
    <s v="N. Brown"/>
    <s v="Online"/>
    <n v="1"/>
    <n v="196.11"/>
    <n v="0.1"/>
    <s v="Debit Card"/>
    <n v="3"/>
    <s v="No"/>
    <s v="Online"/>
    <s v="P1029"/>
    <s v="C0009"/>
    <s v="Toronto Downtown"/>
    <s v="Debit Card"/>
    <n v="1"/>
    <s v="Ethan Tremblay"/>
    <s v="Mississauga"/>
    <s v="Corporate"/>
    <s v="Jump Rope"/>
    <x v="0"/>
    <n v="101"/>
    <n v="196.11"/>
    <n v="19.611000000000004"/>
    <x v="673"/>
    <n v="101"/>
    <x v="672"/>
    <n v="0.42775879750026918"/>
    <n v="2025"/>
    <x v="8"/>
    <s v="novembre"/>
    <s v="Q4"/>
    <s v="Ontario"/>
    <n v="0"/>
  </r>
  <r>
    <s v="ORD-2025-00676"/>
    <d v="2025-01-08T00:00:00"/>
    <s v="C0085"/>
    <s v="P1005"/>
    <s v="Yasmine Clark, Calgary, Consumer"/>
    <s v="Calgary North"/>
    <s v="S. Patel"/>
    <s v="Online"/>
    <n v="2"/>
    <n v="232.33"/>
    <n v="0.15"/>
    <s v="PayPal"/>
    <n v="5"/>
    <s v="No"/>
    <s v="Online"/>
    <s v="P1005"/>
    <s v="C0085"/>
    <s v="Calgary North"/>
    <s v="Paypal"/>
    <n v="1"/>
    <s v="Yasmine Clark"/>
    <s v="Calgary"/>
    <s v="Consumer"/>
    <s v="Portable SSD"/>
    <x v="4"/>
    <n v="131.19"/>
    <n v="464.66"/>
    <n v="69.698999999999998"/>
    <x v="674"/>
    <n v="262.38"/>
    <x v="673"/>
    <n v="0.33568124447730285"/>
    <n v="2025"/>
    <x v="3"/>
    <s v="janvier"/>
    <s v="Q1"/>
    <s v="Alberta"/>
    <n v="0"/>
  </r>
  <r>
    <s v="ORD-2025-00677"/>
    <d v="2025-11-23T00:00:00"/>
    <s v="C0101"/>
    <s v="P1039"/>
    <s v="Noah Martin, Saskatoon, Small Business"/>
    <s v="Calgary North"/>
    <s v="E. Roy"/>
    <s v="Online"/>
    <n v="1"/>
    <n v="328.26"/>
    <n v="0.2"/>
    <s v="Credit Card"/>
    <n v="1"/>
    <s v="Yes"/>
    <s v="Online"/>
    <s v="P1039"/>
    <s v="C0101"/>
    <s v="Calgary North"/>
    <s v="Credit Card"/>
    <n v="1"/>
    <s v="Noah Martin"/>
    <s v="Saskatoon"/>
    <s v="Small Business"/>
    <s v="Travel Adapter"/>
    <x v="1"/>
    <n v="229.86"/>
    <n v="328.26"/>
    <n v="65.652000000000001"/>
    <x v="675"/>
    <n v="229.86"/>
    <x v="674"/>
    <n v="0.12470297934564062"/>
    <n v="2025"/>
    <x v="8"/>
    <s v="novembre"/>
    <s v="Q4"/>
    <s v="Saskatchewan"/>
    <n v="1"/>
  </r>
  <r>
    <s v="ORD-2025-00678"/>
    <d v="2025-08-01T00:00:00"/>
    <s v="C0043"/>
    <s v="P1018"/>
    <s v="Ava Brown, Ottawa, Small Business"/>
    <s v="Calgary North"/>
    <s v="J. Tremblay"/>
    <s v="Online"/>
    <n v="1"/>
    <n v="29.28"/>
    <n v="0.2"/>
    <s v="PayPal"/>
    <n v="9"/>
    <s v="No"/>
    <s v="Online"/>
    <s v="P1018"/>
    <s v="C0043"/>
    <s v="Calgary North"/>
    <s v="Paypal"/>
    <n v="1"/>
    <s v="Ava Brown"/>
    <s v="Ottawa"/>
    <s v="Small Business"/>
    <s v="Air Fryer"/>
    <x v="2"/>
    <n v="14.58"/>
    <n v="29.28"/>
    <n v="5.8560000000000008"/>
    <x v="676"/>
    <n v="14.58"/>
    <x v="675"/>
    <n v="0.37756147540983603"/>
    <n v="2025"/>
    <x v="7"/>
    <s v="août"/>
    <s v="Q3"/>
    <s v="Ontario"/>
    <n v="0"/>
  </r>
  <r>
    <s v="ORD-2025-00679"/>
    <d v="2025-01-30T00:00:00"/>
    <s v="C0009"/>
    <s v="P1039"/>
    <s v="Ethan Tremblay, Mississauga, Corporate"/>
    <s v="Montreal Central"/>
    <s v="E. Roy"/>
    <s v="Online"/>
    <n v="2"/>
    <n v="339.82"/>
    <n v="0.05"/>
    <s v="Debit Card"/>
    <n v="7"/>
    <s v="No"/>
    <s v="Online"/>
    <s v="P1039"/>
    <s v="C0009"/>
    <s v="Montreal Central"/>
    <s v="Debit Card"/>
    <n v="1"/>
    <s v="Ethan Tremblay"/>
    <s v="Mississauga"/>
    <s v="Corporate"/>
    <s v="Travel Adapter"/>
    <x v="1"/>
    <n v="229.86"/>
    <n v="679.64"/>
    <n v="33.981999999999999"/>
    <x v="677"/>
    <n v="459.72"/>
    <x v="676"/>
    <n v="0.2879821825176796"/>
    <n v="2025"/>
    <x v="3"/>
    <s v="janvier"/>
    <s v="Q1"/>
    <s v="Ontario"/>
    <n v="0"/>
  </r>
  <r>
    <s v="ORD-2025-00680"/>
    <d v="2025-01-23T00:00:00"/>
    <s v="C0070"/>
    <s v="P1032"/>
    <s v="Sophia Young, Halifax, Corporate"/>
    <s v="Online  Fulfillment"/>
    <s v="S. Patel"/>
    <s v="Marketplace"/>
    <n v="5"/>
    <n v="210.76"/>
    <n v="0"/>
    <s v="Credit Card"/>
    <n v="7"/>
    <s v="No"/>
    <s v="Marketplace"/>
    <s v="P1032"/>
    <s v="C0070"/>
    <s v="Online Fulfillment"/>
    <s v="Credit Card"/>
    <n v="1"/>
    <s v="Sophia Young"/>
    <s v="Halifax"/>
    <s v="Corporate"/>
    <s v="Gym Bag"/>
    <x v="0"/>
    <n v="132.72"/>
    <n v="1053.8"/>
    <n v="0"/>
    <x v="678"/>
    <n v="663.6"/>
    <x v="677"/>
    <n v="0.37027899032074391"/>
    <n v="2025"/>
    <x v="3"/>
    <s v="janvier"/>
    <s v="Q1"/>
    <s v="Nova Scotia"/>
    <n v="0"/>
  </r>
  <r>
    <s v="ORD-2025-00681"/>
    <d v="2025-07-21T00:00:00"/>
    <s v="C0052"/>
    <s v="P1015"/>
    <s v="Liam Bennett, Edmonton, Corporate"/>
    <s v="Online Fulfillment"/>
    <s v="R. Singh"/>
    <s v="Online"/>
    <n v="2"/>
    <n v="399.06"/>
    <n v="0"/>
    <s v="Credit Card"/>
    <n v="7"/>
    <s v="No"/>
    <s v="Online"/>
    <s v="P1015"/>
    <s v="C0052"/>
    <s v="Online Fulfillment"/>
    <s v="Credit Card"/>
    <n v="1"/>
    <s v="Liam Bennett"/>
    <s v="Edmonton"/>
    <s v="Corporate"/>
    <s v="Desk Organizer"/>
    <x v="3"/>
    <n v="235.76"/>
    <n v="798.12"/>
    <n v="0"/>
    <x v="679"/>
    <n v="471.52"/>
    <x v="678"/>
    <n v="0.40921164737132265"/>
    <n v="2025"/>
    <x v="10"/>
    <s v="juillet"/>
    <s v="Q3"/>
    <s v="Alberta"/>
    <n v="0"/>
  </r>
  <r>
    <s v="ORD-2025-00682"/>
    <d v="2025-08-01T00:00:00"/>
    <s v="C0110"/>
    <s v="P1034"/>
    <s v="Sarah Smith, Laval, Consumer"/>
    <s v="Online Fulfillment"/>
    <s v="J. Tremblay"/>
    <s v="Retail Store"/>
    <n v="1"/>
    <n v="144.43"/>
    <n v="0.15"/>
    <s v="PayPal"/>
    <n v="4"/>
    <s v="No"/>
    <s v="Retail Store"/>
    <s v="P1034"/>
    <s v="C0110"/>
    <s v="Online Fulfillment"/>
    <s v="Paypal"/>
    <n v="1"/>
    <s v="Sarah Smith"/>
    <s v="Laval"/>
    <s v="Consumer"/>
    <s v="Laptop Sleeve"/>
    <x v="1"/>
    <n v="78.95"/>
    <n v="144.43"/>
    <n v="21.6645"/>
    <x v="680"/>
    <n v="78.95"/>
    <x v="679"/>
    <n v="0.35690401619347456"/>
    <n v="2025"/>
    <x v="7"/>
    <s v="août"/>
    <s v="Q3"/>
    <s v="Quebec"/>
    <n v="0"/>
  </r>
  <r>
    <s v="ORD-2025-00683"/>
    <d v="2025-11-27T00:00:00"/>
    <s v="C0029"/>
    <s v="P1021"/>
    <s v="Olivia White, Victoria, Consumer"/>
    <s v="Online Fulfillment"/>
    <s v="M. Wilson"/>
    <s v="Online"/>
    <n v="3"/>
    <n v="308.36"/>
    <n v="0.1"/>
    <s v="Credit Card"/>
    <n v="8"/>
    <s v="No"/>
    <s v="Online"/>
    <s v="P1021"/>
    <s v="C0029"/>
    <s v="Online Fulfillment"/>
    <s v="Credit Card"/>
    <n v="1"/>
    <s v="Olivia White"/>
    <s v="Victoria"/>
    <s v="Consumer"/>
    <s v="Kettle"/>
    <x v="2"/>
    <n v="139.86000000000001"/>
    <n v="925.08"/>
    <n v="92.50800000000001"/>
    <x v="681"/>
    <n v="419.58000000000004"/>
    <x v="680"/>
    <n v="0.49604358541963933"/>
    <n v="2025"/>
    <x v="8"/>
    <s v="novembre"/>
    <s v="Q4"/>
    <s v="British Columbia"/>
    <n v="0"/>
  </r>
  <r>
    <s v="ORD-2025-00684"/>
    <d v="2025-11-23T00:00:00"/>
    <s v="C0012"/>
    <s v="P1014"/>
    <s v="Daniel Taylor, Victoria, Corporate"/>
    <s v="Vancouver West"/>
    <s v="R. Singh"/>
    <s v="Retail Store"/>
    <n v="1"/>
    <n v="229.18"/>
    <n v="0.25"/>
    <s v="Credit Card"/>
    <n v="0"/>
    <s v="No"/>
    <s v="Retail Store"/>
    <s v="P1014"/>
    <s v="C0012"/>
    <s v="Vancouver West"/>
    <s v="Credit Card"/>
    <n v="1"/>
    <s v="Daniel Taylor"/>
    <s v="Victoria"/>
    <s v="Corporate"/>
    <s v="Document Shredder"/>
    <x v="3"/>
    <n v="117.65"/>
    <n v="229.18"/>
    <n v="57.295000000000002"/>
    <x v="682"/>
    <n v="117.65"/>
    <x v="681"/>
    <n v="0.31553073275736676"/>
    <n v="2025"/>
    <x v="8"/>
    <s v="novembre"/>
    <s v="Q4"/>
    <s v="British Columbia"/>
    <n v="0"/>
  </r>
  <r>
    <s v="ORD-2025-00685"/>
    <d v="2025-03-19T00:00:00"/>
    <s v="C0119"/>
    <s v="P1019"/>
    <s v="Liam Chen, Winnipeg, Consumer"/>
    <s v="Calgary North"/>
    <s v="R. Singh"/>
    <s v="Marketplace"/>
    <n v="1"/>
    <n v="280.38"/>
    <n v="0.25"/>
    <s v="Debit Card"/>
    <n v="2"/>
    <s v="Yes"/>
    <s v="Marketplace"/>
    <s v="P1019"/>
    <s v="C0119"/>
    <s v="Calgary North"/>
    <s v="Debit Card"/>
    <n v="1"/>
    <s v="Liam Chen"/>
    <s v="Winnipeg"/>
    <s v="Consumer"/>
    <s v="Vacuum"/>
    <x v="2"/>
    <n v="186.94"/>
    <n v="280.38"/>
    <n v="70.094999999999999"/>
    <x v="683"/>
    <n v="186.94"/>
    <x v="682"/>
    <n v="0.11101600209239841"/>
    <n v="2025"/>
    <x v="4"/>
    <s v="mars"/>
    <s v="Q1"/>
    <s v="Manitoba"/>
    <n v="1"/>
  </r>
  <r>
    <s v="ORD-2025-00686"/>
    <d v="2025-05-20T00:00:00"/>
    <s v="C0089"/>
    <s v="P1001"/>
    <s v="Lucas Martin, Vancouver, Consumer"/>
    <s v="Online Fulfillment"/>
    <s v="J. Tremblay"/>
    <s v="Online"/>
    <n v="2"/>
    <n v="350.77"/>
    <n v="0.1"/>
    <s v="PayPal"/>
    <n v="9"/>
    <s v="No"/>
    <s v="Online"/>
    <s v="P1001"/>
    <s v="C0089"/>
    <s v="Online Fulfillment"/>
    <s v="Paypal"/>
    <n v="1"/>
    <s v="Lucas Martin"/>
    <s v="Vancouver"/>
    <s v="Consumer"/>
    <s v="Headphones"/>
    <x v="4"/>
    <n v="254.6"/>
    <n v="701.54"/>
    <n v="70.153999999999996"/>
    <x v="684"/>
    <n v="509.2"/>
    <x v="683"/>
    <n v="0.19352028711438007"/>
    <n v="2025"/>
    <x v="1"/>
    <s v="mai"/>
    <s v="Q2"/>
    <s v="British Columbia"/>
    <n v="0"/>
  </r>
  <r>
    <s v="ORD-2025-00687"/>
    <d v="2025-10-26T00:00:00"/>
    <s v="C0120"/>
    <s v="P1030"/>
    <s v="Ethan King, Mississauga, Small Business"/>
    <s v="Montreal Central"/>
    <s v="E. Roy"/>
    <s v="Online"/>
    <n v="1"/>
    <n v="240.35"/>
    <n v="0"/>
    <s v="Credit Card"/>
    <n v="8"/>
    <s v="No"/>
    <s v="Online"/>
    <s v="P1030"/>
    <s v="C0120"/>
    <s v="Montreal Central"/>
    <s v="Credit Card"/>
    <n v="1"/>
    <s v="Ethan King"/>
    <s v="Mississauga"/>
    <s v="Small Business"/>
    <s v="Pull-up Bar"/>
    <x v="0"/>
    <n v="125.4"/>
    <n v="240.35"/>
    <n v="0"/>
    <x v="685"/>
    <n v="125.4"/>
    <x v="684"/>
    <n v="0.47826086956521735"/>
    <n v="2025"/>
    <x v="11"/>
    <s v="octobre"/>
    <s v="Q4"/>
    <s v="Ontario"/>
    <n v="0"/>
  </r>
  <r>
    <s v="ORD-2025-00688"/>
    <d v="2025-02-03T00:00:00"/>
    <s v="C0082"/>
    <s v="P1038"/>
    <s v="Ryan King, Winnipeg, Small Business"/>
    <s v="Montreal Central"/>
    <s v="A. Morgan"/>
    <s v="Online"/>
    <n v="2"/>
    <n v="261.43"/>
    <n v="0.15"/>
    <s v="Credit Card"/>
    <n v="2"/>
    <s v="No"/>
    <s v="Online"/>
    <s v="P1038"/>
    <s v="C0082"/>
    <s v="Montreal Central"/>
    <s v="Credit Card"/>
    <n v="1"/>
    <s v="Ryan King"/>
    <s v="Winnipeg"/>
    <s v="Small Business"/>
    <s v="Water Bottle"/>
    <x v="1"/>
    <n v="119.16"/>
    <n v="522.86"/>
    <n v="78.429000000000002"/>
    <x v="686"/>
    <n v="238.32"/>
    <x v="685"/>
    <n v="0.46376377885431042"/>
    <n v="2025"/>
    <x v="2"/>
    <s v="février"/>
    <s v="Q1"/>
    <s v="Manitoba"/>
    <n v="0"/>
  </r>
  <r>
    <s v="ORD-2025-00689"/>
    <d v="2025-06-25T00:00:00"/>
    <s v="C0090"/>
    <s v="P1019"/>
    <s v="Nora Young, Montreal, Small Business"/>
    <s v="Online Fulfillment"/>
    <s v="N. Brown"/>
    <s v="Retail Store"/>
    <n v="2"/>
    <n v="279.02999999999997"/>
    <n v="0.05"/>
    <s v="Credit Card"/>
    <n v="4"/>
    <s v="No"/>
    <s v="Retail Store"/>
    <s v="P1019"/>
    <s v="C0090"/>
    <s v="Online Fulfillment"/>
    <s v="Credit Card"/>
    <n v="1"/>
    <s v="Nora Young"/>
    <s v="Montreal"/>
    <s v="Small Business"/>
    <s v="Vacuum"/>
    <x v="2"/>
    <n v="186.94"/>
    <n v="558.05999999999995"/>
    <n v="27.902999999999999"/>
    <x v="687"/>
    <n v="373.88"/>
    <x v="686"/>
    <n v="0.29477494402601484"/>
    <n v="2025"/>
    <x v="5"/>
    <s v="juin"/>
    <s v="Q2"/>
    <s v="Quebec"/>
    <n v="0"/>
  </r>
  <r>
    <s v="ORD-2025-00690"/>
    <d v="2025-04-21T00:00:00"/>
    <s v="C0097"/>
    <s v="P1023"/>
    <s v="Sarah Khan, Montreal, Consumer"/>
    <s v="Vancouver West"/>
    <s v="M. Wilson"/>
    <s v="Marketplace"/>
    <n v="1"/>
    <n v="312.32"/>
    <n v="0.05"/>
    <s v="Credit Card"/>
    <n v="7"/>
    <s v="No"/>
    <s v="Marketplace"/>
    <s v="P1023"/>
    <s v="C0097"/>
    <s v="Vancouver West"/>
    <s v="Credit Card"/>
    <n v="1"/>
    <s v="Sarah Khan"/>
    <s v="Montreal"/>
    <s v="Consumer"/>
    <s v="Toaster"/>
    <x v="2"/>
    <n v="152.88"/>
    <n v="312.32"/>
    <n v="15.616"/>
    <x v="688"/>
    <n v="152.88"/>
    <x v="687"/>
    <n v="0.48473899913718727"/>
    <n v="2025"/>
    <x v="9"/>
    <s v="avril"/>
    <s v="Q2"/>
    <s v="Quebec"/>
    <n v="0"/>
  </r>
  <r>
    <s v="ORD-2025-00691"/>
    <d v="2025-04-09T00:00:00"/>
    <s v="C0052"/>
    <s v="P1013"/>
    <s v="Liam Bennett, Edmonton, Corporate"/>
    <s v="Online Fulfillment"/>
    <s v="R. Singh"/>
    <s v="Online"/>
    <n v="2"/>
    <n v="128.16"/>
    <n v="0.15"/>
    <s v="Credit Card"/>
    <n v="1"/>
    <s v="No"/>
    <s v="Online"/>
    <s v="P1013"/>
    <s v="C0052"/>
    <s v="Online Fulfillment"/>
    <s v="Credit Card"/>
    <n v="1"/>
    <s v="Liam Bennett"/>
    <s v="Edmonton"/>
    <s v="Corporate"/>
    <s v="Whiteboard"/>
    <x v="3"/>
    <n v="85.73"/>
    <n v="256.32"/>
    <n v="38.448"/>
    <x v="689"/>
    <n v="171.46"/>
    <x v="688"/>
    <n v="0.21302416097525143"/>
    <n v="2025"/>
    <x v="9"/>
    <s v="avril"/>
    <s v="Q2"/>
    <s v="Alberta"/>
    <n v="0"/>
  </r>
  <r>
    <s v="ORD-2025-00692"/>
    <d v="2025-05-19T00:00:00"/>
    <s v="C0068"/>
    <s v="P1007"/>
    <s v="Yasmine Martin, Calgary, Consumer"/>
    <s v="Calgary North"/>
    <s v="M. Wilson"/>
    <s v="Online"/>
    <n v="3"/>
    <n v="367.91"/>
    <n v="0"/>
    <s v="Credit Card"/>
    <n v="8"/>
    <s v="No"/>
    <s v="Online"/>
    <s v="P1007"/>
    <s v="C0068"/>
    <s v="Calgary North"/>
    <s v="Credit Card"/>
    <n v="1"/>
    <s v="Yasmine Martin"/>
    <s v="Calgary"/>
    <s v="Consumer"/>
    <s v="Monitor"/>
    <x v="4"/>
    <n v="224.47"/>
    <n v="1103.73"/>
    <n v="0"/>
    <x v="690"/>
    <n v="673.41"/>
    <x v="689"/>
    <n v="0.38987795928352048"/>
    <n v="2025"/>
    <x v="1"/>
    <s v="mai"/>
    <s v="Q2"/>
    <s v="Alberta"/>
    <n v="0"/>
  </r>
  <r>
    <s v="ORD-2025-00693"/>
    <d v="2025-08-06T00:00:00"/>
    <s v="C0109"/>
    <s v="P1024"/>
    <s v="Emma Wilson, Victoria, Consumer"/>
    <s v="Calgary North"/>
    <s v="J. Tremblay"/>
    <s v="Retail Store"/>
    <n v="3"/>
    <n v="103.07"/>
    <n v="0.1"/>
    <s v="PayPal"/>
    <n v="4"/>
    <s v="No"/>
    <s v="Retail Store"/>
    <s v="P1024"/>
    <s v="C0109"/>
    <s v="Calgary North"/>
    <s v="Paypal"/>
    <n v="1"/>
    <s v="Emma Wilson"/>
    <s v="Victoria"/>
    <s v="Consumer"/>
    <s v="Food Scale"/>
    <x v="2"/>
    <n v="46.07"/>
    <n v="309.20999999999998"/>
    <n v="30.920999999999999"/>
    <x v="691"/>
    <n v="138.21"/>
    <x v="690"/>
    <n v="0.5033580199001757"/>
    <n v="2025"/>
    <x v="7"/>
    <s v="août"/>
    <s v="Q3"/>
    <s v="British Columbia"/>
    <n v="0"/>
  </r>
  <r>
    <s v="ORD-2025-00694"/>
    <d v="2025-10-31T00:00:00"/>
    <s v="C0101"/>
    <s v="P1010"/>
    <s v="Noah Martin, Saskatoon, Small Business"/>
    <s v="Montreal Central"/>
    <s v="L. Chen"/>
    <s v="Online"/>
    <n v="4"/>
    <n v="210.06"/>
    <n v="0.05"/>
    <s v="Debit  Card"/>
    <n v="1"/>
    <s v="No"/>
    <s v="Online"/>
    <s v="P1010"/>
    <s v="C0101"/>
    <s v="Montreal Central"/>
    <s v="Debit Card"/>
    <n v="1"/>
    <s v="Noah Martin"/>
    <s v="Saskatoon"/>
    <s v="Small Business"/>
    <s v="Desk Lamp"/>
    <x v="3"/>
    <n v="127.21"/>
    <n v="840.24"/>
    <n v="42.012"/>
    <x v="692"/>
    <n v="508.84"/>
    <x v="691"/>
    <n v="0.36253802171810567"/>
    <n v="2025"/>
    <x v="11"/>
    <s v="octobre"/>
    <s v="Q4"/>
    <s v="Saskatchewan"/>
    <n v="0"/>
  </r>
  <r>
    <s v="ORD-2025-00695"/>
    <d v="2025-02-18T00:00:00"/>
    <s v="C0002"/>
    <s v="P1037"/>
    <s v="Ryan Johnson, Montreal, Small Business"/>
    <s v="Online Fulfillment"/>
    <s v="M. Wilson"/>
    <s v="Online"/>
    <n v="2"/>
    <n v="352.47"/>
    <n v="0"/>
    <s v="Gift Card"/>
    <n v="9"/>
    <s v="Yes"/>
    <s v="Online"/>
    <s v="P1037"/>
    <s v="C0002"/>
    <s v="Online Fulfillment"/>
    <s v="Gift Card"/>
    <n v="1"/>
    <s v="Ryan Johnson"/>
    <s v="Montreal"/>
    <s v="Small Business"/>
    <s v="Cable Set"/>
    <x v="1"/>
    <n v="200.16"/>
    <n v="704.94"/>
    <n v="0"/>
    <x v="693"/>
    <n v="400.32"/>
    <x v="692"/>
    <n v="0.43212188271342244"/>
    <n v="2025"/>
    <x v="2"/>
    <s v="février"/>
    <s v="Q1"/>
    <s v="Quebec"/>
    <n v="1"/>
  </r>
  <r>
    <s v="ORD-2025-00696"/>
    <d v="2025-03-31T00:00:00"/>
    <s v="C0113"/>
    <s v="P1017"/>
    <s v="Olivia Johnson, Surrey, Consumer"/>
    <s v="Toronto Downtown"/>
    <s v="L. Chen"/>
    <s v="Online"/>
    <n v="3"/>
    <n v="363.97"/>
    <n v="0"/>
    <s v="PayPal"/>
    <n v="1"/>
    <s v="No"/>
    <s v="Online"/>
    <s v="P1017"/>
    <s v="C0113"/>
    <s v="Toronto Downtown"/>
    <s v="Paypal"/>
    <n v="1"/>
    <s v="Olivia Johnson"/>
    <s v="Surrey"/>
    <s v="Consumer"/>
    <s v="Coffee Maker"/>
    <x v="2"/>
    <n v="241.16"/>
    <n v="1091.9100000000001"/>
    <n v="0"/>
    <x v="694"/>
    <n v="723.48"/>
    <x v="693"/>
    <n v="0.33741791905926316"/>
    <n v="2025"/>
    <x v="4"/>
    <s v="mars"/>
    <s v="Q1"/>
    <s v="British Columbia"/>
    <n v="0"/>
  </r>
  <r>
    <s v="ORD-2025-00697"/>
    <d v="2025-10-12T00:00:00"/>
    <s v="C0119"/>
    <s v="P1035"/>
    <s v="Liam Chen, Winnipeg, Consumer"/>
    <s v="Toronto Downtown"/>
    <s v="M. Wilson"/>
    <s v="Retail Store"/>
    <n v="1"/>
    <n v="82.58"/>
    <n v="0"/>
    <s v="PayPal"/>
    <n v="4"/>
    <s v="No"/>
    <s v="Retail Store"/>
    <s v="P1035"/>
    <s v="C0119"/>
    <s v="Toronto Downtown"/>
    <s v="Paypal"/>
    <n v="1"/>
    <s v="Liam Chen"/>
    <s v="Winnipeg"/>
    <s v="Consumer"/>
    <s v="Phone Stand"/>
    <x v="1"/>
    <n v="59.85"/>
    <n v="82.58"/>
    <n v="0"/>
    <x v="695"/>
    <n v="59.85"/>
    <x v="694"/>
    <n v="0.27524824412690718"/>
    <n v="2025"/>
    <x v="11"/>
    <s v="octobre"/>
    <s v="Q4"/>
    <s v="Manitoba"/>
    <n v="0"/>
  </r>
  <r>
    <s v="ORD-2025-00698"/>
    <d v="2025-09-25T00:00:00"/>
    <s v="C0120"/>
    <s v="P1034"/>
    <s v="Ethan King, Mississauga, Small Business"/>
    <s v="Online Fulfillment"/>
    <s v="R. Singh"/>
    <s v="Online"/>
    <n v="1"/>
    <n v="149.07"/>
    <n v="0.1"/>
    <s v="Credit Card"/>
    <n v="8"/>
    <s v="No"/>
    <s v="Online"/>
    <s v="P1034"/>
    <s v="C0120"/>
    <s v="Online Fulfillment"/>
    <s v="Credit Card"/>
    <n v="1"/>
    <s v="Ethan King"/>
    <s v="Mississauga"/>
    <s v="Small Business"/>
    <s v="Laptop Sleeve"/>
    <x v="1"/>
    <n v="78.95"/>
    <n v="149.07"/>
    <n v="14.907"/>
    <x v="696"/>
    <n v="78.95"/>
    <x v="695"/>
    <n v="0.41153671280457343"/>
    <n v="2025"/>
    <x v="0"/>
    <s v="septembre"/>
    <s v="Q3"/>
    <s v="Ontario"/>
    <n v="0"/>
  </r>
  <r>
    <s v="ORD-2025-00699"/>
    <d v="2025-07-16T00:00:00"/>
    <s v="C0037"/>
    <s v="P1023"/>
    <s v="Lucas Scott, Victoria, Small Business"/>
    <s v="Montreal Central"/>
    <s v="L. Chen"/>
    <s v="Online"/>
    <n v="3"/>
    <n v="319.41000000000003"/>
    <n v="0.15"/>
    <s v="PayPal"/>
    <n v="2"/>
    <s v="No"/>
    <s v="Online"/>
    <s v="P1023"/>
    <s v="C0037"/>
    <s v="Montreal Central"/>
    <s v="Paypal"/>
    <n v="1"/>
    <s v="Lucas Scott"/>
    <s v="Victoria"/>
    <s v="Small Business"/>
    <s v="Toaster"/>
    <x v="2"/>
    <n v="152.88"/>
    <n v="958.23"/>
    <n v="143.7345"/>
    <x v="697"/>
    <n v="458.64"/>
    <x v="696"/>
    <n v="0.43690296631473102"/>
    <n v="2025"/>
    <x v="10"/>
    <s v="juillet"/>
    <s v="Q3"/>
    <s v="British Columbia"/>
    <n v="0"/>
  </r>
  <r>
    <s v="ORD-2025-00700"/>
    <d v="2025-05-24T00:00:00"/>
    <s v="C0006"/>
    <s v="P1009"/>
    <s v="Nora Wilson, Laval, Consumer"/>
    <s v="Montreal Central"/>
    <s v="N. Brown"/>
    <s v="Retail Store"/>
    <n v="1"/>
    <n v="297.7"/>
    <n v="0.15"/>
    <s v="PayPal"/>
    <n v="0"/>
    <s v="No"/>
    <s v="Retail Store"/>
    <s v="P1009"/>
    <s v="C0006"/>
    <s v="Montreal Central"/>
    <s v="Paypal"/>
    <n v="1"/>
    <s v="Nora Wilson"/>
    <s v="Laval"/>
    <s v="Consumer"/>
    <s v="Notebook"/>
    <x v="3"/>
    <n v="176.13"/>
    <n v="297.7"/>
    <n v="44.654999999999994"/>
    <x v="698"/>
    <n v="176.13"/>
    <x v="697"/>
    <n v="0.30395779406824869"/>
    <n v="2025"/>
    <x v="1"/>
    <s v="mai"/>
    <s v="Q2"/>
    <s v="Quebec"/>
    <n v="0"/>
  </r>
  <r>
    <s v="ORD-2025-00701"/>
    <d v="2025-02-15T00:00:00"/>
    <s v="C0072"/>
    <s v="P1004"/>
    <s v="Ryan Bennett, Montreal, Corporate"/>
    <s v="Vancouver West"/>
    <s v="E. Roy"/>
    <s v="Online"/>
    <n v="2"/>
    <n v="274.38"/>
    <n v="0.15"/>
    <s v="Debit Card"/>
    <n v="4"/>
    <s v="No"/>
    <s v="Online"/>
    <s v="P1004"/>
    <s v="C0072"/>
    <s v="Vancouver West"/>
    <s v="Debit Card"/>
    <n v="1"/>
    <s v="Ryan Bennett"/>
    <s v="Montreal"/>
    <s v="Corporate"/>
    <s v="Webcam"/>
    <x v="4"/>
    <n v="154.72999999999999"/>
    <n v="548.76"/>
    <n v="82.313999999999993"/>
    <x v="699"/>
    <n v="309.45999999999998"/>
    <x v="698"/>
    <n v="0.33655771514816302"/>
    <n v="2025"/>
    <x v="2"/>
    <s v="février"/>
    <s v="Q1"/>
    <s v="Quebec"/>
    <n v="0"/>
  </r>
  <r>
    <s v="ORD-2025-00702"/>
    <d v="2025-02-07T00:00:00"/>
    <s v="C0067"/>
    <s v="P1016"/>
    <s v="Leo Bennett, Mississauga, Consumer"/>
    <s v="Toronto Downtown"/>
    <s v="M. Wilson"/>
    <s v="Retail Store"/>
    <n v="2"/>
    <n v="328.35"/>
    <n v="0.05"/>
    <s v="Credit Card"/>
    <n v="3"/>
    <s v="No"/>
    <s v="Retail Store"/>
    <s v="P1016"/>
    <s v="C0067"/>
    <s v="Toronto Downtown"/>
    <s v="Credit Card"/>
    <n v="1"/>
    <s v="Leo Bennett"/>
    <s v="Mississauga"/>
    <s v="Consumer"/>
    <s v="Printer"/>
    <x v="3"/>
    <n v="156.75"/>
    <n v="656.7"/>
    <n v="32.835000000000001"/>
    <x v="700"/>
    <n v="313.5"/>
    <x v="699"/>
    <n v="0.49748743718592964"/>
    <n v="2025"/>
    <x v="2"/>
    <s v="février"/>
    <s v="Q1"/>
    <s v="Ontario"/>
    <n v="0"/>
  </r>
  <r>
    <s v="ORD-2025-00703"/>
    <d v="2025-12-23T00:00:00"/>
    <s v="C0116"/>
    <s v="P1015"/>
    <s v="Lucas Brown, Mississauga, Corporate"/>
    <s v="Online Fulfillment"/>
    <s v="A. Morgan"/>
    <s v="Online"/>
    <n v="2"/>
    <n v="377.86"/>
    <n v="0.25"/>
    <s v="Debit Card"/>
    <n v="6"/>
    <s v="No"/>
    <s v="Online"/>
    <s v="P1015"/>
    <s v="C0116"/>
    <s v="Online Fulfillment"/>
    <s v="Debit Card"/>
    <n v="1"/>
    <s v="Lucas Brown"/>
    <s v="Mississauga"/>
    <s v="Corporate"/>
    <s v="Desk Organizer"/>
    <x v="3"/>
    <n v="235.76"/>
    <n v="755.72"/>
    <n v="188.93"/>
    <x v="701"/>
    <n v="471.52"/>
    <x v="700"/>
    <n v="0.16808694578238853"/>
    <n v="2025"/>
    <x v="6"/>
    <s v="décembre"/>
    <s v="Q4"/>
    <s v="Ontario"/>
    <n v="0"/>
  </r>
  <r>
    <s v="ORD-2025-00704"/>
    <d v="2025-08-05T00:00:00"/>
    <s v="C0107"/>
    <s v="P1034"/>
    <s v="Ava Lee, Calgary, Small Business"/>
    <s v="Calgary North"/>
    <s v="M. Wilson"/>
    <s v="Online"/>
    <n v="4"/>
    <n v="141.24"/>
    <n v="0"/>
    <s v="Credit Card"/>
    <n v="4"/>
    <s v="No"/>
    <s v="Online"/>
    <s v="P1034"/>
    <s v="C0107"/>
    <s v="Calgary North"/>
    <s v="Credit Card"/>
    <n v="1"/>
    <s v="Ava Lee"/>
    <s v="Calgary"/>
    <s v="Small Business"/>
    <s v="Laptop Sleeve"/>
    <x v="1"/>
    <n v="78.95"/>
    <n v="564.96"/>
    <n v="0"/>
    <x v="702"/>
    <n v="315.8"/>
    <x v="701"/>
    <n v="0.44102237326536392"/>
    <n v="2025"/>
    <x v="7"/>
    <s v="août"/>
    <s v="Q3"/>
    <s v="Alberta"/>
    <n v="0"/>
  </r>
  <r>
    <s v="ORD-2025-00705"/>
    <d v="2025-03-02T00:00:00"/>
    <s v="C0048"/>
    <s v="P1033"/>
    <s v="Amelia Brown, Quebec City, Corporate"/>
    <s v="Vancouver West"/>
    <s v="L. Chen"/>
    <s v="Online"/>
    <n v="3"/>
    <n v="318.18"/>
    <n v="0.1"/>
    <s v="Debit Card"/>
    <n v="7"/>
    <s v="No"/>
    <s v="Online"/>
    <s v="P1033"/>
    <s v="C0048"/>
    <s v="Vancouver West"/>
    <s v="Debit Card"/>
    <n v="1"/>
    <s v="Amelia Brown"/>
    <s v="Quebec City"/>
    <s v="Corporate"/>
    <s v="Backpack"/>
    <x v="1"/>
    <n v="152.55000000000001"/>
    <n v="954.54"/>
    <n v="95.454000000000008"/>
    <x v="703"/>
    <n v="457.65000000000003"/>
    <x v="702"/>
    <n v="0.46728267018668673"/>
    <n v="2025"/>
    <x v="4"/>
    <s v="mars"/>
    <s v="Q1"/>
    <s v="Quebec"/>
    <n v="0"/>
  </r>
  <r>
    <s v="ORD-2025-00706"/>
    <d v="2025-10-24T00:00:00"/>
    <s v="C0082"/>
    <s v="P1016"/>
    <s v="Ryan King, Winnipeg, Small Business"/>
    <s v="Vancouver West"/>
    <s v="L. Chen"/>
    <s v="Retail  Store"/>
    <n v="4"/>
    <n v="328.67"/>
    <n v="0"/>
    <s v="PayPal"/>
    <n v="1"/>
    <s v="No"/>
    <s v="Retail Store"/>
    <s v="P1016"/>
    <s v="C0082"/>
    <s v="Vancouver West"/>
    <s v="Paypal"/>
    <n v="1"/>
    <s v="Ryan King"/>
    <s v="Winnipeg"/>
    <s v="Small Business"/>
    <s v="Printer"/>
    <x v="3"/>
    <n v="156.75"/>
    <n v="1314.68"/>
    <n v="0"/>
    <x v="704"/>
    <n v="627"/>
    <x v="703"/>
    <n v="0.52307785925092043"/>
    <n v="2025"/>
    <x v="11"/>
    <s v="octobre"/>
    <s v="Q4"/>
    <s v="Manitoba"/>
    <n v="0"/>
  </r>
  <r>
    <s v="ORD-2025-00707"/>
    <d v="2025-06-09T00:00:00"/>
    <s v="C0034"/>
    <s v="P1020"/>
    <s v="Noah Tremblay, Toronto, Corporate"/>
    <s v="Montreal  Central"/>
    <s v="M. Wilson"/>
    <s v="Retail Store"/>
    <n v="5"/>
    <n v="62.48"/>
    <n v="0"/>
    <s v="Credit Card"/>
    <n v="0"/>
    <s v="No"/>
    <s v="Retail Store"/>
    <s v="P1020"/>
    <s v="C0034"/>
    <s v="Montreal Central"/>
    <s v="Credit Card"/>
    <n v="1"/>
    <s v="Noah Tremblay"/>
    <s v="Toronto"/>
    <s v="Corporate"/>
    <s v="Blender"/>
    <x v="2"/>
    <n v="37.46"/>
    <n v="312.39999999999998"/>
    <n v="0"/>
    <x v="705"/>
    <n v="187.3"/>
    <x v="704"/>
    <n v="0.4004481434058898"/>
    <n v="2025"/>
    <x v="5"/>
    <s v="juin"/>
    <s v="Q2"/>
    <s v="Ontario"/>
    <n v="0"/>
  </r>
  <r>
    <s v="ORD-2025-00708"/>
    <d v="2025-12-24T00:00:00"/>
    <s v="C0028"/>
    <s v="P1023"/>
    <s v="Mia Clark, Victoria, Consumer"/>
    <s v="Vancouver  West"/>
    <s v="N. Brown"/>
    <s v="Retail Store"/>
    <n v="2"/>
    <n v="339.25"/>
    <n v="0.05"/>
    <s v="PayPal"/>
    <n v="0"/>
    <s v="No"/>
    <s v="Retail Store"/>
    <s v="P1023"/>
    <s v="C0028"/>
    <s v="Vancouver West"/>
    <s v="Paypal"/>
    <n v="1"/>
    <s v="Mia Clark"/>
    <s v="Victoria"/>
    <s v="Consumer"/>
    <s v="Toaster"/>
    <x v="2"/>
    <n v="152.88"/>
    <n v="678.5"/>
    <n v="33.925000000000004"/>
    <x v="706"/>
    <n v="305.76"/>
    <x v="705"/>
    <n v="0.52564092619167668"/>
    <n v="2025"/>
    <x v="6"/>
    <s v="décembre"/>
    <s v="Q4"/>
    <s v="British Columbia"/>
    <n v="0"/>
  </r>
  <r>
    <s v="ORD-2025-00709"/>
    <d v="2025-03-04T00:00:00"/>
    <s v="C0092"/>
    <s v="P1008"/>
    <s v="Lucas Tremblay, Saskatoon, Consumer"/>
    <s v="Vancouver West"/>
    <s v="M. Wilson"/>
    <s v="Retail Store"/>
    <n v="1"/>
    <n v="128.07"/>
    <n v="0.1"/>
    <s v="Credit Card"/>
    <n v="0"/>
    <s v="No"/>
    <s v="Retail Store"/>
    <s v="P1008"/>
    <s v="C0092"/>
    <s v="Vancouver West"/>
    <s v="Credit Card"/>
    <n v="1"/>
    <s v="Lucas Tremblay"/>
    <s v="Saskatoon"/>
    <s v="Consumer"/>
    <s v="Smart Speaker"/>
    <x v="4"/>
    <n v="69"/>
    <n v="128.07"/>
    <n v="12.807"/>
    <x v="707"/>
    <n v="69"/>
    <x v="706"/>
    <n v="0.40136904297129167"/>
    <n v="2025"/>
    <x v="4"/>
    <s v="mars"/>
    <s v="Q1"/>
    <s v="Saskatchewan"/>
    <n v="0"/>
  </r>
  <r>
    <s v="ORD-2025-00710"/>
    <d v="2025-03-04T00:00:00"/>
    <s v="C0120"/>
    <s v="P1021"/>
    <s v="Ethan King , Mississauga , Small Business"/>
    <s v="Vancouver West"/>
    <s v="R. Singh"/>
    <s v="Online"/>
    <n v="3"/>
    <n v="301.69"/>
    <n v="0.05"/>
    <s v="Credit Card"/>
    <n v="7"/>
    <s v="No"/>
    <s v="Online"/>
    <s v="P1021"/>
    <s v="C0120"/>
    <s v="Vancouver West"/>
    <s v="Credit Card"/>
    <n v="1"/>
    <s v="Ethan King"/>
    <s v="Mississauga"/>
    <s v="Small Business"/>
    <s v="Kettle"/>
    <x v="2"/>
    <n v="139.86000000000001"/>
    <n v="905.06999999999994"/>
    <n v="45.253500000000003"/>
    <x v="708"/>
    <n v="419.58000000000004"/>
    <x v="707"/>
    <n v="0.51201215608214068"/>
    <n v="2025"/>
    <x v="4"/>
    <s v="mars"/>
    <s v="Q1"/>
    <s v="Ontario"/>
    <n v="0"/>
  </r>
  <r>
    <s v="ORD-2025-00711"/>
    <d v="2025-04-03T00:00:00"/>
    <s v="C0006"/>
    <s v="P1003"/>
    <s v="Nora Wilson, Laval, Consumer"/>
    <s v="Montreal Central"/>
    <s v="M. Wilson"/>
    <s v="Online"/>
    <n v="1"/>
    <n v="153"/>
    <n v="0"/>
    <s v="PayPal"/>
    <n v="6"/>
    <s v="No"/>
    <s v="Online"/>
    <s v="P1003"/>
    <s v="C0006"/>
    <s v="Montreal Central"/>
    <s v="Paypal"/>
    <n v="1"/>
    <s v="Nora Wilson"/>
    <s v="Laval"/>
    <s v="Consumer"/>
    <s v="Mouse"/>
    <x v="4"/>
    <n v="106.4"/>
    <n v="153"/>
    <n v="0"/>
    <x v="709"/>
    <n v="106.4"/>
    <x v="708"/>
    <n v="0.30457516339869278"/>
    <n v="2025"/>
    <x v="9"/>
    <s v="avril"/>
    <s v="Q2"/>
    <s v="Quebec"/>
    <n v="0"/>
  </r>
  <r>
    <s v="ORD-2025-00712"/>
    <d v="2025-07-17T00:00:00"/>
    <s v="C0060"/>
    <s v="P1030"/>
    <s v="Sarah Wilson, Quebec City, Corporate"/>
    <s v="Vancouver West"/>
    <s v="S. Patel"/>
    <s v="Retail Store"/>
    <n v="5"/>
    <n v="247.33"/>
    <n v="0.05"/>
    <s v="Debit Card"/>
    <n v="1"/>
    <s v="No"/>
    <s v="Retail Store"/>
    <s v="P1030"/>
    <s v="C0060"/>
    <s v="Vancouver West"/>
    <s v="Debit Card"/>
    <n v="1"/>
    <s v="Sarah Wilson"/>
    <s v="Quebec City"/>
    <s v="Corporate"/>
    <s v="Pull-up Bar"/>
    <x v="0"/>
    <n v="125.4"/>
    <n v="1236.6500000000001"/>
    <n v="61.83250000000001"/>
    <x v="710"/>
    <n v="627"/>
    <x v="709"/>
    <n v="0.46630008490680475"/>
    <n v="2025"/>
    <x v="10"/>
    <s v="juillet"/>
    <s v="Q3"/>
    <s v="Quebec"/>
    <n v="0"/>
  </r>
  <r>
    <s v="ORD-2025-00713"/>
    <d v="2025-04-10T00:00:00"/>
    <s v="C0066"/>
    <s v="P1038"/>
    <s v="Noah Clark, Laval, Consumer"/>
    <s v="Calgary North"/>
    <s v="J. Tremblay"/>
    <s v="Retail  Store"/>
    <n v="1"/>
    <n v="255.13"/>
    <n v="0.2"/>
    <s v="Credit Card"/>
    <n v="3"/>
    <s v="No"/>
    <s v="Retail Store"/>
    <s v="P1038"/>
    <s v="C0066"/>
    <s v="Calgary North"/>
    <s v="Credit Card"/>
    <n v="1"/>
    <s v="Noah Clark"/>
    <s v="Laval"/>
    <s v="Consumer"/>
    <s v="Water Bottle"/>
    <x v="1"/>
    <n v="119.16"/>
    <n v="255.13"/>
    <n v="51.026000000000003"/>
    <x v="711"/>
    <n v="119.16"/>
    <x v="710"/>
    <n v="0.41617998667346057"/>
    <n v="2025"/>
    <x v="9"/>
    <s v="avril"/>
    <s v="Q2"/>
    <s v="Quebec"/>
    <n v="0"/>
  </r>
  <r>
    <s v="ORD-2025-00714"/>
    <d v="2025-08-10T00:00:00"/>
    <s v="C0060"/>
    <s v="P1021"/>
    <s v="Sarah Wilson, Quebec City, Corporate"/>
    <s v="Vancouver West"/>
    <s v="M. Wilson"/>
    <s v="Marketplace"/>
    <n v="1"/>
    <n v="291.2"/>
    <n v="0.05"/>
    <s v="Credit Card"/>
    <n v="1"/>
    <s v="No"/>
    <s v="Marketplace"/>
    <s v="P1021"/>
    <s v="C0060"/>
    <s v="Vancouver West"/>
    <s v="Credit Card"/>
    <n v="1"/>
    <s v="Sarah Wilson"/>
    <s v="Quebec City"/>
    <s v="Corporate"/>
    <s v="Kettle"/>
    <x v="2"/>
    <n v="139.86000000000001"/>
    <n v="291.2"/>
    <n v="14.56"/>
    <x v="712"/>
    <n v="139.86000000000001"/>
    <x v="711"/>
    <n v="0.49443319838056671"/>
    <n v="2025"/>
    <x v="7"/>
    <s v="août"/>
    <s v="Q3"/>
    <s v="Quebec"/>
    <n v="0"/>
  </r>
  <r>
    <s v="ORD-2025-00715"/>
    <d v="2025-07-17T00:00:00"/>
    <s v="C0061"/>
    <s v="P1019"/>
    <s v="Zoe Hall, Vancouver, Consumer"/>
    <s v="Calgary North"/>
    <s v="R. Singh"/>
    <s v="Retail Store"/>
    <n v="2"/>
    <n v="282.41000000000003"/>
    <n v="0.25"/>
    <s v="Credit Card"/>
    <n v="4"/>
    <s v="No"/>
    <s v="Retail Store"/>
    <s v="P1019"/>
    <s v="C0061"/>
    <s v="Calgary North"/>
    <s v="Credit Card"/>
    <n v="1"/>
    <s v="Zoe Hall"/>
    <s v="Vancouver"/>
    <s v="Consumer"/>
    <s v="Vacuum"/>
    <x v="2"/>
    <n v="186.94"/>
    <n v="564.82000000000005"/>
    <n v="141.20500000000001"/>
    <x v="713"/>
    <n v="373.88"/>
    <x v="712"/>
    <n v="0.11740613528793838"/>
    <n v="2025"/>
    <x v="10"/>
    <s v="juillet"/>
    <s v="Q3"/>
    <s v="British Columbia"/>
    <n v="0"/>
  </r>
  <r>
    <s v="ORD-2025-00716"/>
    <d v="2025-09-18T00:00:00"/>
    <s v="C0015"/>
    <s v="P1013"/>
    <s v="Zoe Singh, Halifax, Consumer"/>
    <s v="Calgary North"/>
    <s v="M. Wilson"/>
    <s v="Retail Store"/>
    <n v="4"/>
    <n v="123.21"/>
    <n v="0"/>
    <s v="Credit  Card"/>
    <n v="2"/>
    <s v="No"/>
    <s v="Retail Store"/>
    <s v="P1013"/>
    <s v="C0015"/>
    <s v="Calgary North"/>
    <s v="Credit Card"/>
    <n v="1"/>
    <s v="Zoe Singh"/>
    <s v="Halifax"/>
    <s v="Consumer"/>
    <s v="Whiteboard"/>
    <x v="3"/>
    <n v="85.73"/>
    <n v="492.84"/>
    <n v="0"/>
    <x v="714"/>
    <n v="342.92"/>
    <x v="713"/>
    <n v="0.30419608797987169"/>
    <n v="2025"/>
    <x v="0"/>
    <s v="septembre"/>
    <s v="Q3"/>
    <s v="Nova Scotia"/>
    <n v="0"/>
  </r>
  <r>
    <s v="ORD-2025-00717"/>
    <d v="2025-09-19T00:00:00"/>
    <s v="C0022"/>
    <s v="P1020"/>
    <s v="Adam White, Victoria, Consumer"/>
    <s v="Online Fulfillment"/>
    <s v="S. Patel"/>
    <s v="Online"/>
    <n v="3"/>
    <n v="69.22"/>
    <n v="0.2"/>
    <s v="Debit Card"/>
    <n v="7"/>
    <s v="Yes"/>
    <s v="Online"/>
    <s v="P1020"/>
    <s v="C0022"/>
    <s v="Online Fulfillment"/>
    <s v="Debit Card"/>
    <n v="1"/>
    <s v="Adam White"/>
    <s v="Victoria"/>
    <s v="Consumer"/>
    <s v="Blender"/>
    <x v="2"/>
    <n v="37.46"/>
    <n v="207.66"/>
    <n v="41.532000000000004"/>
    <x v="715"/>
    <n v="112.38"/>
    <x v="714"/>
    <n v="0.32353366079167867"/>
    <n v="2025"/>
    <x v="0"/>
    <s v="septembre"/>
    <s v="Q3"/>
    <s v="British Columbia"/>
    <n v="1"/>
  </r>
  <r>
    <s v="ORD-2025-00718"/>
    <d v="2025-03-27T00:00:00"/>
    <s v="C0114"/>
    <s v="P1004"/>
    <s v="Olivia Johnson, Ottawa, Consumer"/>
    <s v="Calgary North"/>
    <s v="M. Wilson"/>
    <s v="Retail Store"/>
    <n v="1"/>
    <n v="299.10000000000002"/>
    <n v="0"/>
    <s v="Credit Card"/>
    <n v="3"/>
    <s v="No"/>
    <s v="Retail Store"/>
    <s v="P1004"/>
    <s v="C0114"/>
    <s v="Calgary North"/>
    <s v="Credit Card"/>
    <n v="1"/>
    <s v="Olivia Johnson"/>
    <s v="Ottawa"/>
    <s v="Consumer"/>
    <s v="Webcam"/>
    <x v="4"/>
    <n v="154.72999999999999"/>
    <n v="299.10000000000002"/>
    <n v="0"/>
    <x v="716"/>
    <n v="154.72999999999999"/>
    <x v="715"/>
    <n v="0.48268137746573059"/>
    <n v="2025"/>
    <x v="4"/>
    <s v="mars"/>
    <s v="Q1"/>
    <s v="Ontario"/>
    <n v="0"/>
  </r>
  <r>
    <s v="ORD-2025-00719"/>
    <d v="2025-02-20T00:00:00"/>
    <s v="C0037"/>
    <s v="P1033"/>
    <s v="Lucas Scott, Victoria, Small Business"/>
    <s v="Toronto Downtown"/>
    <s v="L. Chen"/>
    <s v="Retail Store"/>
    <n v="1"/>
    <n v="308.49"/>
    <n v="0"/>
    <s v="Credit Card"/>
    <n v="4"/>
    <s v="No"/>
    <s v="Retail Store"/>
    <s v="P1033"/>
    <s v="C0037"/>
    <s v="Toronto Downtown"/>
    <s v="Credit Card"/>
    <n v="1"/>
    <s v="Lucas Scott"/>
    <s v="Victoria"/>
    <s v="Small Business"/>
    <s v="Backpack"/>
    <x v="1"/>
    <n v="152.55000000000001"/>
    <n v="308.49"/>
    <n v="0"/>
    <x v="717"/>
    <n v="152.55000000000001"/>
    <x v="716"/>
    <n v="0.50549450549450547"/>
    <n v="2025"/>
    <x v="2"/>
    <s v="février"/>
    <s v="Q1"/>
    <s v="British Columbia"/>
    <n v="0"/>
  </r>
  <r>
    <s v="ORD-2025-00720"/>
    <d v="2025-01-27T00:00:00"/>
    <s v="C0065"/>
    <s v="P1034"/>
    <s v="Mia Wilson, Quebec City, Consumer"/>
    <s v="Calgary North"/>
    <s v="N. Brown"/>
    <s v="Online"/>
    <n v="2"/>
    <n v="137.54"/>
    <n v="0.15"/>
    <s v="Credit Card"/>
    <n v="1"/>
    <s v="No"/>
    <s v="Online"/>
    <s v="P1034"/>
    <s v="C0065"/>
    <s v="Calgary North"/>
    <s v="Credit Card"/>
    <n v="1"/>
    <s v="Mia Wilson"/>
    <s v="Quebec City"/>
    <s v="Consumer"/>
    <s v="Laptop Sleeve"/>
    <x v="1"/>
    <n v="78.95"/>
    <n v="275.08"/>
    <n v="41.261999999999993"/>
    <x v="718"/>
    <n v="157.9"/>
    <x v="717"/>
    <n v="0.32468843288369581"/>
    <n v="2025"/>
    <x v="3"/>
    <s v="janvier"/>
    <s v="Q1"/>
    <s v="Quebec"/>
    <n v="0"/>
  </r>
</pivotCacheRecords>
</file>

<file path=xl/pivotCache/pivotCacheRecords2.xml><?xml version="1.0" encoding="utf-8"?>
<pivotCacheRecords xmlns="http://schemas.openxmlformats.org/spreadsheetml/2006/main" xmlns:r="http://schemas.openxmlformats.org/officeDocument/2006/relationships" count="720">
  <r>
    <x v="0"/>
    <s v="P1025"/>
    <s v="C0113"/>
    <s v="Online Fulfillment"/>
    <s v="Paypal"/>
    <n v="1"/>
    <s v="Olivia Johnson"/>
    <s v="Surrey"/>
    <s v="Consumer"/>
    <s v="Yoga Mat"/>
    <x v="0"/>
    <n v="197.33"/>
    <n v="321.89"/>
    <n v="0"/>
    <x v="0"/>
    <n v="197.33"/>
    <x v="0"/>
    <n v="0.38696449097517777"/>
    <n v="2025"/>
    <x v="0"/>
    <s v="septembre"/>
    <s v="Q3"/>
    <x v="0"/>
    <n v="0"/>
  </r>
  <r>
    <x v="1"/>
    <s v="P1033"/>
    <s v="C0084"/>
    <s v="Online Fulfillment"/>
    <s v="Debit Card"/>
    <n v="1"/>
    <s v="Ryan Clark"/>
    <s v="Montreal"/>
    <s v="Corporate"/>
    <s v="Backpack"/>
    <x v="1"/>
    <n v="152.55000000000001"/>
    <n v="1264.68"/>
    <n v="189.702"/>
    <x v="1"/>
    <n v="610.20000000000005"/>
    <x v="1"/>
    <n v="0.43236047621439694"/>
    <n v="2025"/>
    <x v="1"/>
    <s v="mai"/>
    <s v="Q2"/>
    <x v="1"/>
    <n v="0"/>
  </r>
  <r>
    <x v="2"/>
    <s v="P1021"/>
    <s v="C0003"/>
    <s v="Vancouver West"/>
    <s v="Credit Card"/>
    <n v="1"/>
    <s v="Amelia Young"/>
    <s v="Ottawa"/>
    <s v="Corporate"/>
    <s v="Kettle"/>
    <x v="2"/>
    <n v="139.86000000000001"/>
    <n v="604.34"/>
    <n v="0"/>
    <x v="2"/>
    <n v="279.72000000000003"/>
    <x v="2"/>
    <n v="0.53714796306714763"/>
    <n v="2025"/>
    <x v="2"/>
    <s v="février"/>
    <s v="Q1"/>
    <x v="2"/>
    <n v="0"/>
  </r>
  <r>
    <x v="0"/>
    <s v="P1032"/>
    <s v="C0071"/>
    <s v="Montreal Central"/>
    <s v="Paypal"/>
    <n v="1"/>
    <s v="Ethan Lee"/>
    <s v="Surrey"/>
    <s v="Consumer"/>
    <s v="Gym Bag"/>
    <x v="0"/>
    <n v="132.72"/>
    <n v="197.68"/>
    <n v="19.768000000000001"/>
    <x v="3"/>
    <n v="132.72"/>
    <x v="3"/>
    <n v="0.25401322001888577"/>
    <n v="2025"/>
    <x v="3"/>
    <s v="janvier"/>
    <s v="Q1"/>
    <x v="0"/>
    <n v="0"/>
  </r>
  <r>
    <x v="0"/>
    <s v="P1034"/>
    <s v="C0083"/>
    <s v="Toronto Downtown"/>
    <s v="Credit Card"/>
    <n v="1"/>
    <s v="Amine King"/>
    <s v="Edmonton"/>
    <s v="Consumer"/>
    <s v="Laptop Sleeve"/>
    <x v="1"/>
    <n v="78.95"/>
    <n v="151.79"/>
    <n v="0"/>
    <x v="4"/>
    <n v="78.95"/>
    <x v="4"/>
    <n v="0.47987350945385066"/>
    <n v="2025"/>
    <x v="4"/>
    <s v="mars"/>
    <s v="Q1"/>
    <x v="3"/>
    <n v="0"/>
  </r>
  <r>
    <x v="1"/>
    <s v="P1015"/>
    <s v="C0057"/>
    <s v="Toronto Downtown"/>
    <s v="Credit Card"/>
    <n v="1"/>
    <s v="Adam Khan"/>
    <s v="Edmonton"/>
    <s v="Small Business"/>
    <s v="Desk Organizer"/>
    <x v="3"/>
    <n v="235.76"/>
    <n v="751.5"/>
    <n v="0"/>
    <x v="5"/>
    <n v="471.52"/>
    <x v="5"/>
    <n v="0.37256154357950766"/>
    <n v="2025"/>
    <x v="3"/>
    <s v="janvier"/>
    <s v="Q1"/>
    <x v="3"/>
    <n v="0"/>
  </r>
  <r>
    <x v="1"/>
    <s v="P1027"/>
    <s v="C0021"/>
    <s v="Montreal Central"/>
    <s v="Debit Card"/>
    <n v="1"/>
    <s v="Nora King"/>
    <s v="Halifax"/>
    <s v="Corporate"/>
    <s v="Kettlebell"/>
    <x v="0"/>
    <n v="25.97"/>
    <n v="165.14999999999998"/>
    <n v="24.772499999999997"/>
    <x v="6"/>
    <n v="77.91"/>
    <x v="6"/>
    <n v="0.44499652722124261"/>
    <n v="2025"/>
    <x v="5"/>
    <s v="juin"/>
    <s v="Q2"/>
    <x v="4"/>
    <n v="0"/>
  </r>
  <r>
    <x v="0"/>
    <s v="P1033"/>
    <s v="C0015"/>
    <s v="Toronto Downtown"/>
    <s v="Paypal"/>
    <n v="1"/>
    <s v="Zoe Singh"/>
    <s v="Halifax"/>
    <s v="Consumer"/>
    <s v="Backpack"/>
    <x v="1"/>
    <n v="152.55000000000001"/>
    <n v="608.12"/>
    <n v="0"/>
    <x v="7"/>
    <n v="305.10000000000002"/>
    <x v="7"/>
    <n v="0.49828981122146943"/>
    <n v="2025"/>
    <x v="2"/>
    <s v="février"/>
    <s v="Q1"/>
    <x v="4"/>
    <n v="0"/>
  </r>
  <r>
    <x v="1"/>
    <s v="P1039"/>
    <s v="C0104"/>
    <s v="Montreal Central"/>
    <s v="Paypal"/>
    <n v="1"/>
    <s v="Ava Scott"/>
    <s v="Edmonton"/>
    <s v="Corporate"/>
    <s v="Travel Adapter"/>
    <x v="1"/>
    <n v="229.86"/>
    <n v="333.75"/>
    <n v="16.6875"/>
    <x v="8"/>
    <n v="229.86"/>
    <x v="8"/>
    <n v="0.27503252513305732"/>
    <n v="2025"/>
    <x v="6"/>
    <s v="décembre"/>
    <s v="Q4"/>
    <x v="3"/>
    <n v="0"/>
  </r>
  <r>
    <x v="0"/>
    <s v="P1003"/>
    <s v="C0104"/>
    <s v="Vancouver West"/>
    <s v="Credit Card"/>
    <n v="1"/>
    <s v="Ava Scott"/>
    <s v="Edmonton"/>
    <s v="Corporate"/>
    <s v="Mouse"/>
    <x v="4"/>
    <n v="106.4"/>
    <n v="163.56"/>
    <n v="8.1780000000000008"/>
    <x v="9"/>
    <n v="106.4"/>
    <x v="9"/>
    <n v="0.31523599902176569"/>
    <n v="2025"/>
    <x v="5"/>
    <s v="juin"/>
    <s v="Q2"/>
    <x v="3"/>
    <n v="0"/>
  </r>
  <r>
    <x v="0"/>
    <s v="P1012"/>
    <s v="C0106"/>
    <s v="Toronto Downtown"/>
    <s v="Paypal"/>
    <n v="1"/>
    <s v="Liam Gagnon"/>
    <s v="Ottawa"/>
    <s v="Small Business"/>
    <s v="Standing Desk"/>
    <x v="3"/>
    <n v="45.17"/>
    <n v="238.70999999999998"/>
    <n v="0"/>
    <x v="10"/>
    <n v="135.51"/>
    <x v="10"/>
    <n v="0.43232374010305391"/>
    <n v="2025"/>
    <x v="6"/>
    <s v="décembre"/>
    <s v="Q4"/>
    <x v="2"/>
    <n v="0"/>
  </r>
  <r>
    <x v="0"/>
    <s v="P1038"/>
    <s v="C0002"/>
    <s v="Calgary North"/>
    <s v="Gift Card"/>
    <n v="1"/>
    <s v="Ryan Johnson"/>
    <s v="Montreal"/>
    <s v="Small Business"/>
    <s v="Water Bottle"/>
    <x v="1"/>
    <n v="119.16"/>
    <n v="265.64"/>
    <n v="26.564"/>
    <x v="11"/>
    <n v="119.16"/>
    <x v="11"/>
    <n v="0.50158108718566485"/>
    <n v="2025"/>
    <x v="5"/>
    <s v="juin"/>
    <s v="Q2"/>
    <x v="1"/>
    <n v="1"/>
  </r>
  <r>
    <x v="1"/>
    <s v="P1011"/>
    <s v="C0071"/>
    <s v="Toronto Downtown"/>
    <s v="Debit Card"/>
    <n v="1"/>
    <s v="Ethan Lee"/>
    <s v="Surrey"/>
    <s v="Consumer"/>
    <s v="Office Chair"/>
    <x v="3"/>
    <n v="39.26"/>
    <n v="82.73"/>
    <n v="0"/>
    <x v="12"/>
    <n v="39.26"/>
    <x v="12"/>
    <n v="0.52544421612474324"/>
    <n v="2025"/>
    <x v="5"/>
    <s v="juin"/>
    <s v="Q2"/>
    <x v="0"/>
    <n v="0"/>
  </r>
  <r>
    <x v="0"/>
    <s v="P1008"/>
    <s v="C0014"/>
    <s v="Vancouver West"/>
    <s v="Gift Card"/>
    <n v="1"/>
    <s v="Zoe Scott"/>
    <s v="Montreal"/>
    <s v="Small Business"/>
    <s v="Smart Speaker"/>
    <x v="4"/>
    <n v="69"/>
    <n v="255.52"/>
    <n v="25.552000000000003"/>
    <x v="13"/>
    <n v="138"/>
    <x v="13"/>
    <n v="0.39991651012314761"/>
    <n v="2025"/>
    <x v="5"/>
    <s v="juin"/>
    <s v="Q2"/>
    <x v="1"/>
    <n v="0"/>
  </r>
  <r>
    <x v="1"/>
    <s v="P1009"/>
    <s v="C0112"/>
    <s v="Montreal Central"/>
    <s v="Credit Card"/>
    <n v="1"/>
    <s v="Ava Bennett"/>
    <s v="Halifax"/>
    <s v="Consumer"/>
    <s v="Notebook"/>
    <x v="3"/>
    <n v="176.13"/>
    <n v="1225.92"/>
    <n v="122.59200000000001"/>
    <x v="14"/>
    <n v="704.52"/>
    <x v="14"/>
    <n v="0.36145914904724613"/>
    <n v="2025"/>
    <x v="5"/>
    <s v="juin"/>
    <s v="Q2"/>
    <x v="4"/>
    <n v="0"/>
  </r>
  <r>
    <x v="2"/>
    <s v="P1015"/>
    <s v="C0073"/>
    <s v="Toronto Downtown"/>
    <s v="Gift Card"/>
    <n v="1"/>
    <s v="Olivia Singh"/>
    <s v="Mississauga"/>
    <s v="Consumer"/>
    <s v="Desk Organizer"/>
    <x v="3"/>
    <n v="235.76"/>
    <n v="361.37"/>
    <n v="0"/>
    <x v="15"/>
    <n v="235.76"/>
    <x v="15"/>
    <n v="0.34759387884993226"/>
    <n v="2025"/>
    <x v="5"/>
    <s v="juin"/>
    <s v="Q2"/>
    <x v="2"/>
    <n v="1"/>
  </r>
  <r>
    <x v="0"/>
    <s v="P1012"/>
    <s v="C0002"/>
    <s v="Vancouver West"/>
    <s v="Paypal"/>
    <n v="1"/>
    <s v="Ryan Johnson"/>
    <s v="Montreal"/>
    <s v="Small Business"/>
    <s v="Standing Desk"/>
    <x v="3"/>
    <n v="45.17"/>
    <n v="77"/>
    <n v="11.549999999999999"/>
    <x v="16"/>
    <n v="45.17"/>
    <x v="16"/>
    <n v="0.3098548510313216"/>
    <n v="2025"/>
    <x v="3"/>
    <s v="janvier"/>
    <s v="Q1"/>
    <x v="1"/>
    <n v="0"/>
  </r>
  <r>
    <x v="2"/>
    <s v="P1024"/>
    <s v="C0032"/>
    <s v="Toronto Downtown"/>
    <s v="Paypal"/>
    <n v="1"/>
    <s v="Nora Bennett"/>
    <s v="Surrey"/>
    <s v="Consumer"/>
    <s v="Food Scale"/>
    <x v="2"/>
    <n v="46.07"/>
    <n v="214.52"/>
    <n v="0"/>
    <x v="17"/>
    <n v="92.14"/>
    <x v="17"/>
    <n v="0.57048293865373856"/>
    <n v="2025"/>
    <x v="3"/>
    <s v="janvier"/>
    <s v="Q1"/>
    <x v="0"/>
    <n v="0"/>
  </r>
  <r>
    <x v="0"/>
    <s v="P1039"/>
    <s v="C0064"/>
    <s v="Montreal Central"/>
    <s v="Credit Card"/>
    <n v="1"/>
    <s v="Amine Khan"/>
    <s v="Edmonton"/>
    <s v="Consumer"/>
    <s v="Travel Adapter"/>
    <x v="1"/>
    <n v="229.86"/>
    <n v="1429.48"/>
    <n v="357.37"/>
    <x v="18"/>
    <n v="919.44"/>
    <x v="18"/>
    <n v="0.14240143268880998"/>
    <n v="2025"/>
    <x v="7"/>
    <s v="août"/>
    <s v="Q3"/>
    <x v="3"/>
    <n v="0"/>
  </r>
  <r>
    <x v="1"/>
    <s v="P1002"/>
    <s v="C0077"/>
    <s v="Vancouver West"/>
    <s v="Debit Card"/>
    <n v="1"/>
    <s v="Amine Taylor"/>
    <s v="Surrey"/>
    <s v="Small Business"/>
    <s v="Keyboard"/>
    <x v="4"/>
    <n v="23.5"/>
    <n v="78.900000000000006"/>
    <n v="3.9450000000000003"/>
    <x v="19"/>
    <n v="47"/>
    <x v="19"/>
    <n v="0.37295710759789219"/>
    <n v="2025"/>
    <x v="8"/>
    <s v="novembre"/>
    <s v="Q4"/>
    <x v="0"/>
    <n v="1"/>
  </r>
  <r>
    <x v="1"/>
    <s v="P1015"/>
    <s v="C0041"/>
    <s v="Online Fulfillment"/>
    <s v="Credit Card"/>
    <n v="1"/>
    <s v="Amine Chen"/>
    <s v="Halifax"/>
    <s v="Small Business"/>
    <s v="Desk Organizer"/>
    <x v="3"/>
    <n v="235.76"/>
    <n v="746.6"/>
    <n v="37.330000000000005"/>
    <x v="20"/>
    <n v="471.52"/>
    <x v="20"/>
    <n v="0.33520380109126285"/>
    <n v="2025"/>
    <x v="3"/>
    <s v="janvier"/>
    <s v="Q1"/>
    <x v="4"/>
    <n v="1"/>
  </r>
  <r>
    <x v="0"/>
    <s v="P1007"/>
    <s v="C0085"/>
    <s v="Toronto Downtown"/>
    <s v="Credit Card"/>
    <n v="1"/>
    <s v="Yasmine Clark"/>
    <s v="Calgary"/>
    <s v="Consumer"/>
    <s v="Monitor"/>
    <x v="4"/>
    <n v="224.47"/>
    <n v="339.65"/>
    <n v="0"/>
    <x v="21"/>
    <n v="224.47"/>
    <x v="21"/>
    <n v="0.33911379361107019"/>
    <n v="2025"/>
    <x v="9"/>
    <s v="avril"/>
    <s v="Q2"/>
    <x v="3"/>
    <n v="0"/>
  </r>
  <r>
    <x v="0"/>
    <s v="P1024"/>
    <s v="C0036"/>
    <s v="Vancouver West"/>
    <s v="Debit Card"/>
    <n v="1"/>
    <s v="Sarah Wilson"/>
    <s v="Montreal"/>
    <s v="Corporate"/>
    <s v="Food Scale"/>
    <x v="2"/>
    <n v="46.07"/>
    <n v="198.44"/>
    <n v="9.9220000000000006"/>
    <x v="22"/>
    <n v="92.14"/>
    <x v="22"/>
    <n v="0.51124030596547809"/>
    <n v="2025"/>
    <x v="7"/>
    <s v="août"/>
    <s v="Q3"/>
    <x v="1"/>
    <n v="0"/>
  </r>
  <r>
    <x v="0"/>
    <s v="P1004"/>
    <s v="C0054"/>
    <s v="Calgary North"/>
    <s v="Debit Card"/>
    <n v="1"/>
    <s v="Maya Hall"/>
    <s v="Surrey"/>
    <s v="Small Business"/>
    <s v="Webcam"/>
    <x v="4"/>
    <n v="154.72999999999999"/>
    <n v="554.78"/>
    <n v="0"/>
    <x v="23"/>
    <n v="309.45999999999998"/>
    <x v="23"/>
    <n v="0.44219330184938177"/>
    <n v="2025"/>
    <x v="8"/>
    <s v="novembre"/>
    <s v="Q4"/>
    <x v="0"/>
    <n v="0"/>
  </r>
  <r>
    <x v="1"/>
    <s v="P1029"/>
    <s v="C0023"/>
    <s v="Toronto Downtown"/>
    <s v="Credit Card"/>
    <n v="1"/>
    <s v="Ryan Gagnon"/>
    <s v="Ottawa"/>
    <s v="Small Business"/>
    <s v="Jump Rope"/>
    <x v="0"/>
    <n v="101"/>
    <n v="387.8"/>
    <n v="0"/>
    <x v="24"/>
    <n v="202"/>
    <x v="24"/>
    <n v="0.47911294481691596"/>
    <n v="2025"/>
    <x v="10"/>
    <s v="juillet"/>
    <s v="Q3"/>
    <x v="2"/>
    <n v="0"/>
  </r>
  <r>
    <x v="1"/>
    <s v="P1007"/>
    <s v="C0091"/>
    <s v="Montreal Central"/>
    <s v="Debit Card"/>
    <n v="1"/>
    <s v="Leo Taylor"/>
    <s v="Victoria"/>
    <s v="Small Business"/>
    <s v="Monitor"/>
    <x v="4"/>
    <n v="224.47"/>
    <n v="1008.1500000000001"/>
    <n v="252.03750000000002"/>
    <x v="25"/>
    <n v="673.41"/>
    <x v="25"/>
    <n v="0.10937856469771376"/>
    <n v="2025"/>
    <x v="9"/>
    <s v="avril"/>
    <s v="Q2"/>
    <x v="0"/>
    <n v="0"/>
  </r>
  <r>
    <x v="0"/>
    <s v="P1008"/>
    <s v="C0118"/>
    <s v="Montreal Central"/>
    <s v="Gift Card"/>
    <n v="1"/>
    <s v="Ryan Smith"/>
    <s v="Victoria"/>
    <s v="Small Business"/>
    <s v="Smart Speaker"/>
    <x v="4"/>
    <n v="69"/>
    <n v="137.66999999999999"/>
    <n v="6.8834999999999997"/>
    <x v="26"/>
    <n v="69"/>
    <x v="26"/>
    <n v="0.47242261242559436"/>
    <n v="2025"/>
    <x v="7"/>
    <s v="août"/>
    <s v="Q3"/>
    <x v="0"/>
    <n v="0"/>
  </r>
  <r>
    <x v="0"/>
    <s v="P1002"/>
    <s v="C0029"/>
    <s v="Vancouver West"/>
    <s v="Debit Card"/>
    <n v="1"/>
    <s v="Olivia White"/>
    <s v="Victoria"/>
    <s v="Consumer"/>
    <s v="Keyboard"/>
    <x v="4"/>
    <n v="23.5"/>
    <n v="116.88"/>
    <n v="11.688000000000001"/>
    <x v="27"/>
    <n v="70.5"/>
    <x v="27"/>
    <n v="0.32979694273328763"/>
    <n v="2025"/>
    <x v="9"/>
    <s v="avril"/>
    <s v="Q2"/>
    <x v="0"/>
    <n v="0"/>
  </r>
  <r>
    <x v="0"/>
    <s v="P1011"/>
    <s v="C0061"/>
    <s v="Online Fulfillment"/>
    <s v="Gift Card"/>
    <n v="1"/>
    <s v="Zoe Hall"/>
    <s v="Vancouver"/>
    <s v="Consumer"/>
    <s v="Office Chair"/>
    <x v="3"/>
    <n v="39.26"/>
    <n v="243.32999999999998"/>
    <n v="24.332999999999998"/>
    <x v="28"/>
    <n v="117.78"/>
    <x v="28"/>
    <n v="0.46218441348511619"/>
    <n v="2025"/>
    <x v="3"/>
    <s v="janvier"/>
    <s v="Q1"/>
    <x v="0"/>
    <n v="0"/>
  </r>
  <r>
    <x v="0"/>
    <s v="P1040"/>
    <s v="C0005"/>
    <s v="Toronto Downtown"/>
    <s v="Credit Card"/>
    <n v="1"/>
    <s v="Yasmine Taylor"/>
    <s v="Calgary"/>
    <s v="Consumer"/>
    <s v="Desk Pad"/>
    <x v="1"/>
    <n v="177.57"/>
    <n v="322.58"/>
    <n v="16.129000000000001"/>
    <x v="29"/>
    <n v="177.57"/>
    <x v="29"/>
    <n v="0.42055989375136643"/>
    <n v="2025"/>
    <x v="11"/>
    <s v="octobre"/>
    <s v="Q4"/>
    <x v="3"/>
    <n v="0"/>
  </r>
  <r>
    <x v="0"/>
    <s v="P1039"/>
    <s v="C0001"/>
    <s v="Vancouver West"/>
    <s v="Gift Card"/>
    <n v="1"/>
    <s v="Ethan Roy"/>
    <s v="Halifax"/>
    <s v="Consumer"/>
    <s v="Travel Adapter"/>
    <x v="1"/>
    <n v="229.86"/>
    <n v="359.52"/>
    <n v="53.927999999999997"/>
    <x v="30"/>
    <n v="229.86"/>
    <x v="30"/>
    <n v="0.24782062357653334"/>
    <n v="2025"/>
    <x v="4"/>
    <s v="mars"/>
    <s v="Q1"/>
    <x v="4"/>
    <n v="0"/>
  </r>
  <r>
    <x v="2"/>
    <s v="P1006"/>
    <s v="C0065"/>
    <s v="Toronto Downtown"/>
    <s v="Paypal"/>
    <n v="1"/>
    <s v="Mia Wilson"/>
    <s v="Quebec City"/>
    <s v="Consumer"/>
    <s v="USB-C Hub"/>
    <x v="4"/>
    <n v="72"/>
    <n v="99.63"/>
    <n v="0"/>
    <x v="31"/>
    <n v="72"/>
    <x v="31"/>
    <n v="0.27732610659439927"/>
    <n v="2025"/>
    <x v="6"/>
    <s v="décembre"/>
    <s v="Q4"/>
    <x v="1"/>
    <n v="0"/>
  </r>
  <r>
    <x v="0"/>
    <s v="P1018"/>
    <s v="C0067"/>
    <s v="Montreal Central"/>
    <s v="Credit Card"/>
    <n v="1"/>
    <s v="Leo Bennett"/>
    <s v="Mississauga"/>
    <s v="Consumer"/>
    <s v="Air Fryer"/>
    <x v="2"/>
    <n v="14.58"/>
    <n v="30.26"/>
    <n v="6.0520000000000005"/>
    <x v="32"/>
    <n v="14.58"/>
    <x v="32"/>
    <n v="0.39771976206212828"/>
    <n v="2025"/>
    <x v="1"/>
    <s v="mai"/>
    <s v="Q2"/>
    <x v="2"/>
    <n v="0"/>
  </r>
  <r>
    <x v="0"/>
    <s v="P1010"/>
    <s v="C0110"/>
    <s v="Montreal Central"/>
    <s v="Debit Card"/>
    <n v="1"/>
    <s v="Sarah Smith"/>
    <s v="Laval"/>
    <s v="Consumer"/>
    <s v="Desk Lamp"/>
    <x v="3"/>
    <n v="127.21"/>
    <n v="215.08"/>
    <n v="0"/>
    <x v="33"/>
    <n v="127.21"/>
    <x v="33"/>
    <n v="0.40854565742979365"/>
    <n v="2025"/>
    <x v="4"/>
    <s v="mars"/>
    <s v="Q1"/>
    <x v="1"/>
    <n v="0"/>
  </r>
  <r>
    <x v="1"/>
    <s v="P1037"/>
    <s v="C0063"/>
    <s v="Toronto Downtown"/>
    <s v="Credit Card"/>
    <n v="1"/>
    <s v="Adam Singh"/>
    <s v="Laval"/>
    <s v="Small Business"/>
    <s v="Cable Set"/>
    <x v="1"/>
    <n v="200.16"/>
    <n v="1111.1999999999998"/>
    <n v="55.559999999999995"/>
    <x v="34"/>
    <n v="600.48"/>
    <x v="34"/>
    <n v="0.43116971694895978"/>
    <n v="2025"/>
    <x v="11"/>
    <s v="octobre"/>
    <s v="Q4"/>
    <x v="1"/>
    <n v="0"/>
  </r>
  <r>
    <x v="1"/>
    <s v="P1012"/>
    <s v="C0057"/>
    <s v="Vancouver West"/>
    <s v="Credit Card"/>
    <n v="1"/>
    <s v="Adam Khan"/>
    <s v="Edmonton"/>
    <s v="Small Business"/>
    <s v="Standing Desk"/>
    <x v="3"/>
    <n v="45.17"/>
    <n v="414.25"/>
    <n v="41.425000000000004"/>
    <x v="35"/>
    <n v="225.85000000000002"/>
    <x v="35"/>
    <n v="0.39421980822101516"/>
    <n v="2025"/>
    <x v="10"/>
    <s v="juillet"/>
    <s v="Q3"/>
    <x v="3"/>
    <n v="0"/>
  </r>
  <r>
    <x v="1"/>
    <s v="P1003"/>
    <s v="C0102"/>
    <s v="Online Fulfillment"/>
    <s v="Debit Card"/>
    <n v="1"/>
    <s v="Adam Roy"/>
    <s v="Edmonton"/>
    <s v="Corporate"/>
    <s v="Mouse"/>
    <x v="4"/>
    <n v="106.4"/>
    <n v="165.76"/>
    <n v="33.152000000000001"/>
    <x v="36"/>
    <n v="106.4"/>
    <x v="36"/>
    <n v="0.19763513513513511"/>
    <n v="2025"/>
    <x v="2"/>
    <s v="février"/>
    <s v="Q1"/>
    <x v="3"/>
    <n v="0"/>
  </r>
  <r>
    <x v="1"/>
    <s v="P1003"/>
    <s v="C0089"/>
    <s v="Calgary North"/>
    <s v="Debit Card"/>
    <n v="1"/>
    <s v="Lucas Martin"/>
    <s v="Vancouver"/>
    <s v="Consumer"/>
    <s v="Mouse"/>
    <x v="4"/>
    <n v="106.4"/>
    <n v="168.75"/>
    <n v="0"/>
    <x v="37"/>
    <n v="106.4"/>
    <x v="37"/>
    <n v="0.36948148148148147"/>
    <n v="2025"/>
    <x v="1"/>
    <s v="mai"/>
    <s v="Q2"/>
    <x v="0"/>
    <n v="1"/>
  </r>
  <r>
    <x v="0"/>
    <s v="P1002"/>
    <s v="C0064"/>
    <s v="Montreal Central"/>
    <s v="Debit Card"/>
    <n v="1"/>
    <s v="Amine Khan"/>
    <s v="Edmonton"/>
    <s v="Consumer"/>
    <s v="Keyboard"/>
    <x v="4"/>
    <n v="23.5"/>
    <n v="117.18"/>
    <n v="0"/>
    <x v="38"/>
    <n v="70.5"/>
    <x v="38"/>
    <n v="0.39836149513568869"/>
    <n v="2025"/>
    <x v="6"/>
    <s v="décembre"/>
    <s v="Q4"/>
    <x v="3"/>
    <n v="1"/>
  </r>
  <r>
    <x v="1"/>
    <s v="P1005"/>
    <s v="C0048"/>
    <s v="Vancouver West"/>
    <s v="Credit Card"/>
    <n v="1"/>
    <s v="Amelia Brown"/>
    <s v="Quebec City"/>
    <s v="Corporate"/>
    <s v="Portable SSD"/>
    <x v="4"/>
    <n v="131.19"/>
    <n v="241.49"/>
    <n v="24.149000000000001"/>
    <x v="39"/>
    <n v="131.19"/>
    <x v="39"/>
    <n v="0.39638632379532629"/>
    <n v="2025"/>
    <x v="0"/>
    <s v="septembre"/>
    <s v="Q3"/>
    <x v="1"/>
    <n v="0"/>
  </r>
  <r>
    <x v="0"/>
    <s v="P1022"/>
    <s v="C0012"/>
    <s v="Toronto Downtown"/>
    <s v="Debit Card"/>
    <n v="1"/>
    <s v="Daniel Taylor"/>
    <s v="Victoria"/>
    <s v="Corporate"/>
    <s v="Humidifier"/>
    <x v="2"/>
    <n v="239.67"/>
    <n v="868.86"/>
    <n v="43.443000000000005"/>
    <x v="40"/>
    <n v="479.34"/>
    <x v="40"/>
    <n v="0.41927534809678024"/>
    <n v="2025"/>
    <x v="6"/>
    <s v="décembre"/>
    <s v="Q4"/>
    <x v="0"/>
    <n v="0"/>
  </r>
  <r>
    <x v="2"/>
    <s v="P1019"/>
    <s v="C0091"/>
    <s v="Calgary North"/>
    <s v="Credit Card"/>
    <n v="1"/>
    <s v="Leo Taylor"/>
    <s v="Victoria"/>
    <s v="Small Business"/>
    <s v="Vacuum"/>
    <x v="2"/>
    <n v="186.94"/>
    <n v="515.38"/>
    <n v="25.769000000000002"/>
    <x v="41"/>
    <n v="373.88"/>
    <x v="41"/>
    <n v="0.23637336579447765"/>
    <n v="2025"/>
    <x v="8"/>
    <s v="novembre"/>
    <s v="Q4"/>
    <x v="0"/>
    <n v="0"/>
  </r>
  <r>
    <x v="1"/>
    <s v="P1014"/>
    <s v="C0113"/>
    <s v="Vancouver West"/>
    <s v="Paypal"/>
    <n v="1"/>
    <s v="Olivia Johnson"/>
    <s v="Surrey"/>
    <s v="Consumer"/>
    <s v="Document Shredder"/>
    <x v="3"/>
    <n v="117.65"/>
    <n v="1223.55"/>
    <n v="0"/>
    <x v="42"/>
    <n v="588.25"/>
    <x v="42"/>
    <n v="0.51922683993298191"/>
    <n v="2025"/>
    <x v="9"/>
    <s v="avril"/>
    <s v="Q2"/>
    <x v="0"/>
    <n v="0"/>
  </r>
  <r>
    <x v="0"/>
    <s v="P1012"/>
    <s v="C0068"/>
    <s v="Vancouver West"/>
    <s v="Debit Card"/>
    <n v="1"/>
    <s v="Yasmine Martin"/>
    <s v="Calgary"/>
    <s v="Consumer"/>
    <s v="Standing Desk"/>
    <x v="3"/>
    <n v="45.17"/>
    <n v="83.33"/>
    <n v="0"/>
    <x v="43"/>
    <n v="45.17"/>
    <x v="43"/>
    <n v="0.45793831753270126"/>
    <n v="2025"/>
    <x v="4"/>
    <s v="mars"/>
    <s v="Q1"/>
    <x v="3"/>
    <n v="1"/>
  </r>
  <r>
    <x v="0"/>
    <s v="P1031"/>
    <s v="C0076"/>
    <s v="Online Fulfillment"/>
    <s v="Credit Card"/>
    <n v="1"/>
    <s v="Maya Taylor"/>
    <s v="Saskatoon"/>
    <s v="Corporate"/>
    <s v="Dumbbell Set"/>
    <x v="0"/>
    <n v="131.72999999999999"/>
    <n v="991.08"/>
    <n v="99.108000000000004"/>
    <x v="44"/>
    <n v="526.91999999999996"/>
    <x v="44"/>
    <n v="0.4092639679272444"/>
    <n v="2025"/>
    <x v="2"/>
    <s v="février"/>
    <s v="Q1"/>
    <x v="5"/>
    <n v="1"/>
  </r>
  <r>
    <x v="1"/>
    <s v="P1009"/>
    <s v="C0015"/>
    <s v="Toronto Downtown"/>
    <s v="Paypal"/>
    <n v="1"/>
    <s v="Zoe Singh"/>
    <s v="Halifax"/>
    <s v="Consumer"/>
    <s v="Notebook"/>
    <x v="3"/>
    <n v="176.13"/>
    <n v="299.83"/>
    <n v="0"/>
    <x v="45"/>
    <n v="176.13"/>
    <x v="45"/>
    <n v="0.4125671213687756"/>
    <n v="2025"/>
    <x v="10"/>
    <s v="juillet"/>
    <s v="Q3"/>
    <x v="4"/>
    <n v="0"/>
  </r>
  <r>
    <x v="0"/>
    <s v="P1005"/>
    <s v="C0020"/>
    <s v="Calgary North"/>
    <s v="Debit Card"/>
    <n v="1"/>
    <s v="Nora Khan"/>
    <s v="Mississauga"/>
    <s v="Consumer"/>
    <s v="Portable SSD"/>
    <x v="4"/>
    <n v="131.19"/>
    <n v="484.6"/>
    <n v="48.460000000000008"/>
    <x v="46"/>
    <n v="262.38"/>
    <x v="46"/>
    <n v="0.39840418214334844"/>
    <n v="2025"/>
    <x v="11"/>
    <s v="octobre"/>
    <s v="Q4"/>
    <x v="2"/>
    <n v="0"/>
  </r>
  <r>
    <x v="1"/>
    <s v="P1019"/>
    <s v="C0043"/>
    <s v="Online Fulfillment"/>
    <s v="Gift Card"/>
    <n v="1"/>
    <s v="Ava Brown"/>
    <s v="Ottawa"/>
    <s v="Small Business"/>
    <s v="Vacuum"/>
    <x v="2"/>
    <n v="186.94"/>
    <n v="274.64999999999998"/>
    <n v="54.93"/>
    <x v="47"/>
    <n v="186.94"/>
    <x v="47"/>
    <n v="0.14918987802657918"/>
    <n v="2025"/>
    <x v="1"/>
    <s v="mai"/>
    <s v="Q2"/>
    <x v="2"/>
    <n v="0"/>
  </r>
  <r>
    <x v="0"/>
    <s v="P1026"/>
    <s v="C0014"/>
    <s v="Toronto Downtown"/>
    <s v="Credit Card"/>
    <n v="1"/>
    <s v="Zoe Scott"/>
    <s v="Montreal"/>
    <s v="Small Business"/>
    <s v="Resistance Bands"/>
    <x v="0"/>
    <n v="139.19999999999999"/>
    <n v="636.56999999999994"/>
    <n v="127.31399999999999"/>
    <x v="48"/>
    <n v="417.59999999999997"/>
    <x v="48"/>
    <n v="0.17998020641877566"/>
    <n v="2025"/>
    <x v="10"/>
    <s v="juillet"/>
    <s v="Q3"/>
    <x v="1"/>
    <n v="0"/>
  </r>
  <r>
    <x v="2"/>
    <s v="P1025"/>
    <s v="C0066"/>
    <s v="Vancouver West"/>
    <s v="Credit Card"/>
    <n v="1"/>
    <s v="Noah Clark"/>
    <s v="Laval"/>
    <s v="Consumer"/>
    <s v="Yoga Mat"/>
    <x v="0"/>
    <n v="197.33"/>
    <n v="306.63"/>
    <n v="30.663"/>
    <x v="49"/>
    <n v="197.33"/>
    <x v="49"/>
    <n v="0.28495073686346545"/>
    <n v="2025"/>
    <x v="6"/>
    <s v="décembre"/>
    <s v="Q4"/>
    <x v="1"/>
    <n v="0"/>
  </r>
  <r>
    <x v="0"/>
    <s v="P1029"/>
    <s v="C0012"/>
    <s v="Vancouver West"/>
    <s v="Credit Card"/>
    <n v="1"/>
    <s v="Daniel Taylor"/>
    <s v="Victoria"/>
    <s v="Corporate"/>
    <s v="Jump Rope"/>
    <x v="0"/>
    <n v="101"/>
    <n v="616.16999999999996"/>
    <n v="0"/>
    <x v="50"/>
    <n v="303"/>
    <x v="50"/>
    <n v="0.50825259262865763"/>
    <n v="2025"/>
    <x v="8"/>
    <s v="novembre"/>
    <s v="Q4"/>
    <x v="0"/>
    <n v="0"/>
  </r>
  <r>
    <x v="0"/>
    <s v="P1001"/>
    <s v="C0110"/>
    <s v="Calgary North"/>
    <s v="Paypal"/>
    <n v="1"/>
    <s v="Sarah Smith"/>
    <s v="Laval"/>
    <s v="Consumer"/>
    <s v="Headphones"/>
    <x v="4"/>
    <n v="254.6"/>
    <n v="394.09"/>
    <n v="78.817999999999998"/>
    <x v="51"/>
    <n v="254.6"/>
    <x v="51"/>
    <n v="0.19244335050369205"/>
    <n v="2025"/>
    <x v="11"/>
    <s v="octobre"/>
    <s v="Q4"/>
    <x v="1"/>
    <n v="0"/>
  </r>
  <r>
    <x v="0"/>
    <s v="P1021"/>
    <s v="C0069"/>
    <s v="Calgary North"/>
    <s v="Credit Card"/>
    <n v="1"/>
    <s v="Sarah White"/>
    <s v="Ottawa"/>
    <s v="Consumer"/>
    <s v="Kettle"/>
    <x v="2"/>
    <n v="139.86000000000001"/>
    <n v="618.28"/>
    <n v="92.74199999999999"/>
    <x v="52"/>
    <n v="279.72000000000003"/>
    <x v="52"/>
    <n v="0.46774543420266468"/>
    <n v="2025"/>
    <x v="10"/>
    <s v="juillet"/>
    <s v="Q3"/>
    <x v="2"/>
    <n v="0"/>
  </r>
  <r>
    <x v="0"/>
    <s v="P1003"/>
    <s v="C0003"/>
    <s v="Online Fulfillment"/>
    <s v="Credit Card"/>
    <n v="1"/>
    <s v="Amelia Young"/>
    <s v="Ottawa"/>
    <s v="Corporate"/>
    <s v="Mouse"/>
    <x v="4"/>
    <n v="106.4"/>
    <n v="155.66999999999999"/>
    <n v="0"/>
    <x v="53"/>
    <n v="106.4"/>
    <x v="53"/>
    <n v="0.31650285861116456"/>
    <n v="2025"/>
    <x v="4"/>
    <s v="mars"/>
    <s v="Q1"/>
    <x v="2"/>
    <n v="0"/>
  </r>
  <r>
    <x v="0"/>
    <s v="P1033"/>
    <s v="C0033"/>
    <s v="Calgary North"/>
    <s v="Paypal"/>
    <n v="1"/>
    <s v="Maya Hall"/>
    <s v="Winnipeg"/>
    <s v="Consumer"/>
    <s v="Backpack"/>
    <x v="1"/>
    <n v="152.55000000000001"/>
    <n v="318.31"/>
    <n v="31.831000000000003"/>
    <x v="54"/>
    <n v="152.55000000000001"/>
    <x v="54"/>
    <n v="0.46750023561936471"/>
    <n v="2025"/>
    <x v="11"/>
    <s v="octobre"/>
    <s v="Q4"/>
    <x v="6"/>
    <n v="0"/>
  </r>
  <r>
    <x v="1"/>
    <s v="P1009"/>
    <s v="C0098"/>
    <s v="Toronto Downtown"/>
    <s v="Credit Card"/>
    <n v="1"/>
    <s v="Nora Young"/>
    <s v="Winnipeg"/>
    <s v="Consumer"/>
    <s v="Notebook"/>
    <x v="3"/>
    <n v="176.13"/>
    <n v="294.95"/>
    <n v="14.7475"/>
    <x v="55"/>
    <n v="176.13"/>
    <x v="55"/>
    <n v="0.37141888455670452"/>
    <n v="2025"/>
    <x v="8"/>
    <s v="novembre"/>
    <s v="Q4"/>
    <x v="6"/>
    <n v="0"/>
  </r>
  <r>
    <x v="0"/>
    <s v="P1005"/>
    <s v="C0048"/>
    <s v="Montreal Central"/>
    <s v="Debit Card"/>
    <n v="1"/>
    <s v="Amelia Brown"/>
    <s v="Quebec City"/>
    <s v="Corporate"/>
    <s v="Portable SSD"/>
    <x v="4"/>
    <n v="131.19"/>
    <n v="687.45"/>
    <n v="0"/>
    <x v="56"/>
    <n v="393.57"/>
    <x v="56"/>
    <n v="0.42749290857516914"/>
    <n v="2025"/>
    <x v="11"/>
    <s v="octobre"/>
    <s v="Q4"/>
    <x v="1"/>
    <n v="0"/>
  </r>
  <r>
    <x v="2"/>
    <s v="P1019"/>
    <s v="C0116"/>
    <s v="Montreal Central"/>
    <s v="Credit Card"/>
    <n v="1"/>
    <s v="Lucas Brown"/>
    <s v="Mississauga"/>
    <s v="Corporate"/>
    <s v="Vacuum"/>
    <x v="2"/>
    <n v="186.94"/>
    <n v="569.36"/>
    <n v="113.87200000000001"/>
    <x v="57"/>
    <n v="373.88"/>
    <x v="57"/>
    <n v="0.17916608121399466"/>
    <n v="2025"/>
    <x v="1"/>
    <s v="mai"/>
    <s v="Q2"/>
    <x v="2"/>
    <n v="0"/>
  </r>
  <r>
    <x v="0"/>
    <s v="P1014"/>
    <s v="C0007"/>
    <s v="Vancouver West"/>
    <s v="Credit Card"/>
    <n v="1"/>
    <s v="Lucas Wilson"/>
    <s v="Ottawa"/>
    <s v="Consumer"/>
    <s v="Document Shredder"/>
    <x v="3"/>
    <n v="117.65"/>
    <n v="226.51"/>
    <n v="33.976499999999994"/>
    <x v="58"/>
    <n v="117.65"/>
    <x v="58"/>
    <n v="0.38893750957625556"/>
    <n v="2025"/>
    <x v="4"/>
    <s v="mars"/>
    <s v="Q1"/>
    <x v="2"/>
    <n v="0"/>
  </r>
  <r>
    <x v="1"/>
    <s v="P1009"/>
    <s v="C0040"/>
    <s v="Vancouver West"/>
    <s v="Credit Card"/>
    <n v="1"/>
    <s v="Ethan Young"/>
    <s v="Surrey"/>
    <s v="Consumer"/>
    <s v="Notebook"/>
    <x v="3"/>
    <n v="176.13"/>
    <n v="922.94999999999993"/>
    <n v="0"/>
    <x v="59"/>
    <n v="528.39"/>
    <x v="59"/>
    <n v="0.4274987810823988"/>
    <n v="2025"/>
    <x v="0"/>
    <s v="septembre"/>
    <s v="Q3"/>
    <x v="0"/>
    <n v="0"/>
  </r>
  <r>
    <x v="1"/>
    <s v="P1005"/>
    <s v="C0048"/>
    <s v="Calgary North"/>
    <s v="Credit Card"/>
    <n v="1"/>
    <s v="Amelia Brown"/>
    <s v="Quebec City"/>
    <s v="Corporate"/>
    <s v="Portable SSD"/>
    <x v="4"/>
    <n v="131.19"/>
    <n v="1173.75"/>
    <n v="117.375"/>
    <x v="60"/>
    <n v="655.95"/>
    <x v="60"/>
    <n v="0.37905573304934326"/>
    <n v="2025"/>
    <x v="4"/>
    <s v="mars"/>
    <s v="Q1"/>
    <x v="1"/>
    <n v="0"/>
  </r>
  <r>
    <x v="1"/>
    <s v="P1021"/>
    <s v="C0016"/>
    <s v="Online Fulfillment"/>
    <s v="Debit Card"/>
    <n v="1"/>
    <s v="Nora Singh"/>
    <s v="Calgary"/>
    <s v="Consumer"/>
    <s v="Kettle"/>
    <x v="2"/>
    <n v="139.86000000000001"/>
    <n v="628.58000000000004"/>
    <n v="62.858000000000004"/>
    <x v="61"/>
    <n v="279.72000000000003"/>
    <x v="61"/>
    <n v="0.50555219701549514"/>
    <n v="2025"/>
    <x v="4"/>
    <s v="mars"/>
    <s v="Q1"/>
    <x v="3"/>
    <n v="0"/>
  </r>
  <r>
    <x v="1"/>
    <s v="P1036"/>
    <s v="C0113"/>
    <s v="Calgary North"/>
    <s v="Debit Card"/>
    <n v="1"/>
    <s v="Olivia Johnson"/>
    <s v="Surrey"/>
    <s v="Consumer"/>
    <s v="Power Bank"/>
    <x v="1"/>
    <n v="76.97"/>
    <n v="306.26"/>
    <n v="0"/>
    <x v="62"/>
    <n v="153.94"/>
    <x v="62"/>
    <n v="0.49735518840201137"/>
    <n v="2025"/>
    <x v="6"/>
    <s v="décembre"/>
    <s v="Q4"/>
    <x v="0"/>
    <n v="0"/>
  </r>
  <r>
    <x v="0"/>
    <s v="P1010"/>
    <s v="C0055"/>
    <s v="Online Fulfillment"/>
    <s v="Paypal"/>
    <n v="1"/>
    <s v="Sarah Scott"/>
    <s v="Surrey"/>
    <s v="Consumer"/>
    <s v="Desk Lamp"/>
    <x v="3"/>
    <n v="127.21"/>
    <n v="1082.75"/>
    <n v="54.137500000000003"/>
    <x v="63"/>
    <n v="636.04999999999995"/>
    <x v="63"/>
    <n v="0.38164274690420352"/>
    <n v="2025"/>
    <x v="0"/>
    <s v="septembre"/>
    <s v="Q3"/>
    <x v="0"/>
    <n v="0"/>
  </r>
  <r>
    <x v="0"/>
    <s v="P1032"/>
    <s v="C0089"/>
    <s v="Vancouver West"/>
    <s v="Paypal"/>
    <n v="1"/>
    <s v="Lucas Martin"/>
    <s v="Vancouver"/>
    <s v="Consumer"/>
    <s v="Gym Bag"/>
    <x v="0"/>
    <n v="132.72"/>
    <n v="627.72"/>
    <n v="125.54400000000001"/>
    <x v="64"/>
    <n v="398.15999999999997"/>
    <x v="64"/>
    <n v="0.20713056776906916"/>
    <n v="2025"/>
    <x v="8"/>
    <s v="novembre"/>
    <s v="Q4"/>
    <x v="0"/>
    <n v="0"/>
  </r>
  <r>
    <x v="0"/>
    <s v="P1033"/>
    <s v="C0102"/>
    <s v="Toronto Downtown"/>
    <s v="Credit Card"/>
    <n v="1"/>
    <s v="Adam Roy"/>
    <s v="Edmonton"/>
    <s v="Corporate"/>
    <s v="Backpack"/>
    <x v="1"/>
    <n v="152.55000000000001"/>
    <n v="907.89"/>
    <n v="0"/>
    <x v="65"/>
    <n v="457.65000000000003"/>
    <x v="65"/>
    <n v="0.49591910914317811"/>
    <n v="2025"/>
    <x v="2"/>
    <s v="février"/>
    <s v="Q1"/>
    <x v="3"/>
    <n v="0"/>
  </r>
  <r>
    <x v="1"/>
    <s v="P1038"/>
    <s v="C0110"/>
    <s v="Toronto Downtown"/>
    <s v="Credit Card"/>
    <n v="1"/>
    <s v="Sarah Smith"/>
    <s v="Laval"/>
    <s v="Consumer"/>
    <s v="Water Bottle"/>
    <x v="1"/>
    <n v="119.16"/>
    <n v="254.95"/>
    <n v="50.99"/>
    <x v="66"/>
    <n v="119.16"/>
    <x v="66"/>
    <n v="0.41576779760737398"/>
    <n v="2025"/>
    <x v="6"/>
    <s v="décembre"/>
    <s v="Q4"/>
    <x v="1"/>
    <n v="0"/>
  </r>
  <r>
    <x v="1"/>
    <s v="P1005"/>
    <s v="C0080"/>
    <s v="Toronto Downtown"/>
    <s v="Credit Card"/>
    <n v="1"/>
    <s v="Sarah Smith"/>
    <s v="Mississauga"/>
    <s v="Corporate"/>
    <s v="Portable SSD"/>
    <x v="4"/>
    <n v="131.19"/>
    <n v="503.32"/>
    <n v="75.49799999999999"/>
    <x v="67"/>
    <n v="262.38"/>
    <x v="67"/>
    <n v="0.38670755594616452"/>
    <n v="2025"/>
    <x v="8"/>
    <s v="novembre"/>
    <s v="Q4"/>
    <x v="2"/>
    <n v="0"/>
  </r>
  <r>
    <x v="1"/>
    <s v="P1012"/>
    <s v="C0075"/>
    <s v="Vancouver West"/>
    <s v="Non renseigné"/>
    <n v="1"/>
    <s v="Amelia Wilson"/>
    <s v="Vancouver"/>
    <s v="Consumer"/>
    <s v="Standing Desk"/>
    <x v="3"/>
    <n v="45.17"/>
    <n v="169.3"/>
    <n v="0"/>
    <x v="68"/>
    <n v="90.34"/>
    <x v="68"/>
    <n v="0.46639102185469583"/>
    <n v="2025"/>
    <x v="6"/>
    <s v="décembre"/>
    <s v="Q4"/>
    <x v="0"/>
    <n v="0"/>
  </r>
  <r>
    <x v="1"/>
    <s v="P1022"/>
    <s v="C0013"/>
    <s v="Toronto Downtown"/>
    <s v="Debit Card"/>
    <n v="1"/>
    <s v="Amelia Martin"/>
    <s v="Quebec City"/>
    <s v="Small Business"/>
    <s v="Humidifier"/>
    <x v="2"/>
    <n v="239.67"/>
    <n v="434.51"/>
    <n v="43.451000000000001"/>
    <x v="69"/>
    <n v="239.67"/>
    <x v="69"/>
    <n v="0.38712572783135024"/>
    <n v="2025"/>
    <x v="3"/>
    <s v="janvier"/>
    <s v="Q1"/>
    <x v="1"/>
    <n v="0"/>
  </r>
  <r>
    <x v="1"/>
    <s v="P1023"/>
    <s v="C0119"/>
    <s v="Montreal Central"/>
    <s v="Credit Card"/>
    <n v="1"/>
    <s v="Liam Chen"/>
    <s v="Winnipeg"/>
    <s v="Consumer"/>
    <s v="Toaster"/>
    <x v="2"/>
    <n v="152.88"/>
    <n v="351.6"/>
    <n v="0"/>
    <x v="70"/>
    <n v="152.88"/>
    <x v="70"/>
    <n v="0.56518771331058026"/>
    <n v="2025"/>
    <x v="8"/>
    <s v="novembre"/>
    <s v="Q4"/>
    <x v="6"/>
    <n v="0"/>
  </r>
  <r>
    <x v="0"/>
    <s v="P1018"/>
    <s v="C0092"/>
    <s v="Vancouver West"/>
    <s v="Credit Card"/>
    <n v="1"/>
    <s v="Lucas Tremblay"/>
    <s v="Saskatoon"/>
    <s v="Consumer"/>
    <s v="Air Fryer"/>
    <x v="2"/>
    <n v="14.58"/>
    <n v="31.95"/>
    <n v="0"/>
    <x v="71"/>
    <n v="14.58"/>
    <x v="71"/>
    <n v="0.54366197183098586"/>
    <n v="2025"/>
    <x v="2"/>
    <s v="février"/>
    <s v="Q1"/>
    <x v="5"/>
    <n v="0"/>
  </r>
  <r>
    <x v="0"/>
    <s v="P1003"/>
    <s v="C0063"/>
    <s v="Toronto Downtown"/>
    <s v="Paypal"/>
    <n v="1"/>
    <s v="Adam Singh"/>
    <s v="Laval"/>
    <s v="Small Business"/>
    <s v="Mouse"/>
    <x v="4"/>
    <n v="106.4"/>
    <n v="152.32"/>
    <n v="15.231999999999999"/>
    <x v="72"/>
    <n v="106.4"/>
    <x v="72"/>
    <n v="0.22385620915032672"/>
    <n v="2025"/>
    <x v="3"/>
    <s v="janvier"/>
    <s v="Q1"/>
    <x v="1"/>
    <n v="0"/>
  </r>
  <r>
    <x v="1"/>
    <s v="P1037"/>
    <s v="C0108"/>
    <s v="Vancouver West"/>
    <s v="Credit Card"/>
    <n v="1"/>
    <s v="Noah Lee"/>
    <s v="Surrey"/>
    <s v="Consumer"/>
    <s v="Cable Set"/>
    <x v="1"/>
    <n v="200.16"/>
    <n v="734.52"/>
    <n v="146.904"/>
    <x v="73"/>
    <n v="400.32"/>
    <x v="73"/>
    <n v="0.3187387681751348"/>
    <n v="2025"/>
    <x v="2"/>
    <s v="février"/>
    <s v="Q1"/>
    <x v="0"/>
    <n v="0"/>
  </r>
  <r>
    <x v="0"/>
    <s v="P1010"/>
    <s v="C0073"/>
    <s v="Toronto Downtown"/>
    <s v="Credit Card"/>
    <n v="1"/>
    <s v="Olivia Singh"/>
    <s v="Mississauga"/>
    <s v="Consumer"/>
    <s v="Desk Lamp"/>
    <x v="3"/>
    <n v="127.21"/>
    <n v="442.84"/>
    <n v="0"/>
    <x v="74"/>
    <n v="254.42"/>
    <x v="74"/>
    <n v="0.42548098636076237"/>
    <n v="2025"/>
    <x v="2"/>
    <s v="février"/>
    <s v="Q1"/>
    <x v="2"/>
    <n v="1"/>
  </r>
  <r>
    <x v="0"/>
    <s v="P1027"/>
    <s v="C0085"/>
    <s v="Calgary North"/>
    <s v="Credit Card"/>
    <n v="1"/>
    <s v="Yasmine Clark"/>
    <s v="Calgary"/>
    <s v="Consumer"/>
    <s v="Kettlebell"/>
    <x v="0"/>
    <n v="25.97"/>
    <n v="58.78"/>
    <n v="2.9390000000000001"/>
    <x v="75"/>
    <n v="25.97"/>
    <x v="75"/>
    <n v="0.53492953206425387"/>
    <n v="2025"/>
    <x v="8"/>
    <s v="novembre"/>
    <s v="Q4"/>
    <x v="3"/>
    <n v="1"/>
  </r>
  <r>
    <x v="0"/>
    <s v="P1033"/>
    <s v="C0037"/>
    <s v="Montreal Central"/>
    <s v="Paypal"/>
    <n v="1"/>
    <s v="Lucas Scott"/>
    <s v="Victoria"/>
    <s v="Small Business"/>
    <s v="Backpack"/>
    <x v="1"/>
    <n v="152.55000000000001"/>
    <n v="594"/>
    <n v="29.700000000000003"/>
    <x v="76"/>
    <n v="305.10000000000002"/>
    <x v="76"/>
    <n v="0.45933014354066976"/>
    <n v="2025"/>
    <x v="3"/>
    <s v="janvier"/>
    <s v="Q1"/>
    <x v="0"/>
    <n v="0"/>
  </r>
  <r>
    <x v="1"/>
    <s v="P1006"/>
    <s v="C0047"/>
    <s v="Montreal Central"/>
    <s v="Debit Card"/>
    <n v="1"/>
    <s v="Amine King"/>
    <s v="Victoria"/>
    <s v="Consumer"/>
    <s v="USB-C Hub"/>
    <x v="4"/>
    <n v="72"/>
    <n v="202.86"/>
    <n v="30.429000000000002"/>
    <x v="77"/>
    <n v="144"/>
    <x v="77"/>
    <n v="0.16488334464220478"/>
    <n v="2025"/>
    <x v="0"/>
    <s v="septembre"/>
    <s v="Q3"/>
    <x v="0"/>
    <n v="0"/>
  </r>
  <r>
    <x v="0"/>
    <s v="P1014"/>
    <s v="C0003"/>
    <s v="Vancouver West"/>
    <s v="Debit Card"/>
    <n v="1"/>
    <s v="Amelia Young"/>
    <s v="Ottawa"/>
    <s v="Corporate"/>
    <s v="Document Shredder"/>
    <x v="3"/>
    <n v="117.65"/>
    <n v="235.55"/>
    <n v="0"/>
    <x v="78"/>
    <n v="117.65"/>
    <x v="78"/>
    <n v="0.50053067289322861"/>
    <n v="2025"/>
    <x v="6"/>
    <s v="décembre"/>
    <s v="Q4"/>
    <x v="2"/>
    <n v="0"/>
  </r>
  <r>
    <x v="0"/>
    <s v="P1007"/>
    <s v="C0014"/>
    <s v="Online Fulfillment"/>
    <s v="Credit Card"/>
    <n v="1"/>
    <s v="Zoe Scott"/>
    <s v="Montreal"/>
    <s v="Small Business"/>
    <s v="Monitor"/>
    <x v="4"/>
    <n v="224.47"/>
    <n v="682.38"/>
    <n v="68.238"/>
    <x v="79"/>
    <n v="448.94"/>
    <x v="79"/>
    <n v="0.26899642102315108"/>
    <n v="2025"/>
    <x v="3"/>
    <s v="janvier"/>
    <s v="Q1"/>
    <x v="1"/>
    <n v="0"/>
  </r>
  <r>
    <x v="1"/>
    <s v="P1036"/>
    <s v="C0114"/>
    <s v="Calgary North"/>
    <s v="Debit Card"/>
    <n v="1"/>
    <s v="Olivia Johnson"/>
    <s v="Ottawa"/>
    <s v="Consumer"/>
    <s v="Power Bank"/>
    <x v="1"/>
    <n v="76.97"/>
    <n v="160.72"/>
    <n v="32.143999999999998"/>
    <x v="80"/>
    <n v="76.97"/>
    <x v="80"/>
    <n v="0.40136572921851665"/>
    <n v="2025"/>
    <x v="10"/>
    <s v="juillet"/>
    <s v="Q3"/>
    <x v="2"/>
    <n v="0"/>
  </r>
  <r>
    <x v="1"/>
    <s v="P1030"/>
    <s v="C0003"/>
    <s v="Calgary North"/>
    <s v="Credit Card"/>
    <n v="1"/>
    <s v="Amelia Young"/>
    <s v="Ottawa"/>
    <s v="Corporate"/>
    <s v="Pull-up Bar"/>
    <x v="0"/>
    <n v="125.4"/>
    <n v="1240.6999999999998"/>
    <n v="62.034999999999997"/>
    <x v="81"/>
    <n v="627"/>
    <x v="81"/>
    <n v="0.46804223422261615"/>
    <n v="2025"/>
    <x v="4"/>
    <s v="mars"/>
    <s v="Q1"/>
    <x v="2"/>
    <n v="0"/>
  </r>
  <r>
    <x v="1"/>
    <s v="P1010"/>
    <s v="C0061"/>
    <s v="Montreal Central"/>
    <s v="Debit Card"/>
    <n v="1"/>
    <s v="Zoe Hall"/>
    <s v="Vancouver"/>
    <s v="Consumer"/>
    <s v="Desk Lamp"/>
    <x v="3"/>
    <n v="127.21"/>
    <n v="203.94"/>
    <n v="0"/>
    <x v="82"/>
    <n v="127.21"/>
    <x v="82"/>
    <n v="0.37623810924781803"/>
    <n v="2025"/>
    <x v="10"/>
    <s v="juillet"/>
    <s v="Q3"/>
    <x v="0"/>
    <n v="0"/>
  </r>
  <r>
    <x v="1"/>
    <s v="P1023"/>
    <s v="C0088"/>
    <s v="Montreal Central"/>
    <s v="Paypal"/>
    <n v="1"/>
    <s v="Olivia Bennett"/>
    <s v="Vancouver"/>
    <s v="Small Business"/>
    <s v="Toaster"/>
    <x v="2"/>
    <n v="152.88"/>
    <n v="342.73"/>
    <n v="0"/>
    <x v="83"/>
    <n v="152.88"/>
    <x v="83"/>
    <n v="0.55393458407492779"/>
    <n v="2025"/>
    <x v="4"/>
    <s v="mars"/>
    <s v="Q1"/>
    <x v="0"/>
    <n v="0"/>
  </r>
  <r>
    <x v="0"/>
    <s v="P1029"/>
    <s v="C0118"/>
    <s v="Montreal Central"/>
    <s v="Credit Card"/>
    <n v="1"/>
    <s v="Ryan Smith"/>
    <s v="Victoria"/>
    <s v="Small Business"/>
    <s v="Jump Rope"/>
    <x v="0"/>
    <n v="101"/>
    <n v="189.68"/>
    <n v="9.484"/>
    <x v="84"/>
    <n v="101"/>
    <x v="84"/>
    <n v="0.43949921196918912"/>
    <n v="2025"/>
    <x v="4"/>
    <s v="mars"/>
    <s v="Q1"/>
    <x v="0"/>
    <n v="0"/>
  </r>
  <r>
    <x v="1"/>
    <s v="P1031"/>
    <s v="C0114"/>
    <s v="Vancouver West"/>
    <s v="Credit Card"/>
    <n v="1"/>
    <s v="Olivia Johnson"/>
    <s v="Ottawa"/>
    <s v="Consumer"/>
    <s v="Dumbbell Set"/>
    <x v="0"/>
    <n v="131.72999999999999"/>
    <n v="519.86"/>
    <n v="25.993000000000002"/>
    <x v="85"/>
    <n v="263.45999999999998"/>
    <x v="85"/>
    <n v="0.46653653716486426"/>
    <n v="2025"/>
    <x v="3"/>
    <s v="janvier"/>
    <s v="Q1"/>
    <x v="2"/>
    <n v="0"/>
  </r>
  <r>
    <x v="0"/>
    <s v="P1027"/>
    <s v="C0112"/>
    <s v="Online Fulfillment"/>
    <s v="Credit Card"/>
    <n v="1"/>
    <s v="Ava Bennett"/>
    <s v="Halifax"/>
    <s v="Consumer"/>
    <s v="Kettlebell"/>
    <x v="0"/>
    <n v="25.97"/>
    <n v="120.14"/>
    <n v="18.021000000000001"/>
    <x v="86"/>
    <n v="51.94"/>
    <x v="86"/>
    <n v="0.49137770640135531"/>
    <n v="2025"/>
    <x v="5"/>
    <s v="juin"/>
    <s v="Q2"/>
    <x v="4"/>
    <n v="1"/>
  </r>
  <r>
    <x v="1"/>
    <s v="P1024"/>
    <s v="C0008"/>
    <s v="Toronto Downtown"/>
    <s v="Credit Card"/>
    <n v="1"/>
    <s v="Mia Wilson"/>
    <s v="Calgary"/>
    <s v="Consumer"/>
    <s v="Food Scale"/>
    <x v="2"/>
    <n v="46.07"/>
    <n v="105.21"/>
    <n v="15.781499999999998"/>
    <x v="87"/>
    <n v="46.07"/>
    <x v="87"/>
    <n v="0.48483984412128123"/>
    <n v="2025"/>
    <x v="6"/>
    <s v="décembre"/>
    <s v="Q4"/>
    <x v="3"/>
    <n v="0"/>
  </r>
  <r>
    <x v="0"/>
    <s v="P1020"/>
    <s v="C0044"/>
    <s v="Online Fulfillment"/>
    <s v="Credit Card"/>
    <n v="1"/>
    <s v="Nora Young"/>
    <s v="Vancouver"/>
    <s v="Corporate"/>
    <s v="Blender"/>
    <x v="2"/>
    <n v="37.46"/>
    <n v="128.91999999999999"/>
    <n v="6.4459999999999997"/>
    <x v="88"/>
    <n v="74.92"/>
    <x v="88"/>
    <n v="0.38827832846155097"/>
    <n v="2025"/>
    <x v="8"/>
    <s v="novembre"/>
    <s v="Q4"/>
    <x v="0"/>
    <n v="0"/>
  </r>
  <r>
    <x v="0"/>
    <s v="P1039"/>
    <s v="C0025"/>
    <s v="Calgary North"/>
    <s v="Credit Card"/>
    <n v="1"/>
    <s v="Emma Gagnon"/>
    <s v="Surrey"/>
    <s v="Corporate"/>
    <s v="Travel Adapter"/>
    <x v="1"/>
    <n v="229.86"/>
    <n v="349.84"/>
    <n v="52.475999999999992"/>
    <x v="89"/>
    <n v="229.86"/>
    <x v="89"/>
    <n v="0.22700797675576051"/>
    <n v="2025"/>
    <x v="5"/>
    <s v="juin"/>
    <s v="Q2"/>
    <x v="0"/>
    <n v="0"/>
  </r>
  <r>
    <x v="2"/>
    <s v="P1015"/>
    <s v="C0117"/>
    <s v="Toronto Downtown"/>
    <s v="Credit Card"/>
    <n v="1"/>
    <s v="Ethan Hall"/>
    <s v="Vancouver"/>
    <s v="Consumer"/>
    <s v="Desk Organizer"/>
    <x v="3"/>
    <n v="235.76"/>
    <n v="379.66"/>
    <n v="37.966000000000001"/>
    <x v="90"/>
    <n v="235.76"/>
    <x v="90"/>
    <n v="0.31002592963294651"/>
    <n v="2025"/>
    <x v="10"/>
    <s v="juillet"/>
    <s v="Q3"/>
    <x v="0"/>
    <n v="0"/>
  </r>
  <r>
    <x v="0"/>
    <s v="P1006"/>
    <s v="C0077"/>
    <s v="Vancouver West"/>
    <s v="Paypal"/>
    <n v="1"/>
    <s v="Amine Taylor"/>
    <s v="Surrey"/>
    <s v="Small Business"/>
    <s v="USB-C Hub"/>
    <x v="4"/>
    <n v="72"/>
    <n v="101.43"/>
    <n v="15.214500000000001"/>
    <x v="91"/>
    <n v="72"/>
    <x v="91"/>
    <n v="0.16488334464220478"/>
    <n v="2025"/>
    <x v="5"/>
    <s v="juin"/>
    <s v="Q2"/>
    <x v="0"/>
    <n v="0"/>
  </r>
  <r>
    <x v="0"/>
    <s v="P1038"/>
    <s v="C0049"/>
    <s v="Vancouver West"/>
    <s v="Credit Card"/>
    <n v="1"/>
    <s v="Olivia Scott"/>
    <s v="Quebec City"/>
    <s v="Consumer"/>
    <s v="Water Bottle"/>
    <x v="1"/>
    <n v="119.16"/>
    <n v="266.14999999999998"/>
    <n v="13.307499999999999"/>
    <x v="92"/>
    <n v="119.16"/>
    <x v="92"/>
    <n v="0.52871847098490166"/>
    <n v="2025"/>
    <x v="0"/>
    <s v="septembre"/>
    <s v="Q3"/>
    <x v="1"/>
    <n v="0"/>
  </r>
  <r>
    <x v="0"/>
    <s v="P1034"/>
    <s v="C0035"/>
    <s v="Online Fulfillment"/>
    <s v="Debit Card"/>
    <n v="1"/>
    <s v="Amelia Scott"/>
    <s v="Edmonton"/>
    <s v="Small Business"/>
    <s v="Laptop Sleeve"/>
    <x v="1"/>
    <n v="78.95"/>
    <n v="416.28"/>
    <n v="83.256"/>
    <x v="93"/>
    <n v="236.85000000000002"/>
    <x v="93"/>
    <n v="0.28878999711732484"/>
    <n v="2025"/>
    <x v="4"/>
    <s v="mars"/>
    <s v="Q1"/>
    <x v="3"/>
    <n v="0"/>
  </r>
  <r>
    <x v="1"/>
    <s v="P1001"/>
    <s v="C0071"/>
    <s v="Toronto Downtown"/>
    <s v="Credit Card"/>
    <n v="1"/>
    <s v="Ethan Lee"/>
    <s v="Surrey"/>
    <s v="Consumer"/>
    <s v="Headphones"/>
    <x v="4"/>
    <n v="254.6"/>
    <n v="350.44"/>
    <n v="0"/>
    <x v="94"/>
    <n v="254.6"/>
    <x v="94"/>
    <n v="0.27348476201346877"/>
    <n v="2025"/>
    <x v="7"/>
    <s v="août"/>
    <s v="Q3"/>
    <x v="0"/>
    <n v="0"/>
  </r>
  <r>
    <x v="0"/>
    <s v="P1002"/>
    <s v="C0013"/>
    <s v="Montreal Central"/>
    <s v="Paypal"/>
    <n v="1"/>
    <s v="Amelia Martin"/>
    <s v="Quebec City"/>
    <s v="Small Business"/>
    <s v="Keyboard"/>
    <x v="4"/>
    <n v="23.5"/>
    <n v="74.38"/>
    <n v="0"/>
    <x v="95"/>
    <n v="47"/>
    <x v="95"/>
    <n v="0.36810970691045974"/>
    <n v="2025"/>
    <x v="5"/>
    <s v="juin"/>
    <s v="Q2"/>
    <x v="1"/>
    <n v="0"/>
  </r>
  <r>
    <x v="0"/>
    <s v="P1010"/>
    <s v="C0072"/>
    <s v="Montreal Central"/>
    <s v="Credit Card"/>
    <n v="1"/>
    <s v="Ryan Bennett"/>
    <s v="Montreal"/>
    <s v="Corporate"/>
    <s v="Desk Lamp"/>
    <x v="3"/>
    <n v="127.21"/>
    <n v="225.35"/>
    <n v="0"/>
    <x v="96"/>
    <n v="127.21"/>
    <x v="96"/>
    <n v="0.43550033281562017"/>
    <n v="2025"/>
    <x v="7"/>
    <s v="août"/>
    <s v="Q3"/>
    <x v="1"/>
    <n v="0"/>
  </r>
  <r>
    <x v="0"/>
    <s v="P1004"/>
    <s v="C0005"/>
    <s v="Montreal Central"/>
    <s v="Credit Card"/>
    <n v="1"/>
    <s v="Yasmine Taylor"/>
    <s v="Calgary"/>
    <s v="Consumer"/>
    <s v="Webcam"/>
    <x v="4"/>
    <n v="154.72999999999999"/>
    <n v="570.44000000000005"/>
    <n v="0"/>
    <x v="97"/>
    <n v="309.45999999999998"/>
    <x v="97"/>
    <n v="0.45750648622116269"/>
    <n v="2025"/>
    <x v="0"/>
    <s v="septembre"/>
    <s v="Q3"/>
    <x v="3"/>
    <n v="0"/>
  </r>
  <r>
    <x v="1"/>
    <s v="P1024"/>
    <s v="C0005"/>
    <s v="Toronto Downtown"/>
    <s v="Credit Card"/>
    <n v="1"/>
    <s v="Yasmine Taylor"/>
    <s v="Calgary"/>
    <s v="Consumer"/>
    <s v="Food Scale"/>
    <x v="2"/>
    <n v="46.07"/>
    <n v="107.22"/>
    <n v="10.722000000000001"/>
    <x v="98"/>
    <n v="46.07"/>
    <x v="98"/>
    <n v="0.5225807788762461"/>
    <n v="2025"/>
    <x v="4"/>
    <s v="mars"/>
    <s v="Q1"/>
    <x v="3"/>
    <n v="0"/>
  </r>
  <r>
    <x v="2"/>
    <s v="P1029"/>
    <s v="C0002"/>
    <s v="Calgary North"/>
    <s v="Gift Card"/>
    <n v="1"/>
    <s v="Ryan Johnson"/>
    <s v="Montreal"/>
    <s v="Small Business"/>
    <s v="Jump Rope"/>
    <x v="0"/>
    <n v="101"/>
    <n v="210.86"/>
    <n v="31.629000000000001"/>
    <x v="99"/>
    <n v="101"/>
    <x v="99"/>
    <n v="0.43648141225569242"/>
    <n v="2025"/>
    <x v="6"/>
    <s v="décembre"/>
    <s v="Q4"/>
    <x v="1"/>
    <n v="0"/>
  </r>
  <r>
    <x v="0"/>
    <s v="P1021"/>
    <s v="C0104"/>
    <s v="Online Fulfillment"/>
    <s v="Credit Card"/>
    <n v="1"/>
    <s v="Ava Scott"/>
    <s v="Edmonton"/>
    <s v="Corporate"/>
    <s v="Kettle"/>
    <x v="2"/>
    <n v="139.86000000000001"/>
    <n v="300.5"/>
    <n v="15.025"/>
    <x v="100"/>
    <n v="139.86000000000001"/>
    <x v="100"/>
    <n v="0.51007969174183376"/>
    <n v="2025"/>
    <x v="1"/>
    <s v="mai"/>
    <s v="Q2"/>
    <x v="3"/>
    <n v="0"/>
  </r>
  <r>
    <x v="0"/>
    <s v="P1020"/>
    <s v="C0009"/>
    <s v="Toronto Downtown"/>
    <s v="Paypal"/>
    <n v="1"/>
    <s v="Ethan Tremblay"/>
    <s v="Mississauga"/>
    <s v="Corporate"/>
    <s v="Blender"/>
    <x v="2"/>
    <n v="37.46"/>
    <n v="189.42000000000002"/>
    <n v="0"/>
    <x v="101"/>
    <n v="112.38"/>
    <x v="101"/>
    <n v="0.40671523598352877"/>
    <n v="2025"/>
    <x v="5"/>
    <s v="juin"/>
    <s v="Q2"/>
    <x v="2"/>
    <n v="0"/>
  </r>
  <r>
    <x v="0"/>
    <s v="P1010"/>
    <s v="C0103"/>
    <s v="Online Fulfillment"/>
    <s v="Paypal"/>
    <n v="1"/>
    <s v="Zoe Singh"/>
    <s v="Saskatoon"/>
    <s v="Corporate"/>
    <s v="Desk Lamp"/>
    <x v="3"/>
    <n v="127.21"/>
    <n v="212.87"/>
    <n v="10.643500000000001"/>
    <x v="102"/>
    <n v="127.21"/>
    <x v="102"/>
    <n v="0.37095286720583115"/>
    <n v="2025"/>
    <x v="10"/>
    <s v="juillet"/>
    <s v="Q3"/>
    <x v="5"/>
    <n v="0"/>
  </r>
  <r>
    <x v="0"/>
    <s v="P1018"/>
    <s v="C0065"/>
    <s v="Toronto Downtown"/>
    <s v="Paypal"/>
    <n v="1"/>
    <s v="Mia Wilson"/>
    <s v="Quebec City"/>
    <s v="Consumer"/>
    <s v="Air Fryer"/>
    <x v="2"/>
    <n v="14.58"/>
    <n v="59.08"/>
    <n v="0"/>
    <x v="103"/>
    <n v="29.16"/>
    <x v="103"/>
    <n v="0.50643195666892349"/>
    <n v="2025"/>
    <x v="5"/>
    <s v="juin"/>
    <s v="Q2"/>
    <x v="1"/>
    <n v="0"/>
  </r>
  <r>
    <x v="1"/>
    <s v="P1009"/>
    <s v="C0007"/>
    <s v="Calgary North"/>
    <s v="Paypal"/>
    <n v="1"/>
    <s v="Lucas Wilson"/>
    <s v="Ottawa"/>
    <s v="Consumer"/>
    <s v="Notebook"/>
    <x v="3"/>
    <n v="176.13"/>
    <n v="286.02999999999997"/>
    <n v="28.602999999999998"/>
    <x v="104"/>
    <n v="176.13"/>
    <x v="104"/>
    <n v="0.315806034332063"/>
    <n v="2025"/>
    <x v="8"/>
    <s v="novembre"/>
    <s v="Q4"/>
    <x v="2"/>
    <n v="0"/>
  </r>
  <r>
    <x v="1"/>
    <s v="P1033"/>
    <s v="C0058"/>
    <s v="Montreal Central"/>
    <s v="Credit Card"/>
    <n v="1"/>
    <s v="Mia Singh"/>
    <s v="Laval"/>
    <s v="Consumer"/>
    <s v="Backpack"/>
    <x v="1"/>
    <n v="152.55000000000001"/>
    <n v="312.99"/>
    <n v="0"/>
    <x v="105"/>
    <n v="152.55000000000001"/>
    <x v="105"/>
    <n v="0.51260423655707843"/>
    <n v="2025"/>
    <x v="9"/>
    <s v="avril"/>
    <s v="Q2"/>
    <x v="1"/>
    <n v="0"/>
  </r>
  <r>
    <x v="1"/>
    <s v="P1012"/>
    <s v="C0090"/>
    <s v="Toronto Downtown"/>
    <s v="Credit Card"/>
    <n v="1"/>
    <s v="Nora Young"/>
    <s v="Montreal"/>
    <s v="Small Business"/>
    <s v="Standing Desk"/>
    <x v="3"/>
    <n v="45.17"/>
    <n v="79.47"/>
    <n v="0"/>
    <x v="106"/>
    <n v="45.17"/>
    <x v="106"/>
    <n v="0.43160941235686417"/>
    <n v="2025"/>
    <x v="8"/>
    <s v="novembre"/>
    <s v="Q4"/>
    <x v="1"/>
    <n v="0"/>
  </r>
  <r>
    <x v="0"/>
    <s v="P1001"/>
    <s v="C0010"/>
    <s v="Vancouver West"/>
    <s v="Credit Card"/>
    <n v="1"/>
    <s v="Ethan Martin"/>
    <s v="Victoria"/>
    <s v="Corporate"/>
    <s v="Headphones"/>
    <x v="4"/>
    <n v="254.6"/>
    <n v="759.84"/>
    <n v="113.976"/>
    <x v="107"/>
    <n v="509.2"/>
    <x v="107"/>
    <n v="0.21159872666691446"/>
    <n v="2025"/>
    <x v="10"/>
    <s v="juillet"/>
    <s v="Q3"/>
    <x v="0"/>
    <n v="0"/>
  </r>
  <r>
    <x v="0"/>
    <s v="P1014"/>
    <s v="C0080"/>
    <s v="Calgary North"/>
    <s v="Debit Card"/>
    <n v="1"/>
    <s v="Sarah Smith"/>
    <s v="Mississauga"/>
    <s v="Corporate"/>
    <s v="Document Shredder"/>
    <x v="3"/>
    <n v="117.65"/>
    <n v="243.7"/>
    <n v="0"/>
    <x v="108"/>
    <n v="117.65"/>
    <x v="108"/>
    <n v="0.51723430447271235"/>
    <n v="2025"/>
    <x v="11"/>
    <s v="octobre"/>
    <s v="Q4"/>
    <x v="2"/>
    <n v="0"/>
  </r>
  <r>
    <x v="1"/>
    <s v="P1018"/>
    <s v="C0038"/>
    <s v="Online Fulfillment"/>
    <s v="Credit Card"/>
    <n v="1"/>
    <s v="Noah Brown"/>
    <s v="Montreal"/>
    <s v="Consumer"/>
    <s v="Air Fryer"/>
    <x v="2"/>
    <n v="14.58"/>
    <n v="29.65"/>
    <n v="1.4824999999999999"/>
    <x v="109"/>
    <n v="14.58"/>
    <x v="109"/>
    <n v="0.48238217804206968"/>
    <n v="2025"/>
    <x v="5"/>
    <s v="juin"/>
    <s v="Q2"/>
    <x v="1"/>
    <n v="0"/>
  </r>
  <r>
    <x v="1"/>
    <s v="P1029"/>
    <s v="C0044"/>
    <s v="Toronto Downtown"/>
    <s v="Paypal"/>
    <n v="1"/>
    <s v="Nora Young"/>
    <s v="Vancouver"/>
    <s v="Corporate"/>
    <s v="Jump Rope"/>
    <x v="0"/>
    <n v="101"/>
    <n v="994.4"/>
    <n v="49.72"/>
    <x v="110"/>
    <n v="505"/>
    <x v="110"/>
    <n v="0.46542744633103272"/>
    <n v="2025"/>
    <x v="10"/>
    <s v="juillet"/>
    <s v="Q3"/>
    <x v="0"/>
    <n v="0"/>
  </r>
  <r>
    <x v="2"/>
    <s v="P1014"/>
    <s v="C0093"/>
    <s v="Online Fulfillment"/>
    <s v="Gift Card"/>
    <n v="1"/>
    <s v="Ethan Roy"/>
    <s v="Winnipeg"/>
    <s v="Consumer"/>
    <s v="Document Shredder"/>
    <x v="3"/>
    <n v="117.65"/>
    <n v="487.98"/>
    <n v="97.596000000000004"/>
    <x v="111"/>
    <n v="235.3"/>
    <x v="111"/>
    <n v="0.39726013361203327"/>
    <n v="2025"/>
    <x v="2"/>
    <s v="février"/>
    <s v="Q1"/>
    <x v="6"/>
    <n v="0"/>
  </r>
  <r>
    <x v="0"/>
    <s v="P1022"/>
    <s v="C0113"/>
    <s v="Vancouver West"/>
    <s v="Credit Card"/>
    <n v="1"/>
    <s v="Olivia Johnson"/>
    <s v="Surrey"/>
    <s v="Consumer"/>
    <s v="Humidifier"/>
    <x v="2"/>
    <n v="239.67"/>
    <n v="438.44"/>
    <n v="43.844000000000001"/>
    <x v="112"/>
    <n v="239.67"/>
    <x v="112"/>
    <n v="0.39261928656144518"/>
    <n v="2025"/>
    <x v="7"/>
    <s v="août"/>
    <s v="Q3"/>
    <x v="0"/>
    <n v="0"/>
  </r>
  <r>
    <x v="1"/>
    <s v="P1022"/>
    <s v="C0052"/>
    <s v="Calgary North"/>
    <s v="Paypal"/>
    <n v="1"/>
    <s v="Liam Bennett"/>
    <s v="Edmonton"/>
    <s v="Corporate"/>
    <s v="Humidifier"/>
    <x v="2"/>
    <n v="239.67"/>
    <n v="789.14"/>
    <n v="39.457000000000001"/>
    <x v="113"/>
    <n v="479.34"/>
    <x v="113"/>
    <n v="0.36060975105477916"/>
    <n v="2025"/>
    <x v="2"/>
    <s v="février"/>
    <s v="Q1"/>
    <x v="3"/>
    <n v="0"/>
  </r>
  <r>
    <x v="0"/>
    <s v="P1028"/>
    <s v="C0079"/>
    <s v="Calgary North"/>
    <s v="Debit Card"/>
    <n v="1"/>
    <s v="Sophia Scott"/>
    <s v="Ottawa"/>
    <s v="Consumer"/>
    <s v="Foam Roller"/>
    <x v="0"/>
    <n v="212.02"/>
    <n v="1869.5500000000002"/>
    <n v="0"/>
    <x v="114"/>
    <n v="1060.1000000000001"/>
    <x v="114"/>
    <n v="0.4329651520419352"/>
    <n v="2025"/>
    <x v="6"/>
    <s v="décembre"/>
    <s v="Q4"/>
    <x v="2"/>
    <n v="0"/>
  </r>
  <r>
    <x v="0"/>
    <s v="P1031"/>
    <s v="C0043"/>
    <s v="Montreal Central"/>
    <s v="Credit Card"/>
    <n v="1"/>
    <s v="Ava Brown"/>
    <s v="Ottawa"/>
    <s v="Small Business"/>
    <s v="Dumbbell Set"/>
    <x v="0"/>
    <n v="131.72999999999999"/>
    <n v="1027.4000000000001"/>
    <n v="102.74000000000001"/>
    <x v="115"/>
    <n v="526.91999999999996"/>
    <x v="115"/>
    <n v="0.43014729738498486"/>
    <n v="2025"/>
    <x v="11"/>
    <s v="octobre"/>
    <s v="Q4"/>
    <x v="2"/>
    <n v="0"/>
  </r>
  <r>
    <x v="1"/>
    <s v="P1018"/>
    <s v="C0008"/>
    <s v="Online Fulfillment"/>
    <s v="Gift Card"/>
    <n v="1"/>
    <s v="Mia Wilson"/>
    <s v="Calgary"/>
    <s v="Consumer"/>
    <s v="Air Fryer"/>
    <x v="2"/>
    <n v="14.58"/>
    <n v="29.65"/>
    <n v="4.4474999999999998"/>
    <x v="116"/>
    <n v="14.58"/>
    <x v="116"/>
    <n v="0.42148596369407798"/>
    <n v="2025"/>
    <x v="6"/>
    <s v="décembre"/>
    <s v="Q4"/>
    <x v="3"/>
    <n v="0"/>
  </r>
  <r>
    <x v="1"/>
    <s v="P1039"/>
    <s v="C0108"/>
    <s v="Vancouver West"/>
    <s v="Paypal"/>
    <n v="1"/>
    <s v="Noah Lee"/>
    <s v="Surrey"/>
    <s v="Consumer"/>
    <s v="Travel Adapter"/>
    <x v="1"/>
    <n v="229.86"/>
    <n v="343.13"/>
    <n v="17.156500000000001"/>
    <x v="117"/>
    <n v="229.86"/>
    <x v="117"/>
    <n v="0.29485065503790947"/>
    <n v="2025"/>
    <x v="3"/>
    <s v="janvier"/>
    <s v="Q1"/>
    <x v="0"/>
    <n v="0"/>
  </r>
  <r>
    <x v="2"/>
    <s v="P1003"/>
    <s v="C0007"/>
    <s v="Vancouver West"/>
    <s v="Debit Card"/>
    <n v="1"/>
    <s v="Lucas Wilson"/>
    <s v="Ottawa"/>
    <s v="Consumer"/>
    <s v="Mouse"/>
    <x v="4"/>
    <n v="106.4"/>
    <n v="159.52000000000001"/>
    <n v="0"/>
    <x v="118"/>
    <n v="106.4"/>
    <x v="118"/>
    <n v="0.33299899699097291"/>
    <n v="2025"/>
    <x v="4"/>
    <s v="mars"/>
    <s v="Q1"/>
    <x v="2"/>
    <n v="0"/>
  </r>
  <r>
    <x v="0"/>
    <s v="P1012"/>
    <s v="C0062"/>
    <s v="Online Fulfillment"/>
    <s v="Debit Card"/>
    <n v="1"/>
    <s v="Yasmine Scott"/>
    <s v="Toronto"/>
    <s v="Consumer"/>
    <s v="Standing Desk"/>
    <x v="3"/>
    <n v="45.17"/>
    <n v="166.66"/>
    <n v="24.998999999999999"/>
    <x v="119"/>
    <n v="90.34"/>
    <x v="119"/>
    <n v="0.3622803735678839"/>
    <n v="2025"/>
    <x v="10"/>
    <s v="juillet"/>
    <s v="Q3"/>
    <x v="2"/>
    <n v="0"/>
  </r>
  <r>
    <x v="2"/>
    <s v="P1032"/>
    <s v="C0056"/>
    <s v="Vancouver West"/>
    <s v="Paypal"/>
    <n v="1"/>
    <s v="Sarah Wilson"/>
    <s v="Halifax"/>
    <s v="Consumer"/>
    <s v="Gym Bag"/>
    <x v="0"/>
    <n v="132.72"/>
    <n v="193.21"/>
    <n v="0"/>
    <x v="120"/>
    <n v="132.72"/>
    <x v="120"/>
    <n v="0.31307903317633667"/>
    <n v="2025"/>
    <x v="6"/>
    <s v="décembre"/>
    <s v="Q4"/>
    <x v="4"/>
    <n v="0"/>
  </r>
  <r>
    <x v="0"/>
    <s v="P1031"/>
    <s v="C0061"/>
    <s v="Online Fulfillment"/>
    <s v="Gift Card"/>
    <n v="1"/>
    <s v="Zoe Hall"/>
    <s v="Vancouver"/>
    <s v="Consumer"/>
    <s v="Dumbbell Set"/>
    <x v="0"/>
    <n v="131.72999999999999"/>
    <n v="265.20999999999998"/>
    <n v="0"/>
    <x v="121"/>
    <n v="131.72999999999999"/>
    <x v="121"/>
    <n v="0.50329927227480109"/>
    <n v="2025"/>
    <x v="9"/>
    <s v="avril"/>
    <s v="Q2"/>
    <x v="0"/>
    <n v="0"/>
  </r>
  <r>
    <x v="1"/>
    <s v="P1002"/>
    <s v="C0064"/>
    <s v="Vancouver West"/>
    <s v="Credit Card"/>
    <n v="1"/>
    <s v="Amine Khan"/>
    <s v="Edmonton"/>
    <s v="Consumer"/>
    <s v="Keyboard"/>
    <x v="4"/>
    <n v="23.5"/>
    <n v="38.4"/>
    <n v="5.76"/>
    <x v="122"/>
    <n v="23.5"/>
    <x v="122"/>
    <n v="0.28002450980392157"/>
    <n v="2025"/>
    <x v="3"/>
    <s v="janvier"/>
    <s v="Q1"/>
    <x v="3"/>
    <n v="0"/>
  </r>
  <r>
    <x v="0"/>
    <s v="P1007"/>
    <s v="C0033"/>
    <s v="Calgary North"/>
    <s v="Gift Card"/>
    <n v="1"/>
    <s v="Maya Hall"/>
    <s v="Winnipeg"/>
    <s v="Consumer"/>
    <s v="Monitor"/>
    <x v="4"/>
    <n v="224.47"/>
    <n v="703.62"/>
    <n v="0"/>
    <x v="123"/>
    <n v="448.94"/>
    <x v="123"/>
    <n v="0.36195673801199513"/>
    <n v="2025"/>
    <x v="2"/>
    <s v="février"/>
    <s v="Q1"/>
    <x v="6"/>
    <n v="0"/>
  </r>
  <r>
    <x v="0"/>
    <s v="P1036"/>
    <s v="C0028"/>
    <s v="Calgary North"/>
    <s v="Debit Card"/>
    <n v="1"/>
    <s v="Mia Clark"/>
    <s v="Victoria"/>
    <s v="Consumer"/>
    <s v="Power Bank"/>
    <x v="1"/>
    <n v="76.97"/>
    <n v="754.65000000000009"/>
    <n v="0"/>
    <x v="124"/>
    <n v="384.85"/>
    <x v="124"/>
    <n v="0.49002849002849008"/>
    <n v="2025"/>
    <x v="0"/>
    <s v="septembre"/>
    <s v="Q3"/>
    <x v="0"/>
    <n v="0"/>
  </r>
  <r>
    <x v="0"/>
    <s v="P1024"/>
    <s v="C0035"/>
    <s v="Online Fulfillment"/>
    <s v="Credit Card"/>
    <n v="1"/>
    <s v="Amelia Scott"/>
    <s v="Edmonton"/>
    <s v="Small Business"/>
    <s v="Food Scale"/>
    <x v="2"/>
    <n v="46.07"/>
    <n v="106.24"/>
    <n v="0"/>
    <x v="125"/>
    <n v="46.07"/>
    <x v="125"/>
    <n v="0.56635918674698793"/>
    <n v="2025"/>
    <x v="3"/>
    <s v="janvier"/>
    <s v="Q1"/>
    <x v="3"/>
    <n v="0"/>
  </r>
  <r>
    <x v="1"/>
    <s v="P1007"/>
    <s v="C0073"/>
    <s v="Montreal Central"/>
    <s v="Credit Card"/>
    <n v="1"/>
    <s v="Olivia Singh"/>
    <s v="Mississauga"/>
    <s v="Consumer"/>
    <s v="Monitor"/>
    <x v="4"/>
    <n v="224.47"/>
    <n v="362.88"/>
    <n v="54.431999999999995"/>
    <x v="126"/>
    <n v="224.47"/>
    <x v="126"/>
    <n v="0.27225982985786901"/>
    <n v="2025"/>
    <x v="2"/>
    <s v="février"/>
    <s v="Q1"/>
    <x v="2"/>
    <n v="0"/>
  </r>
  <r>
    <x v="1"/>
    <s v="P1003"/>
    <s v="C0106"/>
    <s v="Vancouver West"/>
    <s v="Credit Card"/>
    <n v="1"/>
    <s v="Liam Gagnon"/>
    <s v="Ottawa"/>
    <s v="Small Business"/>
    <s v="Mouse"/>
    <x v="4"/>
    <n v="106.4"/>
    <n v="154.51"/>
    <n v="15.451000000000001"/>
    <x v="127"/>
    <n v="106.4"/>
    <x v="127"/>
    <n v="0.23485714696639551"/>
    <n v="2025"/>
    <x v="8"/>
    <s v="novembre"/>
    <s v="Q4"/>
    <x v="2"/>
    <n v="0"/>
  </r>
  <r>
    <x v="2"/>
    <s v="P1007"/>
    <s v="C0013"/>
    <s v="Vancouver West"/>
    <s v="Credit Card"/>
    <n v="1"/>
    <s v="Amelia Martin"/>
    <s v="Quebec City"/>
    <s v="Small Business"/>
    <s v="Monitor"/>
    <x v="4"/>
    <n v="224.47"/>
    <n v="339.47"/>
    <n v="0"/>
    <x v="128"/>
    <n v="224.47"/>
    <x v="128"/>
    <n v="0.3387633664241318"/>
    <n v="2025"/>
    <x v="7"/>
    <s v="août"/>
    <s v="Q3"/>
    <x v="1"/>
    <n v="0"/>
  </r>
  <r>
    <x v="0"/>
    <s v="P1037"/>
    <s v="C0071"/>
    <s v="Calgary North"/>
    <s v="Debit Card"/>
    <n v="1"/>
    <s v="Ethan Lee"/>
    <s v="Surrey"/>
    <s v="Consumer"/>
    <s v="Cable Set"/>
    <x v="1"/>
    <n v="200.16"/>
    <n v="1116.3600000000001"/>
    <n v="55.818000000000012"/>
    <x v="129"/>
    <n v="600.48"/>
    <x v="129"/>
    <n v="0.43379894431337945"/>
    <n v="2025"/>
    <x v="2"/>
    <s v="février"/>
    <s v="Q1"/>
    <x v="0"/>
    <n v="0"/>
  </r>
  <r>
    <x v="0"/>
    <s v="P1032"/>
    <s v="C0038"/>
    <s v="Toronto Downtown"/>
    <s v="Paypal"/>
    <n v="1"/>
    <s v="Noah Brown"/>
    <s v="Montreal"/>
    <s v="Consumer"/>
    <s v="Gym Bag"/>
    <x v="0"/>
    <n v="132.72"/>
    <n v="816.76"/>
    <n v="81.676000000000002"/>
    <x v="130"/>
    <n v="530.88"/>
    <x v="130"/>
    <n v="0.27779682322020338"/>
    <n v="2025"/>
    <x v="8"/>
    <s v="novembre"/>
    <s v="Q4"/>
    <x v="1"/>
    <n v="0"/>
  </r>
  <r>
    <x v="1"/>
    <s v="P1023"/>
    <s v="C0074"/>
    <s v="Montreal Central"/>
    <s v="Credit Card"/>
    <n v="1"/>
    <s v="Sophia Chen"/>
    <s v="Vancouver"/>
    <s v="Corporate"/>
    <s v="Toaster"/>
    <x v="2"/>
    <n v="152.88"/>
    <n v="333.66"/>
    <n v="16.683000000000003"/>
    <x v="131"/>
    <n v="152.88"/>
    <x v="131"/>
    <n v="0.51769371279304188"/>
    <n v="2025"/>
    <x v="9"/>
    <s v="avril"/>
    <s v="Q2"/>
    <x v="0"/>
    <n v="0"/>
  </r>
  <r>
    <x v="1"/>
    <s v="P1022"/>
    <s v="C0044"/>
    <s v="Calgary North"/>
    <s v="Credit Card"/>
    <n v="1"/>
    <s v="Nora Young"/>
    <s v="Vancouver"/>
    <s v="Corporate"/>
    <s v="Humidifier"/>
    <x v="2"/>
    <n v="239.67"/>
    <n v="433.79"/>
    <n v="21.689500000000002"/>
    <x v="132"/>
    <n v="239.67"/>
    <x v="132"/>
    <n v="0.41841856537422306"/>
    <n v="2025"/>
    <x v="8"/>
    <s v="novembre"/>
    <s v="Q4"/>
    <x v="0"/>
    <n v="0"/>
  </r>
  <r>
    <x v="0"/>
    <s v="P1018"/>
    <s v="C0063"/>
    <s v="Vancouver West"/>
    <s v="Credit Card"/>
    <n v="1"/>
    <s v="Adam Singh"/>
    <s v="Laval"/>
    <s v="Small Business"/>
    <s v="Air Fryer"/>
    <x v="2"/>
    <n v="14.58"/>
    <n v="95.039999999999992"/>
    <n v="4.7519999999999998"/>
    <x v="133"/>
    <n v="43.74"/>
    <x v="133"/>
    <n v="0.51555023923444976"/>
    <n v="2025"/>
    <x v="8"/>
    <s v="novembre"/>
    <s v="Q4"/>
    <x v="1"/>
    <n v="0"/>
  </r>
  <r>
    <x v="1"/>
    <s v="P1034"/>
    <s v="C0070"/>
    <s v="Calgary North"/>
    <s v="Debit Card"/>
    <n v="1"/>
    <s v="Sophia Young"/>
    <s v="Halifax"/>
    <s v="Corporate"/>
    <s v="Laptop Sleeve"/>
    <x v="1"/>
    <n v="78.95"/>
    <n v="143.79"/>
    <n v="7.1894999999999998"/>
    <x v="134"/>
    <n v="78.95"/>
    <x v="134"/>
    <n v="0.42203725462205471"/>
    <n v="2025"/>
    <x v="3"/>
    <s v="janvier"/>
    <s v="Q1"/>
    <x v="4"/>
    <n v="0"/>
  </r>
  <r>
    <x v="1"/>
    <s v="P1034"/>
    <s v="C0014"/>
    <s v="Calgary North"/>
    <s v="Credit Card"/>
    <n v="1"/>
    <s v="Zoe Scott"/>
    <s v="Montreal"/>
    <s v="Small Business"/>
    <s v="Laptop Sleeve"/>
    <x v="1"/>
    <n v="78.95"/>
    <n v="149.97"/>
    <n v="14.997"/>
    <x v="135"/>
    <n v="78.95"/>
    <x v="135"/>
    <n v="0.41506819882495022"/>
    <n v="2025"/>
    <x v="9"/>
    <s v="avril"/>
    <s v="Q2"/>
    <x v="1"/>
    <n v="0"/>
  </r>
  <r>
    <x v="0"/>
    <s v="P1003"/>
    <s v="C0054"/>
    <s v="Calgary North"/>
    <s v="Credit Card"/>
    <n v="1"/>
    <s v="Maya Hall"/>
    <s v="Surrey"/>
    <s v="Small Business"/>
    <s v="Mouse"/>
    <x v="4"/>
    <n v="106.4"/>
    <n v="626.24"/>
    <n v="125.248"/>
    <x v="136"/>
    <n v="425.6"/>
    <x v="136"/>
    <n v="0.15048543689320387"/>
    <n v="2025"/>
    <x v="4"/>
    <s v="mars"/>
    <s v="Q1"/>
    <x v="0"/>
    <n v="0"/>
  </r>
  <r>
    <x v="2"/>
    <s v="P1004"/>
    <s v="C0065"/>
    <s v="Montreal Central"/>
    <s v="Paypal"/>
    <n v="1"/>
    <s v="Mia Wilson"/>
    <s v="Quebec City"/>
    <s v="Consumer"/>
    <s v="Webcam"/>
    <x v="4"/>
    <n v="154.72999999999999"/>
    <n v="861.69"/>
    <n v="43.084500000000006"/>
    <x v="137"/>
    <n v="464.18999999999994"/>
    <x v="137"/>
    <n v="0.43295030390096334"/>
    <n v="2025"/>
    <x v="1"/>
    <s v="mai"/>
    <s v="Q2"/>
    <x v="1"/>
    <n v="0"/>
  </r>
  <r>
    <x v="0"/>
    <s v="P1025"/>
    <s v="C0025"/>
    <s v="Montreal Central"/>
    <s v="Credit Card"/>
    <n v="1"/>
    <s v="Emma Gagnon"/>
    <s v="Surrey"/>
    <s v="Corporate"/>
    <s v="Yoga Mat"/>
    <x v="0"/>
    <n v="197.33"/>
    <n v="1197.8"/>
    <n v="0"/>
    <x v="138"/>
    <n v="789.32"/>
    <x v="138"/>
    <n v="0.3410252128902988"/>
    <n v="2025"/>
    <x v="10"/>
    <s v="juillet"/>
    <s v="Q3"/>
    <x v="0"/>
    <n v="0"/>
  </r>
  <r>
    <x v="0"/>
    <s v="P1036"/>
    <s v="C0007"/>
    <s v="Online Fulfillment"/>
    <s v="Debit Card"/>
    <n v="1"/>
    <s v="Lucas Wilson"/>
    <s v="Ottawa"/>
    <s v="Consumer"/>
    <s v="Power Bank"/>
    <x v="1"/>
    <n v="76.97"/>
    <n v="317.3"/>
    <n v="0"/>
    <x v="139"/>
    <n v="153.94"/>
    <x v="139"/>
    <n v="0.51484399621809018"/>
    <n v="2025"/>
    <x v="3"/>
    <s v="janvier"/>
    <s v="Q1"/>
    <x v="2"/>
    <n v="0"/>
  </r>
  <r>
    <x v="0"/>
    <s v="P1034"/>
    <s v="C0080"/>
    <s v="Online Fulfillment"/>
    <s v="Debit Card"/>
    <n v="1"/>
    <s v="Sarah Smith"/>
    <s v="Mississauga"/>
    <s v="Corporate"/>
    <s v="Laptop Sleeve"/>
    <x v="1"/>
    <n v="78.95"/>
    <n v="150.18"/>
    <n v="0"/>
    <x v="140"/>
    <n v="78.95"/>
    <x v="140"/>
    <n v="0.47429750965508055"/>
    <n v="2025"/>
    <x v="8"/>
    <s v="novembre"/>
    <s v="Q4"/>
    <x v="2"/>
    <n v="0"/>
  </r>
  <r>
    <x v="0"/>
    <s v="P1007"/>
    <s v="C0030"/>
    <s v="Online Fulfillment"/>
    <s v="Paypal"/>
    <n v="1"/>
    <s v="Emma Lee"/>
    <s v="Calgary"/>
    <s v="Corporate"/>
    <s v="Monitor"/>
    <x v="4"/>
    <n v="224.47"/>
    <n v="670.74"/>
    <n v="0"/>
    <x v="141"/>
    <n v="448.94"/>
    <x v="141"/>
    <n v="0.33067954796195248"/>
    <n v="2025"/>
    <x v="10"/>
    <s v="juillet"/>
    <s v="Q3"/>
    <x v="3"/>
    <n v="0"/>
  </r>
  <r>
    <x v="0"/>
    <s v="P1036"/>
    <s v="C0096"/>
    <s v="Montreal Central"/>
    <s v="Paypal"/>
    <n v="1"/>
    <s v="Ryan Roy"/>
    <s v="Laval"/>
    <s v="Corporate"/>
    <s v="Power Bank"/>
    <x v="1"/>
    <n v="76.97"/>
    <n v="314.86"/>
    <n v="0"/>
    <x v="142"/>
    <n v="153.94"/>
    <x v="142"/>
    <n v="0.51108429143111223"/>
    <n v="2025"/>
    <x v="6"/>
    <s v="décembre"/>
    <s v="Q4"/>
    <x v="1"/>
    <n v="0"/>
  </r>
  <r>
    <x v="0"/>
    <s v="P1035"/>
    <s v="C0119"/>
    <s v="Calgary North"/>
    <s v="Credit Card"/>
    <n v="1"/>
    <s v="Liam Chen"/>
    <s v="Winnipeg"/>
    <s v="Consumer"/>
    <s v="Phone Stand"/>
    <x v="1"/>
    <n v="59.85"/>
    <n v="90.42"/>
    <n v="4.5209999999999999"/>
    <x v="143"/>
    <n v="59.85"/>
    <x v="143"/>
    <n v="0.30325149303251492"/>
    <n v="2025"/>
    <x v="2"/>
    <s v="février"/>
    <s v="Q1"/>
    <x v="6"/>
    <n v="0"/>
  </r>
  <r>
    <x v="0"/>
    <s v="P1031"/>
    <s v="C0018"/>
    <s v="Montreal Central"/>
    <s v="Credit Card"/>
    <n v="1"/>
    <s v="Sophia Tremblay"/>
    <s v="Laval"/>
    <s v="Small Business"/>
    <s v="Dumbbell Set"/>
    <x v="0"/>
    <n v="131.72999999999999"/>
    <n v="237.95"/>
    <n v="23.795000000000002"/>
    <x v="144"/>
    <n v="131.72999999999999"/>
    <x v="144"/>
    <n v="0.38488477971562651"/>
    <n v="2025"/>
    <x v="5"/>
    <s v="juin"/>
    <s v="Q2"/>
    <x v="1"/>
    <n v="0"/>
  </r>
  <r>
    <x v="1"/>
    <s v="P1037"/>
    <s v="C0015"/>
    <s v="Toronto Downtown"/>
    <s v="Debit Card"/>
    <n v="1"/>
    <s v="Zoe Singh"/>
    <s v="Halifax"/>
    <s v="Consumer"/>
    <s v="Cable Set"/>
    <x v="1"/>
    <n v="200.16"/>
    <n v="353.49"/>
    <n v="35.349000000000004"/>
    <x v="145"/>
    <n v="200.16"/>
    <x v="145"/>
    <n v="0.37084500268748766"/>
    <n v="2025"/>
    <x v="8"/>
    <s v="novembre"/>
    <s v="Q4"/>
    <x v="4"/>
    <n v="0"/>
  </r>
  <r>
    <x v="1"/>
    <s v="P1005"/>
    <s v="C0093"/>
    <s v="Toronto Downtown"/>
    <s v="Credit Card"/>
    <n v="1"/>
    <s v="Ethan Roy"/>
    <s v="Winnipeg"/>
    <s v="Consumer"/>
    <s v="Portable SSD"/>
    <x v="4"/>
    <n v="131.19"/>
    <n v="226.32"/>
    <n v="11.316000000000001"/>
    <x v="146"/>
    <n v="131.19"/>
    <x v="146"/>
    <n v="0.38982530557571021"/>
    <n v="2025"/>
    <x v="11"/>
    <s v="octobre"/>
    <s v="Q4"/>
    <x v="6"/>
    <n v="0"/>
  </r>
  <r>
    <x v="0"/>
    <s v="P1003"/>
    <s v="C0055"/>
    <s v="Montreal Central"/>
    <s v="Debit Card"/>
    <n v="1"/>
    <s v="Sarah Scott"/>
    <s v="Surrey"/>
    <s v="Consumer"/>
    <s v="Mouse"/>
    <x v="4"/>
    <n v="106.4"/>
    <n v="157.91999999999999"/>
    <n v="0"/>
    <x v="147"/>
    <n v="106.4"/>
    <x v="147"/>
    <n v="0.32624113475177297"/>
    <n v="2025"/>
    <x v="7"/>
    <s v="août"/>
    <s v="Q3"/>
    <x v="0"/>
    <n v="0"/>
  </r>
  <r>
    <x v="2"/>
    <s v="P1032"/>
    <s v="C0013"/>
    <s v="Calgary North"/>
    <s v="Credit Card"/>
    <n v="1"/>
    <s v="Amelia Martin"/>
    <s v="Quebec City"/>
    <s v="Small Business"/>
    <s v="Gym Bag"/>
    <x v="0"/>
    <n v="132.72"/>
    <n v="204.49"/>
    <n v="20.449000000000002"/>
    <x v="148"/>
    <n v="132.72"/>
    <x v="119"/>
    <n v="0.27885634179340474"/>
    <n v="2025"/>
    <x v="0"/>
    <s v="septembre"/>
    <s v="Q3"/>
    <x v="1"/>
    <n v="0"/>
  </r>
  <r>
    <x v="1"/>
    <s v="P1025"/>
    <s v="C0053"/>
    <s v="Montreal Central"/>
    <s v="Credit Card"/>
    <n v="1"/>
    <s v="Ryan Lee"/>
    <s v="Laval"/>
    <s v="Consumer"/>
    <s v="Yoga Mat"/>
    <x v="0"/>
    <n v="197.33"/>
    <n v="299.81"/>
    <n v="59.962000000000003"/>
    <x v="149"/>
    <n v="197.33"/>
    <x v="148"/>
    <n v="0.17727060471632033"/>
    <n v="2025"/>
    <x v="8"/>
    <s v="novembre"/>
    <s v="Q4"/>
    <x v="1"/>
    <n v="0"/>
  </r>
  <r>
    <x v="0"/>
    <s v="P1024"/>
    <s v="C0119"/>
    <s v="Online Fulfillment"/>
    <s v="Credit Card"/>
    <n v="1"/>
    <s v="Liam Chen"/>
    <s v="Winnipeg"/>
    <s v="Consumer"/>
    <s v="Food Scale"/>
    <x v="2"/>
    <n v="46.07"/>
    <n v="99.03"/>
    <n v="14.8545"/>
    <x v="150"/>
    <n v="46.07"/>
    <x v="149"/>
    <n v="0.45269110370594767"/>
    <n v="2025"/>
    <x v="10"/>
    <s v="juillet"/>
    <s v="Q3"/>
    <x v="6"/>
    <n v="0"/>
  </r>
  <r>
    <x v="0"/>
    <s v="P1014"/>
    <s v="C0108"/>
    <s v="Montreal Central"/>
    <s v="Paypal"/>
    <n v="1"/>
    <s v="Noah Lee"/>
    <s v="Surrey"/>
    <s v="Consumer"/>
    <s v="Document Shredder"/>
    <x v="3"/>
    <n v="117.65"/>
    <n v="466.24"/>
    <n v="0"/>
    <x v="151"/>
    <n v="235.3"/>
    <x v="150"/>
    <n v="0.49532429649965681"/>
    <n v="2025"/>
    <x v="9"/>
    <s v="avril"/>
    <s v="Q2"/>
    <x v="0"/>
    <n v="1"/>
  </r>
  <r>
    <x v="0"/>
    <s v="P1034"/>
    <s v="C0080"/>
    <s v="Vancouver West"/>
    <s v="Debit Card"/>
    <n v="1"/>
    <s v="Sarah Smith"/>
    <s v="Mississauga"/>
    <s v="Corporate"/>
    <s v="Laptop Sleeve"/>
    <x v="1"/>
    <n v="78.95"/>
    <n v="303.44"/>
    <n v="0"/>
    <x v="152"/>
    <n v="157.9"/>
    <x v="151"/>
    <n v="0.47963353546005799"/>
    <n v="2025"/>
    <x v="7"/>
    <s v="août"/>
    <s v="Q3"/>
    <x v="2"/>
    <n v="0"/>
  </r>
  <r>
    <x v="1"/>
    <s v="P1022"/>
    <s v="C0066"/>
    <s v="Toronto Downtown"/>
    <s v="Debit Card"/>
    <n v="1"/>
    <s v="Noah Clark"/>
    <s v="Laval"/>
    <s v="Consumer"/>
    <s v="Humidifier"/>
    <x v="2"/>
    <n v="239.67"/>
    <n v="396.12"/>
    <n v="0"/>
    <x v="153"/>
    <n v="239.67"/>
    <x v="152"/>
    <n v="0.39495607391699489"/>
    <n v="2025"/>
    <x v="4"/>
    <s v="mars"/>
    <s v="Q1"/>
    <x v="1"/>
    <n v="0"/>
  </r>
  <r>
    <x v="0"/>
    <s v="P1039"/>
    <s v="C0105"/>
    <s v="Calgary North"/>
    <s v="Debit Card"/>
    <n v="1"/>
    <s v="Liam Martin"/>
    <s v="Calgary"/>
    <s v="Consumer"/>
    <s v="Travel Adapter"/>
    <x v="1"/>
    <n v="229.86"/>
    <n v="1024.53"/>
    <n v="256.13249999999999"/>
    <x v="154"/>
    <n v="689.58"/>
    <x v="153"/>
    <n v="0.10257386313724341"/>
    <n v="2025"/>
    <x v="3"/>
    <s v="janvier"/>
    <s v="Q1"/>
    <x v="3"/>
    <n v="0"/>
  </r>
  <r>
    <x v="1"/>
    <s v="P1025"/>
    <s v="C0117"/>
    <s v="Vancouver West"/>
    <s v="Credit Card"/>
    <n v="1"/>
    <s v="Ethan Hall"/>
    <s v="Vancouver"/>
    <s v="Consumer"/>
    <s v="Yoga Mat"/>
    <x v="0"/>
    <n v="197.33"/>
    <n v="320.8"/>
    <n v="48.12"/>
    <x v="155"/>
    <n v="197.33"/>
    <x v="154"/>
    <n v="0.27633123074666271"/>
    <n v="2025"/>
    <x v="0"/>
    <s v="septembre"/>
    <s v="Q3"/>
    <x v="0"/>
    <n v="0"/>
  </r>
  <r>
    <x v="1"/>
    <s v="P1025"/>
    <s v="C0045"/>
    <s v="Vancouver West"/>
    <s v="Credit Card"/>
    <n v="1"/>
    <s v="Lucas Chen"/>
    <s v="Ottawa"/>
    <s v="Corporate"/>
    <s v="Yoga Mat"/>
    <x v="0"/>
    <n v="197.33"/>
    <n v="951.56999999999994"/>
    <n v="95.156999999999996"/>
    <x v="156"/>
    <n v="591.99"/>
    <x v="155"/>
    <n v="0.30875640607977684"/>
    <n v="2025"/>
    <x v="2"/>
    <s v="février"/>
    <s v="Q1"/>
    <x v="2"/>
    <n v="0"/>
  </r>
  <r>
    <x v="2"/>
    <s v="P1007"/>
    <s v="C0017"/>
    <s v="Vancouver West"/>
    <s v="Paypal"/>
    <n v="1"/>
    <s v="Yasmine Khan"/>
    <s v="Mississauga"/>
    <s v="Corporate"/>
    <s v="Monitor"/>
    <x v="4"/>
    <n v="224.47"/>
    <n v="357.14"/>
    <n v="0"/>
    <x v="157"/>
    <n v="224.47"/>
    <x v="156"/>
    <n v="0.37147897183177464"/>
    <n v="2025"/>
    <x v="2"/>
    <s v="février"/>
    <s v="Q1"/>
    <x v="2"/>
    <n v="0"/>
  </r>
  <r>
    <x v="2"/>
    <s v="P1040"/>
    <s v="C0022"/>
    <s v="Calgary North"/>
    <s v="Credit Card"/>
    <n v="1"/>
    <s v="Adam White"/>
    <s v="Victoria"/>
    <s v="Consumer"/>
    <s v="Desk Pad"/>
    <x v="1"/>
    <n v="177.57"/>
    <n v="325.73"/>
    <n v="0"/>
    <x v="158"/>
    <n v="177.57"/>
    <x v="157"/>
    <n v="0.45485524821170914"/>
    <n v="2025"/>
    <x v="3"/>
    <s v="janvier"/>
    <s v="Q1"/>
    <x v="0"/>
    <n v="0"/>
  </r>
  <r>
    <x v="0"/>
    <s v="P1027"/>
    <s v="C0059"/>
    <s v="Montreal Central"/>
    <s v="Credit Card"/>
    <n v="1"/>
    <s v="Lucas Chen"/>
    <s v="Vancouver"/>
    <s v="Corporate"/>
    <s v="Kettlebell"/>
    <x v="0"/>
    <n v="25.97"/>
    <n v="55.34"/>
    <n v="13.835000000000001"/>
    <x v="159"/>
    <n v="25.97"/>
    <x v="158"/>
    <n v="0.37429225394530785"/>
    <n v="2025"/>
    <x v="6"/>
    <s v="décembre"/>
    <s v="Q4"/>
    <x v="0"/>
    <n v="0"/>
  </r>
  <r>
    <x v="1"/>
    <s v="P1013"/>
    <s v="C0077"/>
    <s v="Toronto Downtown"/>
    <s v="Debit Card"/>
    <n v="1"/>
    <s v="Amine Taylor"/>
    <s v="Surrey"/>
    <s v="Small Business"/>
    <s v="Whiteboard"/>
    <x v="3"/>
    <n v="85.73"/>
    <n v="129.55000000000001"/>
    <n v="19.432500000000001"/>
    <x v="160"/>
    <n v="85.73"/>
    <x v="159"/>
    <n v="0.22146797738779034"/>
    <n v="2025"/>
    <x v="11"/>
    <s v="octobre"/>
    <s v="Q4"/>
    <x v="0"/>
    <n v="0"/>
  </r>
  <r>
    <x v="0"/>
    <s v="P1012"/>
    <s v="C0067"/>
    <s v="Calgary North"/>
    <s v="Debit Card"/>
    <n v="1"/>
    <s v="Leo Bennett"/>
    <s v="Mississauga"/>
    <s v="Consumer"/>
    <s v="Standing Desk"/>
    <x v="3"/>
    <n v="45.17"/>
    <n v="82.85"/>
    <n v="0"/>
    <x v="161"/>
    <n v="45.17"/>
    <x v="160"/>
    <n v="0.45479782739891367"/>
    <n v="2025"/>
    <x v="3"/>
    <s v="janvier"/>
    <s v="Q1"/>
    <x v="2"/>
    <n v="0"/>
  </r>
  <r>
    <x v="1"/>
    <s v="P1039"/>
    <s v="C0078"/>
    <s v="Calgary North"/>
    <s v="Credit Card"/>
    <n v="1"/>
    <s v="Sarah Smith"/>
    <s v="Edmonton"/>
    <s v="Corporate"/>
    <s v="Travel Adapter"/>
    <x v="1"/>
    <n v="229.86"/>
    <n v="324.77999999999997"/>
    <n v="0"/>
    <x v="162"/>
    <n v="229.86"/>
    <x v="161"/>
    <n v="0.2922593755773138"/>
    <n v="2025"/>
    <x v="9"/>
    <s v="avril"/>
    <s v="Q2"/>
    <x v="3"/>
    <n v="0"/>
  </r>
  <r>
    <x v="1"/>
    <s v="P1023"/>
    <s v="C0062"/>
    <s v="Vancouver West"/>
    <s v="Debit Card"/>
    <n v="1"/>
    <s v="Yasmine Scott"/>
    <s v="Toronto"/>
    <s v="Consumer"/>
    <s v="Toaster"/>
    <x v="2"/>
    <n v="152.88"/>
    <n v="316.97000000000003"/>
    <n v="15.848500000000001"/>
    <x v="163"/>
    <n v="152.88"/>
    <x v="162"/>
    <n v="0.49229795946154631"/>
    <n v="2025"/>
    <x v="9"/>
    <s v="avril"/>
    <s v="Q2"/>
    <x v="2"/>
    <n v="0"/>
  </r>
  <r>
    <x v="0"/>
    <s v="P1001"/>
    <s v="C0049"/>
    <s v="Online Fulfillment"/>
    <s v="Paypal"/>
    <n v="1"/>
    <s v="Olivia Scott"/>
    <s v="Quebec City"/>
    <s v="Consumer"/>
    <s v="Headphones"/>
    <x v="4"/>
    <n v="254.6"/>
    <n v="393.54"/>
    <n v="59.030999999999999"/>
    <x v="164"/>
    <n v="254.6"/>
    <x v="163"/>
    <n v="0.23888445452887669"/>
    <n v="2025"/>
    <x v="6"/>
    <s v="décembre"/>
    <s v="Q4"/>
    <x v="1"/>
    <n v="0"/>
  </r>
  <r>
    <x v="0"/>
    <s v="P1008"/>
    <s v="C0082"/>
    <s v="Montreal Central"/>
    <s v="Credit Card"/>
    <n v="1"/>
    <s v="Ryan King"/>
    <s v="Winnipeg"/>
    <s v="Small Business"/>
    <s v="Smart Speaker"/>
    <x v="4"/>
    <n v="69"/>
    <n v="680.84999999999991"/>
    <n v="102.12749999999998"/>
    <x v="165"/>
    <n v="345"/>
    <x v="164"/>
    <n v="0.40385936264790118"/>
    <n v="2025"/>
    <x v="11"/>
    <s v="octobre"/>
    <s v="Q4"/>
    <x v="6"/>
    <n v="1"/>
  </r>
  <r>
    <x v="1"/>
    <s v="P1009"/>
    <s v="C0106"/>
    <s v="Vancouver West"/>
    <s v="Credit Card"/>
    <n v="1"/>
    <s v="Liam Gagnon"/>
    <s v="Ottawa"/>
    <s v="Small Business"/>
    <s v="Notebook"/>
    <x v="3"/>
    <n v="176.13"/>
    <n v="917.94"/>
    <n v="137.691"/>
    <x v="166"/>
    <n v="528.39"/>
    <x v="165"/>
    <n v="0.3227931083538717"/>
    <n v="2025"/>
    <x v="0"/>
    <s v="septembre"/>
    <s v="Q3"/>
    <x v="2"/>
    <n v="0"/>
  </r>
  <r>
    <x v="0"/>
    <s v="P1027"/>
    <s v="C0120"/>
    <s v="Calgary North"/>
    <s v="Credit Card"/>
    <n v="1"/>
    <s v="Ethan King"/>
    <s v="Mississauga"/>
    <s v="Small Business"/>
    <s v="Kettlebell"/>
    <x v="0"/>
    <n v="25.97"/>
    <n v="116.34"/>
    <n v="0"/>
    <x v="167"/>
    <n v="51.94"/>
    <x v="166"/>
    <n v="0.55354993983152834"/>
    <n v="2025"/>
    <x v="1"/>
    <s v="mai"/>
    <s v="Q2"/>
    <x v="2"/>
    <n v="0"/>
  </r>
  <r>
    <x v="1"/>
    <s v="P1030"/>
    <s v="C0106"/>
    <s v="Online Fulfillment"/>
    <s v="Credit Card"/>
    <n v="1"/>
    <s v="Liam Gagnon"/>
    <s v="Ottawa"/>
    <s v="Small Business"/>
    <s v="Pull-up Bar"/>
    <x v="0"/>
    <n v="125.4"/>
    <n v="494.24"/>
    <n v="24.712000000000003"/>
    <x v="168"/>
    <n v="250.8"/>
    <x v="167"/>
    <n v="0.46584655228229199"/>
    <n v="2025"/>
    <x v="9"/>
    <s v="avril"/>
    <s v="Q2"/>
    <x v="2"/>
    <n v="0"/>
  </r>
  <r>
    <x v="1"/>
    <s v="P1017"/>
    <s v="C0070"/>
    <s v="Vancouver West"/>
    <s v="Debit Card"/>
    <n v="1"/>
    <s v="Sophia Young"/>
    <s v="Halifax"/>
    <s v="Corporate"/>
    <s v="Coffee Maker"/>
    <x v="2"/>
    <n v="241.16"/>
    <n v="380.52"/>
    <n v="19.026"/>
    <x v="169"/>
    <n v="241.16"/>
    <x v="168"/>
    <n v="0.33287966051995327"/>
    <n v="2025"/>
    <x v="1"/>
    <s v="mai"/>
    <s v="Q2"/>
    <x v="4"/>
    <n v="0"/>
  </r>
  <r>
    <x v="0"/>
    <s v="P1025"/>
    <s v="C0115"/>
    <s v="Vancouver West"/>
    <s v="Paypal"/>
    <n v="1"/>
    <s v="Nora Lee"/>
    <s v="Calgary"/>
    <s v="Consumer"/>
    <s v="Yoga Mat"/>
    <x v="0"/>
    <n v="197.33"/>
    <n v="621.28"/>
    <n v="31.064"/>
    <x v="170"/>
    <n v="394.66"/>
    <x v="169"/>
    <n v="0.33132954714884039"/>
    <n v="2025"/>
    <x v="11"/>
    <s v="octobre"/>
    <s v="Q4"/>
    <x v="3"/>
    <n v="0"/>
  </r>
  <r>
    <x v="0"/>
    <s v="P1038"/>
    <s v="C0014"/>
    <s v="Vancouver West"/>
    <s v="Debit Card"/>
    <n v="1"/>
    <s v="Zoe Scott"/>
    <s v="Montreal"/>
    <s v="Small Business"/>
    <s v="Water Bottle"/>
    <x v="1"/>
    <n v="119.16"/>
    <n v="553.66"/>
    <n v="27.683"/>
    <x v="171"/>
    <n v="238.32"/>
    <x v="170"/>
    <n v="0.54690033974869623"/>
    <n v="2025"/>
    <x v="4"/>
    <s v="mars"/>
    <s v="Q1"/>
    <x v="1"/>
    <n v="0"/>
  </r>
  <r>
    <x v="0"/>
    <s v="P1037"/>
    <s v="C0073"/>
    <s v="Online Fulfillment"/>
    <s v="Debit Card"/>
    <n v="1"/>
    <s v="Olivia Singh"/>
    <s v="Mississauga"/>
    <s v="Consumer"/>
    <s v="Cable Set"/>
    <x v="1"/>
    <n v="200.16"/>
    <n v="344.09"/>
    <n v="17.204499999999999"/>
    <x v="172"/>
    <n v="200.16"/>
    <x v="171"/>
    <n v="0.3876755010546506"/>
    <n v="2025"/>
    <x v="9"/>
    <s v="avril"/>
    <s v="Q2"/>
    <x v="2"/>
    <n v="0"/>
  </r>
  <r>
    <x v="2"/>
    <s v="P1015"/>
    <s v="C0102"/>
    <s v="Toronto Downtown"/>
    <s v="Paypal"/>
    <n v="1"/>
    <s v="Adam Roy"/>
    <s v="Edmonton"/>
    <s v="Corporate"/>
    <s v="Desk Organizer"/>
    <x v="3"/>
    <n v="235.76"/>
    <n v="389.99"/>
    <n v="0"/>
    <x v="173"/>
    <n v="235.76"/>
    <x v="172"/>
    <n v="0.39547167876099393"/>
    <n v="2025"/>
    <x v="6"/>
    <s v="décembre"/>
    <s v="Q4"/>
    <x v="3"/>
    <n v="0"/>
  </r>
  <r>
    <x v="0"/>
    <s v="P1021"/>
    <s v="C0096"/>
    <s v="Toronto Downtown"/>
    <s v="Debit Card"/>
    <n v="1"/>
    <s v="Ryan Roy"/>
    <s v="Laval"/>
    <s v="Corporate"/>
    <s v="Kettle"/>
    <x v="2"/>
    <n v="139.86000000000001"/>
    <n v="1234.3599999999999"/>
    <n v="0"/>
    <x v="174"/>
    <n v="559.44000000000005"/>
    <x v="173"/>
    <n v="0.54677727729349612"/>
    <n v="2025"/>
    <x v="9"/>
    <s v="avril"/>
    <s v="Q2"/>
    <x v="1"/>
    <n v="0"/>
  </r>
  <r>
    <x v="1"/>
    <s v="P1017"/>
    <s v="C0071"/>
    <s v="Montreal Central"/>
    <s v="Paypal"/>
    <n v="1"/>
    <s v="Ethan Lee"/>
    <s v="Surrey"/>
    <s v="Consumer"/>
    <s v="Coffee Maker"/>
    <x v="2"/>
    <n v="241.16"/>
    <n v="372.42"/>
    <n v="0"/>
    <x v="175"/>
    <n v="241.16"/>
    <x v="174"/>
    <n v="0.35245153321518718"/>
    <n v="2025"/>
    <x v="3"/>
    <s v="janvier"/>
    <s v="Q1"/>
    <x v="0"/>
    <n v="0"/>
  </r>
  <r>
    <x v="0"/>
    <s v="P1032"/>
    <s v="C0042"/>
    <s v="Montreal Central"/>
    <s v="Gift Card"/>
    <n v="1"/>
    <s v="Emma King"/>
    <s v="Quebec City"/>
    <s v="Consumer"/>
    <s v="Gym Bag"/>
    <x v="0"/>
    <n v="132.72"/>
    <n v="210.97"/>
    <n v="21.097000000000001"/>
    <x v="176"/>
    <n v="132.72"/>
    <x v="175"/>
    <n v="0.30100646221421684"/>
    <n v="2025"/>
    <x v="8"/>
    <s v="novembre"/>
    <s v="Q4"/>
    <x v="1"/>
    <n v="0"/>
  </r>
  <r>
    <x v="0"/>
    <s v="P1039"/>
    <s v="C0020"/>
    <s v="Toronto Downtown"/>
    <s v="Credit Card"/>
    <n v="1"/>
    <s v="Nora Khan"/>
    <s v="Mississauga"/>
    <s v="Consumer"/>
    <s v="Travel Adapter"/>
    <x v="1"/>
    <n v="229.86"/>
    <n v="1024.8899999999999"/>
    <n v="0"/>
    <x v="177"/>
    <n v="689.58"/>
    <x v="176"/>
    <n v="0.32716681790240892"/>
    <n v="2025"/>
    <x v="3"/>
    <s v="janvier"/>
    <s v="Q1"/>
    <x v="2"/>
    <n v="0"/>
  </r>
  <r>
    <x v="0"/>
    <s v="P1034"/>
    <s v="C0098"/>
    <s v="Vancouver West"/>
    <s v="Credit Card"/>
    <n v="1"/>
    <s v="Nora Young"/>
    <s v="Winnipeg"/>
    <s v="Consumer"/>
    <s v="Laptop Sleeve"/>
    <x v="1"/>
    <n v="78.95"/>
    <n v="426.33000000000004"/>
    <n v="21.316500000000005"/>
    <x v="178"/>
    <n v="236.85000000000002"/>
    <x v="177"/>
    <n v="0.41520467836257308"/>
    <n v="2025"/>
    <x v="0"/>
    <s v="septembre"/>
    <s v="Q3"/>
    <x v="6"/>
    <n v="0"/>
  </r>
  <r>
    <x v="1"/>
    <s v="P1040"/>
    <s v="C0039"/>
    <s v="Vancouver West"/>
    <s v="Debit Card"/>
    <n v="1"/>
    <s v="Sarah Wilson"/>
    <s v="Halifax"/>
    <s v="Consumer"/>
    <s v="Desk Pad"/>
    <x v="1"/>
    <n v="177.57"/>
    <n v="618.24"/>
    <n v="30.912000000000003"/>
    <x v="179"/>
    <n v="355.14"/>
    <x v="178"/>
    <n v="0.3953293559986924"/>
    <n v="2025"/>
    <x v="1"/>
    <s v="mai"/>
    <s v="Q2"/>
    <x v="4"/>
    <n v="1"/>
  </r>
  <r>
    <x v="0"/>
    <s v="P1024"/>
    <s v="C0086"/>
    <s v="Montreal Central"/>
    <s v="Credit Card"/>
    <n v="1"/>
    <s v="Adam Gagnon"/>
    <s v="Winnipeg"/>
    <s v="Consumer"/>
    <s v="Food Scale"/>
    <x v="2"/>
    <n v="46.07"/>
    <n v="104.87"/>
    <n v="10.487000000000002"/>
    <x v="180"/>
    <n v="46.07"/>
    <x v="179"/>
    <n v="0.51188243645571774"/>
    <n v="2025"/>
    <x v="11"/>
    <s v="octobre"/>
    <s v="Q4"/>
    <x v="6"/>
    <n v="0"/>
  </r>
  <r>
    <x v="0"/>
    <s v="P1013"/>
    <s v="C0093"/>
    <s v="Online Fulfillment"/>
    <s v="Paypal"/>
    <n v="1"/>
    <s v="Ethan Roy"/>
    <s v="Winnipeg"/>
    <s v="Consumer"/>
    <s v="Whiteboard"/>
    <x v="3"/>
    <n v="85.73"/>
    <n v="128.6"/>
    <n v="6.43"/>
    <x v="181"/>
    <n v="85.73"/>
    <x v="180"/>
    <n v="0.29827289842023402"/>
    <n v="2025"/>
    <x v="7"/>
    <s v="août"/>
    <s v="Q3"/>
    <x v="6"/>
    <n v="0"/>
  </r>
  <r>
    <x v="1"/>
    <s v="P1005"/>
    <s v="C0073"/>
    <s v="Online Fulfillment"/>
    <s v="Paypal"/>
    <n v="1"/>
    <s v="Olivia Singh"/>
    <s v="Mississauga"/>
    <s v="Consumer"/>
    <s v="Portable SSD"/>
    <x v="4"/>
    <n v="131.19"/>
    <n v="252.34"/>
    <n v="50.468000000000004"/>
    <x v="182"/>
    <n v="131.19"/>
    <x v="181"/>
    <n v="0.35013275739082195"/>
    <n v="2025"/>
    <x v="11"/>
    <s v="octobre"/>
    <s v="Q4"/>
    <x v="2"/>
    <n v="1"/>
  </r>
  <r>
    <x v="0"/>
    <s v="P1024"/>
    <s v="C0031"/>
    <s v="Calgary North"/>
    <s v="Debit Card"/>
    <n v="1"/>
    <s v="Leo Gagnon"/>
    <s v="Surrey"/>
    <s v="Small Business"/>
    <s v="Food Scale"/>
    <x v="2"/>
    <n v="46.07"/>
    <n v="321.54000000000002"/>
    <n v="0"/>
    <x v="183"/>
    <n v="138.21"/>
    <x v="182"/>
    <n v="0.5701623437208434"/>
    <n v="2025"/>
    <x v="10"/>
    <s v="juillet"/>
    <s v="Q3"/>
    <x v="0"/>
    <n v="0"/>
  </r>
  <r>
    <x v="2"/>
    <s v="P1025"/>
    <s v="C0056"/>
    <s v="Vancouver West"/>
    <s v="Paypal"/>
    <n v="1"/>
    <s v="Sarah Wilson"/>
    <s v="Halifax"/>
    <s v="Consumer"/>
    <s v="Yoga Mat"/>
    <x v="0"/>
    <n v="197.33"/>
    <n v="920.04"/>
    <n v="92.004000000000005"/>
    <x v="184"/>
    <n v="591.99"/>
    <x v="183"/>
    <n v="0.2850673159138008"/>
    <n v="2025"/>
    <x v="8"/>
    <s v="novembre"/>
    <s v="Q4"/>
    <x v="4"/>
    <n v="0"/>
  </r>
  <r>
    <x v="1"/>
    <s v="P1033"/>
    <s v="C0080"/>
    <s v="Calgary North"/>
    <s v="Credit Card"/>
    <n v="1"/>
    <s v="Sarah Smith"/>
    <s v="Mississauga"/>
    <s v="Corporate"/>
    <s v="Backpack"/>
    <x v="1"/>
    <n v="152.55000000000001"/>
    <n v="317.25"/>
    <n v="0"/>
    <x v="185"/>
    <n v="152.55000000000001"/>
    <x v="184"/>
    <n v="0.51914893617021274"/>
    <n v="2025"/>
    <x v="7"/>
    <s v="août"/>
    <s v="Q3"/>
    <x v="2"/>
    <n v="0"/>
  </r>
  <r>
    <x v="1"/>
    <s v="P1027"/>
    <s v="C0099"/>
    <s v="Online Fulfillment"/>
    <s v="Credit Card"/>
    <n v="1"/>
    <s v="Amine Gagnon"/>
    <s v="Laval"/>
    <s v="Small Business"/>
    <s v="Kettlebell"/>
    <x v="0"/>
    <n v="25.97"/>
    <n v="270.10000000000002"/>
    <n v="54.02000000000001"/>
    <x v="186"/>
    <n v="129.85"/>
    <x v="185"/>
    <n v="0.3990651610514625"/>
    <n v="2025"/>
    <x v="11"/>
    <s v="octobre"/>
    <s v="Q4"/>
    <x v="1"/>
    <n v="1"/>
  </r>
  <r>
    <x v="2"/>
    <s v="P1033"/>
    <s v="C0094"/>
    <s v="Toronto Downtown"/>
    <s v="Paypal"/>
    <n v="1"/>
    <s v="Mia Singh"/>
    <s v="Quebec City"/>
    <s v="Consumer"/>
    <s v="Backpack"/>
    <x v="1"/>
    <n v="152.55000000000001"/>
    <n v="883.26"/>
    <n v="44.163000000000004"/>
    <x v="187"/>
    <n v="457.65000000000003"/>
    <x v="186"/>
    <n v="0.45459225810603537"/>
    <n v="2025"/>
    <x v="7"/>
    <s v="août"/>
    <s v="Q3"/>
    <x v="1"/>
    <n v="0"/>
  </r>
  <r>
    <x v="0"/>
    <s v="P1023"/>
    <s v="C0042"/>
    <s v="Montreal Central"/>
    <s v="Paypal"/>
    <n v="1"/>
    <s v="Emma King"/>
    <s v="Quebec City"/>
    <s v="Consumer"/>
    <s v="Toaster"/>
    <x v="2"/>
    <n v="152.88"/>
    <n v="982.65000000000009"/>
    <n v="49.132500000000007"/>
    <x v="188"/>
    <n v="458.64"/>
    <x v="187"/>
    <n v="0.50869694462074899"/>
    <n v="2025"/>
    <x v="6"/>
    <s v="décembre"/>
    <s v="Q4"/>
    <x v="1"/>
    <n v="0"/>
  </r>
  <r>
    <x v="0"/>
    <s v="P1036"/>
    <s v="C0089"/>
    <s v="Montreal Central"/>
    <s v="Credit Card"/>
    <n v="1"/>
    <s v="Lucas Martin"/>
    <s v="Vancouver"/>
    <s v="Consumer"/>
    <s v="Power Bank"/>
    <x v="1"/>
    <n v="76.97"/>
    <n v="165.76"/>
    <n v="0"/>
    <x v="189"/>
    <n v="76.97"/>
    <x v="188"/>
    <n v="0.5356539575289575"/>
    <n v="2025"/>
    <x v="8"/>
    <s v="novembre"/>
    <s v="Q4"/>
    <x v="0"/>
    <n v="0"/>
  </r>
  <r>
    <x v="0"/>
    <s v="P1019"/>
    <s v="C0023"/>
    <s v="Online Fulfillment"/>
    <s v="Credit Card"/>
    <n v="1"/>
    <s v="Ryan Gagnon"/>
    <s v="Ottawa"/>
    <s v="Small Business"/>
    <s v="Vacuum"/>
    <x v="2"/>
    <n v="186.94"/>
    <n v="279.27"/>
    <n v="55.853999999999999"/>
    <x v="190"/>
    <n v="186.94"/>
    <x v="189"/>
    <n v="0.16326494073835357"/>
    <n v="2025"/>
    <x v="4"/>
    <s v="mars"/>
    <s v="Q1"/>
    <x v="2"/>
    <n v="0"/>
  </r>
  <r>
    <x v="0"/>
    <s v="P1010"/>
    <s v="C0055"/>
    <s v="Vancouver West"/>
    <s v="Paypal"/>
    <n v="1"/>
    <s v="Sarah Scott"/>
    <s v="Surrey"/>
    <s v="Consumer"/>
    <s v="Desk Lamp"/>
    <x v="3"/>
    <n v="127.21"/>
    <n v="432.14"/>
    <n v="43.213999999999999"/>
    <x v="191"/>
    <n v="254.42"/>
    <x v="190"/>
    <n v="0.34583956845261055"/>
    <n v="2025"/>
    <x v="9"/>
    <s v="avril"/>
    <s v="Q2"/>
    <x v="0"/>
    <n v="0"/>
  </r>
  <r>
    <x v="1"/>
    <s v="P1003"/>
    <s v="C0055"/>
    <s v="Vancouver West"/>
    <s v="Credit Card"/>
    <n v="1"/>
    <s v="Sarah Scott"/>
    <s v="Surrey"/>
    <s v="Consumer"/>
    <s v="Mouse"/>
    <x v="4"/>
    <n v="106.4"/>
    <n v="489.72"/>
    <n v="97.944000000000017"/>
    <x v="192"/>
    <n v="319.20000000000005"/>
    <x v="191"/>
    <n v="0.18524871355060024"/>
    <n v="2025"/>
    <x v="8"/>
    <s v="novembre"/>
    <s v="Q4"/>
    <x v="0"/>
    <n v="0"/>
  </r>
  <r>
    <x v="0"/>
    <s v="P1004"/>
    <s v="C0108"/>
    <s v="Online Fulfillment"/>
    <s v="Credit Card"/>
    <n v="1"/>
    <s v="Noah Lee"/>
    <s v="Surrey"/>
    <s v="Consumer"/>
    <s v="Webcam"/>
    <x v="4"/>
    <n v="154.72999999999999"/>
    <n v="572.66"/>
    <n v="0"/>
    <x v="193"/>
    <n v="309.45999999999998"/>
    <x v="192"/>
    <n v="0.45960954143820071"/>
    <n v="2025"/>
    <x v="8"/>
    <s v="novembre"/>
    <s v="Q4"/>
    <x v="0"/>
    <n v="0"/>
  </r>
  <r>
    <x v="2"/>
    <s v="P1023"/>
    <s v="C0089"/>
    <s v="Toronto Downtown"/>
    <s v="Paypal"/>
    <n v="1"/>
    <s v="Lucas Martin"/>
    <s v="Vancouver"/>
    <s v="Consumer"/>
    <s v="Toaster"/>
    <x v="2"/>
    <n v="152.88"/>
    <n v="665.16"/>
    <n v="0"/>
    <x v="194"/>
    <n v="305.76"/>
    <x v="193"/>
    <n v="0.5403211257441819"/>
    <n v="2025"/>
    <x v="11"/>
    <s v="octobre"/>
    <s v="Q4"/>
    <x v="0"/>
    <n v="0"/>
  </r>
  <r>
    <x v="1"/>
    <s v="P1035"/>
    <s v="C0076"/>
    <s v="Toronto Downtown"/>
    <s v="Debit Card"/>
    <n v="1"/>
    <s v="Maya Taylor"/>
    <s v="Saskatoon"/>
    <s v="Corporate"/>
    <s v="Phone Stand"/>
    <x v="1"/>
    <n v="59.85"/>
    <n v="442.5"/>
    <n v="0"/>
    <x v="195"/>
    <n v="299.25"/>
    <x v="194"/>
    <n v="0.32372881355932204"/>
    <n v="2025"/>
    <x v="5"/>
    <s v="juin"/>
    <s v="Q2"/>
    <x v="5"/>
    <n v="0"/>
  </r>
  <r>
    <x v="0"/>
    <s v="P1018"/>
    <s v="C0095"/>
    <s v="Montreal Central"/>
    <s v="Paypal"/>
    <n v="1"/>
    <s v="Maya White"/>
    <s v="Quebec City"/>
    <s v="Corporate"/>
    <s v="Air Fryer"/>
    <x v="2"/>
    <n v="14.58"/>
    <n v="29.43"/>
    <n v="0"/>
    <x v="196"/>
    <n v="14.58"/>
    <x v="195"/>
    <n v="0.50458715596330272"/>
    <n v="2025"/>
    <x v="4"/>
    <s v="mars"/>
    <s v="Q1"/>
    <x v="1"/>
    <n v="0"/>
  </r>
  <r>
    <x v="1"/>
    <s v="P1002"/>
    <s v="C0094"/>
    <s v="Toronto Downtown"/>
    <s v="Credit Card"/>
    <n v="1"/>
    <s v="Mia Singh"/>
    <s v="Quebec City"/>
    <s v="Consumer"/>
    <s v="Keyboard"/>
    <x v="4"/>
    <n v="23.5"/>
    <n v="73.72"/>
    <n v="3.6859999999999999"/>
    <x v="197"/>
    <n v="47"/>
    <x v="196"/>
    <n v="0.32889739269497664"/>
    <n v="2025"/>
    <x v="6"/>
    <s v="décembre"/>
    <s v="Q4"/>
    <x v="1"/>
    <n v="0"/>
  </r>
  <r>
    <x v="0"/>
    <s v="P1036"/>
    <s v="C0003"/>
    <s v="Online Fulfillment"/>
    <s v="Paypal"/>
    <n v="1"/>
    <s v="Amelia Young"/>
    <s v="Ottawa"/>
    <s v="Corporate"/>
    <s v="Power Bank"/>
    <x v="1"/>
    <n v="76.97"/>
    <n v="490.38"/>
    <n v="24.519000000000002"/>
    <x v="198"/>
    <n v="230.91"/>
    <x v="197"/>
    <n v="0.50433713060333452"/>
    <n v="2025"/>
    <x v="1"/>
    <s v="mai"/>
    <s v="Q2"/>
    <x v="2"/>
    <n v="0"/>
  </r>
  <r>
    <x v="0"/>
    <s v="P1015"/>
    <s v="C0087"/>
    <s v="Toronto Downtown"/>
    <s v="Paypal"/>
    <n v="1"/>
    <s v="Daniel Johnson"/>
    <s v="Halifax"/>
    <s v="Consumer"/>
    <s v="Desk Organizer"/>
    <x v="3"/>
    <n v="235.76"/>
    <n v="776.68"/>
    <n v="38.834000000000003"/>
    <x v="199"/>
    <n v="471.52"/>
    <x v="198"/>
    <n v="0.36095065908062118"/>
    <n v="2025"/>
    <x v="5"/>
    <s v="juin"/>
    <s v="Q2"/>
    <x v="4"/>
    <n v="1"/>
  </r>
  <r>
    <x v="0"/>
    <s v="P1024"/>
    <s v="C0057"/>
    <s v="Vancouver West"/>
    <s v="Credit Card"/>
    <n v="1"/>
    <s v="Adam Khan"/>
    <s v="Edmonton"/>
    <s v="Small Business"/>
    <s v="Food Scale"/>
    <x v="2"/>
    <n v="46.07"/>
    <n v="105.22"/>
    <n v="15.782999999999999"/>
    <x v="200"/>
    <n v="46.07"/>
    <x v="199"/>
    <n v="0.48488880440980803"/>
    <n v="2025"/>
    <x v="2"/>
    <s v="février"/>
    <s v="Q1"/>
    <x v="3"/>
    <n v="0"/>
  </r>
  <r>
    <x v="0"/>
    <s v="P1010"/>
    <s v="C0029"/>
    <s v="Calgary North"/>
    <s v="Credit Card"/>
    <n v="1"/>
    <s v="Olivia White"/>
    <s v="Victoria"/>
    <s v="Consumer"/>
    <s v="Desk Lamp"/>
    <x v="3"/>
    <n v="127.21"/>
    <n v="211.08"/>
    <n v="10.554000000000002"/>
    <x v="201"/>
    <n v="127.21"/>
    <x v="200"/>
    <n v="0.36561842354607388"/>
    <n v="2025"/>
    <x v="3"/>
    <s v="janvier"/>
    <s v="Q1"/>
    <x v="0"/>
    <n v="0"/>
  </r>
  <r>
    <x v="2"/>
    <s v="P1012"/>
    <s v="C0120"/>
    <s v="Toronto Downtown"/>
    <s v="Debit Card"/>
    <n v="1"/>
    <s v="Ethan King"/>
    <s v="Mississauga"/>
    <s v="Small Business"/>
    <s v="Standing Desk"/>
    <x v="3"/>
    <n v="45.17"/>
    <n v="239.54999999999998"/>
    <n v="11.977499999999999"/>
    <x v="202"/>
    <n v="135.51"/>
    <x v="201"/>
    <n v="0.4045414098803678"/>
    <n v="2025"/>
    <x v="4"/>
    <s v="mars"/>
    <s v="Q1"/>
    <x v="2"/>
    <n v="0"/>
  </r>
  <r>
    <x v="0"/>
    <s v="P1039"/>
    <s v="C0009"/>
    <s v="Montreal Central"/>
    <s v="Credit Card"/>
    <n v="1"/>
    <s v="Ethan Tremblay"/>
    <s v="Mississauga"/>
    <s v="Corporate"/>
    <s v="Travel Adapter"/>
    <x v="1"/>
    <n v="229.86"/>
    <n v="1027.98"/>
    <n v="0"/>
    <x v="203"/>
    <n v="689.58"/>
    <x v="202"/>
    <n v="0.32918928383820695"/>
    <n v="2025"/>
    <x v="9"/>
    <s v="avril"/>
    <s v="Q2"/>
    <x v="2"/>
    <n v="0"/>
  </r>
  <r>
    <x v="0"/>
    <s v="P1032"/>
    <s v="C0020"/>
    <s v="Montreal Central"/>
    <s v="Credit Card"/>
    <n v="1"/>
    <s v="Nora Khan"/>
    <s v="Mississauga"/>
    <s v="Consumer"/>
    <s v="Gym Bag"/>
    <x v="0"/>
    <n v="132.72"/>
    <n v="206.56"/>
    <n v="41.312000000000005"/>
    <x v="204"/>
    <n v="132.72"/>
    <x v="203"/>
    <n v="0.1968435321456235"/>
    <n v="2025"/>
    <x v="10"/>
    <s v="juillet"/>
    <s v="Q3"/>
    <x v="2"/>
    <n v="0"/>
  </r>
  <r>
    <x v="1"/>
    <s v="P1023"/>
    <s v="C0066"/>
    <s v="Online Fulfillment"/>
    <s v="Credit Card"/>
    <n v="1"/>
    <s v="Noah Clark"/>
    <s v="Laval"/>
    <s v="Consumer"/>
    <s v="Toaster"/>
    <x v="2"/>
    <n v="152.88"/>
    <n v="328.44"/>
    <n v="0"/>
    <x v="205"/>
    <n v="152.88"/>
    <x v="204"/>
    <n v="0.53452685421994883"/>
    <n v="2025"/>
    <x v="9"/>
    <s v="avril"/>
    <s v="Q2"/>
    <x v="1"/>
    <n v="0"/>
  </r>
  <r>
    <x v="0"/>
    <s v="P1010"/>
    <s v="C0070"/>
    <s v="Vancouver West"/>
    <s v="Credit Card"/>
    <n v="1"/>
    <s v="Sophia Young"/>
    <s v="Halifax"/>
    <s v="Corporate"/>
    <s v="Desk Lamp"/>
    <x v="3"/>
    <n v="127.21"/>
    <n v="861.52"/>
    <n v="0"/>
    <x v="206"/>
    <n v="508.84"/>
    <x v="205"/>
    <n v="0.40936948648899624"/>
    <n v="2025"/>
    <x v="3"/>
    <s v="janvier"/>
    <s v="Q1"/>
    <x v="4"/>
    <n v="1"/>
  </r>
  <r>
    <x v="0"/>
    <s v="P1001"/>
    <s v="C0035"/>
    <s v="Montreal Central"/>
    <s v="Credit Card"/>
    <n v="1"/>
    <s v="Amelia Scott"/>
    <s v="Edmonton"/>
    <s v="Small Business"/>
    <s v="Headphones"/>
    <x v="4"/>
    <n v="254.6"/>
    <n v="376.44"/>
    <n v="0"/>
    <x v="207"/>
    <n v="254.6"/>
    <x v="206"/>
    <n v="0.32366379768356179"/>
    <n v="2025"/>
    <x v="7"/>
    <s v="août"/>
    <s v="Q3"/>
    <x v="3"/>
    <n v="0"/>
  </r>
  <r>
    <x v="1"/>
    <s v="P1018"/>
    <s v="C0052"/>
    <s v="Vancouver West"/>
    <s v="Debit Card"/>
    <n v="1"/>
    <s v="Liam Bennett"/>
    <s v="Edmonton"/>
    <s v="Corporate"/>
    <s v="Air Fryer"/>
    <x v="2"/>
    <n v="14.58"/>
    <n v="59.72"/>
    <n v="5.9720000000000004"/>
    <x v="208"/>
    <n v="29.16"/>
    <x v="207"/>
    <n v="0.45746818486269253"/>
    <n v="2025"/>
    <x v="3"/>
    <s v="janvier"/>
    <s v="Q1"/>
    <x v="3"/>
    <n v="0"/>
  </r>
  <r>
    <x v="1"/>
    <s v="P1028"/>
    <s v="C0048"/>
    <s v="Toronto Downtown"/>
    <s v="Credit Card"/>
    <n v="1"/>
    <s v="Amelia Brown"/>
    <s v="Quebec City"/>
    <s v="Corporate"/>
    <s v="Foam Roller"/>
    <x v="0"/>
    <n v="212.02"/>
    <n v="1132.29"/>
    <n v="113.229"/>
    <x v="209"/>
    <n v="636.06000000000006"/>
    <x v="208"/>
    <n v="0.375837167745601"/>
    <n v="2025"/>
    <x v="4"/>
    <s v="mars"/>
    <s v="Q1"/>
    <x v="1"/>
    <n v="0"/>
  </r>
  <r>
    <x v="0"/>
    <s v="P1017"/>
    <s v="C0009"/>
    <s v="Montreal Central"/>
    <s v="Debit Card"/>
    <n v="1"/>
    <s v="Ethan Tremblay"/>
    <s v="Mississauga"/>
    <s v="Corporate"/>
    <s v="Coffee Maker"/>
    <x v="2"/>
    <n v="241.16"/>
    <n v="698.88"/>
    <n v="34.944000000000003"/>
    <x v="210"/>
    <n v="482.32"/>
    <x v="209"/>
    <n v="0.27354443801812228"/>
    <n v="2025"/>
    <x v="2"/>
    <s v="février"/>
    <s v="Q1"/>
    <x v="2"/>
    <n v="0"/>
  </r>
  <r>
    <x v="0"/>
    <s v="P1028"/>
    <s v="C0099"/>
    <s v="Online Fulfillment"/>
    <s v="Debit Card"/>
    <n v="1"/>
    <s v="Amine Gagnon"/>
    <s v="Laval"/>
    <s v="Small Business"/>
    <s v="Foam Roller"/>
    <x v="0"/>
    <n v="212.02"/>
    <n v="371.09"/>
    <n v="0"/>
    <x v="211"/>
    <n v="212.02"/>
    <x v="210"/>
    <n v="0.42865612115659268"/>
    <n v="2025"/>
    <x v="8"/>
    <s v="novembre"/>
    <s v="Q4"/>
    <x v="1"/>
    <n v="0"/>
  </r>
  <r>
    <x v="0"/>
    <s v="P1002"/>
    <s v="C0087"/>
    <s v="Toronto Downtown"/>
    <s v="Paypal"/>
    <n v="1"/>
    <s v="Daniel Johnson"/>
    <s v="Halifax"/>
    <s v="Consumer"/>
    <s v="Keyboard"/>
    <x v="4"/>
    <n v="23.5"/>
    <n v="75.94"/>
    <n v="7.5940000000000003"/>
    <x v="212"/>
    <n v="47"/>
    <x v="211"/>
    <n v="0.31232259386065025"/>
    <n v="2025"/>
    <x v="7"/>
    <s v="août"/>
    <s v="Q3"/>
    <x v="4"/>
    <n v="0"/>
  </r>
  <r>
    <x v="0"/>
    <s v="P1033"/>
    <s v="C0055"/>
    <s v="Calgary North"/>
    <s v="Credit Card"/>
    <n v="1"/>
    <s v="Sarah Scott"/>
    <s v="Surrey"/>
    <s v="Consumer"/>
    <s v="Backpack"/>
    <x v="1"/>
    <n v="152.55000000000001"/>
    <n v="313.10000000000002"/>
    <n v="0"/>
    <x v="213"/>
    <n v="152.55000000000001"/>
    <x v="212"/>
    <n v="0.51277547109549659"/>
    <n v="2025"/>
    <x v="0"/>
    <s v="septembre"/>
    <s v="Q3"/>
    <x v="0"/>
    <n v="0"/>
  </r>
  <r>
    <x v="2"/>
    <s v="P1035"/>
    <s v="C0031"/>
    <s v="Online Fulfillment"/>
    <s v="Debit Card"/>
    <n v="1"/>
    <s v="Leo Gagnon"/>
    <s v="Surrey"/>
    <s v="Small Business"/>
    <s v="Phone Stand"/>
    <x v="1"/>
    <n v="59.85"/>
    <n v="88.17"/>
    <n v="13.2255"/>
    <x v="214"/>
    <n v="59.85"/>
    <x v="213"/>
    <n v="0.20140904269159182"/>
    <n v="2025"/>
    <x v="1"/>
    <s v="mai"/>
    <s v="Q2"/>
    <x v="0"/>
    <n v="0"/>
  </r>
  <r>
    <x v="1"/>
    <s v="P1019"/>
    <s v="C0029"/>
    <s v="Montreal Central"/>
    <s v="Debit Card"/>
    <n v="1"/>
    <s v="Olivia White"/>
    <s v="Victoria"/>
    <s v="Consumer"/>
    <s v="Vacuum"/>
    <x v="2"/>
    <n v="186.94"/>
    <n v="1054.96"/>
    <n v="0"/>
    <x v="215"/>
    <n v="747.76"/>
    <x v="214"/>
    <n v="0.29119587472510811"/>
    <n v="2025"/>
    <x v="3"/>
    <s v="janvier"/>
    <s v="Q1"/>
    <x v="0"/>
    <n v="1"/>
  </r>
  <r>
    <x v="0"/>
    <s v="P1005"/>
    <s v="C0086"/>
    <s v="Montreal Central"/>
    <s v="Debit Card"/>
    <n v="1"/>
    <s v="Adam Gagnon"/>
    <s v="Winnipeg"/>
    <s v="Consumer"/>
    <s v="Portable SSD"/>
    <x v="4"/>
    <n v="131.19"/>
    <n v="480.12"/>
    <n v="24.006"/>
    <x v="216"/>
    <n v="262.38"/>
    <x v="215"/>
    <n v="0.42474907588892258"/>
    <n v="2025"/>
    <x v="0"/>
    <s v="septembre"/>
    <s v="Q3"/>
    <x v="6"/>
    <n v="0"/>
  </r>
  <r>
    <x v="0"/>
    <s v="P1039"/>
    <s v="C0090"/>
    <s v="Calgary North"/>
    <s v="Credit Card"/>
    <n v="1"/>
    <s v="Nora Young"/>
    <s v="Montreal"/>
    <s v="Small Business"/>
    <s v="Travel Adapter"/>
    <x v="1"/>
    <n v="229.86"/>
    <n v="1439.12"/>
    <n v="71.956000000000003"/>
    <x v="217"/>
    <n v="919.44"/>
    <x v="216"/>
    <n v="0.32748375469219487"/>
    <n v="2025"/>
    <x v="8"/>
    <s v="novembre"/>
    <s v="Q4"/>
    <x v="1"/>
    <n v="0"/>
  </r>
  <r>
    <x v="0"/>
    <s v="P1040"/>
    <s v="C0027"/>
    <s v="Calgary North"/>
    <s v="Credit Card"/>
    <n v="1"/>
    <s v="Nora Wilson"/>
    <s v="Toronto"/>
    <s v="Small Business"/>
    <s v="Desk Pad"/>
    <x v="1"/>
    <n v="177.57"/>
    <n v="606.54"/>
    <n v="0"/>
    <x v="218"/>
    <n v="355.14"/>
    <x v="217"/>
    <n v="0.41448214462360272"/>
    <n v="2025"/>
    <x v="11"/>
    <s v="octobre"/>
    <s v="Q4"/>
    <x v="2"/>
    <n v="0"/>
  </r>
  <r>
    <x v="0"/>
    <s v="P1036"/>
    <s v="C0004"/>
    <s v="Calgary North"/>
    <s v="Paypal"/>
    <n v="1"/>
    <s v="Mia Bennett"/>
    <s v="Laval"/>
    <s v="Consumer"/>
    <s v="Power Bank"/>
    <x v="1"/>
    <n v="76.97"/>
    <n v="152.16"/>
    <n v="22.823999999999998"/>
    <x v="219"/>
    <n v="76.97"/>
    <x v="218"/>
    <n v="0.40488340446588739"/>
    <n v="2025"/>
    <x v="5"/>
    <s v="juin"/>
    <s v="Q2"/>
    <x v="1"/>
    <n v="0"/>
  </r>
  <r>
    <x v="1"/>
    <s v="P1036"/>
    <s v="C0109"/>
    <s v="Toronto Downtown"/>
    <s v="Credit Card"/>
    <n v="1"/>
    <s v="Emma Wilson"/>
    <s v="Victoria"/>
    <s v="Consumer"/>
    <s v="Power Bank"/>
    <x v="1"/>
    <n v="76.97"/>
    <n v="159.88"/>
    <n v="0"/>
    <x v="220"/>
    <n v="76.97"/>
    <x v="219"/>
    <n v="0.51857643232424322"/>
    <n v="2025"/>
    <x v="5"/>
    <s v="juin"/>
    <s v="Q2"/>
    <x v="0"/>
    <n v="0"/>
  </r>
  <r>
    <x v="0"/>
    <s v="P1036"/>
    <s v="C0075"/>
    <s v="Calgary North"/>
    <s v="Credit Card"/>
    <n v="1"/>
    <s v="Amelia Wilson"/>
    <s v="Vancouver"/>
    <s v="Consumer"/>
    <s v="Power Bank"/>
    <x v="1"/>
    <n v="76.97"/>
    <n v="498.68999999999994"/>
    <n v="0"/>
    <x v="221"/>
    <n v="230.91"/>
    <x v="220"/>
    <n v="0.53696685315526682"/>
    <n v="2025"/>
    <x v="7"/>
    <s v="août"/>
    <s v="Q3"/>
    <x v="0"/>
    <n v="0"/>
  </r>
  <r>
    <x v="0"/>
    <s v="P1028"/>
    <s v="C0067"/>
    <s v="Vancouver West"/>
    <s v="Credit Card"/>
    <n v="1"/>
    <s v="Leo Bennett"/>
    <s v="Mississauga"/>
    <s v="Consumer"/>
    <s v="Foam Roller"/>
    <x v="0"/>
    <n v="212.02"/>
    <n v="360.28"/>
    <n v="72.055999999999997"/>
    <x v="222"/>
    <n v="212.02"/>
    <x v="221"/>
    <n v="0.26439158432330401"/>
    <n v="2025"/>
    <x v="3"/>
    <s v="janvier"/>
    <s v="Q1"/>
    <x v="2"/>
    <n v="0"/>
  </r>
  <r>
    <x v="0"/>
    <s v="P1032"/>
    <s v="C0075"/>
    <s v="Montreal Central"/>
    <s v="Credit Card"/>
    <n v="1"/>
    <s v="Amelia Wilson"/>
    <s v="Vancouver"/>
    <s v="Consumer"/>
    <s v="Gym Bag"/>
    <x v="0"/>
    <n v="132.72"/>
    <n v="631.26"/>
    <n v="126.25200000000001"/>
    <x v="223"/>
    <n v="398.15999999999997"/>
    <x v="222"/>
    <n v="0.21157684630738527"/>
    <n v="2025"/>
    <x v="2"/>
    <s v="février"/>
    <s v="Q1"/>
    <x v="0"/>
    <n v="0"/>
  </r>
  <r>
    <x v="0"/>
    <s v="P1030"/>
    <s v="C0016"/>
    <s v="Montreal Central"/>
    <s v="Credit Card"/>
    <n v="1"/>
    <s v="Nora Singh"/>
    <s v="Calgary"/>
    <s v="Consumer"/>
    <s v="Pull-up Bar"/>
    <x v="0"/>
    <n v="125.4"/>
    <n v="694.34999999999991"/>
    <n v="0"/>
    <x v="224"/>
    <n v="376.20000000000005"/>
    <x v="223"/>
    <n v="0.45819831497083591"/>
    <n v="2025"/>
    <x v="5"/>
    <s v="juin"/>
    <s v="Q2"/>
    <x v="3"/>
    <n v="0"/>
  </r>
  <r>
    <x v="0"/>
    <s v="P1027"/>
    <s v="C0109"/>
    <s v="Vancouver West"/>
    <s v="Debit Card"/>
    <n v="1"/>
    <s v="Emma Wilson"/>
    <s v="Victoria"/>
    <s v="Consumer"/>
    <s v="Kettlebell"/>
    <x v="0"/>
    <n v="25.97"/>
    <n v="55.31"/>
    <n v="0"/>
    <x v="225"/>
    <n v="25.97"/>
    <x v="224"/>
    <n v="0.5304646537696619"/>
    <n v="2025"/>
    <x v="1"/>
    <s v="mai"/>
    <s v="Q2"/>
    <x v="0"/>
    <n v="0"/>
  </r>
  <r>
    <x v="0"/>
    <s v="P1025"/>
    <s v="C0083"/>
    <s v="Toronto Downtown"/>
    <s v="Credit Card"/>
    <n v="1"/>
    <s v="Amine King"/>
    <s v="Edmonton"/>
    <s v="Consumer"/>
    <s v="Yoga Mat"/>
    <x v="0"/>
    <n v="197.33"/>
    <n v="609.78"/>
    <n v="0"/>
    <x v="226"/>
    <n v="394.66"/>
    <x v="225"/>
    <n v="0.35278297090754035"/>
    <n v="2025"/>
    <x v="7"/>
    <s v="août"/>
    <s v="Q3"/>
    <x v="3"/>
    <n v="0"/>
  </r>
  <r>
    <x v="2"/>
    <s v="P1008"/>
    <s v="C0045"/>
    <s v="Vancouver West"/>
    <s v="Credit Card"/>
    <n v="1"/>
    <s v="Lucas Chen"/>
    <s v="Ottawa"/>
    <s v="Corporate"/>
    <s v="Smart Speaker"/>
    <x v="4"/>
    <n v="69"/>
    <n v="553.32000000000005"/>
    <n v="110.66400000000002"/>
    <x v="227"/>
    <n v="276"/>
    <x v="226"/>
    <n v="0.37649099978312739"/>
    <n v="2025"/>
    <x v="10"/>
    <s v="juillet"/>
    <s v="Q3"/>
    <x v="2"/>
    <n v="0"/>
  </r>
  <r>
    <x v="0"/>
    <s v="P1018"/>
    <s v="C0051"/>
    <s v="Montreal Central"/>
    <s v="Debit Card"/>
    <n v="1"/>
    <s v="Daniel Brown"/>
    <s v="Vancouver"/>
    <s v="Small Business"/>
    <s v="Air Fryer"/>
    <x v="2"/>
    <n v="14.58"/>
    <n v="30.43"/>
    <n v="7.6074999999999999"/>
    <x v="228"/>
    <n v="14.58"/>
    <x v="227"/>
    <n v="0.36115675320407487"/>
    <n v="2025"/>
    <x v="0"/>
    <s v="septembre"/>
    <s v="Q3"/>
    <x v="0"/>
    <n v="1"/>
  </r>
  <r>
    <x v="0"/>
    <s v="P1029"/>
    <s v="C0060"/>
    <s v="Montreal Central"/>
    <s v="Debit Card"/>
    <n v="1"/>
    <s v="Sarah Wilson"/>
    <s v="Quebec City"/>
    <s v="Corporate"/>
    <s v="Jump Rope"/>
    <x v="0"/>
    <n v="101"/>
    <n v="212.95"/>
    <n v="31.942499999999995"/>
    <x v="229"/>
    <n v="101"/>
    <x v="228"/>
    <n v="0.44201207132301146"/>
    <n v="2025"/>
    <x v="3"/>
    <s v="janvier"/>
    <s v="Q1"/>
    <x v="1"/>
    <n v="0"/>
  </r>
  <r>
    <x v="0"/>
    <s v="P1023"/>
    <s v="C0110"/>
    <s v="Calgary North"/>
    <s v="Debit Card"/>
    <n v="1"/>
    <s v="Sarah Smith"/>
    <s v="Laval"/>
    <s v="Consumer"/>
    <s v="Toaster"/>
    <x v="2"/>
    <n v="152.88"/>
    <n v="1701.3999999999999"/>
    <n v="0"/>
    <x v="230"/>
    <n v="764.4"/>
    <x v="229"/>
    <n v="0.55072293405430817"/>
    <n v="2025"/>
    <x v="2"/>
    <s v="février"/>
    <s v="Q1"/>
    <x v="1"/>
    <n v="0"/>
  </r>
  <r>
    <x v="0"/>
    <s v="P1008"/>
    <s v="C0056"/>
    <s v="Montreal Central"/>
    <s v="Gift Card"/>
    <n v="1"/>
    <s v="Sarah Wilson"/>
    <s v="Halifax"/>
    <s v="Consumer"/>
    <s v="Smart Speaker"/>
    <x v="4"/>
    <n v="69"/>
    <n v="141.15"/>
    <n v="14.115000000000002"/>
    <x v="231"/>
    <n v="69"/>
    <x v="230"/>
    <n v="0.45684260243240049"/>
    <n v="2025"/>
    <x v="1"/>
    <s v="mai"/>
    <s v="Q2"/>
    <x v="4"/>
    <n v="0"/>
  </r>
  <r>
    <x v="0"/>
    <s v="P1027"/>
    <s v="C0086"/>
    <s v="Montreal Central"/>
    <s v="Credit Card"/>
    <n v="1"/>
    <s v="Adam Gagnon"/>
    <s v="Winnipeg"/>
    <s v="Consumer"/>
    <s v="Kettlebell"/>
    <x v="0"/>
    <n v="25.97"/>
    <n v="165.57"/>
    <n v="16.556999999999999"/>
    <x v="232"/>
    <n v="77.91"/>
    <x v="231"/>
    <n v="0.47715971089770698"/>
    <n v="2025"/>
    <x v="3"/>
    <s v="janvier"/>
    <s v="Q1"/>
    <x v="6"/>
    <n v="0"/>
  </r>
  <r>
    <x v="0"/>
    <s v="P1025"/>
    <s v="C0118"/>
    <s v="Online Fulfillment"/>
    <s v="Credit Card"/>
    <n v="1"/>
    <s v="Ryan Smith"/>
    <s v="Victoria"/>
    <s v="Small Business"/>
    <s v="Yoga Mat"/>
    <x v="0"/>
    <n v="197.33"/>
    <n v="297.98"/>
    <n v="29.798000000000002"/>
    <x v="233"/>
    <n v="197.33"/>
    <x v="232"/>
    <n v="0.26419371919069884"/>
    <n v="2025"/>
    <x v="1"/>
    <s v="mai"/>
    <s v="Q2"/>
    <x v="0"/>
    <n v="0"/>
  </r>
  <r>
    <x v="1"/>
    <s v="P1023"/>
    <s v="C0090"/>
    <s v="Toronto Downtown"/>
    <s v="Debit Card"/>
    <n v="1"/>
    <s v="Nora Young"/>
    <s v="Montreal"/>
    <s v="Small Business"/>
    <s v="Toaster"/>
    <x v="2"/>
    <n v="152.88"/>
    <n v="338.18"/>
    <n v="50.726999999999997"/>
    <x v="234"/>
    <n v="152.88"/>
    <x v="233"/>
    <n v="0.46815653341589764"/>
    <n v="2025"/>
    <x v="5"/>
    <s v="juin"/>
    <s v="Q2"/>
    <x v="1"/>
    <n v="0"/>
  </r>
  <r>
    <x v="0"/>
    <s v="P1018"/>
    <s v="C0058"/>
    <s v="Calgary North"/>
    <s v="Credit Card"/>
    <n v="1"/>
    <s v="Mia Singh"/>
    <s v="Laval"/>
    <s v="Consumer"/>
    <s v="Air Fryer"/>
    <x v="2"/>
    <n v="14.58"/>
    <n v="29.8"/>
    <n v="5.9600000000000009"/>
    <x v="235"/>
    <n v="14.58"/>
    <x v="234"/>
    <n v="0.38842281879194629"/>
    <n v="2025"/>
    <x v="4"/>
    <s v="mars"/>
    <s v="Q1"/>
    <x v="1"/>
    <n v="0"/>
  </r>
  <r>
    <x v="0"/>
    <s v="P1002"/>
    <s v="C0082"/>
    <s v="Online Fulfillment"/>
    <s v="Gift Card"/>
    <n v="1"/>
    <s v="Ryan King"/>
    <s v="Winnipeg"/>
    <s v="Small Business"/>
    <s v="Keyboard"/>
    <x v="4"/>
    <n v="23.5"/>
    <n v="40.01"/>
    <n v="0"/>
    <x v="236"/>
    <n v="23.5"/>
    <x v="235"/>
    <n v="0.41264683829042736"/>
    <n v="2025"/>
    <x v="5"/>
    <s v="juin"/>
    <s v="Q2"/>
    <x v="6"/>
    <n v="0"/>
  </r>
  <r>
    <x v="0"/>
    <s v="P1005"/>
    <s v="C0003"/>
    <s v="Toronto Downtown"/>
    <s v="Paypal"/>
    <n v="1"/>
    <s v="Amelia Young"/>
    <s v="Ottawa"/>
    <s v="Corporate"/>
    <s v="Portable SSD"/>
    <x v="4"/>
    <n v="131.19"/>
    <n v="946.4"/>
    <n v="94.64"/>
    <x v="237"/>
    <n v="524.76"/>
    <x v="236"/>
    <n v="0.38391096083403775"/>
    <n v="2025"/>
    <x v="9"/>
    <s v="avril"/>
    <s v="Q2"/>
    <x v="2"/>
    <n v="0"/>
  </r>
  <r>
    <x v="1"/>
    <s v="P1024"/>
    <s v="C0031"/>
    <s v="Vancouver West"/>
    <s v="Debit Card"/>
    <n v="1"/>
    <s v="Leo Gagnon"/>
    <s v="Surrey"/>
    <s v="Small Business"/>
    <s v="Food Scale"/>
    <x v="2"/>
    <n v="46.07"/>
    <n v="97.2"/>
    <n v="14.58"/>
    <x v="238"/>
    <n v="46.07"/>
    <x v="237"/>
    <n v="0.4423868312757202"/>
    <n v="2025"/>
    <x v="0"/>
    <s v="septembre"/>
    <s v="Q3"/>
    <x v="0"/>
    <n v="0"/>
  </r>
  <r>
    <x v="1"/>
    <s v="P1029"/>
    <s v="C0082"/>
    <s v="Montreal Central"/>
    <s v="Paypal"/>
    <n v="1"/>
    <s v="Ryan King"/>
    <s v="Winnipeg"/>
    <s v="Small Business"/>
    <s v="Jump Rope"/>
    <x v="0"/>
    <n v="101"/>
    <n v="213.45"/>
    <n v="21.344999999999999"/>
    <x v="239"/>
    <n v="101"/>
    <x v="238"/>
    <n v="0.47424585513130835"/>
    <n v="2025"/>
    <x v="1"/>
    <s v="mai"/>
    <s v="Q2"/>
    <x v="6"/>
    <n v="0"/>
  </r>
  <r>
    <x v="1"/>
    <s v="P1035"/>
    <s v="C0062"/>
    <s v="Toronto Downtown"/>
    <s v="Credit Card"/>
    <n v="1"/>
    <s v="Yasmine Scott"/>
    <s v="Toronto"/>
    <s v="Consumer"/>
    <s v="Phone Stand"/>
    <x v="1"/>
    <n v="59.85"/>
    <n v="85.67"/>
    <n v="17.134"/>
    <x v="240"/>
    <n v="59.85"/>
    <x v="239"/>
    <n v="0.12673631376211042"/>
    <n v="2025"/>
    <x v="8"/>
    <s v="novembre"/>
    <s v="Q4"/>
    <x v="2"/>
    <n v="0"/>
  </r>
  <r>
    <x v="0"/>
    <s v="P1035"/>
    <s v="C0038"/>
    <s v="Montreal Central"/>
    <s v="Debit Card"/>
    <n v="1"/>
    <s v="Noah Brown"/>
    <s v="Montreal"/>
    <s v="Consumer"/>
    <s v="Phone Stand"/>
    <x v="1"/>
    <n v="59.85"/>
    <n v="86.15"/>
    <n v="12.922500000000001"/>
    <x v="241"/>
    <n v="59.85"/>
    <x v="240"/>
    <n v="0.18268410091837087"/>
    <n v="2025"/>
    <x v="5"/>
    <s v="juin"/>
    <s v="Q2"/>
    <x v="1"/>
    <n v="0"/>
  </r>
  <r>
    <x v="0"/>
    <s v="P1026"/>
    <s v="C0113"/>
    <s v="Calgary North"/>
    <s v="Credit Card"/>
    <n v="1"/>
    <s v="Olivia Johnson"/>
    <s v="Surrey"/>
    <s v="Consumer"/>
    <s v="Resistance Bands"/>
    <x v="0"/>
    <n v="139.19999999999999"/>
    <n v="435.42"/>
    <n v="21.771000000000001"/>
    <x v="242"/>
    <n v="278.39999999999998"/>
    <x v="241"/>
    <n v="0.32696561577569394"/>
    <n v="2025"/>
    <x v="11"/>
    <s v="octobre"/>
    <s v="Q4"/>
    <x v="0"/>
    <n v="0"/>
  </r>
  <r>
    <x v="2"/>
    <s v="P1031"/>
    <s v="C0068"/>
    <s v="Calgary North"/>
    <s v="Debit Card"/>
    <n v="1"/>
    <s v="Yasmine Martin"/>
    <s v="Calgary"/>
    <s v="Consumer"/>
    <s v="Dumbbell Set"/>
    <x v="0"/>
    <n v="131.72999999999999"/>
    <n v="754.47"/>
    <n v="113.1705"/>
    <x v="243"/>
    <n v="395.18999999999994"/>
    <x v="242"/>
    <n v="0.38376686711902958"/>
    <n v="2025"/>
    <x v="0"/>
    <s v="septembre"/>
    <s v="Q3"/>
    <x v="3"/>
    <n v="0"/>
  </r>
  <r>
    <x v="1"/>
    <s v="P1017"/>
    <s v="C0109"/>
    <s v="Vancouver West"/>
    <s v="Credit Card"/>
    <n v="1"/>
    <s v="Emma Wilson"/>
    <s v="Victoria"/>
    <s v="Consumer"/>
    <s v="Coffee Maker"/>
    <x v="2"/>
    <n v="241.16"/>
    <n v="746.6"/>
    <n v="0"/>
    <x v="244"/>
    <n v="482.32"/>
    <x v="243"/>
    <n v="0.35397803375301368"/>
    <n v="2025"/>
    <x v="10"/>
    <s v="juillet"/>
    <s v="Q3"/>
    <x v="0"/>
    <n v="1"/>
  </r>
  <r>
    <x v="0"/>
    <s v="P1007"/>
    <s v="C0033"/>
    <s v="Toronto Downtown"/>
    <s v="Paypal"/>
    <n v="1"/>
    <s v="Maya Hall"/>
    <s v="Winnipeg"/>
    <s v="Consumer"/>
    <s v="Monitor"/>
    <x v="4"/>
    <n v="224.47"/>
    <n v="359.5"/>
    <n v="0"/>
    <x v="245"/>
    <n v="224.47"/>
    <x v="244"/>
    <n v="0.37560500695410293"/>
    <n v="2025"/>
    <x v="6"/>
    <s v="décembre"/>
    <s v="Q4"/>
    <x v="6"/>
    <n v="0"/>
  </r>
  <r>
    <x v="1"/>
    <s v="P1022"/>
    <s v="C0083"/>
    <s v="Montreal Central"/>
    <s v="Credit Card"/>
    <n v="1"/>
    <s v="Amine King"/>
    <s v="Edmonton"/>
    <s v="Consumer"/>
    <s v="Humidifier"/>
    <x v="2"/>
    <n v="239.67"/>
    <n v="832.76"/>
    <n v="83.27600000000001"/>
    <x v="246"/>
    <n v="479.34"/>
    <x v="245"/>
    <n v="0.36043998270810312"/>
    <n v="2025"/>
    <x v="4"/>
    <s v="mars"/>
    <s v="Q1"/>
    <x v="3"/>
    <n v="0"/>
  </r>
  <r>
    <x v="1"/>
    <s v="P1027"/>
    <s v="C0109"/>
    <s v="Montreal Central"/>
    <s v="Debit Card"/>
    <n v="1"/>
    <s v="Emma Wilson"/>
    <s v="Victoria"/>
    <s v="Consumer"/>
    <s v="Kettlebell"/>
    <x v="0"/>
    <n v="25.97"/>
    <n v="174.03"/>
    <n v="0"/>
    <x v="247"/>
    <n v="77.91"/>
    <x v="246"/>
    <n v="0.55231856576452343"/>
    <n v="2025"/>
    <x v="4"/>
    <s v="mars"/>
    <s v="Q1"/>
    <x v="0"/>
    <n v="0"/>
  </r>
  <r>
    <x v="0"/>
    <s v="P1035"/>
    <s v="C0024"/>
    <s v="Montreal Central"/>
    <s v="Credit Card"/>
    <n v="1"/>
    <s v="Ryan King"/>
    <s v="Mississauga"/>
    <s v="Consumer"/>
    <s v="Phone Stand"/>
    <x v="1"/>
    <n v="59.85"/>
    <n v="167.4"/>
    <n v="8.370000000000001"/>
    <x v="248"/>
    <n v="119.7"/>
    <x v="247"/>
    <n v="0.24731182795698922"/>
    <n v="2025"/>
    <x v="10"/>
    <s v="juillet"/>
    <s v="Q3"/>
    <x v="2"/>
    <n v="0"/>
  </r>
  <r>
    <x v="2"/>
    <s v="P1015"/>
    <s v="C0104"/>
    <s v="Toronto Downtown"/>
    <s v="Credit Card"/>
    <n v="1"/>
    <s v="Ava Scott"/>
    <s v="Edmonton"/>
    <s v="Corporate"/>
    <s v="Desk Organizer"/>
    <x v="3"/>
    <n v="235.76"/>
    <n v="385.1"/>
    <n v="38.510000000000005"/>
    <x v="249"/>
    <n v="235.76"/>
    <x v="248"/>
    <n v="0.31977264202660211"/>
    <n v="2025"/>
    <x v="10"/>
    <s v="juillet"/>
    <s v="Q3"/>
    <x v="3"/>
    <n v="0"/>
  </r>
  <r>
    <x v="0"/>
    <s v="P1021"/>
    <s v="C0083"/>
    <s v="Online Fulfillment"/>
    <s v="Credit Card"/>
    <n v="1"/>
    <s v="Amine King"/>
    <s v="Edmonton"/>
    <s v="Consumer"/>
    <s v="Kettle"/>
    <x v="2"/>
    <n v="139.86000000000001"/>
    <n v="296.18"/>
    <n v="0"/>
    <x v="250"/>
    <n v="139.86000000000001"/>
    <x v="249"/>
    <n v="0.52778715645891006"/>
    <n v="2025"/>
    <x v="7"/>
    <s v="août"/>
    <s v="Q3"/>
    <x v="3"/>
    <n v="0"/>
  </r>
  <r>
    <x v="1"/>
    <s v="P1037"/>
    <s v="C0080"/>
    <s v="Vancouver West"/>
    <s v="Credit Card"/>
    <n v="1"/>
    <s v="Sarah Smith"/>
    <s v="Mississauga"/>
    <s v="Corporate"/>
    <s v="Cable Set"/>
    <x v="1"/>
    <n v="200.16"/>
    <n v="705.76"/>
    <n v="105.86399999999999"/>
    <x v="251"/>
    <n v="400.32"/>
    <x v="250"/>
    <n v="0.33268433195087144"/>
    <n v="2025"/>
    <x v="9"/>
    <s v="avril"/>
    <s v="Q2"/>
    <x v="2"/>
    <n v="0"/>
  </r>
  <r>
    <x v="2"/>
    <s v="P1002"/>
    <s v="C0055"/>
    <s v="Calgary North"/>
    <s v="Credit Card"/>
    <n v="1"/>
    <s v="Sarah Scott"/>
    <s v="Surrey"/>
    <s v="Consumer"/>
    <s v="Keyboard"/>
    <x v="4"/>
    <n v="23.5"/>
    <n v="108.30000000000001"/>
    <n v="0"/>
    <x v="252"/>
    <n v="70.5"/>
    <x v="251"/>
    <n v="0.34903047091412748"/>
    <n v="2025"/>
    <x v="2"/>
    <s v="février"/>
    <s v="Q1"/>
    <x v="0"/>
    <n v="0"/>
  </r>
  <r>
    <x v="1"/>
    <s v="P1006"/>
    <s v="C0011"/>
    <s v="Calgary North"/>
    <s v="Debit Card"/>
    <n v="1"/>
    <s v="Ethan Hall"/>
    <s v="Quebec City"/>
    <s v="Consumer"/>
    <s v="USB-C Hub"/>
    <x v="4"/>
    <n v="72"/>
    <n v="101.87"/>
    <n v="10.187000000000001"/>
    <x v="253"/>
    <n v="72"/>
    <x v="252"/>
    <n v="0.21468538333169732"/>
    <n v="2025"/>
    <x v="5"/>
    <s v="juin"/>
    <s v="Q2"/>
    <x v="1"/>
    <n v="0"/>
  </r>
  <r>
    <x v="0"/>
    <s v="P1039"/>
    <s v="C0050"/>
    <s v="Calgary North"/>
    <s v="Debit Card"/>
    <n v="1"/>
    <s v="Sarah Singh"/>
    <s v="Mississauga"/>
    <s v="Consumer"/>
    <s v="Travel Adapter"/>
    <x v="1"/>
    <n v="229.86"/>
    <n v="699.66"/>
    <n v="0"/>
    <x v="254"/>
    <n v="459.72"/>
    <x v="253"/>
    <n v="0.34293799845639306"/>
    <n v="2025"/>
    <x v="6"/>
    <s v="décembre"/>
    <s v="Q4"/>
    <x v="2"/>
    <n v="0"/>
  </r>
  <r>
    <x v="0"/>
    <s v="P1037"/>
    <s v="C0051"/>
    <s v="Vancouver West"/>
    <s v="Debit Card"/>
    <n v="1"/>
    <s v="Daniel Brown"/>
    <s v="Vancouver"/>
    <s v="Small Business"/>
    <s v="Cable Set"/>
    <x v="1"/>
    <n v="200.16"/>
    <n v="343.83"/>
    <n v="0"/>
    <x v="255"/>
    <n v="200.16"/>
    <x v="254"/>
    <n v="0.41785184538870951"/>
    <n v="2025"/>
    <x v="1"/>
    <s v="mai"/>
    <s v="Q2"/>
    <x v="0"/>
    <n v="0"/>
  </r>
  <r>
    <x v="0"/>
    <s v="P1026"/>
    <s v="C0092"/>
    <s v="Vancouver West"/>
    <s v="Credit Card"/>
    <n v="1"/>
    <s v="Lucas Tremblay"/>
    <s v="Saskatoon"/>
    <s v="Consumer"/>
    <s v="Resistance Bands"/>
    <x v="0"/>
    <n v="139.19999999999999"/>
    <n v="1070.6500000000001"/>
    <n v="160.5975"/>
    <x v="256"/>
    <n v="696"/>
    <x v="255"/>
    <n v="0.23520895772496653"/>
    <n v="2025"/>
    <x v="5"/>
    <s v="juin"/>
    <s v="Q2"/>
    <x v="5"/>
    <n v="0"/>
  </r>
  <r>
    <x v="0"/>
    <s v="P1009"/>
    <s v="C0114"/>
    <s v="Online Fulfillment"/>
    <s v="Debit Card"/>
    <n v="1"/>
    <s v="Olivia Johnson"/>
    <s v="Ottawa"/>
    <s v="Consumer"/>
    <s v="Notebook"/>
    <x v="3"/>
    <n v="176.13"/>
    <n v="556.54"/>
    <n v="111.30799999999999"/>
    <x v="257"/>
    <n v="352.26"/>
    <x v="256"/>
    <n v="0.20881697631796453"/>
    <n v="2025"/>
    <x v="5"/>
    <s v="juin"/>
    <s v="Q2"/>
    <x v="2"/>
    <n v="0"/>
  </r>
  <r>
    <x v="2"/>
    <s v="P1022"/>
    <s v="C0100"/>
    <s v="Online Fulfillment"/>
    <s v="Debit Card"/>
    <n v="1"/>
    <s v="Yasmine Smith"/>
    <s v="Mississauga"/>
    <s v="Consumer"/>
    <s v="Humidifier"/>
    <x v="2"/>
    <n v="239.67"/>
    <n v="1214.22"/>
    <n v="60.711000000000006"/>
    <x v="258"/>
    <n v="719.01"/>
    <x v="257"/>
    <n v="0.37667586468766173"/>
    <n v="2025"/>
    <x v="10"/>
    <s v="juillet"/>
    <s v="Q3"/>
    <x v="2"/>
    <n v="1"/>
  </r>
  <r>
    <x v="0"/>
    <s v="P1026"/>
    <s v="C0084"/>
    <s v="Toronto Downtown"/>
    <s v="Debit Card"/>
    <n v="1"/>
    <s v="Ryan Clark"/>
    <s v="Montreal"/>
    <s v="Corporate"/>
    <s v="Resistance Bands"/>
    <x v="0"/>
    <n v="139.19999999999999"/>
    <n v="669.87"/>
    <n v="133.97400000000002"/>
    <x v="259"/>
    <n v="417.59999999999997"/>
    <x v="258"/>
    <n v="0.22074432352546017"/>
    <n v="2025"/>
    <x v="8"/>
    <s v="novembre"/>
    <s v="Q4"/>
    <x v="1"/>
    <n v="0"/>
  </r>
  <r>
    <x v="1"/>
    <s v="P1033"/>
    <s v="C0080"/>
    <s v="Vancouver West"/>
    <s v="Paypal"/>
    <n v="1"/>
    <s v="Sarah Smith"/>
    <s v="Mississauga"/>
    <s v="Corporate"/>
    <s v="Backpack"/>
    <x v="1"/>
    <n v="152.55000000000001"/>
    <n v="293.24"/>
    <n v="29.324000000000002"/>
    <x v="260"/>
    <n v="152.55000000000001"/>
    <x v="259"/>
    <n v="0.42197517391897416"/>
    <n v="2025"/>
    <x v="1"/>
    <s v="mai"/>
    <s v="Q2"/>
    <x v="2"/>
    <n v="0"/>
  </r>
  <r>
    <x v="1"/>
    <s v="P1006"/>
    <s v="C0087"/>
    <s v="Toronto Downtown"/>
    <s v="Paypal"/>
    <n v="1"/>
    <s v="Daniel Johnson"/>
    <s v="Halifax"/>
    <s v="Consumer"/>
    <s v="USB-C Hub"/>
    <x v="4"/>
    <n v="72"/>
    <n v="209.4"/>
    <n v="31.41"/>
    <x v="261"/>
    <n v="144"/>
    <x v="260"/>
    <n v="0.1909657845946402"/>
    <n v="2025"/>
    <x v="3"/>
    <s v="janvier"/>
    <s v="Q1"/>
    <x v="4"/>
    <n v="0"/>
  </r>
  <r>
    <x v="2"/>
    <s v="P1024"/>
    <s v="C0029"/>
    <s v="Toronto Downtown"/>
    <s v="Debit Card"/>
    <n v="1"/>
    <s v="Olivia White"/>
    <s v="Victoria"/>
    <s v="Consumer"/>
    <s v="Food Scale"/>
    <x v="2"/>
    <n v="46.07"/>
    <n v="104.04"/>
    <n v="0"/>
    <x v="262"/>
    <n v="46.07"/>
    <x v="261"/>
    <n v="0.55718954248366015"/>
    <n v="2025"/>
    <x v="2"/>
    <s v="février"/>
    <s v="Q1"/>
    <x v="0"/>
    <n v="0"/>
  </r>
  <r>
    <x v="1"/>
    <s v="P1028"/>
    <s v="C0111"/>
    <s v="Montreal Central"/>
    <s v="Debit Card"/>
    <n v="1"/>
    <s v="Noah Khan"/>
    <s v="Halifax"/>
    <s v="Consumer"/>
    <s v="Foam Roller"/>
    <x v="0"/>
    <n v="212.02"/>
    <n v="374.04"/>
    <n v="37.404000000000003"/>
    <x v="263"/>
    <n v="212.02"/>
    <x v="262"/>
    <n v="0.37018025404294252"/>
    <n v="2025"/>
    <x v="0"/>
    <s v="septembre"/>
    <s v="Q3"/>
    <x v="4"/>
    <n v="1"/>
  </r>
  <r>
    <x v="0"/>
    <s v="P1025"/>
    <s v="C0004"/>
    <s v="Online Fulfillment"/>
    <s v="Credit Card"/>
    <n v="1"/>
    <s v="Mia Bennett"/>
    <s v="Laval"/>
    <s v="Consumer"/>
    <s v="Yoga Mat"/>
    <x v="0"/>
    <n v="197.33"/>
    <n v="939.93000000000006"/>
    <n v="187.98600000000002"/>
    <x v="264"/>
    <n v="591.99"/>
    <x v="263"/>
    <n v="0.21272062813188222"/>
    <n v="2025"/>
    <x v="4"/>
    <s v="mars"/>
    <s v="Q1"/>
    <x v="1"/>
    <n v="0"/>
  </r>
  <r>
    <x v="1"/>
    <s v="P1003"/>
    <s v="C0075"/>
    <s v="Montreal Central"/>
    <s v="Paypal"/>
    <n v="1"/>
    <s v="Amelia Wilson"/>
    <s v="Vancouver"/>
    <s v="Consumer"/>
    <s v="Mouse"/>
    <x v="4"/>
    <n v="106.4"/>
    <n v="753.65"/>
    <n v="37.682499999999997"/>
    <x v="265"/>
    <n v="532"/>
    <x v="264"/>
    <n v="0.25694951237311747"/>
    <n v="2025"/>
    <x v="11"/>
    <s v="octobre"/>
    <s v="Q4"/>
    <x v="0"/>
    <n v="0"/>
  </r>
  <r>
    <x v="1"/>
    <s v="P1024"/>
    <s v="C0053"/>
    <s v="Vancouver West"/>
    <s v="Credit Card"/>
    <n v="1"/>
    <s v="Ryan Lee"/>
    <s v="Laval"/>
    <s v="Consumer"/>
    <s v="Food Scale"/>
    <x v="2"/>
    <n v="46.07"/>
    <n v="514.29999999999995"/>
    <n v="25.715"/>
    <x v="266"/>
    <n v="230.35"/>
    <x v="265"/>
    <n v="0.52853648802153164"/>
    <n v="2025"/>
    <x v="10"/>
    <s v="juillet"/>
    <s v="Q3"/>
    <x v="1"/>
    <n v="0"/>
  </r>
  <r>
    <x v="1"/>
    <s v="P1004"/>
    <s v="C0028"/>
    <s v="Montreal Central"/>
    <s v="Credit Card"/>
    <n v="1"/>
    <s v="Mia Clark"/>
    <s v="Victoria"/>
    <s v="Consumer"/>
    <s v="Webcam"/>
    <x v="4"/>
    <n v="154.72999999999999"/>
    <n v="827.22"/>
    <n v="82.722000000000008"/>
    <x v="267"/>
    <n v="464.18999999999994"/>
    <x v="266"/>
    <n v="0.37650604837084867"/>
    <n v="2025"/>
    <x v="5"/>
    <s v="juin"/>
    <s v="Q2"/>
    <x v="0"/>
    <n v="0"/>
  </r>
  <r>
    <x v="1"/>
    <s v="P1033"/>
    <s v="C0062"/>
    <s v="Toronto Downtown"/>
    <s v="Credit Card"/>
    <n v="1"/>
    <s v="Yasmine Scott"/>
    <s v="Toronto"/>
    <s v="Consumer"/>
    <s v="Backpack"/>
    <x v="1"/>
    <n v="152.55000000000001"/>
    <n v="290.17"/>
    <n v="43.525500000000001"/>
    <x v="268"/>
    <n v="152.55000000000001"/>
    <x v="267"/>
    <n v="0.38149847249786639"/>
    <n v="2025"/>
    <x v="11"/>
    <s v="octobre"/>
    <s v="Q4"/>
    <x v="2"/>
    <n v="0"/>
  </r>
  <r>
    <x v="1"/>
    <s v="P1030"/>
    <s v="C0029"/>
    <s v="Toronto Downtown"/>
    <s v="Debit Card"/>
    <n v="1"/>
    <s v="Olivia White"/>
    <s v="Victoria"/>
    <s v="Consumer"/>
    <s v="Pull-up Bar"/>
    <x v="0"/>
    <n v="125.4"/>
    <n v="500.22"/>
    <n v="0"/>
    <x v="269"/>
    <n v="250.8"/>
    <x v="268"/>
    <n v="0.49862060693294952"/>
    <n v="2025"/>
    <x v="11"/>
    <s v="octobre"/>
    <s v="Q4"/>
    <x v="0"/>
    <n v="0"/>
  </r>
  <r>
    <x v="0"/>
    <s v="P1009"/>
    <s v="C0107"/>
    <s v="Online Fulfillment"/>
    <s v="Credit Card"/>
    <n v="1"/>
    <s v="Ava Lee"/>
    <s v="Calgary"/>
    <s v="Small Business"/>
    <s v="Notebook"/>
    <x v="3"/>
    <n v="176.13"/>
    <n v="570.94000000000005"/>
    <n v="0"/>
    <x v="270"/>
    <n v="352.26"/>
    <x v="269"/>
    <n v="0.38301747994535335"/>
    <n v="2025"/>
    <x v="9"/>
    <s v="avril"/>
    <s v="Q2"/>
    <x v="3"/>
    <n v="0"/>
  </r>
  <r>
    <x v="2"/>
    <s v="P1025"/>
    <s v="C0004"/>
    <s v="Online Fulfillment"/>
    <s v="Debit Card"/>
    <n v="1"/>
    <s v="Mia Bennett"/>
    <s v="Laval"/>
    <s v="Consumer"/>
    <s v="Yoga Mat"/>
    <x v="0"/>
    <n v="197.33"/>
    <n v="892.77"/>
    <n v="44.638500000000001"/>
    <x v="271"/>
    <n v="591.99"/>
    <x v="270"/>
    <n v="0.30200682323436867"/>
    <n v="2025"/>
    <x v="10"/>
    <s v="juillet"/>
    <s v="Q3"/>
    <x v="1"/>
    <n v="0"/>
  </r>
  <r>
    <x v="2"/>
    <s v="P1019"/>
    <s v="C0027"/>
    <s v="Toronto Downtown"/>
    <s v="Credit Card"/>
    <n v="1"/>
    <s v="Nora Wilson"/>
    <s v="Toronto"/>
    <s v="Small Business"/>
    <s v="Vacuum"/>
    <x v="2"/>
    <n v="186.94"/>
    <n v="818.12999999999988"/>
    <n v="204.53249999999997"/>
    <x v="272"/>
    <n v="560.81999999999994"/>
    <x v="271"/>
    <n v="8.6013225282045525E-2"/>
    <n v="2025"/>
    <x v="6"/>
    <s v="décembre"/>
    <s v="Q4"/>
    <x v="2"/>
    <n v="0"/>
  </r>
  <r>
    <x v="1"/>
    <s v="P1015"/>
    <s v="C0101"/>
    <s v="Montreal Central"/>
    <s v="Credit Card"/>
    <n v="1"/>
    <s v="Noah Martin"/>
    <s v="Saskatoon"/>
    <s v="Small Business"/>
    <s v="Desk Organizer"/>
    <x v="3"/>
    <n v="235.76"/>
    <n v="402.61"/>
    <n v="20.130500000000001"/>
    <x v="273"/>
    <n v="235.76"/>
    <x v="272"/>
    <n v="0.38360095116208848"/>
    <n v="2025"/>
    <x v="10"/>
    <s v="juillet"/>
    <s v="Q3"/>
    <x v="5"/>
    <n v="0"/>
  </r>
  <r>
    <x v="0"/>
    <s v="P1011"/>
    <s v="C0012"/>
    <s v="Toronto Downtown"/>
    <s v="Paypal"/>
    <n v="1"/>
    <s v="Daniel Taylor"/>
    <s v="Victoria"/>
    <s v="Corporate"/>
    <s v="Office Chair"/>
    <x v="3"/>
    <n v="39.26"/>
    <n v="254.79000000000002"/>
    <n v="0"/>
    <x v="274"/>
    <n v="117.78"/>
    <x v="273"/>
    <n v="0.53773695984928771"/>
    <n v="2025"/>
    <x v="11"/>
    <s v="octobre"/>
    <s v="Q4"/>
    <x v="0"/>
    <n v="0"/>
  </r>
  <r>
    <x v="2"/>
    <s v="P1040"/>
    <s v="C0084"/>
    <s v="Calgary North"/>
    <s v="Credit Card"/>
    <n v="1"/>
    <s v="Ryan Clark"/>
    <s v="Montreal"/>
    <s v="Corporate"/>
    <s v="Desk Pad"/>
    <x v="1"/>
    <n v="177.57"/>
    <n v="601.86"/>
    <n v="120.37200000000001"/>
    <x v="275"/>
    <n v="355.14"/>
    <x v="274"/>
    <n v="0.26241152427474829"/>
    <n v="2025"/>
    <x v="3"/>
    <s v="janvier"/>
    <s v="Q1"/>
    <x v="1"/>
    <n v="0"/>
  </r>
  <r>
    <x v="0"/>
    <s v="P1001"/>
    <s v="C0023"/>
    <s v="Calgary North"/>
    <s v="Credit Card"/>
    <n v="1"/>
    <s v="Ryan Gagnon"/>
    <s v="Ottawa"/>
    <s v="Small Business"/>
    <s v="Headphones"/>
    <x v="4"/>
    <n v="254.6"/>
    <n v="762.4"/>
    <n v="0"/>
    <x v="276"/>
    <n v="509.2"/>
    <x v="275"/>
    <n v="0.33210912906610701"/>
    <n v="2025"/>
    <x v="2"/>
    <s v="février"/>
    <s v="Q1"/>
    <x v="2"/>
    <n v="0"/>
  </r>
  <r>
    <x v="1"/>
    <s v="P1022"/>
    <s v="C0041"/>
    <s v="Montreal Central"/>
    <s v="Credit Card"/>
    <n v="1"/>
    <s v="Amine Chen"/>
    <s v="Halifax"/>
    <s v="Small Business"/>
    <s v="Humidifier"/>
    <x v="2"/>
    <n v="239.67"/>
    <n v="810.32"/>
    <n v="0"/>
    <x v="277"/>
    <n v="479.34"/>
    <x v="276"/>
    <n v="0.40845591864942254"/>
    <n v="2025"/>
    <x v="9"/>
    <s v="avril"/>
    <s v="Q2"/>
    <x v="4"/>
    <n v="0"/>
  </r>
  <r>
    <x v="1"/>
    <s v="P1008"/>
    <s v="C0005"/>
    <s v="Online Fulfillment"/>
    <s v="Credit Card"/>
    <n v="1"/>
    <s v="Yasmine Taylor"/>
    <s v="Calgary"/>
    <s v="Consumer"/>
    <s v="Smart Speaker"/>
    <x v="4"/>
    <n v="69"/>
    <n v="139.33000000000001"/>
    <n v="6.9665000000000008"/>
    <x v="278"/>
    <n v="69"/>
    <x v="277"/>
    <n v="0.47870825416372342"/>
    <n v="2025"/>
    <x v="3"/>
    <s v="janvier"/>
    <s v="Q1"/>
    <x v="3"/>
    <n v="0"/>
  </r>
  <r>
    <x v="1"/>
    <s v="P1036"/>
    <s v="C0089"/>
    <s v="Montreal Central"/>
    <s v="Credit Card"/>
    <n v="1"/>
    <s v="Lucas Martin"/>
    <s v="Vancouver"/>
    <s v="Consumer"/>
    <s v="Power Bank"/>
    <x v="1"/>
    <n v="76.97"/>
    <n v="615.28"/>
    <n v="0"/>
    <x v="279"/>
    <n v="307.88"/>
    <x v="278"/>
    <n v="0.49960993368872708"/>
    <n v="2025"/>
    <x v="0"/>
    <s v="septembre"/>
    <s v="Q3"/>
    <x v="0"/>
    <n v="0"/>
  </r>
  <r>
    <x v="0"/>
    <s v="P1014"/>
    <s v="C0109"/>
    <s v="Toronto Downtown"/>
    <s v="Paypal"/>
    <n v="1"/>
    <s v="Emma Wilson"/>
    <s v="Victoria"/>
    <s v="Consumer"/>
    <s v="Document Shredder"/>
    <x v="3"/>
    <n v="117.65"/>
    <n v="234.76"/>
    <n v="35.213999999999999"/>
    <x v="280"/>
    <n v="117.65"/>
    <x v="279"/>
    <n v="0.41041163441011091"/>
    <n v="2025"/>
    <x v="2"/>
    <s v="février"/>
    <s v="Q1"/>
    <x v="0"/>
    <n v="1"/>
  </r>
  <r>
    <x v="0"/>
    <s v="P1023"/>
    <s v="C0035"/>
    <s v="Calgary North"/>
    <s v="Debit Card"/>
    <n v="1"/>
    <s v="Amelia Scott"/>
    <s v="Edmonton"/>
    <s v="Small Business"/>
    <s v="Toaster"/>
    <x v="2"/>
    <n v="152.88"/>
    <n v="337.81"/>
    <n v="33.780999999999999"/>
    <x v="281"/>
    <n v="152.88"/>
    <x v="280"/>
    <n v="0.49715323209299112"/>
    <n v="2025"/>
    <x v="3"/>
    <s v="janvier"/>
    <s v="Q1"/>
    <x v="3"/>
    <n v="1"/>
  </r>
  <r>
    <x v="2"/>
    <s v="P1007"/>
    <s v="C0030"/>
    <s v="Calgary North"/>
    <s v="Credit Card"/>
    <n v="1"/>
    <s v="Emma Lee"/>
    <s v="Calgary"/>
    <s v="Corporate"/>
    <s v="Monitor"/>
    <x v="4"/>
    <n v="224.47"/>
    <n v="1078.0500000000002"/>
    <n v="215.61000000000004"/>
    <x v="282"/>
    <n v="673.41"/>
    <x v="281"/>
    <n v="0.21918046472798128"/>
    <n v="2025"/>
    <x v="7"/>
    <s v="août"/>
    <s v="Q3"/>
    <x v="3"/>
    <n v="0"/>
  </r>
  <r>
    <x v="0"/>
    <s v="P1039"/>
    <s v="C0053"/>
    <s v="Vancouver West"/>
    <s v="Paypal"/>
    <n v="1"/>
    <s v="Ryan Lee"/>
    <s v="Laval"/>
    <s v="Consumer"/>
    <s v="Travel Adapter"/>
    <x v="1"/>
    <n v="229.86"/>
    <n v="662.84"/>
    <n v="0"/>
    <x v="283"/>
    <n v="459.72"/>
    <x v="282"/>
    <n v="0.30643895962826623"/>
    <n v="2025"/>
    <x v="7"/>
    <s v="août"/>
    <s v="Q3"/>
    <x v="1"/>
    <n v="0"/>
  </r>
  <r>
    <x v="1"/>
    <s v="P1025"/>
    <s v="C0101"/>
    <s v="Online Fulfillment"/>
    <s v="Paypal"/>
    <n v="1"/>
    <s v="Noah Martin"/>
    <s v="Saskatoon"/>
    <s v="Small Business"/>
    <s v="Yoga Mat"/>
    <x v="0"/>
    <n v="197.33"/>
    <n v="307.8"/>
    <n v="0"/>
    <x v="284"/>
    <n v="197.33"/>
    <x v="283"/>
    <n v="0.35890188434048081"/>
    <n v="2025"/>
    <x v="10"/>
    <s v="juillet"/>
    <s v="Q3"/>
    <x v="5"/>
    <n v="0"/>
  </r>
  <r>
    <x v="0"/>
    <s v="P1029"/>
    <s v="C0008"/>
    <s v="Calgary North"/>
    <s v="Credit Card"/>
    <n v="1"/>
    <s v="Mia Wilson"/>
    <s v="Calgary"/>
    <s v="Consumer"/>
    <s v="Jump Rope"/>
    <x v="0"/>
    <n v="101"/>
    <n v="584.49"/>
    <n v="0"/>
    <x v="285"/>
    <n v="303"/>
    <x v="284"/>
    <n v="0.4815993430169892"/>
    <n v="2025"/>
    <x v="8"/>
    <s v="novembre"/>
    <s v="Q4"/>
    <x v="3"/>
    <n v="0"/>
  </r>
  <r>
    <x v="1"/>
    <s v="P1014"/>
    <s v="C0027"/>
    <s v="Toronto Downtown"/>
    <s v="Paypal"/>
    <n v="1"/>
    <s v="Nora Wilson"/>
    <s v="Toronto"/>
    <s v="Small Business"/>
    <s v="Document Shredder"/>
    <x v="3"/>
    <n v="117.65"/>
    <n v="476.52"/>
    <n v="0"/>
    <x v="286"/>
    <n v="235.3"/>
    <x v="285"/>
    <n v="0.50621170150256023"/>
    <n v="2025"/>
    <x v="7"/>
    <s v="août"/>
    <s v="Q3"/>
    <x v="2"/>
    <n v="0"/>
  </r>
  <r>
    <x v="0"/>
    <s v="P1009"/>
    <s v="C0064"/>
    <s v="Calgary North"/>
    <s v="Credit Card"/>
    <n v="1"/>
    <s v="Amine Khan"/>
    <s v="Edmonton"/>
    <s v="Consumer"/>
    <s v="Notebook"/>
    <x v="3"/>
    <n v="176.13"/>
    <n v="293.91000000000003"/>
    <n v="44.086500000000001"/>
    <x v="287"/>
    <n v="176.13"/>
    <x v="286"/>
    <n v="0.2949822574737766"/>
    <n v="2025"/>
    <x v="0"/>
    <s v="septembre"/>
    <s v="Q3"/>
    <x v="3"/>
    <n v="0"/>
  </r>
  <r>
    <x v="0"/>
    <s v="P1038"/>
    <s v="C0075"/>
    <s v="Toronto Downtown"/>
    <s v="Credit Card"/>
    <n v="1"/>
    <s v="Amelia Wilson"/>
    <s v="Vancouver"/>
    <s v="Consumer"/>
    <s v="Water Bottle"/>
    <x v="1"/>
    <n v="119.16"/>
    <n v="274.36"/>
    <n v="0"/>
    <x v="288"/>
    <n v="119.16"/>
    <x v="287"/>
    <n v="0.56568012829858583"/>
    <n v="2025"/>
    <x v="0"/>
    <s v="septembre"/>
    <s v="Q3"/>
    <x v="0"/>
    <n v="0"/>
  </r>
  <r>
    <x v="1"/>
    <s v="P1024"/>
    <s v="C0019"/>
    <s v="Calgary North"/>
    <s v="Paypal"/>
    <n v="1"/>
    <s v="Lucas Taylor"/>
    <s v="Montreal"/>
    <s v="Small Business"/>
    <s v="Food Scale"/>
    <x v="2"/>
    <n v="46.07"/>
    <n v="201.46"/>
    <n v="0"/>
    <x v="289"/>
    <n v="92.14"/>
    <x v="288"/>
    <n v="0.54263873721830636"/>
    <n v="2025"/>
    <x v="9"/>
    <s v="avril"/>
    <s v="Q2"/>
    <x v="1"/>
    <n v="0"/>
  </r>
  <r>
    <x v="1"/>
    <s v="P1036"/>
    <s v="C0013"/>
    <s v="Montreal Central"/>
    <s v="Paypal"/>
    <n v="1"/>
    <s v="Amelia Martin"/>
    <s v="Quebec City"/>
    <s v="Small Business"/>
    <s v="Power Bank"/>
    <x v="1"/>
    <n v="76.97"/>
    <n v="331.76"/>
    <n v="49.763999999999996"/>
    <x v="290"/>
    <n v="153.94"/>
    <x v="289"/>
    <n v="0.45410573199619853"/>
    <n v="2025"/>
    <x v="6"/>
    <s v="décembre"/>
    <s v="Q4"/>
    <x v="1"/>
    <n v="0"/>
  </r>
  <r>
    <x v="1"/>
    <s v="P1034"/>
    <s v="C0097"/>
    <s v="Online Fulfillment"/>
    <s v="Debit Card"/>
    <n v="1"/>
    <s v="Sarah Khan"/>
    <s v="Montreal"/>
    <s v="Consumer"/>
    <s v="Laptop Sleeve"/>
    <x v="1"/>
    <n v="78.95"/>
    <n v="288.3"/>
    <n v="57.660000000000004"/>
    <x v="291"/>
    <n v="157.9"/>
    <x v="290"/>
    <n v="0.31538328130419702"/>
    <n v="2025"/>
    <x v="10"/>
    <s v="juillet"/>
    <s v="Q3"/>
    <x v="1"/>
    <n v="0"/>
  </r>
  <r>
    <x v="0"/>
    <s v="P1020"/>
    <s v="C0005"/>
    <s v="Vancouver West"/>
    <s v="Credit Card"/>
    <n v="1"/>
    <s v="Yasmine Taylor"/>
    <s v="Calgary"/>
    <s v="Consumer"/>
    <s v="Blender"/>
    <x v="2"/>
    <n v="37.46"/>
    <n v="64.86"/>
    <n v="6.4860000000000007"/>
    <x v="292"/>
    <n v="37.46"/>
    <x v="291"/>
    <n v="0.35827594476993174"/>
    <n v="2025"/>
    <x v="5"/>
    <s v="juin"/>
    <s v="Q2"/>
    <x v="3"/>
    <n v="0"/>
  </r>
  <r>
    <x v="0"/>
    <s v="P1002"/>
    <s v="C0024"/>
    <s v="Vancouver West"/>
    <s v="Debit Card"/>
    <n v="1"/>
    <s v="Ryan King"/>
    <s v="Mississauga"/>
    <s v="Consumer"/>
    <s v="Keyboard"/>
    <x v="4"/>
    <n v="23.5"/>
    <n v="39.409999999999997"/>
    <n v="9.8524999999999991"/>
    <x v="293"/>
    <n v="23.5"/>
    <x v="292"/>
    <n v="0.20493952465533274"/>
    <n v="2025"/>
    <x v="1"/>
    <s v="mai"/>
    <s v="Q2"/>
    <x v="2"/>
    <n v="0"/>
  </r>
  <r>
    <x v="0"/>
    <s v="P1011"/>
    <s v="C0052"/>
    <s v="Toronto Downtown"/>
    <s v="Paypal"/>
    <n v="1"/>
    <s v="Liam Bennett"/>
    <s v="Edmonton"/>
    <s v="Corporate"/>
    <s v="Office Chair"/>
    <x v="3"/>
    <n v="39.26"/>
    <n v="76.13"/>
    <n v="11.419499999999999"/>
    <x v="294"/>
    <n v="39.26"/>
    <x v="293"/>
    <n v="0.39329784192673523"/>
    <n v="2025"/>
    <x v="10"/>
    <s v="juillet"/>
    <s v="Q3"/>
    <x v="3"/>
    <n v="0"/>
  </r>
  <r>
    <x v="1"/>
    <s v="P1023"/>
    <s v="C0096"/>
    <s v="Calgary North"/>
    <s v="Gift Card"/>
    <n v="1"/>
    <s v="Ryan Roy"/>
    <s v="Laval"/>
    <s v="Corporate"/>
    <s v="Toaster"/>
    <x v="2"/>
    <n v="152.88"/>
    <n v="649.28"/>
    <n v="97.391999999999996"/>
    <x v="295"/>
    <n v="305.76"/>
    <x v="294"/>
    <n v="0.44597454555996863"/>
    <n v="2025"/>
    <x v="1"/>
    <s v="mai"/>
    <s v="Q2"/>
    <x v="1"/>
    <n v="0"/>
  </r>
  <r>
    <x v="1"/>
    <s v="P1006"/>
    <s v="C0006"/>
    <s v="Montreal Central"/>
    <s v="Debit Card"/>
    <n v="1"/>
    <s v="Nora Wilson"/>
    <s v="Laval"/>
    <s v="Consumer"/>
    <s v="USB-C Hub"/>
    <x v="4"/>
    <n v="72"/>
    <n v="100.86"/>
    <n v="20.172000000000001"/>
    <x v="296"/>
    <n v="72"/>
    <x v="295"/>
    <n v="0.10767400356930401"/>
    <n v="2025"/>
    <x v="4"/>
    <s v="mars"/>
    <s v="Q1"/>
    <x v="1"/>
    <n v="0"/>
  </r>
  <r>
    <x v="1"/>
    <s v="P1036"/>
    <s v="C0054"/>
    <s v="Montreal Central"/>
    <s v="Debit Card"/>
    <n v="1"/>
    <s v="Maya Hall"/>
    <s v="Surrey"/>
    <s v="Small Business"/>
    <s v="Power Bank"/>
    <x v="1"/>
    <n v="76.97"/>
    <n v="152.72999999999999"/>
    <n v="38.182499999999997"/>
    <x v="297"/>
    <n v="76.97"/>
    <x v="296"/>
    <n v="0.32805168161679643"/>
    <n v="2025"/>
    <x v="10"/>
    <s v="juillet"/>
    <s v="Q3"/>
    <x v="0"/>
    <n v="0"/>
  </r>
  <r>
    <x v="1"/>
    <s v="P1023"/>
    <s v="C0060"/>
    <s v="Montreal Central"/>
    <s v="Credit Card"/>
    <n v="1"/>
    <s v="Sarah Wilson"/>
    <s v="Quebec City"/>
    <s v="Corporate"/>
    <s v="Toaster"/>
    <x v="2"/>
    <n v="152.88"/>
    <n v="316.62"/>
    <n v="0"/>
    <x v="298"/>
    <n v="152.88"/>
    <x v="297"/>
    <n v="0.51714989577411408"/>
    <n v="2025"/>
    <x v="8"/>
    <s v="novembre"/>
    <s v="Q4"/>
    <x v="1"/>
    <n v="0"/>
  </r>
  <r>
    <x v="1"/>
    <s v="P1025"/>
    <s v="C0028"/>
    <s v="Montreal Central"/>
    <s v="Debit Card"/>
    <n v="1"/>
    <s v="Mia Clark"/>
    <s v="Victoria"/>
    <s v="Consumer"/>
    <s v="Yoga Mat"/>
    <x v="0"/>
    <n v="197.33"/>
    <n v="616.62"/>
    <n v="30.831000000000003"/>
    <x v="299"/>
    <n v="394.66"/>
    <x v="298"/>
    <n v="0.3262761847696013"/>
    <n v="2025"/>
    <x v="5"/>
    <s v="juin"/>
    <s v="Q2"/>
    <x v="0"/>
    <n v="0"/>
  </r>
  <r>
    <x v="0"/>
    <s v="P1038"/>
    <s v="C0092"/>
    <s v="Vancouver West"/>
    <s v="Debit Card"/>
    <n v="1"/>
    <s v="Lucas Tremblay"/>
    <s v="Saskatoon"/>
    <s v="Consumer"/>
    <s v="Water Bottle"/>
    <x v="1"/>
    <n v="119.16"/>
    <n v="507.66"/>
    <n v="50.766000000000005"/>
    <x v="300"/>
    <n v="238.32"/>
    <x v="299"/>
    <n v="0.47839104912736874"/>
    <n v="2025"/>
    <x v="3"/>
    <s v="janvier"/>
    <s v="Q1"/>
    <x v="5"/>
    <n v="0"/>
  </r>
  <r>
    <x v="0"/>
    <s v="P1010"/>
    <s v="C0052"/>
    <s v="Calgary North"/>
    <s v="Credit Card"/>
    <n v="1"/>
    <s v="Liam Bennett"/>
    <s v="Edmonton"/>
    <s v="Corporate"/>
    <s v="Desk Lamp"/>
    <x v="3"/>
    <n v="127.21"/>
    <n v="218.34"/>
    <n v="32.750999999999998"/>
    <x v="301"/>
    <n v="127.21"/>
    <x v="300"/>
    <n v="0.31456066900516738"/>
    <n v="2025"/>
    <x v="2"/>
    <s v="février"/>
    <s v="Q1"/>
    <x v="3"/>
    <n v="0"/>
  </r>
  <r>
    <x v="0"/>
    <s v="P1024"/>
    <s v="C0108"/>
    <s v="Online Fulfillment"/>
    <s v="Credit Card"/>
    <n v="1"/>
    <s v="Noah Lee"/>
    <s v="Surrey"/>
    <s v="Consumer"/>
    <s v="Food Scale"/>
    <x v="2"/>
    <n v="46.07"/>
    <n v="424.12"/>
    <n v="21.206000000000003"/>
    <x v="302"/>
    <n v="184.28"/>
    <x v="301"/>
    <n v="0.54263192641605895"/>
    <n v="2025"/>
    <x v="3"/>
    <s v="janvier"/>
    <s v="Q1"/>
    <x v="0"/>
    <n v="0"/>
  </r>
  <r>
    <x v="0"/>
    <s v="P1002"/>
    <s v="C0016"/>
    <s v="Montreal Central"/>
    <s v="Paypal"/>
    <n v="1"/>
    <s v="Nora Singh"/>
    <s v="Calgary"/>
    <s v="Consumer"/>
    <s v="Keyboard"/>
    <x v="4"/>
    <n v="23.5"/>
    <n v="120.75"/>
    <n v="0"/>
    <x v="303"/>
    <n v="70.5"/>
    <x v="302"/>
    <n v="0.41614906832298137"/>
    <n v="2025"/>
    <x v="9"/>
    <s v="avril"/>
    <s v="Q2"/>
    <x v="3"/>
    <n v="0"/>
  </r>
  <r>
    <x v="1"/>
    <s v="P1011"/>
    <s v="C0078"/>
    <s v="Vancouver West"/>
    <s v="Credit Card"/>
    <n v="1"/>
    <s v="Sarah Smith"/>
    <s v="Edmonton"/>
    <s v="Corporate"/>
    <s v="Office Chair"/>
    <x v="3"/>
    <n v="39.26"/>
    <n v="79.12"/>
    <n v="0"/>
    <x v="304"/>
    <n v="39.26"/>
    <x v="303"/>
    <n v="0.50379170879676449"/>
    <n v="2025"/>
    <x v="8"/>
    <s v="novembre"/>
    <s v="Q4"/>
    <x v="3"/>
    <n v="0"/>
  </r>
  <r>
    <x v="1"/>
    <s v="P1031"/>
    <s v="C0071"/>
    <s v="Toronto Downtown"/>
    <s v="Credit Card"/>
    <n v="1"/>
    <s v="Ethan Lee"/>
    <s v="Surrey"/>
    <s v="Consumer"/>
    <s v="Dumbbell Set"/>
    <x v="0"/>
    <n v="131.72999999999999"/>
    <n v="1013.04"/>
    <n v="151.95599999999999"/>
    <x v="305"/>
    <n v="526.91999999999996"/>
    <x v="304"/>
    <n v="0.3880736374151651"/>
    <n v="2025"/>
    <x v="3"/>
    <s v="janvier"/>
    <s v="Q1"/>
    <x v="0"/>
    <n v="0"/>
  </r>
  <r>
    <x v="1"/>
    <s v="P1032"/>
    <s v="C0069"/>
    <s v="Online Fulfillment"/>
    <s v="Debit Card"/>
    <n v="1"/>
    <s v="Sarah White"/>
    <s v="Ottawa"/>
    <s v="Consumer"/>
    <s v="Gym Bag"/>
    <x v="0"/>
    <n v="132.72"/>
    <n v="402.76"/>
    <n v="0"/>
    <x v="306"/>
    <n v="265.44"/>
    <x v="305"/>
    <n v="0.34094746250869001"/>
    <n v="2025"/>
    <x v="5"/>
    <s v="juin"/>
    <s v="Q2"/>
    <x v="2"/>
    <n v="0"/>
  </r>
  <r>
    <x v="0"/>
    <s v="P1039"/>
    <s v="C0091"/>
    <s v="Montreal Central"/>
    <s v="Non renseigné"/>
    <n v="1"/>
    <s v="Leo Taylor"/>
    <s v="Victoria"/>
    <s v="Small Business"/>
    <s v="Travel Adapter"/>
    <x v="1"/>
    <n v="229.86"/>
    <n v="341.39"/>
    <n v="0"/>
    <x v="307"/>
    <n v="229.86"/>
    <x v="306"/>
    <n v="0.32669381059784991"/>
    <n v="2025"/>
    <x v="6"/>
    <s v="décembre"/>
    <s v="Q4"/>
    <x v="0"/>
    <n v="0"/>
  </r>
  <r>
    <x v="0"/>
    <s v="P1031"/>
    <s v="C0003"/>
    <s v="Calgary North"/>
    <s v="Paypal"/>
    <n v="1"/>
    <s v="Amelia Young"/>
    <s v="Ottawa"/>
    <s v="Corporate"/>
    <s v="Dumbbell Set"/>
    <x v="0"/>
    <n v="131.72999999999999"/>
    <n v="757.68000000000006"/>
    <n v="113.652"/>
    <x v="308"/>
    <n v="395.18999999999994"/>
    <x v="307"/>
    <n v="0.38637761091132694"/>
    <n v="2025"/>
    <x v="10"/>
    <s v="juillet"/>
    <s v="Q3"/>
    <x v="2"/>
    <n v="0"/>
  </r>
  <r>
    <x v="2"/>
    <s v="P1034"/>
    <s v="C0021"/>
    <s v="Calgary North"/>
    <s v="Credit Card"/>
    <n v="1"/>
    <s v="Nora King"/>
    <s v="Halifax"/>
    <s v="Corporate"/>
    <s v="Laptop Sleeve"/>
    <x v="1"/>
    <n v="78.95"/>
    <n v="280.94"/>
    <n v="42.140999999999998"/>
    <x v="309"/>
    <n v="157.9"/>
    <x v="308"/>
    <n v="0.33877445047927335"/>
    <n v="2025"/>
    <x v="6"/>
    <s v="décembre"/>
    <s v="Q4"/>
    <x v="4"/>
    <n v="0"/>
  </r>
  <r>
    <x v="1"/>
    <s v="P1036"/>
    <s v="C0050"/>
    <s v="Vancouver West"/>
    <s v="Debit Card"/>
    <n v="1"/>
    <s v="Sarah Singh"/>
    <s v="Mississauga"/>
    <s v="Consumer"/>
    <s v="Power Bank"/>
    <x v="1"/>
    <n v="76.97"/>
    <n v="168.49"/>
    <n v="8.4245000000000001"/>
    <x v="310"/>
    <n v="76.97"/>
    <x v="309"/>
    <n v="0.51913435437367828"/>
    <n v="2025"/>
    <x v="0"/>
    <s v="septembre"/>
    <s v="Q3"/>
    <x v="2"/>
    <n v="0"/>
  </r>
  <r>
    <x v="0"/>
    <s v="P1035"/>
    <s v="C0107"/>
    <s v="Montreal Central"/>
    <s v="Paypal"/>
    <n v="1"/>
    <s v="Ava Lee"/>
    <s v="Calgary"/>
    <s v="Small Business"/>
    <s v="Phone Stand"/>
    <x v="1"/>
    <n v="59.85"/>
    <n v="165.1"/>
    <n v="8.2550000000000008"/>
    <x v="311"/>
    <n v="119.7"/>
    <x v="310"/>
    <n v="0.2368261659600242"/>
    <n v="2025"/>
    <x v="1"/>
    <s v="mai"/>
    <s v="Q2"/>
    <x v="3"/>
    <n v="0"/>
  </r>
  <r>
    <x v="1"/>
    <s v="P1029"/>
    <s v="C0019"/>
    <s v="Montreal Central"/>
    <s v="Credit Card"/>
    <n v="1"/>
    <s v="Lucas Taylor"/>
    <s v="Montreal"/>
    <s v="Small Business"/>
    <s v="Jump Rope"/>
    <x v="0"/>
    <n v="101"/>
    <n v="394.68"/>
    <n v="39.468000000000004"/>
    <x v="312"/>
    <n v="202"/>
    <x v="311"/>
    <n v="0.43132551828204002"/>
    <n v="2025"/>
    <x v="10"/>
    <s v="juillet"/>
    <s v="Q3"/>
    <x v="1"/>
    <n v="0"/>
  </r>
  <r>
    <x v="1"/>
    <s v="P1033"/>
    <s v="C0007"/>
    <s v="Calgary North"/>
    <s v="Credit Card"/>
    <n v="1"/>
    <s v="Lucas Wilson"/>
    <s v="Ottawa"/>
    <s v="Consumer"/>
    <s v="Backpack"/>
    <x v="1"/>
    <n v="152.55000000000001"/>
    <n v="301.12"/>
    <n v="60.224000000000004"/>
    <x v="313"/>
    <n v="152.55000000000001"/>
    <x v="312"/>
    <n v="0.36673917375132836"/>
    <n v="2025"/>
    <x v="7"/>
    <s v="août"/>
    <s v="Q3"/>
    <x v="2"/>
    <n v="0"/>
  </r>
  <r>
    <x v="0"/>
    <s v="P1013"/>
    <s v="C0019"/>
    <s v="Calgary North"/>
    <s v="Debit Card"/>
    <n v="1"/>
    <s v="Lucas Taylor"/>
    <s v="Montreal"/>
    <s v="Small Business"/>
    <s v="Whiteboard"/>
    <x v="3"/>
    <n v="85.73"/>
    <n v="127.63"/>
    <n v="6.3815"/>
    <x v="314"/>
    <n v="85.73"/>
    <x v="313"/>
    <n v="0.29293970647059542"/>
    <n v="2025"/>
    <x v="9"/>
    <s v="avril"/>
    <s v="Q2"/>
    <x v="1"/>
    <n v="0"/>
  </r>
  <r>
    <x v="1"/>
    <s v="P1039"/>
    <s v="C0001"/>
    <s v="Vancouver West"/>
    <s v="Credit Card"/>
    <n v="1"/>
    <s v="Ethan Roy"/>
    <s v="Halifax"/>
    <s v="Consumer"/>
    <s v="Travel Adapter"/>
    <x v="1"/>
    <n v="229.86"/>
    <n v="337.2"/>
    <n v="16.86"/>
    <x v="315"/>
    <n v="229.86"/>
    <x v="314"/>
    <n v="0.28244989698445394"/>
    <n v="2025"/>
    <x v="9"/>
    <s v="avril"/>
    <s v="Q2"/>
    <x v="4"/>
    <n v="0"/>
  </r>
  <r>
    <x v="0"/>
    <s v="P1039"/>
    <s v="C0118"/>
    <s v="Online Fulfillment"/>
    <s v="Debit Card"/>
    <n v="1"/>
    <s v="Ryan Smith"/>
    <s v="Victoria"/>
    <s v="Small Business"/>
    <s v="Travel Adapter"/>
    <x v="1"/>
    <n v="229.86"/>
    <n v="334.17"/>
    <n v="16.708500000000001"/>
    <x v="316"/>
    <n v="229.86"/>
    <x v="315"/>
    <n v="0.27594369710972821"/>
    <n v="2025"/>
    <x v="5"/>
    <s v="juin"/>
    <s v="Q2"/>
    <x v="0"/>
    <n v="0"/>
  </r>
  <r>
    <x v="0"/>
    <s v="P1015"/>
    <s v="C0080"/>
    <s v="Online Fulfillment"/>
    <s v="Credit Card"/>
    <n v="1"/>
    <s v="Sarah Smith"/>
    <s v="Mississauga"/>
    <s v="Corporate"/>
    <s v="Desk Organizer"/>
    <x v="3"/>
    <n v="235.76"/>
    <n v="390.94"/>
    <n v="78.188000000000002"/>
    <x v="317"/>
    <n v="235.76"/>
    <x v="316"/>
    <n v="0.24617588376733007"/>
    <n v="2025"/>
    <x v="1"/>
    <s v="mai"/>
    <s v="Q2"/>
    <x v="2"/>
    <n v="0"/>
  </r>
  <r>
    <x v="2"/>
    <s v="P1039"/>
    <s v="C0051"/>
    <s v="Calgary North"/>
    <s v="Debit Card"/>
    <n v="1"/>
    <s v="Daniel Brown"/>
    <s v="Vancouver"/>
    <s v="Small Business"/>
    <s v="Travel Adapter"/>
    <x v="1"/>
    <n v="229.86"/>
    <n v="1359.48"/>
    <n v="0"/>
    <x v="318"/>
    <n v="919.44"/>
    <x v="317"/>
    <n v="0.32368258451760962"/>
    <n v="2025"/>
    <x v="2"/>
    <s v="février"/>
    <s v="Q1"/>
    <x v="0"/>
    <n v="0"/>
  </r>
  <r>
    <x v="1"/>
    <s v="P1019"/>
    <s v="C0116"/>
    <s v="Montreal Central"/>
    <s v="Paypal"/>
    <n v="1"/>
    <s v="Lucas Brown"/>
    <s v="Mississauga"/>
    <s v="Corporate"/>
    <s v="Vacuum"/>
    <x v="2"/>
    <n v="186.94"/>
    <n v="537.20000000000005"/>
    <n v="80.58"/>
    <x v="319"/>
    <n v="373.88"/>
    <x v="318"/>
    <n v="0.18120099864219713"/>
    <n v="2025"/>
    <x v="10"/>
    <s v="juillet"/>
    <s v="Q3"/>
    <x v="2"/>
    <n v="0"/>
  </r>
  <r>
    <x v="1"/>
    <s v="P1023"/>
    <s v="C0058"/>
    <s v="Toronto Downtown"/>
    <s v="Paypal"/>
    <n v="1"/>
    <s v="Mia Singh"/>
    <s v="Laval"/>
    <s v="Consumer"/>
    <s v="Toaster"/>
    <x v="2"/>
    <n v="152.88"/>
    <n v="976.41000000000008"/>
    <n v="244.10250000000002"/>
    <x v="320"/>
    <n v="458.64"/>
    <x v="319"/>
    <n v="0.37370571788490503"/>
    <n v="2025"/>
    <x v="4"/>
    <s v="mars"/>
    <s v="Q1"/>
    <x v="1"/>
    <n v="0"/>
  </r>
  <r>
    <x v="2"/>
    <s v="P1039"/>
    <s v="C0089"/>
    <s v="Online Fulfillment"/>
    <s v="Credit Card"/>
    <n v="1"/>
    <s v="Lucas Martin"/>
    <s v="Vancouver"/>
    <s v="Consumer"/>
    <s v="Travel Adapter"/>
    <x v="1"/>
    <n v="229.86"/>
    <n v="354.82"/>
    <n v="35.481999999999999"/>
    <x v="321"/>
    <n v="229.86"/>
    <x v="320"/>
    <n v="0.2801984104616424"/>
    <n v="2025"/>
    <x v="6"/>
    <s v="décembre"/>
    <s v="Q4"/>
    <x v="0"/>
    <n v="0"/>
  </r>
  <r>
    <x v="0"/>
    <s v="P1026"/>
    <s v="C0012"/>
    <s v="Vancouver West"/>
    <s v="Paypal"/>
    <n v="1"/>
    <s v="Daniel Taylor"/>
    <s v="Victoria"/>
    <s v="Corporate"/>
    <s v="Resistance Bands"/>
    <x v="0"/>
    <n v="139.19999999999999"/>
    <n v="225.3"/>
    <n v="11.265000000000001"/>
    <x v="322"/>
    <n v="139.19999999999999"/>
    <x v="321"/>
    <n v="0.34963907772093361"/>
    <n v="2025"/>
    <x v="0"/>
    <s v="septembre"/>
    <s v="Q3"/>
    <x v="0"/>
    <n v="0"/>
  </r>
  <r>
    <x v="2"/>
    <s v="P1022"/>
    <s v="C0050"/>
    <s v="Vancouver West"/>
    <s v="Credit Card"/>
    <n v="1"/>
    <s v="Sarah Singh"/>
    <s v="Mississauga"/>
    <s v="Consumer"/>
    <s v="Humidifier"/>
    <x v="2"/>
    <n v="239.67"/>
    <n v="860.4"/>
    <n v="0"/>
    <x v="323"/>
    <n v="479.34"/>
    <x v="322"/>
    <n v="0.44288702928870294"/>
    <n v="2025"/>
    <x v="10"/>
    <s v="juillet"/>
    <s v="Q3"/>
    <x v="2"/>
    <n v="0"/>
  </r>
  <r>
    <x v="0"/>
    <s v="P1016"/>
    <s v="C0091"/>
    <s v="Montreal Central"/>
    <s v="Credit Card"/>
    <n v="1"/>
    <s v="Leo Taylor"/>
    <s v="Victoria"/>
    <s v="Small Business"/>
    <s v="Printer"/>
    <x v="3"/>
    <n v="156.75"/>
    <n v="941.01"/>
    <n v="235.2525"/>
    <x v="324"/>
    <n v="470.25"/>
    <x v="323"/>
    <n v="0.33369464724073067"/>
    <n v="2025"/>
    <x v="1"/>
    <s v="mai"/>
    <s v="Q2"/>
    <x v="0"/>
    <n v="1"/>
  </r>
  <r>
    <x v="0"/>
    <s v="P1010"/>
    <s v="C0092"/>
    <s v="Montreal Central"/>
    <s v="Credit Card"/>
    <n v="1"/>
    <s v="Lucas Tremblay"/>
    <s v="Saskatoon"/>
    <s v="Consumer"/>
    <s v="Desk Lamp"/>
    <x v="3"/>
    <n v="127.21"/>
    <n v="215.29"/>
    <n v="0"/>
    <x v="325"/>
    <n v="127.21"/>
    <x v="324"/>
    <n v="0.40912257884713643"/>
    <n v="2025"/>
    <x v="6"/>
    <s v="décembre"/>
    <s v="Q4"/>
    <x v="5"/>
    <n v="1"/>
  </r>
  <r>
    <x v="1"/>
    <s v="P1021"/>
    <s v="C0031"/>
    <s v="Montreal Central"/>
    <s v="Debit Card"/>
    <n v="1"/>
    <s v="Leo Gagnon"/>
    <s v="Surrey"/>
    <s v="Small Business"/>
    <s v="Kettle"/>
    <x v="2"/>
    <n v="139.86000000000001"/>
    <n v="289.89"/>
    <n v="14.4945"/>
    <x v="326"/>
    <n v="139.86000000000001"/>
    <x v="325"/>
    <n v="0.492148564519028"/>
    <n v="2025"/>
    <x v="10"/>
    <s v="juillet"/>
    <s v="Q3"/>
    <x v="0"/>
    <n v="0"/>
  </r>
  <r>
    <x v="1"/>
    <s v="P1007"/>
    <s v="C0092"/>
    <s v="Calgary North"/>
    <s v="Debit Card"/>
    <n v="1"/>
    <s v="Lucas Tremblay"/>
    <s v="Saskatoon"/>
    <s v="Consumer"/>
    <s v="Monitor"/>
    <x v="4"/>
    <n v="224.47"/>
    <n v="1679.75"/>
    <n v="0"/>
    <x v="327"/>
    <n v="1122.3499999999999"/>
    <x v="326"/>
    <n v="0.33183509450811138"/>
    <n v="2025"/>
    <x v="4"/>
    <s v="mars"/>
    <s v="Q1"/>
    <x v="5"/>
    <n v="0"/>
  </r>
  <r>
    <x v="0"/>
    <s v="P1039"/>
    <s v="C0093"/>
    <s v="Montreal Central"/>
    <s v="Credit Card"/>
    <n v="1"/>
    <s v="Ethan Roy"/>
    <s v="Winnipeg"/>
    <s v="Consumer"/>
    <s v="Travel Adapter"/>
    <x v="1"/>
    <n v="229.86"/>
    <n v="343.98"/>
    <n v="34.398000000000003"/>
    <x v="328"/>
    <n v="229.86"/>
    <x v="327"/>
    <n v="0.25751497180068605"/>
    <n v="2025"/>
    <x v="0"/>
    <s v="septembre"/>
    <s v="Q3"/>
    <x v="6"/>
    <n v="0"/>
  </r>
  <r>
    <x v="1"/>
    <s v="P1026"/>
    <s v="C0020"/>
    <s v="Vancouver West"/>
    <s v="Debit Card"/>
    <n v="1"/>
    <s v="Nora Khan"/>
    <s v="Mississauga"/>
    <s v="Consumer"/>
    <s v="Resistance Bands"/>
    <x v="0"/>
    <n v="139.19999999999999"/>
    <n v="912.64"/>
    <n v="136.89599999999999"/>
    <x v="329"/>
    <n v="556.79999999999995"/>
    <x v="328"/>
    <n v="0.28223743915518529"/>
    <n v="2025"/>
    <x v="11"/>
    <s v="octobre"/>
    <s v="Q4"/>
    <x v="2"/>
    <n v="0"/>
  </r>
  <r>
    <x v="0"/>
    <s v="P1028"/>
    <s v="C0019"/>
    <s v="Montreal Central"/>
    <s v="Credit Card"/>
    <n v="1"/>
    <s v="Lucas Taylor"/>
    <s v="Montreal"/>
    <s v="Small Business"/>
    <s v="Foam Roller"/>
    <x v="0"/>
    <n v="212.02"/>
    <n v="739.04"/>
    <n v="0"/>
    <x v="330"/>
    <n v="424.04"/>
    <x v="329"/>
    <n v="0.42622862091361763"/>
    <n v="2025"/>
    <x v="5"/>
    <s v="juin"/>
    <s v="Q2"/>
    <x v="1"/>
    <n v="0"/>
  </r>
  <r>
    <x v="0"/>
    <s v="P1022"/>
    <s v="C0111"/>
    <s v="Montreal Central"/>
    <s v="Credit Card"/>
    <n v="1"/>
    <s v="Noah Khan"/>
    <s v="Halifax"/>
    <s v="Consumer"/>
    <s v="Humidifier"/>
    <x v="2"/>
    <n v="239.67"/>
    <n v="861.86"/>
    <n v="129.279"/>
    <x v="331"/>
    <n v="479.34"/>
    <x v="330"/>
    <n v="0.34568327597903853"/>
    <n v="2025"/>
    <x v="11"/>
    <s v="octobre"/>
    <s v="Q4"/>
    <x v="4"/>
    <n v="0"/>
  </r>
  <r>
    <x v="0"/>
    <s v="P1016"/>
    <s v="C0089"/>
    <s v="Toronto Downtown"/>
    <s v="Debit Card"/>
    <n v="1"/>
    <s v="Lucas Martin"/>
    <s v="Vancouver"/>
    <s v="Consumer"/>
    <s v="Printer"/>
    <x v="3"/>
    <n v="156.75"/>
    <n v="958.5"/>
    <n v="0"/>
    <x v="332"/>
    <n v="470.25"/>
    <x v="331"/>
    <n v="0.50938967136150237"/>
    <n v="2025"/>
    <x v="9"/>
    <s v="avril"/>
    <s v="Q2"/>
    <x v="0"/>
    <n v="0"/>
  </r>
  <r>
    <x v="1"/>
    <s v="P1027"/>
    <s v="C0041"/>
    <s v="Calgary North"/>
    <s v="Debit Card"/>
    <n v="1"/>
    <s v="Amine Chen"/>
    <s v="Halifax"/>
    <s v="Small Business"/>
    <s v="Kettlebell"/>
    <x v="0"/>
    <n v="25.97"/>
    <n v="56.55"/>
    <n v="5.6550000000000002"/>
    <x v="333"/>
    <n v="25.97"/>
    <x v="332"/>
    <n v="0.48973376559583454"/>
    <n v="2025"/>
    <x v="3"/>
    <s v="janvier"/>
    <s v="Q1"/>
    <x v="4"/>
    <n v="0"/>
  </r>
  <r>
    <x v="0"/>
    <s v="P1023"/>
    <s v="C0021"/>
    <s v="Toronto Downtown"/>
    <s v="Credit Card"/>
    <n v="1"/>
    <s v="Nora King"/>
    <s v="Halifax"/>
    <s v="Corporate"/>
    <s v="Toaster"/>
    <x v="2"/>
    <n v="152.88"/>
    <n v="661.12"/>
    <n v="132.22400000000002"/>
    <x v="334"/>
    <n v="305.76"/>
    <x v="333"/>
    <n v="0.42189012584704738"/>
    <n v="2025"/>
    <x v="11"/>
    <s v="octobre"/>
    <s v="Q4"/>
    <x v="4"/>
    <n v="0"/>
  </r>
  <r>
    <x v="0"/>
    <s v="P1014"/>
    <s v="C0089"/>
    <s v="Calgary North"/>
    <s v="Credit Card"/>
    <n v="1"/>
    <s v="Lucas Martin"/>
    <s v="Vancouver"/>
    <s v="Consumer"/>
    <s v="Document Shredder"/>
    <x v="3"/>
    <n v="117.65"/>
    <n v="249.26"/>
    <n v="49.852000000000004"/>
    <x v="335"/>
    <n v="117.65"/>
    <x v="334"/>
    <n v="0.41000361068763536"/>
    <n v="2025"/>
    <x v="11"/>
    <s v="octobre"/>
    <s v="Q4"/>
    <x v="0"/>
    <n v="0"/>
  </r>
  <r>
    <x v="1"/>
    <s v="P1008"/>
    <s v="C0067"/>
    <s v="Vancouver West"/>
    <s v="Paypal"/>
    <n v="1"/>
    <s v="Leo Bennett"/>
    <s v="Mississauga"/>
    <s v="Consumer"/>
    <s v="Smart Speaker"/>
    <x v="4"/>
    <n v="69"/>
    <n v="141.25"/>
    <n v="21.1875"/>
    <x v="336"/>
    <n v="69"/>
    <x v="335"/>
    <n v="0.42529932326913067"/>
    <n v="2025"/>
    <x v="2"/>
    <s v="février"/>
    <s v="Q1"/>
    <x v="2"/>
    <n v="0"/>
  </r>
  <r>
    <x v="1"/>
    <s v="P1009"/>
    <s v="C0060"/>
    <s v="Vancouver West"/>
    <s v="Debit Card"/>
    <n v="1"/>
    <s v="Sarah Wilson"/>
    <s v="Quebec City"/>
    <s v="Corporate"/>
    <s v="Notebook"/>
    <x v="3"/>
    <n v="176.13"/>
    <n v="280.99"/>
    <n v="0"/>
    <x v="337"/>
    <n v="176.13"/>
    <x v="336"/>
    <n v="0.37318054023274855"/>
    <n v="2025"/>
    <x v="0"/>
    <s v="septembre"/>
    <s v="Q3"/>
    <x v="1"/>
    <n v="0"/>
  </r>
  <r>
    <x v="1"/>
    <s v="P1034"/>
    <s v="C0114"/>
    <s v="Online Fulfillment"/>
    <s v="Credit Card"/>
    <n v="1"/>
    <s v="Olivia Johnson"/>
    <s v="Ottawa"/>
    <s v="Consumer"/>
    <s v="Laptop Sleeve"/>
    <x v="1"/>
    <n v="78.95"/>
    <n v="136.97999999999999"/>
    <n v="27.396000000000001"/>
    <x v="338"/>
    <n v="78.95"/>
    <x v="337"/>
    <n v="0.2795481092130237"/>
    <n v="2025"/>
    <x v="5"/>
    <s v="juin"/>
    <s v="Q2"/>
    <x v="2"/>
    <n v="0"/>
  </r>
  <r>
    <x v="1"/>
    <s v="P1004"/>
    <s v="C0086"/>
    <s v="Calgary North"/>
    <s v="Debit Card"/>
    <n v="1"/>
    <s v="Adam Gagnon"/>
    <s v="Winnipeg"/>
    <s v="Consumer"/>
    <s v="Webcam"/>
    <x v="4"/>
    <n v="154.72999999999999"/>
    <n v="892.29"/>
    <n v="133.84349999999998"/>
    <x v="339"/>
    <n v="464.18999999999994"/>
    <x v="338"/>
    <n v="0.38797265199325209"/>
    <n v="2025"/>
    <x v="1"/>
    <s v="mai"/>
    <s v="Q2"/>
    <x v="6"/>
    <n v="0"/>
  </r>
  <r>
    <x v="0"/>
    <s v="P1024"/>
    <s v="C0077"/>
    <s v="Montreal Central"/>
    <s v="Credit Card"/>
    <n v="1"/>
    <s v="Amine Taylor"/>
    <s v="Surrey"/>
    <s v="Small Business"/>
    <s v="Food Scale"/>
    <x v="2"/>
    <n v="46.07"/>
    <n v="213.38"/>
    <n v="21.338000000000001"/>
    <x v="340"/>
    <n v="92.14"/>
    <x v="339"/>
    <n v="0.5202091209214651"/>
    <n v="2025"/>
    <x v="5"/>
    <s v="juin"/>
    <s v="Q2"/>
    <x v="0"/>
    <n v="0"/>
  </r>
  <r>
    <x v="2"/>
    <s v="P1039"/>
    <s v="C0104"/>
    <s v="Calgary North"/>
    <s v="Paypal"/>
    <n v="1"/>
    <s v="Ava Scott"/>
    <s v="Edmonton"/>
    <s v="Corporate"/>
    <s v="Travel Adapter"/>
    <x v="1"/>
    <n v="229.86"/>
    <n v="1379.36"/>
    <n v="0"/>
    <x v="341"/>
    <n v="919.44"/>
    <x v="340"/>
    <n v="0.33342999652012517"/>
    <n v="2025"/>
    <x v="3"/>
    <s v="janvier"/>
    <s v="Q1"/>
    <x v="3"/>
    <n v="0"/>
  </r>
  <r>
    <x v="0"/>
    <s v="P1009"/>
    <s v="C0095"/>
    <s v="Montreal Central"/>
    <s v="Non renseigné"/>
    <n v="1"/>
    <s v="Maya White"/>
    <s v="Quebec City"/>
    <s v="Corporate"/>
    <s v="Notebook"/>
    <x v="3"/>
    <n v="176.13"/>
    <n v="619.98"/>
    <n v="30.999000000000002"/>
    <x v="342"/>
    <n v="352.26"/>
    <x v="341"/>
    <n v="0.40191619084486596"/>
    <n v="2025"/>
    <x v="1"/>
    <s v="mai"/>
    <s v="Q2"/>
    <x v="1"/>
    <n v="0"/>
  </r>
  <r>
    <x v="0"/>
    <s v="P1028"/>
    <s v="C0034"/>
    <s v="Montreal Central"/>
    <s v="Debit Card"/>
    <n v="1"/>
    <s v="Noah Tremblay"/>
    <s v="Toronto"/>
    <s v="Corporate"/>
    <s v="Foam Roller"/>
    <x v="0"/>
    <n v="212.02"/>
    <n v="351.13"/>
    <n v="0"/>
    <x v="343"/>
    <n v="212.02"/>
    <x v="342"/>
    <n v="0.39617805371230025"/>
    <n v="2025"/>
    <x v="2"/>
    <s v="février"/>
    <s v="Q1"/>
    <x v="2"/>
    <n v="0"/>
  </r>
  <r>
    <x v="0"/>
    <s v="P1006"/>
    <s v="C0024"/>
    <s v="Vancouver West"/>
    <s v="Credit Card"/>
    <n v="1"/>
    <s v="Ryan King"/>
    <s v="Mississauga"/>
    <s v="Consumer"/>
    <s v="USB-C Hub"/>
    <x v="4"/>
    <n v="72"/>
    <n v="536.5"/>
    <n v="0"/>
    <x v="344"/>
    <n v="360"/>
    <x v="343"/>
    <n v="0.32898415657036345"/>
    <n v="2025"/>
    <x v="7"/>
    <s v="août"/>
    <s v="Q3"/>
    <x v="2"/>
    <n v="0"/>
  </r>
  <r>
    <x v="0"/>
    <s v="P1030"/>
    <s v="C0016"/>
    <s v="Vancouver West"/>
    <s v="Debit Card"/>
    <n v="1"/>
    <s v="Nora Singh"/>
    <s v="Calgary"/>
    <s v="Consumer"/>
    <s v="Pull-up Bar"/>
    <x v="0"/>
    <n v="125.4"/>
    <n v="236.69"/>
    <n v="11.8345"/>
    <x v="345"/>
    <n v="125.4"/>
    <x v="344"/>
    <n v="0.44230850479530187"/>
    <n v="2025"/>
    <x v="11"/>
    <s v="octobre"/>
    <s v="Q4"/>
    <x v="3"/>
    <n v="0"/>
  </r>
  <r>
    <x v="0"/>
    <s v="P1031"/>
    <s v="C0007"/>
    <s v="Vancouver West"/>
    <s v="Credit Card"/>
    <n v="1"/>
    <s v="Lucas Wilson"/>
    <s v="Ottawa"/>
    <s v="Consumer"/>
    <s v="Dumbbell Set"/>
    <x v="0"/>
    <n v="131.72999999999999"/>
    <n v="475.58"/>
    <n v="47.558"/>
    <x v="346"/>
    <n v="263.45999999999998"/>
    <x v="345"/>
    <n v="0.38447089168313781"/>
    <n v="2025"/>
    <x v="11"/>
    <s v="octobre"/>
    <s v="Q4"/>
    <x v="2"/>
    <n v="0"/>
  </r>
  <r>
    <x v="1"/>
    <s v="P1019"/>
    <s v="C0009"/>
    <s v="Calgary North"/>
    <s v="Credit Card"/>
    <n v="1"/>
    <s v="Ethan Tremblay"/>
    <s v="Mississauga"/>
    <s v="Corporate"/>
    <s v="Vacuum"/>
    <x v="2"/>
    <n v="186.94"/>
    <n v="1015.96"/>
    <n v="0"/>
    <x v="347"/>
    <n v="747.76"/>
    <x v="346"/>
    <n v="0.26398677113272179"/>
    <n v="2025"/>
    <x v="1"/>
    <s v="mai"/>
    <s v="Q2"/>
    <x v="2"/>
    <n v="0"/>
  </r>
  <r>
    <x v="0"/>
    <s v="P1027"/>
    <s v="C0052"/>
    <s v="Vancouver West"/>
    <s v="Credit Card"/>
    <n v="1"/>
    <s v="Liam Bennett"/>
    <s v="Edmonton"/>
    <s v="Corporate"/>
    <s v="Kettlebell"/>
    <x v="0"/>
    <n v="25.97"/>
    <n v="59.27"/>
    <n v="5.9270000000000005"/>
    <x v="348"/>
    <n v="25.97"/>
    <x v="347"/>
    <n v="0.51315074142811623"/>
    <n v="2025"/>
    <x v="5"/>
    <s v="juin"/>
    <s v="Q2"/>
    <x v="3"/>
    <n v="0"/>
  </r>
  <r>
    <x v="0"/>
    <s v="P1005"/>
    <s v="C0096"/>
    <s v="Calgary North"/>
    <s v="Credit Card"/>
    <n v="1"/>
    <s v="Ryan Roy"/>
    <s v="Laval"/>
    <s v="Corporate"/>
    <s v="Portable SSD"/>
    <x v="4"/>
    <n v="131.19"/>
    <n v="244.01"/>
    <n v="12.2005"/>
    <x v="349"/>
    <n v="131.19"/>
    <x v="348"/>
    <n v="0.4340611579767007"/>
    <n v="2025"/>
    <x v="7"/>
    <s v="août"/>
    <s v="Q3"/>
    <x v="1"/>
    <n v="1"/>
  </r>
  <r>
    <x v="1"/>
    <s v="P1031"/>
    <s v="C0006"/>
    <s v="Calgary North"/>
    <s v="Paypal"/>
    <n v="1"/>
    <s v="Nora Wilson"/>
    <s v="Laval"/>
    <s v="Consumer"/>
    <s v="Dumbbell Set"/>
    <x v="0"/>
    <n v="131.72999999999999"/>
    <n v="767.46"/>
    <n v="0"/>
    <x v="350"/>
    <n v="395.18999999999994"/>
    <x v="349"/>
    <n v="0.48506762567430234"/>
    <n v="2025"/>
    <x v="9"/>
    <s v="avril"/>
    <s v="Q2"/>
    <x v="1"/>
    <n v="0"/>
  </r>
  <r>
    <x v="2"/>
    <s v="P1003"/>
    <s v="C0091"/>
    <s v="Toronto Downtown"/>
    <s v="Paypal"/>
    <n v="1"/>
    <s v="Leo Taylor"/>
    <s v="Victoria"/>
    <s v="Small Business"/>
    <s v="Mouse"/>
    <x v="4"/>
    <n v="106.4"/>
    <n v="329"/>
    <n v="0"/>
    <x v="351"/>
    <n v="212.8"/>
    <x v="350"/>
    <n v="0.35319148936170208"/>
    <n v="2025"/>
    <x v="7"/>
    <s v="août"/>
    <s v="Q3"/>
    <x v="0"/>
    <n v="0"/>
  </r>
  <r>
    <x v="1"/>
    <s v="P1023"/>
    <s v="C0003"/>
    <s v="Montreal Central"/>
    <s v="Credit Card"/>
    <n v="1"/>
    <s v="Amelia Young"/>
    <s v="Ottawa"/>
    <s v="Corporate"/>
    <s v="Toaster"/>
    <x v="2"/>
    <n v="152.88"/>
    <n v="339.34"/>
    <n v="16.966999999999999"/>
    <x v="352"/>
    <n v="152.88"/>
    <x v="351"/>
    <n v="0.52576673604799407"/>
    <n v="2025"/>
    <x v="3"/>
    <s v="janvier"/>
    <s v="Q1"/>
    <x v="2"/>
    <n v="0"/>
  </r>
  <r>
    <x v="1"/>
    <s v="P1029"/>
    <s v="C0088"/>
    <s v="Online Fulfillment"/>
    <s v="Paypal"/>
    <n v="1"/>
    <s v="Olivia Bennett"/>
    <s v="Vancouver"/>
    <s v="Small Business"/>
    <s v="Jump Rope"/>
    <x v="0"/>
    <n v="101"/>
    <n v="382.76"/>
    <n v="57.413999999999994"/>
    <x v="353"/>
    <n v="202"/>
    <x v="352"/>
    <n v="0.3791225341636289"/>
    <n v="2025"/>
    <x v="6"/>
    <s v="décembre"/>
    <s v="Q4"/>
    <x v="0"/>
    <n v="0"/>
  </r>
  <r>
    <x v="0"/>
    <s v="P1019"/>
    <s v="C0010"/>
    <s v="Toronto Downtown"/>
    <s v="Credit Card"/>
    <n v="1"/>
    <s v="Ethan Martin"/>
    <s v="Victoria"/>
    <s v="Corporate"/>
    <s v="Vacuum"/>
    <x v="2"/>
    <n v="186.94"/>
    <n v="566.55999999999995"/>
    <n v="56.655999999999999"/>
    <x v="354"/>
    <n v="373.88"/>
    <x v="353"/>
    <n v="0.26676393987887909"/>
    <n v="2025"/>
    <x v="9"/>
    <s v="avril"/>
    <s v="Q2"/>
    <x v="0"/>
    <n v="1"/>
  </r>
  <r>
    <x v="1"/>
    <s v="P1011"/>
    <s v="C0053"/>
    <s v="Calgary North"/>
    <s v="Debit Card"/>
    <n v="1"/>
    <s v="Ryan Lee"/>
    <s v="Laval"/>
    <s v="Consumer"/>
    <s v="Office Chair"/>
    <x v="3"/>
    <n v="39.26"/>
    <n v="239.31"/>
    <n v="0"/>
    <x v="355"/>
    <n v="117.78"/>
    <x v="354"/>
    <n v="0.50783502569888428"/>
    <n v="2025"/>
    <x v="6"/>
    <s v="décembre"/>
    <s v="Q4"/>
    <x v="1"/>
    <n v="0"/>
  </r>
  <r>
    <x v="1"/>
    <s v="P1033"/>
    <s v="C0084"/>
    <s v="Online Fulfillment"/>
    <s v="Credit Card"/>
    <n v="1"/>
    <s v="Ryan Clark"/>
    <s v="Montreal"/>
    <s v="Corporate"/>
    <s v="Backpack"/>
    <x v="1"/>
    <n v="152.55000000000001"/>
    <n v="307.58999999999997"/>
    <n v="61.518000000000001"/>
    <x v="356"/>
    <n v="152.55000000000001"/>
    <x v="355"/>
    <n v="0.38005949478201489"/>
    <n v="2025"/>
    <x v="7"/>
    <s v="août"/>
    <s v="Q3"/>
    <x v="1"/>
    <n v="0"/>
  </r>
  <r>
    <x v="0"/>
    <s v="P1012"/>
    <s v="C0096"/>
    <s v="Montreal Central"/>
    <s v="Credit Card"/>
    <n v="1"/>
    <s v="Ryan Roy"/>
    <s v="Laval"/>
    <s v="Corporate"/>
    <s v="Standing Desk"/>
    <x v="3"/>
    <n v="45.17"/>
    <n v="170.88"/>
    <n v="17.088000000000001"/>
    <x v="357"/>
    <n v="90.34"/>
    <x v="356"/>
    <n v="0.41258322929671243"/>
    <n v="2025"/>
    <x v="7"/>
    <s v="août"/>
    <s v="Q3"/>
    <x v="1"/>
    <n v="1"/>
  </r>
  <r>
    <x v="0"/>
    <s v="P1007"/>
    <s v="C0008"/>
    <s v="Toronto Downtown"/>
    <s v="Non renseigné"/>
    <n v="1"/>
    <s v="Mia Wilson"/>
    <s v="Calgary"/>
    <s v="Consumer"/>
    <s v="Monitor"/>
    <x v="4"/>
    <n v="224.47"/>
    <n v="729.14"/>
    <n v="109.371"/>
    <x v="358"/>
    <n v="448.94"/>
    <x v="357"/>
    <n v="0.27563334080923702"/>
    <n v="2025"/>
    <x v="5"/>
    <s v="juin"/>
    <s v="Q2"/>
    <x v="3"/>
    <n v="0"/>
  </r>
  <r>
    <x v="0"/>
    <s v="P1018"/>
    <s v="C0091"/>
    <s v="Toronto Downtown"/>
    <s v="Credit Card"/>
    <n v="1"/>
    <s v="Leo Taylor"/>
    <s v="Victoria"/>
    <s v="Small Business"/>
    <s v="Air Fryer"/>
    <x v="2"/>
    <n v="14.58"/>
    <n v="31.76"/>
    <n v="1.5880000000000001"/>
    <x v="359"/>
    <n v="14.58"/>
    <x v="358"/>
    <n v="0.51677051570992971"/>
    <n v="2025"/>
    <x v="9"/>
    <s v="avril"/>
    <s v="Q2"/>
    <x v="0"/>
    <n v="0"/>
  </r>
  <r>
    <x v="1"/>
    <s v="P1028"/>
    <s v="C0040"/>
    <s v="Vancouver West"/>
    <s v="Paypal"/>
    <n v="1"/>
    <s v="Ethan Young"/>
    <s v="Surrey"/>
    <s v="Consumer"/>
    <s v="Foam Roller"/>
    <x v="0"/>
    <n v="212.02"/>
    <n v="1465.08"/>
    <n v="0"/>
    <x v="360"/>
    <n v="848.08"/>
    <x v="359"/>
    <n v="0.42113741229147889"/>
    <n v="2025"/>
    <x v="2"/>
    <s v="février"/>
    <s v="Q1"/>
    <x v="0"/>
    <n v="0"/>
  </r>
  <r>
    <x v="0"/>
    <s v="P1008"/>
    <s v="C0028"/>
    <s v="Toronto Downtown"/>
    <s v="Debit Card"/>
    <n v="1"/>
    <s v="Mia Clark"/>
    <s v="Victoria"/>
    <s v="Consumer"/>
    <s v="Smart Speaker"/>
    <x v="4"/>
    <n v="69"/>
    <n v="137"/>
    <n v="20.55"/>
    <x v="361"/>
    <n v="69"/>
    <x v="360"/>
    <n v="0.40747101760412197"/>
    <n v="2025"/>
    <x v="3"/>
    <s v="janvier"/>
    <s v="Q1"/>
    <x v="0"/>
    <n v="0"/>
  </r>
  <r>
    <x v="1"/>
    <s v="P1037"/>
    <s v="C0003"/>
    <s v="Montreal Central"/>
    <s v="Credit Card"/>
    <n v="1"/>
    <s v="Amelia Young"/>
    <s v="Ottawa"/>
    <s v="Corporate"/>
    <s v="Cable Set"/>
    <x v="1"/>
    <n v="200.16"/>
    <n v="692.22"/>
    <n v="103.833"/>
    <x v="362"/>
    <n v="400.32"/>
    <x v="361"/>
    <n v="0.31963146704464929"/>
    <n v="2025"/>
    <x v="9"/>
    <s v="avril"/>
    <s v="Q2"/>
    <x v="2"/>
    <n v="1"/>
  </r>
  <r>
    <x v="0"/>
    <s v="P1005"/>
    <s v="C0065"/>
    <s v="Online Fulfillment"/>
    <s v="Paypal"/>
    <n v="1"/>
    <s v="Mia Wilson"/>
    <s v="Quebec City"/>
    <s v="Consumer"/>
    <s v="Portable SSD"/>
    <x v="4"/>
    <n v="131.19"/>
    <n v="243.13"/>
    <n v="0"/>
    <x v="363"/>
    <n v="131.19"/>
    <x v="362"/>
    <n v="0.46041212520051"/>
    <n v="2025"/>
    <x v="11"/>
    <s v="octobre"/>
    <s v="Q4"/>
    <x v="1"/>
    <n v="0"/>
  </r>
  <r>
    <x v="0"/>
    <s v="P1020"/>
    <s v="C0098"/>
    <s v="Vancouver West"/>
    <s v="Credit Card"/>
    <n v="1"/>
    <s v="Nora Young"/>
    <s v="Winnipeg"/>
    <s v="Consumer"/>
    <s v="Blender"/>
    <x v="2"/>
    <n v="37.46"/>
    <n v="265.83999999999997"/>
    <n v="0"/>
    <x v="364"/>
    <n v="149.84"/>
    <x v="363"/>
    <n v="0.43635269334938304"/>
    <n v="2025"/>
    <x v="1"/>
    <s v="mai"/>
    <s v="Q2"/>
    <x v="6"/>
    <n v="0"/>
  </r>
  <r>
    <x v="0"/>
    <s v="P1040"/>
    <s v="C0071"/>
    <s v="Vancouver West"/>
    <s v="Paypal"/>
    <n v="1"/>
    <s v="Ethan Lee"/>
    <s v="Surrey"/>
    <s v="Consumer"/>
    <s v="Desk Pad"/>
    <x v="1"/>
    <n v="177.57"/>
    <n v="641.67999999999995"/>
    <n v="160.41999999999999"/>
    <x v="365"/>
    <n v="355.14"/>
    <x v="364"/>
    <n v="0.26206208702156841"/>
    <n v="2025"/>
    <x v="7"/>
    <s v="août"/>
    <s v="Q3"/>
    <x v="0"/>
    <n v="0"/>
  </r>
  <r>
    <x v="0"/>
    <s v="P1003"/>
    <s v="C0018"/>
    <s v="Toronto Downtown"/>
    <s v="Credit Card"/>
    <n v="1"/>
    <s v="Sophia Tremblay"/>
    <s v="Laval"/>
    <s v="Small Business"/>
    <s v="Mouse"/>
    <x v="4"/>
    <n v="106.4"/>
    <n v="495.78"/>
    <n v="24.789000000000001"/>
    <x v="366"/>
    <n v="319.20000000000005"/>
    <x v="365"/>
    <n v="0.32228004356771139"/>
    <n v="2025"/>
    <x v="7"/>
    <s v="août"/>
    <s v="Q3"/>
    <x v="1"/>
    <n v="0"/>
  </r>
  <r>
    <x v="1"/>
    <s v="P1029"/>
    <s v="C0101"/>
    <s v="Calgary North"/>
    <s v="Credit Card"/>
    <n v="1"/>
    <s v="Noah Martin"/>
    <s v="Saskatoon"/>
    <s v="Small Business"/>
    <s v="Jump Rope"/>
    <x v="0"/>
    <n v="101"/>
    <n v="209.3"/>
    <n v="20.930000000000003"/>
    <x v="367"/>
    <n v="101"/>
    <x v="366"/>
    <n v="0.46382120295163776"/>
    <n v="2025"/>
    <x v="7"/>
    <s v="août"/>
    <s v="Q3"/>
    <x v="5"/>
    <n v="0"/>
  </r>
  <r>
    <x v="1"/>
    <s v="P1016"/>
    <s v="C0050"/>
    <s v="Toronto Downtown"/>
    <s v="Credit Card"/>
    <n v="1"/>
    <s v="Sarah Singh"/>
    <s v="Mississauga"/>
    <s v="Consumer"/>
    <s v="Printer"/>
    <x v="3"/>
    <n v="156.75"/>
    <n v="308.68"/>
    <n v="61.736000000000004"/>
    <x v="368"/>
    <n v="156.75"/>
    <x v="367"/>
    <n v="0.36524070234547107"/>
    <n v="2025"/>
    <x v="0"/>
    <s v="septembre"/>
    <s v="Q3"/>
    <x v="2"/>
    <n v="0"/>
  </r>
  <r>
    <x v="1"/>
    <s v="P1010"/>
    <s v="C0042"/>
    <s v="Toronto Downtown"/>
    <s v="Credit Card"/>
    <n v="1"/>
    <s v="Emma King"/>
    <s v="Quebec City"/>
    <s v="Consumer"/>
    <s v="Desk Lamp"/>
    <x v="3"/>
    <n v="127.21"/>
    <n v="645.51"/>
    <n v="129.102"/>
    <x v="369"/>
    <n v="381.63"/>
    <x v="368"/>
    <n v="0.26099130919737884"/>
    <n v="2025"/>
    <x v="7"/>
    <s v="août"/>
    <s v="Q3"/>
    <x v="1"/>
    <n v="0"/>
  </r>
  <r>
    <x v="1"/>
    <s v="P1006"/>
    <s v="C0091"/>
    <s v="Calgary North"/>
    <s v="Debit Card"/>
    <n v="1"/>
    <s v="Leo Taylor"/>
    <s v="Victoria"/>
    <s v="Small Business"/>
    <s v="USB-C Hub"/>
    <x v="4"/>
    <n v="72"/>
    <n v="334.77"/>
    <n v="16.738499999999998"/>
    <x v="370"/>
    <n v="216"/>
    <x v="369"/>
    <n v="0.32082199404775941"/>
    <n v="2025"/>
    <x v="5"/>
    <s v="juin"/>
    <s v="Q2"/>
    <x v="0"/>
    <n v="1"/>
  </r>
  <r>
    <x v="0"/>
    <s v="P1024"/>
    <s v="C0074"/>
    <s v="Toronto Downtown"/>
    <s v="Paypal"/>
    <n v="1"/>
    <s v="Sophia Chen"/>
    <s v="Vancouver"/>
    <s v="Corporate"/>
    <s v="Food Scale"/>
    <x v="2"/>
    <n v="46.07"/>
    <n v="205.62"/>
    <n v="0"/>
    <x v="371"/>
    <n v="92.14"/>
    <x v="370"/>
    <n v="0.55189183931524166"/>
    <n v="2025"/>
    <x v="3"/>
    <s v="janvier"/>
    <s v="Q1"/>
    <x v="0"/>
    <n v="0"/>
  </r>
  <r>
    <x v="0"/>
    <s v="P1026"/>
    <s v="C0104"/>
    <s v="Toronto Downtown"/>
    <s v="Credit Card"/>
    <n v="1"/>
    <s v="Ava Scott"/>
    <s v="Edmonton"/>
    <s v="Corporate"/>
    <s v="Resistance Bands"/>
    <x v="0"/>
    <n v="139.19999999999999"/>
    <n v="224.42"/>
    <n v="11.221"/>
    <x v="372"/>
    <n v="139.19999999999999"/>
    <x v="371"/>
    <n v="0.3470888700228425"/>
    <n v="2025"/>
    <x v="5"/>
    <s v="juin"/>
    <s v="Q2"/>
    <x v="3"/>
    <n v="0"/>
  </r>
  <r>
    <x v="1"/>
    <s v="P1015"/>
    <s v="C0029"/>
    <s v="Online Fulfillment"/>
    <s v="Debit Card"/>
    <n v="1"/>
    <s v="Olivia White"/>
    <s v="Victoria"/>
    <s v="Consumer"/>
    <s v="Desk Organizer"/>
    <x v="3"/>
    <n v="235.76"/>
    <n v="386.46"/>
    <n v="77.292000000000002"/>
    <x v="373"/>
    <n v="235.76"/>
    <x v="372"/>
    <n v="0.23743725094447035"/>
    <n v="2025"/>
    <x v="6"/>
    <s v="décembre"/>
    <s v="Q4"/>
    <x v="0"/>
    <n v="0"/>
  </r>
  <r>
    <x v="0"/>
    <s v="P1016"/>
    <s v="C0098"/>
    <s v="Vancouver West"/>
    <s v="Credit Card"/>
    <n v="1"/>
    <s v="Nora Young"/>
    <s v="Winnipeg"/>
    <s v="Consumer"/>
    <s v="Printer"/>
    <x v="3"/>
    <n v="156.75"/>
    <n v="669.64"/>
    <n v="33.481999999999999"/>
    <x v="374"/>
    <n v="313.5"/>
    <x v="373"/>
    <n v="0.50719789737769549"/>
    <n v="2025"/>
    <x v="1"/>
    <s v="mai"/>
    <s v="Q2"/>
    <x v="6"/>
    <n v="0"/>
  </r>
  <r>
    <x v="0"/>
    <s v="P1033"/>
    <s v="C0056"/>
    <s v="Vancouver West"/>
    <s v="Paypal"/>
    <n v="1"/>
    <s v="Sarah Wilson"/>
    <s v="Halifax"/>
    <s v="Consumer"/>
    <s v="Backpack"/>
    <x v="1"/>
    <n v="152.55000000000001"/>
    <n v="627.55999999999995"/>
    <n v="94.133999999999986"/>
    <x v="375"/>
    <n v="305.10000000000002"/>
    <x v="374"/>
    <n v="0.42803687859234446"/>
    <n v="2025"/>
    <x v="8"/>
    <s v="novembre"/>
    <s v="Q4"/>
    <x v="4"/>
    <n v="0"/>
  </r>
  <r>
    <x v="2"/>
    <s v="P1019"/>
    <s v="C0080"/>
    <s v="Montreal Central"/>
    <s v="Credit Card"/>
    <n v="1"/>
    <s v="Sarah Smith"/>
    <s v="Mississauga"/>
    <s v="Corporate"/>
    <s v="Vacuum"/>
    <x v="2"/>
    <n v="186.94"/>
    <n v="525.29999999999995"/>
    <n v="26.265000000000001"/>
    <x v="376"/>
    <n v="373.88"/>
    <x v="375"/>
    <n v="0.25079403248269155"/>
    <n v="2025"/>
    <x v="3"/>
    <s v="janvier"/>
    <s v="Q1"/>
    <x v="2"/>
    <n v="0"/>
  </r>
  <r>
    <x v="1"/>
    <s v="P1004"/>
    <s v="C0099"/>
    <s v="Calgary North"/>
    <s v="Non renseigné"/>
    <n v="1"/>
    <s v="Amine Gagnon"/>
    <s v="Laval"/>
    <s v="Small Business"/>
    <s v="Webcam"/>
    <x v="4"/>
    <n v="154.72999999999999"/>
    <n v="833.79"/>
    <n v="41.689500000000002"/>
    <x v="377"/>
    <n v="464.18999999999994"/>
    <x v="376"/>
    <n v="0.41397587806092795"/>
    <n v="2025"/>
    <x v="7"/>
    <s v="août"/>
    <s v="Q3"/>
    <x v="1"/>
    <n v="0"/>
  </r>
  <r>
    <x v="0"/>
    <s v="P1018"/>
    <s v="C0119"/>
    <s v="Online Fulfillment"/>
    <s v="Paypal"/>
    <n v="1"/>
    <s v="Liam Chen"/>
    <s v="Winnipeg"/>
    <s v="Consumer"/>
    <s v="Air Fryer"/>
    <x v="2"/>
    <n v="14.58"/>
    <n v="117.96"/>
    <n v="0"/>
    <x v="378"/>
    <n v="58.32"/>
    <x v="377"/>
    <n v="0.50559511698880977"/>
    <n v="2025"/>
    <x v="1"/>
    <s v="mai"/>
    <s v="Q2"/>
    <x v="6"/>
    <n v="0"/>
  </r>
  <r>
    <x v="0"/>
    <s v="P1006"/>
    <s v="C0069"/>
    <s v="Vancouver West"/>
    <s v="Paypal"/>
    <n v="1"/>
    <s v="Sarah White"/>
    <s v="Ottawa"/>
    <s v="Consumer"/>
    <s v="USB-C Hub"/>
    <x v="4"/>
    <n v="72"/>
    <n v="306"/>
    <n v="0"/>
    <x v="379"/>
    <n v="216"/>
    <x v="378"/>
    <n v="0.29411764705882354"/>
    <n v="2025"/>
    <x v="4"/>
    <s v="mars"/>
    <s v="Q1"/>
    <x v="2"/>
    <n v="0"/>
  </r>
  <r>
    <x v="2"/>
    <s v="P1012"/>
    <s v="C0082"/>
    <s v="Montreal Central"/>
    <s v="Gift Card"/>
    <n v="1"/>
    <s v="Ryan King"/>
    <s v="Winnipeg"/>
    <s v="Small Business"/>
    <s v="Standing Desk"/>
    <x v="3"/>
    <n v="45.17"/>
    <n v="244.46999999999997"/>
    <n v="12.2235"/>
    <x v="380"/>
    <n v="135.51"/>
    <x v="379"/>
    <n v="0.41652511447965845"/>
    <n v="2025"/>
    <x v="4"/>
    <s v="mars"/>
    <s v="Q1"/>
    <x v="6"/>
    <n v="0"/>
  </r>
  <r>
    <x v="1"/>
    <s v="P1012"/>
    <s v="C0009"/>
    <s v="Toronto Downtown"/>
    <s v="Debit Card"/>
    <n v="1"/>
    <s v="Ethan Tremblay"/>
    <s v="Mississauga"/>
    <s v="Corporate"/>
    <s v="Standing Desk"/>
    <x v="3"/>
    <n v="45.17"/>
    <n v="328.32"/>
    <n v="65.664000000000001"/>
    <x v="381"/>
    <n v="180.68"/>
    <x v="380"/>
    <n v="0.31210404483430798"/>
    <n v="2025"/>
    <x v="1"/>
    <s v="mai"/>
    <s v="Q2"/>
    <x v="2"/>
    <n v="0"/>
  </r>
  <r>
    <x v="2"/>
    <s v="P1007"/>
    <s v="C0043"/>
    <s v="Calgary North"/>
    <s v="Paypal"/>
    <n v="1"/>
    <s v="Ava Brown"/>
    <s v="Ottawa"/>
    <s v="Small Business"/>
    <s v="Monitor"/>
    <x v="4"/>
    <n v="224.47"/>
    <n v="738.3"/>
    <n v="0"/>
    <x v="382"/>
    <n v="448.94"/>
    <x v="381"/>
    <n v="0.39192740078558846"/>
    <n v="2025"/>
    <x v="11"/>
    <s v="octobre"/>
    <s v="Q4"/>
    <x v="2"/>
    <n v="0"/>
  </r>
  <r>
    <x v="0"/>
    <s v="P1029"/>
    <s v="C0037"/>
    <s v="Vancouver West"/>
    <s v="Paypal"/>
    <n v="1"/>
    <s v="Lucas Scott"/>
    <s v="Victoria"/>
    <s v="Small Business"/>
    <s v="Jump Rope"/>
    <x v="0"/>
    <n v="101"/>
    <n v="990.69999999999993"/>
    <n v="247.67499999999998"/>
    <x v="383"/>
    <n v="505"/>
    <x v="382"/>
    <n v="0.32034588338212039"/>
    <n v="2025"/>
    <x v="11"/>
    <s v="octobre"/>
    <s v="Q4"/>
    <x v="0"/>
    <n v="1"/>
  </r>
  <r>
    <x v="0"/>
    <s v="P1034"/>
    <s v="C0035"/>
    <s v="Calgary North"/>
    <s v="Debit Card"/>
    <n v="1"/>
    <s v="Amelia Scott"/>
    <s v="Edmonton"/>
    <s v="Small Business"/>
    <s v="Laptop Sleeve"/>
    <x v="1"/>
    <n v="78.95"/>
    <n v="151.30000000000001"/>
    <n v="0"/>
    <x v="384"/>
    <n v="78.95"/>
    <x v="383"/>
    <n v="0.47818902842035693"/>
    <n v="2025"/>
    <x v="1"/>
    <s v="mai"/>
    <s v="Q2"/>
    <x v="3"/>
    <n v="0"/>
  </r>
  <r>
    <x v="0"/>
    <s v="P1029"/>
    <s v="C0032"/>
    <s v="Toronto Downtown"/>
    <s v="Paypal"/>
    <n v="1"/>
    <s v="Nora Bennett"/>
    <s v="Surrey"/>
    <s v="Consumer"/>
    <s v="Jump Rope"/>
    <x v="0"/>
    <n v="101"/>
    <n v="632.54999999999995"/>
    <n v="63.254999999999995"/>
    <x v="385"/>
    <n v="303"/>
    <x v="384"/>
    <n v="0.46776275920217109"/>
    <n v="2025"/>
    <x v="9"/>
    <s v="avril"/>
    <s v="Q2"/>
    <x v="0"/>
    <n v="0"/>
  </r>
  <r>
    <x v="0"/>
    <s v="P1026"/>
    <s v="C0105"/>
    <s v="Vancouver West"/>
    <s v="Credit Card"/>
    <n v="1"/>
    <s v="Liam Martin"/>
    <s v="Calgary"/>
    <s v="Consumer"/>
    <s v="Resistance Bands"/>
    <x v="0"/>
    <n v="139.19999999999999"/>
    <n v="223.94"/>
    <n v="0"/>
    <x v="386"/>
    <n v="139.19999999999999"/>
    <x v="385"/>
    <n v="0.37840492989193536"/>
    <n v="2025"/>
    <x v="6"/>
    <s v="décembre"/>
    <s v="Q4"/>
    <x v="3"/>
    <n v="1"/>
  </r>
  <r>
    <x v="0"/>
    <s v="P1006"/>
    <s v="C0036"/>
    <s v="Montreal Central"/>
    <s v="Debit Card"/>
    <n v="1"/>
    <s v="Sarah Wilson"/>
    <s v="Montreal"/>
    <s v="Corporate"/>
    <s v="USB-C Hub"/>
    <x v="4"/>
    <n v="72"/>
    <n v="103.33"/>
    <n v="10.333"/>
    <x v="387"/>
    <n v="72"/>
    <x v="386"/>
    <n v="0.22578147682183297"/>
    <n v="2025"/>
    <x v="6"/>
    <s v="décembre"/>
    <s v="Q4"/>
    <x v="1"/>
    <n v="0"/>
  </r>
  <r>
    <x v="1"/>
    <s v="P1003"/>
    <s v="C0046"/>
    <s v="Montreal Central"/>
    <s v="Credit Card"/>
    <n v="1"/>
    <s v="Amelia Bennett"/>
    <s v="Laval"/>
    <s v="Consumer"/>
    <s v="Mouse"/>
    <x v="4"/>
    <n v="106.4"/>
    <n v="153.69999999999999"/>
    <n v="7.6849999999999996"/>
    <x v="388"/>
    <n v="106.4"/>
    <x v="387"/>
    <n v="0.27130774235523736"/>
    <n v="2025"/>
    <x v="0"/>
    <s v="septembre"/>
    <s v="Q3"/>
    <x v="1"/>
    <n v="0"/>
  </r>
  <r>
    <x v="0"/>
    <s v="P1023"/>
    <s v="C0048"/>
    <s v="Montreal Central"/>
    <s v="Credit Card"/>
    <n v="1"/>
    <s v="Amelia Brown"/>
    <s v="Quebec City"/>
    <s v="Corporate"/>
    <s v="Toaster"/>
    <x v="2"/>
    <n v="152.88"/>
    <n v="954.33"/>
    <n v="47.716500000000003"/>
    <x v="389"/>
    <n v="458.64"/>
    <x v="388"/>
    <n v="0.49411739401630356"/>
    <n v="2025"/>
    <x v="3"/>
    <s v="janvier"/>
    <s v="Q1"/>
    <x v="1"/>
    <n v="0"/>
  </r>
  <r>
    <x v="0"/>
    <s v="P1026"/>
    <s v="C0095"/>
    <s v="Toronto Downtown"/>
    <s v="Paypal"/>
    <n v="1"/>
    <s v="Maya White"/>
    <s v="Quebec City"/>
    <s v="Corporate"/>
    <s v="Resistance Bands"/>
    <x v="0"/>
    <n v="139.19999999999999"/>
    <n v="427.06"/>
    <n v="64.058999999999997"/>
    <x v="390"/>
    <n v="278.39999999999998"/>
    <x v="389"/>
    <n v="0.23305996402213769"/>
    <n v="2025"/>
    <x v="10"/>
    <s v="juillet"/>
    <s v="Q3"/>
    <x v="1"/>
    <n v="0"/>
  </r>
  <r>
    <x v="0"/>
    <s v="P1019"/>
    <s v="C0018"/>
    <s v="Online Fulfillment"/>
    <s v="Debit Card"/>
    <n v="1"/>
    <s v="Sophia Tremblay"/>
    <s v="Laval"/>
    <s v="Small Business"/>
    <s v="Vacuum"/>
    <x v="2"/>
    <n v="186.94"/>
    <n v="532.96"/>
    <n v="26.648000000000003"/>
    <x v="391"/>
    <n v="373.88"/>
    <x v="390"/>
    <n v="0.26156204079697898"/>
    <n v="2025"/>
    <x v="6"/>
    <s v="décembre"/>
    <s v="Q4"/>
    <x v="1"/>
    <n v="0"/>
  </r>
  <r>
    <x v="0"/>
    <s v="P1028"/>
    <s v="C0116"/>
    <s v="Online Fulfillment"/>
    <s v="Debit Card"/>
    <n v="1"/>
    <s v="Lucas Brown"/>
    <s v="Mississauga"/>
    <s v="Corporate"/>
    <s v="Foam Roller"/>
    <x v="0"/>
    <n v="212.02"/>
    <n v="373.1"/>
    <n v="37.31"/>
    <x v="392"/>
    <n v="212.02"/>
    <x v="391"/>
    <n v="0.36859346615444177"/>
    <n v="2025"/>
    <x v="11"/>
    <s v="octobre"/>
    <s v="Q4"/>
    <x v="2"/>
    <n v="0"/>
  </r>
  <r>
    <x v="1"/>
    <s v="P1009"/>
    <s v="C0091"/>
    <s v="Toronto Downtown"/>
    <s v="Credit Card"/>
    <n v="1"/>
    <s v="Leo Taylor"/>
    <s v="Victoria"/>
    <s v="Small Business"/>
    <s v="Notebook"/>
    <x v="3"/>
    <n v="176.13"/>
    <n v="1143.96"/>
    <n v="0"/>
    <x v="393"/>
    <n v="704.52"/>
    <x v="392"/>
    <n v="0.38413930557012488"/>
    <n v="2025"/>
    <x v="4"/>
    <s v="mars"/>
    <s v="Q1"/>
    <x v="0"/>
    <n v="0"/>
  </r>
  <r>
    <x v="1"/>
    <s v="P1001"/>
    <s v="C0105"/>
    <s v="Vancouver West"/>
    <s v="Paypal"/>
    <n v="1"/>
    <s v="Liam Martin"/>
    <s v="Calgary"/>
    <s v="Consumer"/>
    <s v="Headphones"/>
    <x v="4"/>
    <n v="254.6"/>
    <n v="1568.48"/>
    <n v="313.69600000000003"/>
    <x v="394"/>
    <n v="1018.4"/>
    <x v="393"/>
    <n v="0.18838620830358063"/>
    <n v="2025"/>
    <x v="1"/>
    <s v="mai"/>
    <s v="Q2"/>
    <x v="3"/>
    <n v="0"/>
  </r>
  <r>
    <x v="0"/>
    <s v="P1012"/>
    <s v="C0058"/>
    <s v="Montreal Central"/>
    <s v="Non renseigné"/>
    <n v="1"/>
    <s v="Mia Singh"/>
    <s v="Laval"/>
    <s v="Consumer"/>
    <s v="Standing Desk"/>
    <x v="3"/>
    <n v="45.17"/>
    <n v="84.27"/>
    <n v="8.4269999999999996"/>
    <x v="395"/>
    <n v="45.17"/>
    <x v="394"/>
    <n v="0.40442756747491521"/>
    <n v="2025"/>
    <x v="7"/>
    <s v="août"/>
    <s v="Q3"/>
    <x v="1"/>
    <n v="0"/>
  </r>
  <r>
    <x v="1"/>
    <s v="P1026"/>
    <s v="C0029"/>
    <s v="Montreal Central"/>
    <s v="Paypal"/>
    <n v="1"/>
    <s v="Olivia White"/>
    <s v="Victoria"/>
    <s v="Consumer"/>
    <s v="Resistance Bands"/>
    <x v="0"/>
    <n v="139.19999999999999"/>
    <n v="231.29"/>
    <n v="11.564500000000001"/>
    <x v="396"/>
    <n v="139.19999999999999"/>
    <x v="395"/>
    <n v="0.36648226992315414"/>
    <n v="2025"/>
    <x v="7"/>
    <s v="août"/>
    <s v="Q3"/>
    <x v="0"/>
    <n v="0"/>
  </r>
  <r>
    <x v="0"/>
    <s v="P1036"/>
    <s v="C0053"/>
    <s v="Online Fulfillment"/>
    <s v="Paypal"/>
    <n v="1"/>
    <s v="Ryan Lee"/>
    <s v="Laval"/>
    <s v="Consumer"/>
    <s v="Power Bank"/>
    <x v="1"/>
    <n v="76.97"/>
    <n v="316.32"/>
    <n v="0"/>
    <x v="397"/>
    <n v="153.94"/>
    <x v="396"/>
    <n v="0.51334092058674763"/>
    <n v="2025"/>
    <x v="0"/>
    <s v="septembre"/>
    <s v="Q3"/>
    <x v="1"/>
    <n v="0"/>
  </r>
  <r>
    <x v="2"/>
    <s v="P1022"/>
    <s v="C0105"/>
    <s v="Vancouver West"/>
    <s v="Debit Card"/>
    <n v="1"/>
    <s v="Liam Martin"/>
    <s v="Calgary"/>
    <s v="Consumer"/>
    <s v="Humidifier"/>
    <x v="2"/>
    <n v="239.67"/>
    <n v="1318.8600000000001"/>
    <n v="0"/>
    <x v="398"/>
    <n v="719.01"/>
    <x v="397"/>
    <n v="0.45482462126381878"/>
    <n v="2025"/>
    <x v="7"/>
    <s v="août"/>
    <s v="Q3"/>
    <x v="3"/>
    <n v="0"/>
  </r>
  <r>
    <x v="0"/>
    <s v="P1023"/>
    <s v="C0001"/>
    <s v="Calgary North"/>
    <s v="Paypal"/>
    <n v="1"/>
    <s v="Ethan Roy"/>
    <s v="Halifax"/>
    <s v="Consumer"/>
    <s v="Toaster"/>
    <x v="2"/>
    <n v="152.88"/>
    <n v="1319.88"/>
    <n v="0"/>
    <x v="399"/>
    <n v="611.52"/>
    <x v="398"/>
    <n v="0.53668515319574517"/>
    <n v="2025"/>
    <x v="2"/>
    <s v="février"/>
    <s v="Q1"/>
    <x v="4"/>
    <n v="0"/>
  </r>
  <r>
    <x v="1"/>
    <s v="P1024"/>
    <s v="C0061"/>
    <s v="Online Fulfillment"/>
    <s v="Paypal"/>
    <n v="1"/>
    <s v="Zoe Hall"/>
    <s v="Vancouver"/>
    <s v="Consumer"/>
    <s v="Food Scale"/>
    <x v="2"/>
    <n v="46.07"/>
    <n v="105.56"/>
    <n v="5.2780000000000005"/>
    <x v="400"/>
    <n v="46.07"/>
    <x v="399"/>
    <n v="0.54059552063181826"/>
    <n v="2025"/>
    <x v="5"/>
    <s v="juin"/>
    <s v="Q2"/>
    <x v="0"/>
    <n v="0"/>
  </r>
  <r>
    <x v="2"/>
    <s v="P1022"/>
    <s v="C0035"/>
    <s v="Montreal Central"/>
    <s v="Paypal"/>
    <n v="1"/>
    <s v="Amelia Scott"/>
    <s v="Edmonton"/>
    <s v="Small Business"/>
    <s v="Humidifier"/>
    <x v="2"/>
    <n v="239.67"/>
    <n v="411.6"/>
    <n v="0"/>
    <x v="401"/>
    <n v="239.67"/>
    <x v="400"/>
    <n v="0.41771137026239075"/>
    <n v="2025"/>
    <x v="2"/>
    <s v="février"/>
    <s v="Q1"/>
    <x v="3"/>
    <n v="0"/>
  </r>
  <r>
    <x v="0"/>
    <s v="P1020"/>
    <s v="C0014"/>
    <s v="Montreal Central"/>
    <s v="Paypal"/>
    <n v="1"/>
    <s v="Zoe Scott"/>
    <s v="Montreal"/>
    <s v="Small Business"/>
    <s v="Blender"/>
    <x v="2"/>
    <n v="37.46"/>
    <n v="62.36"/>
    <n v="0"/>
    <x v="402"/>
    <n v="37.46"/>
    <x v="401"/>
    <n v="0.39929441949967925"/>
    <n v="2025"/>
    <x v="0"/>
    <s v="septembre"/>
    <s v="Q3"/>
    <x v="1"/>
    <n v="0"/>
  </r>
  <r>
    <x v="0"/>
    <s v="P1025"/>
    <s v="C0085"/>
    <s v="Calgary North"/>
    <s v="Credit Card"/>
    <n v="1"/>
    <s v="Yasmine Clark"/>
    <s v="Calgary"/>
    <s v="Consumer"/>
    <s v="Yoga Mat"/>
    <x v="0"/>
    <n v="197.33"/>
    <n v="310.61"/>
    <n v="77.652500000000003"/>
    <x v="403"/>
    <n v="197.33"/>
    <x v="402"/>
    <n v="0.15293562130431515"/>
    <n v="2025"/>
    <x v="0"/>
    <s v="septembre"/>
    <s v="Q3"/>
    <x v="3"/>
    <n v="0"/>
  </r>
  <r>
    <x v="0"/>
    <s v="P1003"/>
    <s v="C0006"/>
    <s v="Online Fulfillment"/>
    <s v="Credit Card"/>
    <n v="1"/>
    <s v="Nora Wilson"/>
    <s v="Laval"/>
    <s v="Consumer"/>
    <s v="Mouse"/>
    <x v="4"/>
    <n v="106.4"/>
    <n v="302.77999999999997"/>
    <n v="45.416999999999994"/>
    <x v="404"/>
    <n v="212.8"/>
    <x v="403"/>
    <n v="0.17315231793225905"/>
    <n v="2025"/>
    <x v="8"/>
    <s v="novembre"/>
    <s v="Q4"/>
    <x v="1"/>
    <n v="0"/>
  </r>
  <r>
    <x v="0"/>
    <s v="P1020"/>
    <s v="C0117"/>
    <s v="Toronto Downtown"/>
    <s v="Debit Card"/>
    <n v="1"/>
    <s v="Ethan Hall"/>
    <s v="Vancouver"/>
    <s v="Consumer"/>
    <s v="Blender"/>
    <x v="2"/>
    <n v="37.46"/>
    <n v="67.59"/>
    <n v="13.518000000000001"/>
    <x v="405"/>
    <n v="37.46"/>
    <x v="404"/>
    <n v="0.30722000295901764"/>
    <n v="2025"/>
    <x v="1"/>
    <s v="mai"/>
    <s v="Q2"/>
    <x v="0"/>
    <n v="0"/>
  </r>
  <r>
    <x v="0"/>
    <s v="P1028"/>
    <s v="C0004"/>
    <s v="Toronto Downtown"/>
    <s v="Credit Card"/>
    <n v="1"/>
    <s v="Mia Bennett"/>
    <s v="Laval"/>
    <s v="Consumer"/>
    <s v="Foam Roller"/>
    <x v="0"/>
    <n v="212.02"/>
    <n v="1478.08"/>
    <n v="73.903999999999996"/>
    <x v="406"/>
    <n v="848.08"/>
    <x v="405"/>
    <n v="0.39603012727749221"/>
    <n v="2025"/>
    <x v="4"/>
    <s v="mars"/>
    <s v="Q1"/>
    <x v="1"/>
    <n v="0"/>
  </r>
  <r>
    <x v="0"/>
    <s v="P1038"/>
    <s v="C0054"/>
    <s v="Vancouver West"/>
    <s v="Paypal"/>
    <n v="1"/>
    <s v="Maya Hall"/>
    <s v="Surrey"/>
    <s v="Small Business"/>
    <s v="Water Bottle"/>
    <x v="1"/>
    <n v="119.16"/>
    <n v="273.12"/>
    <n v="0"/>
    <x v="407"/>
    <n v="119.16"/>
    <x v="406"/>
    <n v="0.56370826010544817"/>
    <n v="2025"/>
    <x v="1"/>
    <s v="mai"/>
    <s v="Q2"/>
    <x v="0"/>
    <n v="0"/>
  </r>
  <r>
    <x v="1"/>
    <s v="P1031"/>
    <s v="C0021"/>
    <s v="Montreal Central"/>
    <s v="Paypal"/>
    <n v="1"/>
    <s v="Nora King"/>
    <s v="Halifax"/>
    <s v="Corporate"/>
    <s v="Dumbbell Set"/>
    <x v="0"/>
    <n v="131.72999999999999"/>
    <n v="265.35000000000002"/>
    <n v="39.802500000000002"/>
    <x v="408"/>
    <n v="131.72999999999999"/>
    <x v="407"/>
    <n v="0.41595451069065281"/>
    <n v="2025"/>
    <x v="10"/>
    <s v="juillet"/>
    <s v="Q3"/>
    <x v="4"/>
    <n v="0"/>
  </r>
  <r>
    <x v="0"/>
    <s v="P1015"/>
    <s v="C0113"/>
    <s v="Calgary North"/>
    <s v="Credit Card"/>
    <n v="1"/>
    <s v="Olivia Johnson"/>
    <s v="Surrey"/>
    <s v="Consumer"/>
    <s v="Desk Organizer"/>
    <x v="3"/>
    <n v="235.76"/>
    <n v="1479.36"/>
    <n v="221.90399999999997"/>
    <x v="409"/>
    <n v="943.04"/>
    <x v="408"/>
    <n v="0.25004135333562366"/>
    <n v="2025"/>
    <x v="6"/>
    <s v="décembre"/>
    <s v="Q4"/>
    <x v="0"/>
    <n v="0"/>
  </r>
  <r>
    <x v="0"/>
    <s v="P1027"/>
    <s v="C0072"/>
    <s v="Calgary North"/>
    <s v="Credit Card"/>
    <n v="1"/>
    <s v="Ryan Bennett"/>
    <s v="Montreal"/>
    <s v="Corporate"/>
    <s v="Kettlebell"/>
    <x v="0"/>
    <n v="25.97"/>
    <n v="54.86"/>
    <n v="0"/>
    <x v="410"/>
    <n v="25.97"/>
    <x v="409"/>
    <n v="0.52661319722931099"/>
    <n v="2025"/>
    <x v="0"/>
    <s v="septembre"/>
    <s v="Q3"/>
    <x v="1"/>
    <n v="0"/>
  </r>
  <r>
    <x v="0"/>
    <s v="P1022"/>
    <s v="C0096"/>
    <s v="Vancouver West"/>
    <s v="Credit Card"/>
    <n v="1"/>
    <s v="Ryan Roy"/>
    <s v="Laval"/>
    <s v="Corporate"/>
    <s v="Humidifier"/>
    <x v="2"/>
    <n v="239.67"/>
    <n v="810.64"/>
    <n v="0"/>
    <x v="411"/>
    <n v="479.34"/>
    <x v="410"/>
    <n v="0.40868943057337415"/>
    <n v="2025"/>
    <x v="4"/>
    <s v="mars"/>
    <s v="Q1"/>
    <x v="1"/>
    <n v="0"/>
  </r>
  <r>
    <x v="0"/>
    <s v="P1040"/>
    <s v="C0120"/>
    <s v="Montreal Central"/>
    <s v="Credit Card"/>
    <n v="1"/>
    <s v="Ethan King"/>
    <s v="Mississauga"/>
    <s v="Small Business"/>
    <s v="Desk Pad"/>
    <x v="1"/>
    <n v="177.57"/>
    <n v="632.26"/>
    <n v="0"/>
    <x v="412"/>
    <n v="355.14"/>
    <x v="411"/>
    <n v="0.43830069907949265"/>
    <n v="2025"/>
    <x v="1"/>
    <s v="mai"/>
    <s v="Q2"/>
    <x v="2"/>
    <n v="1"/>
  </r>
  <r>
    <x v="0"/>
    <s v="P1031"/>
    <s v="C0041"/>
    <s v="Vancouver West"/>
    <s v="Gift Card"/>
    <n v="1"/>
    <s v="Amine Chen"/>
    <s v="Halifax"/>
    <s v="Small Business"/>
    <s v="Dumbbell Set"/>
    <x v="0"/>
    <n v="131.72999999999999"/>
    <n v="983.08"/>
    <n v="0"/>
    <x v="413"/>
    <n v="526.91999999999996"/>
    <x v="412"/>
    <n v="0.46401106725800551"/>
    <n v="2025"/>
    <x v="11"/>
    <s v="octobre"/>
    <s v="Q4"/>
    <x v="4"/>
    <n v="0"/>
  </r>
  <r>
    <x v="2"/>
    <s v="P1012"/>
    <s v="C0067"/>
    <s v="Online Fulfillment"/>
    <s v="Credit Card"/>
    <n v="1"/>
    <s v="Leo Bennett"/>
    <s v="Mississauga"/>
    <s v="Consumer"/>
    <s v="Standing Desk"/>
    <x v="3"/>
    <n v="45.17"/>
    <n v="85.38"/>
    <n v="0"/>
    <x v="414"/>
    <n v="45.17"/>
    <x v="413"/>
    <n v="0.47095338486765048"/>
    <n v="2025"/>
    <x v="8"/>
    <s v="novembre"/>
    <s v="Q4"/>
    <x v="2"/>
    <n v="0"/>
  </r>
  <r>
    <x v="0"/>
    <s v="P1033"/>
    <s v="C0043"/>
    <s v="Montreal Central"/>
    <s v="Gift Card"/>
    <n v="1"/>
    <s v="Ava Brown"/>
    <s v="Ottawa"/>
    <s v="Small Business"/>
    <s v="Backpack"/>
    <x v="1"/>
    <n v="152.55000000000001"/>
    <n v="303.56"/>
    <n v="0"/>
    <x v="415"/>
    <n v="152.55000000000001"/>
    <x v="414"/>
    <n v="0.49746343391751213"/>
    <n v="2025"/>
    <x v="4"/>
    <s v="mars"/>
    <s v="Q1"/>
    <x v="2"/>
    <n v="0"/>
  </r>
  <r>
    <x v="0"/>
    <s v="P1038"/>
    <s v="C0053"/>
    <s v="Vancouver West"/>
    <s v="Debit Card"/>
    <n v="1"/>
    <s v="Ryan Lee"/>
    <s v="Laval"/>
    <s v="Consumer"/>
    <s v="Water Bottle"/>
    <x v="1"/>
    <n v="119.16"/>
    <n v="553.86"/>
    <n v="138.465"/>
    <x v="416"/>
    <n v="238.32"/>
    <x v="415"/>
    <n v="0.42628100964142562"/>
    <n v="2025"/>
    <x v="5"/>
    <s v="juin"/>
    <s v="Q2"/>
    <x v="1"/>
    <n v="0"/>
  </r>
  <r>
    <x v="1"/>
    <s v="P1020"/>
    <s v="C0006"/>
    <s v="Online Fulfillment"/>
    <s v="Credit Card"/>
    <n v="1"/>
    <s v="Nora Wilson"/>
    <s v="Laval"/>
    <s v="Consumer"/>
    <s v="Blender"/>
    <x v="2"/>
    <n v="37.46"/>
    <n v="65.44"/>
    <n v="6.5440000000000005"/>
    <x v="417"/>
    <n v="37.46"/>
    <x v="416"/>
    <n v="0.3639635968486824"/>
    <n v="2025"/>
    <x v="8"/>
    <s v="novembre"/>
    <s v="Q4"/>
    <x v="1"/>
    <n v="0"/>
  </r>
  <r>
    <x v="1"/>
    <s v="P1029"/>
    <s v="C0077"/>
    <s v="Calgary North"/>
    <s v="Debit Card"/>
    <n v="1"/>
    <s v="Amine Taylor"/>
    <s v="Surrey"/>
    <s v="Small Business"/>
    <s v="Jump Rope"/>
    <x v="0"/>
    <n v="101"/>
    <n v="412.3"/>
    <n v="41.230000000000004"/>
    <x v="418"/>
    <n v="202"/>
    <x v="417"/>
    <n v="0.4556283181070957"/>
    <n v="2025"/>
    <x v="7"/>
    <s v="août"/>
    <s v="Q3"/>
    <x v="0"/>
    <n v="0"/>
  </r>
  <r>
    <x v="1"/>
    <s v="P1026"/>
    <s v="C0059"/>
    <s v="Toronto Downtown"/>
    <s v="Credit Card"/>
    <n v="1"/>
    <s v="Lucas Chen"/>
    <s v="Vancouver"/>
    <s v="Corporate"/>
    <s v="Resistance Bands"/>
    <x v="0"/>
    <n v="139.19999999999999"/>
    <n v="424.52"/>
    <n v="42.451999999999998"/>
    <x v="419"/>
    <n v="278.39999999999998"/>
    <x v="418"/>
    <n v="0.27133389867772234"/>
    <n v="2025"/>
    <x v="7"/>
    <s v="août"/>
    <s v="Q3"/>
    <x v="0"/>
    <n v="0"/>
  </r>
  <r>
    <x v="2"/>
    <s v="P1036"/>
    <s v="C0005"/>
    <s v="Vancouver West"/>
    <s v="Debit Card"/>
    <n v="1"/>
    <s v="Yasmine Taylor"/>
    <s v="Calgary"/>
    <s v="Consumer"/>
    <s v="Power Bank"/>
    <x v="1"/>
    <n v="76.97"/>
    <n v="165.6"/>
    <n v="33.119999999999997"/>
    <x v="420"/>
    <n v="76.97"/>
    <x v="419"/>
    <n v="0.41900664251207725"/>
    <n v="2025"/>
    <x v="1"/>
    <s v="mai"/>
    <s v="Q2"/>
    <x v="3"/>
    <n v="0"/>
  </r>
  <r>
    <x v="1"/>
    <s v="P1022"/>
    <s v="C0110"/>
    <s v="Calgary North"/>
    <s v="Credit Card"/>
    <n v="1"/>
    <s v="Sarah Smith"/>
    <s v="Laval"/>
    <s v="Consumer"/>
    <s v="Humidifier"/>
    <x v="2"/>
    <n v="239.67"/>
    <n v="394.3"/>
    <n v="0"/>
    <x v="421"/>
    <n v="239.67"/>
    <x v="420"/>
    <n v="0.39216332741567339"/>
    <n v="2025"/>
    <x v="4"/>
    <s v="mars"/>
    <s v="Q1"/>
    <x v="1"/>
    <n v="0"/>
  </r>
  <r>
    <x v="1"/>
    <s v="P1026"/>
    <s v="C0026"/>
    <s v="Toronto Downtown"/>
    <s v="Credit Card"/>
    <n v="1"/>
    <s v="Adam Hall"/>
    <s v="Surrey"/>
    <s v="Corporate"/>
    <s v="Resistance Bands"/>
    <x v="0"/>
    <n v="139.19999999999999"/>
    <n v="236.77"/>
    <n v="23.677000000000003"/>
    <x v="422"/>
    <n v="139.19999999999999"/>
    <x v="421"/>
    <n v="0.34676408891892285"/>
    <n v="2025"/>
    <x v="4"/>
    <s v="mars"/>
    <s v="Q1"/>
    <x v="0"/>
    <n v="0"/>
  </r>
  <r>
    <x v="1"/>
    <s v="P1013"/>
    <s v="C0111"/>
    <s v="Online Fulfillment"/>
    <s v="Credit Card"/>
    <n v="1"/>
    <s v="Noah Khan"/>
    <s v="Halifax"/>
    <s v="Consumer"/>
    <s v="Whiteboard"/>
    <x v="3"/>
    <n v="85.73"/>
    <n v="123.65"/>
    <n v="24.730000000000004"/>
    <x v="423"/>
    <n v="85.73"/>
    <x v="422"/>
    <n v="0.13334007278608975"/>
    <n v="2025"/>
    <x v="6"/>
    <s v="décembre"/>
    <s v="Q4"/>
    <x v="4"/>
    <n v="0"/>
  </r>
  <r>
    <x v="1"/>
    <s v="P1039"/>
    <s v="C0067"/>
    <s v="Calgary North"/>
    <s v="Credit Card"/>
    <n v="1"/>
    <s v="Leo Bennett"/>
    <s v="Mississauga"/>
    <s v="Consumer"/>
    <s v="Travel Adapter"/>
    <x v="1"/>
    <n v="229.86"/>
    <n v="1370.52"/>
    <n v="68.525999999999996"/>
    <x v="424"/>
    <n v="919.44"/>
    <x v="423"/>
    <n v="0.29382163051442622"/>
    <n v="2025"/>
    <x v="8"/>
    <s v="novembre"/>
    <s v="Q4"/>
    <x v="2"/>
    <n v="0"/>
  </r>
  <r>
    <x v="1"/>
    <s v="P1017"/>
    <s v="C0005"/>
    <s v="Online Fulfillment"/>
    <s v="Debit Card"/>
    <n v="1"/>
    <s v="Yasmine Taylor"/>
    <s v="Calgary"/>
    <s v="Consumer"/>
    <s v="Coffee Maker"/>
    <x v="2"/>
    <n v="241.16"/>
    <n v="1141.29"/>
    <n v="0"/>
    <x v="425"/>
    <n v="723.48"/>
    <x v="424"/>
    <n v="0.36608574507793806"/>
    <n v="2025"/>
    <x v="7"/>
    <s v="août"/>
    <s v="Q3"/>
    <x v="3"/>
    <n v="1"/>
  </r>
  <r>
    <x v="0"/>
    <s v="P1001"/>
    <s v="C0018"/>
    <s v="Online Fulfillment"/>
    <s v="Credit Card"/>
    <n v="1"/>
    <s v="Sophia Tremblay"/>
    <s v="Laval"/>
    <s v="Small Business"/>
    <s v="Headphones"/>
    <x v="4"/>
    <n v="254.6"/>
    <n v="703.38"/>
    <n v="0"/>
    <x v="426"/>
    <n v="509.2"/>
    <x v="425"/>
    <n v="0.27606699081577529"/>
    <n v="2025"/>
    <x v="10"/>
    <s v="juillet"/>
    <s v="Q3"/>
    <x v="1"/>
    <n v="0"/>
  </r>
  <r>
    <x v="0"/>
    <s v="P1016"/>
    <s v="C0048"/>
    <s v="Calgary North"/>
    <s v="Paypal"/>
    <n v="1"/>
    <s v="Amelia Brown"/>
    <s v="Quebec City"/>
    <s v="Corporate"/>
    <s v="Printer"/>
    <x v="3"/>
    <n v="156.75"/>
    <n v="672.4"/>
    <n v="33.619999999999997"/>
    <x v="427"/>
    <n v="313.5"/>
    <x v="426"/>
    <n v="0.50922070196311719"/>
    <n v="2025"/>
    <x v="0"/>
    <s v="septembre"/>
    <s v="Q3"/>
    <x v="1"/>
    <n v="0"/>
  </r>
  <r>
    <x v="0"/>
    <s v="P1020"/>
    <s v="C0065"/>
    <s v="Montreal Central"/>
    <s v="Paypal"/>
    <n v="1"/>
    <s v="Mia Wilson"/>
    <s v="Quebec City"/>
    <s v="Consumer"/>
    <s v="Blender"/>
    <x v="2"/>
    <n v="37.46"/>
    <n v="196.79999999999998"/>
    <n v="9.84"/>
    <x v="428"/>
    <n v="112.38"/>
    <x v="427"/>
    <n v="0.39890885750962768"/>
    <n v="2025"/>
    <x v="4"/>
    <s v="mars"/>
    <s v="Q1"/>
    <x v="1"/>
    <n v="0"/>
  </r>
  <r>
    <x v="0"/>
    <s v="P1004"/>
    <s v="C0051"/>
    <s v="Calgary North"/>
    <s v="Credit Card"/>
    <n v="1"/>
    <s v="Daniel Brown"/>
    <s v="Vancouver"/>
    <s v="Small Business"/>
    <s v="Webcam"/>
    <x v="4"/>
    <n v="154.72999999999999"/>
    <n v="273.05"/>
    <n v="0"/>
    <x v="429"/>
    <n v="154.72999999999999"/>
    <x v="428"/>
    <n v="0.43332722944515661"/>
    <n v="2025"/>
    <x v="6"/>
    <s v="décembre"/>
    <s v="Q4"/>
    <x v="0"/>
    <n v="1"/>
  </r>
  <r>
    <x v="0"/>
    <s v="P1011"/>
    <s v="C0078"/>
    <s v="Toronto Downtown"/>
    <s v="Debit Card"/>
    <n v="1"/>
    <s v="Sarah Smith"/>
    <s v="Edmonton"/>
    <s v="Corporate"/>
    <s v="Office Chair"/>
    <x v="3"/>
    <n v="39.26"/>
    <n v="80.47"/>
    <n v="20.1175"/>
    <x v="430"/>
    <n v="39.26"/>
    <x v="429"/>
    <n v="0.34948842218632203"/>
    <n v="2025"/>
    <x v="5"/>
    <s v="juin"/>
    <s v="Q2"/>
    <x v="3"/>
    <n v="0"/>
  </r>
  <r>
    <x v="0"/>
    <s v="P1013"/>
    <s v="C0088"/>
    <s v="Online Fulfillment"/>
    <s v="Credit Card"/>
    <n v="1"/>
    <s v="Olivia Bennett"/>
    <s v="Vancouver"/>
    <s v="Small Business"/>
    <s v="Whiteboard"/>
    <x v="3"/>
    <n v="85.73"/>
    <n v="117.18"/>
    <n v="5.8590000000000009"/>
    <x v="431"/>
    <n v="85.73"/>
    <x v="430"/>
    <n v="0.22988474771157288"/>
    <n v="2025"/>
    <x v="9"/>
    <s v="avril"/>
    <s v="Q2"/>
    <x v="0"/>
    <n v="0"/>
  </r>
  <r>
    <x v="1"/>
    <s v="P1003"/>
    <s v="C0115"/>
    <s v="Calgary North"/>
    <s v="Paypal"/>
    <n v="1"/>
    <s v="Nora Lee"/>
    <s v="Calgary"/>
    <s v="Consumer"/>
    <s v="Mouse"/>
    <x v="4"/>
    <n v="106.4"/>
    <n v="161.27000000000001"/>
    <n v="0"/>
    <x v="432"/>
    <n v="106.4"/>
    <x v="431"/>
    <n v="0.34023686984560053"/>
    <n v="2025"/>
    <x v="3"/>
    <s v="janvier"/>
    <s v="Q1"/>
    <x v="3"/>
    <n v="0"/>
  </r>
  <r>
    <x v="1"/>
    <s v="P1017"/>
    <s v="C0023"/>
    <s v="Vancouver West"/>
    <s v="Credit Card"/>
    <n v="1"/>
    <s v="Ryan Gagnon"/>
    <s v="Ottawa"/>
    <s v="Small Business"/>
    <s v="Coffee Maker"/>
    <x v="2"/>
    <n v="241.16"/>
    <n v="376.37"/>
    <n v="56.455500000000001"/>
    <x v="433"/>
    <n v="241.16"/>
    <x v="432"/>
    <n v="0.24617358700527792"/>
    <n v="2025"/>
    <x v="10"/>
    <s v="juillet"/>
    <s v="Q3"/>
    <x v="2"/>
    <n v="1"/>
  </r>
  <r>
    <x v="2"/>
    <s v="P1017"/>
    <s v="C0066"/>
    <s v="Montreal Central"/>
    <s v="Paypal"/>
    <n v="1"/>
    <s v="Noah Clark"/>
    <s v="Laval"/>
    <s v="Consumer"/>
    <s v="Coffee Maker"/>
    <x v="2"/>
    <n v="241.16"/>
    <n v="1784.25"/>
    <n v="0"/>
    <x v="434"/>
    <n v="1205.8"/>
    <x v="433"/>
    <n v="0.32419784223062914"/>
    <n v="2025"/>
    <x v="2"/>
    <s v="février"/>
    <s v="Q1"/>
    <x v="1"/>
    <n v="0"/>
  </r>
  <r>
    <x v="1"/>
    <s v="P1019"/>
    <s v="C0119"/>
    <s v="Toronto Downtown"/>
    <s v="Credit Card"/>
    <n v="1"/>
    <s v="Liam Chen"/>
    <s v="Winnipeg"/>
    <s v="Consumer"/>
    <s v="Vacuum"/>
    <x v="2"/>
    <n v="186.94"/>
    <n v="1387.6499999999999"/>
    <n v="346.91249999999997"/>
    <x v="435"/>
    <n v="934.7"/>
    <x v="434"/>
    <n v="0.10188688309972486"/>
    <n v="2025"/>
    <x v="3"/>
    <s v="janvier"/>
    <s v="Q1"/>
    <x v="6"/>
    <n v="0"/>
  </r>
  <r>
    <x v="0"/>
    <s v="P1025"/>
    <s v="C0060"/>
    <s v="Toronto Downtown"/>
    <s v="Credit Card"/>
    <n v="1"/>
    <s v="Sarah Wilson"/>
    <s v="Quebec City"/>
    <s v="Corporate"/>
    <s v="Yoga Mat"/>
    <x v="0"/>
    <n v="197.33"/>
    <n v="302.3"/>
    <n v="0"/>
    <x v="436"/>
    <n v="197.33"/>
    <x v="435"/>
    <n v="0.34723784320211709"/>
    <n v="2025"/>
    <x v="6"/>
    <s v="décembre"/>
    <s v="Q4"/>
    <x v="1"/>
    <n v="0"/>
  </r>
  <r>
    <x v="1"/>
    <s v="P1006"/>
    <s v="C0094"/>
    <s v="Toronto Downtown"/>
    <s v="Gift Card"/>
    <n v="1"/>
    <s v="Mia Singh"/>
    <s v="Quebec City"/>
    <s v="Consumer"/>
    <s v="USB-C Hub"/>
    <x v="4"/>
    <n v="72"/>
    <n v="99.22"/>
    <n v="4.9610000000000003"/>
    <x v="437"/>
    <n v="72"/>
    <x v="436"/>
    <n v="0.23614721140686831"/>
    <n v="2025"/>
    <x v="7"/>
    <s v="août"/>
    <s v="Q3"/>
    <x v="1"/>
    <n v="0"/>
  </r>
  <r>
    <x v="1"/>
    <s v="P1026"/>
    <s v="C0060"/>
    <s v="Calgary North"/>
    <s v="Debit Card"/>
    <n v="1"/>
    <s v="Sarah Wilson"/>
    <s v="Quebec City"/>
    <s v="Corporate"/>
    <s v="Resistance Bands"/>
    <x v="0"/>
    <n v="139.19999999999999"/>
    <n v="217.33"/>
    <n v="32.599499999999999"/>
    <x v="438"/>
    <n v="139.19999999999999"/>
    <x v="437"/>
    <n v="0.24646985744097491"/>
    <n v="2025"/>
    <x v="9"/>
    <s v="avril"/>
    <s v="Q2"/>
    <x v="1"/>
    <n v="0"/>
  </r>
  <r>
    <x v="1"/>
    <s v="P1038"/>
    <s v="C0084"/>
    <s v="Online Fulfillment"/>
    <s v="Paypal"/>
    <n v="1"/>
    <s v="Ryan Clark"/>
    <s v="Montreal"/>
    <s v="Corporate"/>
    <s v="Water Bottle"/>
    <x v="1"/>
    <n v="119.16"/>
    <n v="269.99"/>
    <n v="40.4985"/>
    <x v="439"/>
    <n v="119.16"/>
    <x v="438"/>
    <n v="0.48076508280263103"/>
    <n v="2025"/>
    <x v="10"/>
    <s v="juillet"/>
    <s v="Q3"/>
    <x v="1"/>
    <n v="0"/>
  </r>
  <r>
    <x v="0"/>
    <s v="P1026"/>
    <s v="C0089"/>
    <s v="Online Fulfillment"/>
    <s v="Credit Card"/>
    <n v="1"/>
    <s v="Lucas Martin"/>
    <s v="Vancouver"/>
    <s v="Consumer"/>
    <s v="Resistance Bands"/>
    <x v="0"/>
    <n v="139.19999999999999"/>
    <n v="708.68999999999994"/>
    <n v="0"/>
    <x v="440"/>
    <n v="417.59999999999997"/>
    <x v="439"/>
    <n v="0.41074376666807771"/>
    <n v="2025"/>
    <x v="11"/>
    <s v="octobre"/>
    <s v="Q4"/>
    <x v="0"/>
    <n v="0"/>
  </r>
  <r>
    <x v="0"/>
    <s v="P1032"/>
    <s v="C0096"/>
    <s v="Calgary North"/>
    <s v="Credit Card"/>
    <n v="1"/>
    <s v="Ryan Roy"/>
    <s v="Laval"/>
    <s v="Corporate"/>
    <s v="Gym Bag"/>
    <x v="0"/>
    <n v="132.72"/>
    <n v="382.34"/>
    <n v="0"/>
    <x v="441"/>
    <n v="265.44"/>
    <x v="440"/>
    <n v="0.3057488099597217"/>
    <n v="2025"/>
    <x v="9"/>
    <s v="avril"/>
    <s v="Q2"/>
    <x v="1"/>
    <n v="0"/>
  </r>
  <r>
    <x v="0"/>
    <s v="P1030"/>
    <s v="C0025"/>
    <s v="Online Fulfillment"/>
    <s v="Credit Card"/>
    <n v="1"/>
    <s v="Emma Gagnon"/>
    <s v="Surrey"/>
    <s v="Corporate"/>
    <s v="Pull-up Bar"/>
    <x v="0"/>
    <n v="125.4"/>
    <n v="259.19"/>
    <n v="25.919"/>
    <x v="442"/>
    <n v="125.4"/>
    <x v="441"/>
    <n v="0.4624278200033437"/>
    <n v="2025"/>
    <x v="5"/>
    <s v="juin"/>
    <s v="Q2"/>
    <x v="0"/>
    <n v="0"/>
  </r>
  <r>
    <x v="0"/>
    <s v="P1028"/>
    <s v="C0017"/>
    <s v="Calgary North"/>
    <s v="Paypal"/>
    <n v="1"/>
    <s v="Yasmine Khan"/>
    <s v="Mississauga"/>
    <s v="Corporate"/>
    <s v="Foam Roller"/>
    <x v="0"/>
    <n v="212.02"/>
    <n v="365.39"/>
    <n v="54.808499999999995"/>
    <x v="443"/>
    <n v="212.02"/>
    <x v="442"/>
    <n v="0.31734504469841246"/>
    <n v="2025"/>
    <x v="5"/>
    <s v="juin"/>
    <s v="Q2"/>
    <x v="2"/>
    <n v="0"/>
  </r>
  <r>
    <x v="1"/>
    <s v="P1005"/>
    <s v="C0096"/>
    <s v="Toronto Downtown"/>
    <s v="Paypal"/>
    <n v="1"/>
    <s v="Ryan Roy"/>
    <s v="Laval"/>
    <s v="Corporate"/>
    <s v="Portable SSD"/>
    <x v="4"/>
    <n v="131.19"/>
    <n v="245.43"/>
    <n v="49.086000000000006"/>
    <x v="444"/>
    <n v="131.19"/>
    <x v="443"/>
    <n v="0.33183596137391513"/>
    <n v="2025"/>
    <x v="11"/>
    <s v="octobre"/>
    <s v="Q4"/>
    <x v="1"/>
    <n v="1"/>
  </r>
  <r>
    <x v="2"/>
    <s v="P1028"/>
    <s v="C0049"/>
    <s v="Online Fulfillment"/>
    <s v="Credit Card"/>
    <n v="1"/>
    <s v="Olivia Scott"/>
    <s v="Quebec City"/>
    <s v="Consumer"/>
    <s v="Foam Roller"/>
    <x v="0"/>
    <n v="212.02"/>
    <n v="1056.03"/>
    <n v="105.60300000000001"/>
    <x v="445"/>
    <n v="636.06000000000006"/>
    <x v="444"/>
    <n v="0.33076396188239587"/>
    <n v="2025"/>
    <x v="8"/>
    <s v="novembre"/>
    <s v="Q4"/>
    <x v="1"/>
    <n v="0"/>
  </r>
  <r>
    <x v="2"/>
    <s v="P1038"/>
    <s v="C0119"/>
    <s v="Calgary North"/>
    <s v="Credit Card"/>
    <n v="1"/>
    <s v="Liam Chen"/>
    <s v="Winnipeg"/>
    <s v="Consumer"/>
    <s v="Water Bottle"/>
    <x v="1"/>
    <n v="119.16"/>
    <n v="259.24"/>
    <n v="51.848000000000006"/>
    <x v="446"/>
    <n v="119.16"/>
    <x v="445"/>
    <n v="0.42543588952322176"/>
    <n v="2025"/>
    <x v="5"/>
    <s v="juin"/>
    <s v="Q2"/>
    <x v="6"/>
    <n v="0"/>
  </r>
  <r>
    <x v="0"/>
    <s v="P1011"/>
    <s v="C0014"/>
    <s v="Toronto Downtown"/>
    <s v="Paypal"/>
    <n v="1"/>
    <s v="Zoe Scott"/>
    <s v="Montreal"/>
    <s v="Small Business"/>
    <s v="Office Chair"/>
    <x v="3"/>
    <n v="39.26"/>
    <n v="83.23"/>
    <n v="4.1615000000000002"/>
    <x v="447"/>
    <n v="39.26"/>
    <x v="446"/>
    <n v="0.50346851148055172"/>
    <n v="2025"/>
    <x v="7"/>
    <s v="août"/>
    <s v="Q3"/>
    <x v="1"/>
    <n v="0"/>
  </r>
  <r>
    <x v="2"/>
    <s v="P1006"/>
    <s v="C0002"/>
    <s v="Toronto Downtown"/>
    <s v="Credit Card"/>
    <n v="1"/>
    <s v="Ryan Johnson"/>
    <s v="Montreal"/>
    <s v="Small Business"/>
    <s v="USB-C Hub"/>
    <x v="4"/>
    <n v="72"/>
    <n v="437.36"/>
    <n v="87.472000000000008"/>
    <x v="448"/>
    <n v="288"/>
    <x v="447"/>
    <n v="0.1768794585695995"/>
    <n v="2025"/>
    <x v="0"/>
    <s v="septembre"/>
    <s v="Q3"/>
    <x v="1"/>
    <n v="0"/>
  </r>
  <r>
    <x v="0"/>
    <s v="P1019"/>
    <s v="C0034"/>
    <s v="Calgary North"/>
    <s v="Non renseigné"/>
    <n v="1"/>
    <s v="Noah Tremblay"/>
    <s v="Toronto"/>
    <s v="Corporate"/>
    <s v="Vacuum"/>
    <x v="2"/>
    <n v="186.94"/>
    <n v="263.44"/>
    <n v="0"/>
    <x v="449"/>
    <n v="186.94"/>
    <x v="448"/>
    <n v="0.29038870331005162"/>
    <n v="2025"/>
    <x v="11"/>
    <s v="octobre"/>
    <s v="Q4"/>
    <x v="2"/>
    <n v="0"/>
  </r>
  <r>
    <x v="1"/>
    <s v="P1006"/>
    <s v="C0050"/>
    <s v="Online Fulfillment"/>
    <s v="Credit Card"/>
    <n v="1"/>
    <s v="Sarah Singh"/>
    <s v="Mississauga"/>
    <s v="Consumer"/>
    <s v="USB-C Hub"/>
    <x v="4"/>
    <n v="72"/>
    <n v="102.79"/>
    <n v="5.1395000000000008"/>
    <x v="450"/>
    <n v="72"/>
    <x v="449"/>
    <n v="0.26267658639740715"/>
    <n v="2025"/>
    <x v="3"/>
    <s v="janvier"/>
    <s v="Q1"/>
    <x v="2"/>
    <n v="0"/>
  </r>
  <r>
    <x v="1"/>
    <s v="P1039"/>
    <s v="C0028"/>
    <s v="Calgary North"/>
    <s v="Paypal"/>
    <n v="1"/>
    <s v="Mia Clark"/>
    <s v="Victoria"/>
    <s v="Consumer"/>
    <s v="Travel Adapter"/>
    <x v="1"/>
    <n v="229.86"/>
    <n v="334.66"/>
    <n v="66.932000000000002"/>
    <x v="451"/>
    <n v="229.86"/>
    <x v="450"/>
    <n v="0.1414420605988167"/>
    <n v="2025"/>
    <x v="3"/>
    <s v="janvier"/>
    <s v="Q1"/>
    <x v="0"/>
    <n v="0"/>
  </r>
  <r>
    <x v="1"/>
    <s v="P1034"/>
    <s v="C0098"/>
    <s v="Vancouver West"/>
    <s v="Credit Card"/>
    <n v="1"/>
    <s v="Nora Young"/>
    <s v="Winnipeg"/>
    <s v="Consumer"/>
    <s v="Laptop Sleeve"/>
    <x v="1"/>
    <n v="78.95"/>
    <n v="284.42"/>
    <n v="14.221000000000002"/>
    <x v="452"/>
    <n v="157.9"/>
    <x v="451"/>
    <n v="0.41561589791227949"/>
    <n v="2025"/>
    <x v="6"/>
    <s v="décembre"/>
    <s v="Q4"/>
    <x v="6"/>
    <n v="0"/>
  </r>
  <r>
    <x v="1"/>
    <s v="P1029"/>
    <s v="C0021"/>
    <s v="Vancouver West"/>
    <s v="Debit Card"/>
    <n v="1"/>
    <s v="Nora King"/>
    <s v="Halifax"/>
    <s v="Corporate"/>
    <s v="Jump Rope"/>
    <x v="0"/>
    <n v="101"/>
    <n v="203.87"/>
    <n v="0"/>
    <x v="453"/>
    <n v="101"/>
    <x v="452"/>
    <n v="0.50458625594741746"/>
    <n v="2025"/>
    <x v="1"/>
    <s v="mai"/>
    <s v="Q2"/>
    <x v="4"/>
    <n v="0"/>
  </r>
  <r>
    <x v="0"/>
    <s v="P1020"/>
    <s v="C0051"/>
    <s v="Online Fulfillment"/>
    <s v="Paypal"/>
    <n v="1"/>
    <s v="Daniel Brown"/>
    <s v="Vancouver"/>
    <s v="Small Business"/>
    <s v="Blender"/>
    <x v="2"/>
    <n v="37.46"/>
    <n v="266.36"/>
    <n v="39.954000000000001"/>
    <x v="454"/>
    <n v="149.84"/>
    <x v="453"/>
    <n v="0.33818008356668994"/>
    <n v="2025"/>
    <x v="6"/>
    <s v="décembre"/>
    <s v="Q4"/>
    <x v="0"/>
    <n v="0"/>
  </r>
  <r>
    <x v="1"/>
    <s v="P1010"/>
    <s v="C0108"/>
    <s v="Online Fulfillment"/>
    <s v="Credit Card"/>
    <n v="1"/>
    <s v="Noah Lee"/>
    <s v="Surrey"/>
    <s v="Consumer"/>
    <s v="Desk Lamp"/>
    <x v="3"/>
    <n v="127.21"/>
    <n v="421.12"/>
    <n v="21.056000000000001"/>
    <x v="455"/>
    <n v="254.42"/>
    <x v="454"/>
    <n v="0.36405175171972493"/>
    <n v="2025"/>
    <x v="10"/>
    <s v="juillet"/>
    <s v="Q3"/>
    <x v="0"/>
    <n v="0"/>
  </r>
  <r>
    <x v="1"/>
    <s v="P1023"/>
    <s v="C0077"/>
    <s v="Online Fulfillment"/>
    <s v="Credit Card"/>
    <n v="1"/>
    <s v="Amine Taylor"/>
    <s v="Surrey"/>
    <s v="Small Business"/>
    <s v="Toaster"/>
    <x v="2"/>
    <n v="152.88"/>
    <n v="700.64"/>
    <n v="140.12800000000001"/>
    <x v="456"/>
    <n v="305.76"/>
    <x v="455"/>
    <n v="0.45449874400548068"/>
    <n v="2025"/>
    <x v="6"/>
    <s v="décembre"/>
    <s v="Q4"/>
    <x v="0"/>
    <n v="0"/>
  </r>
  <r>
    <x v="1"/>
    <s v="P1030"/>
    <s v="C0020"/>
    <s v="Online Fulfillment"/>
    <s v="Debit Card"/>
    <n v="1"/>
    <s v="Nora Khan"/>
    <s v="Mississauga"/>
    <s v="Consumer"/>
    <s v="Pull-up Bar"/>
    <x v="0"/>
    <n v="125.4"/>
    <n v="757.98"/>
    <n v="189.495"/>
    <x v="457"/>
    <n v="376.20000000000005"/>
    <x v="456"/>
    <n v="0.3382411145412807"/>
    <n v="2025"/>
    <x v="0"/>
    <s v="septembre"/>
    <s v="Q3"/>
    <x v="2"/>
    <n v="0"/>
  </r>
  <r>
    <x v="2"/>
    <s v="P1026"/>
    <s v="C0039"/>
    <s v="Montreal Central"/>
    <s v="Debit Card"/>
    <n v="1"/>
    <s v="Sarah Wilson"/>
    <s v="Halifax"/>
    <s v="Consumer"/>
    <s v="Resistance Bands"/>
    <x v="0"/>
    <n v="139.19999999999999"/>
    <n v="470.66"/>
    <n v="23.533000000000001"/>
    <x v="458"/>
    <n v="278.39999999999998"/>
    <x v="457"/>
    <n v="0.37735811078284254"/>
    <n v="2025"/>
    <x v="0"/>
    <s v="septembre"/>
    <s v="Q3"/>
    <x v="4"/>
    <n v="0"/>
  </r>
  <r>
    <x v="1"/>
    <s v="P1009"/>
    <s v="C0038"/>
    <s v="Toronto Downtown"/>
    <s v="Paypal"/>
    <n v="1"/>
    <s v="Noah Brown"/>
    <s v="Montreal"/>
    <s v="Consumer"/>
    <s v="Notebook"/>
    <x v="3"/>
    <n v="176.13"/>
    <n v="832.89"/>
    <n v="83.289000000000001"/>
    <x v="459"/>
    <n v="528.39"/>
    <x v="458"/>
    <n v="0.29510499585779637"/>
    <n v="2025"/>
    <x v="4"/>
    <s v="mars"/>
    <s v="Q1"/>
    <x v="1"/>
    <n v="0"/>
  </r>
  <r>
    <x v="1"/>
    <s v="P1001"/>
    <s v="C0060"/>
    <s v="Montreal Central"/>
    <s v="Credit Card"/>
    <n v="1"/>
    <s v="Sarah Wilson"/>
    <s v="Quebec City"/>
    <s v="Corporate"/>
    <s v="Headphones"/>
    <x v="4"/>
    <n v="254.6"/>
    <n v="392.21"/>
    <n v="0"/>
    <x v="460"/>
    <n v="254.6"/>
    <x v="459"/>
    <n v="0.35085795874658982"/>
    <n v="2025"/>
    <x v="8"/>
    <s v="novembre"/>
    <s v="Q4"/>
    <x v="1"/>
    <n v="0"/>
  </r>
  <r>
    <x v="0"/>
    <s v="P1004"/>
    <s v="C0044"/>
    <s v="Vancouver West"/>
    <s v="Debit Card"/>
    <n v="1"/>
    <s v="Nora Young"/>
    <s v="Vancouver"/>
    <s v="Corporate"/>
    <s v="Webcam"/>
    <x v="4"/>
    <n v="154.72999999999999"/>
    <n v="279.77"/>
    <n v="0"/>
    <x v="461"/>
    <n v="154.72999999999999"/>
    <x v="460"/>
    <n v="0.44693855667155163"/>
    <n v="2025"/>
    <x v="7"/>
    <s v="août"/>
    <s v="Q3"/>
    <x v="0"/>
    <n v="0"/>
  </r>
  <r>
    <x v="2"/>
    <s v="P1024"/>
    <s v="C0110"/>
    <s v="Montreal Central"/>
    <s v="Debit Card"/>
    <n v="1"/>
    <s v="Sarah Smith"/>
    <s v="Laval"/>
    <s v="Consumer"/>
    <s v="Food Scale"/>
    <x v="2"/>
    <n v="46.07"/>
    <n v="103.89"/>
    <n v="25.9725"/>
    <x v="462"/>
    <n v="46.07"/>
    <x v="461"/>
    <n v="0.40873359643212376"/>
    <n v="2025"/>
    <x v="9"/>
    <s v="avril"/>
    <s v="Q2"/>
    <x v="1"/>
    <n v="0"/>
  </r>
  <r>
    <x v="1"/>
    <s v="P1038"/>
    <s v="C0047"/>
    <s v="Montreal Central"/>
    <s v="Paypal"/>
    <n v="1"/>
    <s v="Amine King"/>
    <s v="Victoria"/>
    <s v="Consumer"/>
    <s v="Water Bottle"/>
    <x v="1"/>
    <n v="119.16"/>
    <n v="273.39"/>
    <n v="27.338999999999999"/>
    <x v="463"/>
    <n v="119.16"/>
    <x v="462"/>
    <n v="0.51571015765024319"/>
    <n v="2025"/>
    <x v="1"/>
    <s v="mai"/>
    <s v="Q2"/>
    <x v="0"/>
    <n v="0"/>
  </r>
  <r>
    <x v="2"/>
    <s v="P1025"/>
    <s v="C0075"/>
    <s v="Vancouver West"/>
    <s v="Gift Card"/>
    <n v="1"/>
    <s v="Amelia Wilson"/>
    <s v="Vancouver"/>
    <s v="Consumer"/>
    <s v="Yoga Mat"/>
    <x v="0"/>
    <n v="197.33"/>
    <n v="295.25"/>
    <n v="29.525000000000002"/>
    <x v="464"/>
    <n v="197.33"/>
    <x v="463"/>
    <n v="0.25739015899896511"/>
    <n v="2025"/>
    <x v="0"/>
    <s v="septembre"/>
    <s v="Q3"/>
    <x v="0"/>
    <n v="0"/>
  </r>
  <r>
    <x v="2"/>
    <s v="P1014"/>
    <s v="C0120"/>
    <s v="Online Fulfillment"/>
    <s v="Debit Card"/>
    <n v="1"/>
    <s v="Ethan King"/>
    <s v="Mississauga"/>
    <s v="Small Business"/>
    <s v="Document Shredder"/>
    <x v="3"/>
    <n v="117.65"/>
    <n v="252.23"/>
    <n v="0"/>
    <x v="465"/>
    <n v="117.65"/>
    <x v="464"/>
    <n v="0.53356063909923479"/>
    <n v="2025"/>
    <x v="3"/>
    <s v="janvier"/>
    <s v="Q1"/>
    <x v="2"/>
    <n v="0"/>
  </r>
  <r>
    <x v="2"/>
    <s v="P1034"/>
    <s v="C0044"/>
    <s v="Vancouver West"/>
    <s v="Debit Card"/>
    <n v="1"/>
    <s v="Nora Young"/>
    <s v="Vancouver"/>
    <s v="Corporate"/>
    <s v="Laptop Sleeve"/>
    <x v="1"/>
    <n v="78.95"/>
    <n v="437.76"/>
    <n v="0"/>
    <x v="466"/>
    <n v="236.85000000000002"/>
    <x v="465"/>
    <n v="0.45895010964912275"/>
    <n v="2025"/>
    <x v="0"/>
    <s v="septembre"/>
    <s v="Q3"/>
    <x v="0"/>
    <n v="0"/>
  </r>
  <r>
    <x v="0"/>
    <s v="P1021"/>
    <s v="C0096"/>
    <s v="Montreal Central"/>
    <s v="Debit Card"/>
    <n v="1"/>
    <s v="Ryan Roy"/>
    <s v="Laval"/>
    <s v="Corporate"/>
    <s v="Kettle"/>
    <x v="2"/>
    <n v="139.86000000000001"/>
    <n v="944.97"/>
    <n v="141.74549999999999"/>
    <x v="467"/>
    <n v="419.58000000000004"/>
    <x v="466"/>
    <n v="0.47763047566402667"/>
    <n v="2025"/>
    <x v="5"/>
    <s v="juin"/>
    <s v="Q2"/>
    <x v="1"/>
    <n v="0"/>
  </r>
  <r>
    <x v="1"/>
    <s v="P1001"/>
    <s v="C0045"/>
    <s v="Calgary North"/>
    <s v="Paypal"/>
    <n v="1"/>
    <s v="Lucas Chen"/>
    <s v="Ottawa"/>
    <s v="Corporate"/>
    <s v="Headphones"/>
    <x v="4"/>
    <n v="254.6"/>
    <n v="380.08"/>
    <n v="0"/>
    <x v="468"/>
    <n v="254.6"/>
    <x v="467"/>
    <n v="0.33014102294253839"/>
    <n v="2025"/>
    <x v="2"/>
    <s v="février"/>
    <s v="Q1"/>
    <x v="2"/>
    <n v="0"/>
  </r>
  <r>
    <x v="0"/>
    <s v="P1021"/>
    <s v="C0003"/>
    <s v="Calgary North"/>
    <s v="Debit Card"/>
    <n v="1"/>
    <s v="Amelia Young"/>
    <s v="Ottawa"/>
    <s v="Corporate"/>
    <s v="Kettle"/>
    <x v="2"/>
    <n v="139.86000000000001"/>
    <n v="1242.5999999999999"/>
    <n v="124.25999999999999"/>
    <x v="469"/>
    <n v="559.44000000000005"/>
    <x v="468"/>
    <n v="0.49975857073877344"/>
    <n v="2025"/>
    <x v="1"/>
    <s v="mai"/>
    <s v="Q2"/>
    <x v="2"/>
    <n v="0"/>
  </r>
  <r>
    <x v="1"/>
    <s v="P1022"/>
    <s v="C0117"/>
    <s v="Online Fulfillment"/>
    <s v="Credit Card"/>
    <n v="1"/>
    <s v="Ethan Hall"/>
    <s v="Vancouver"/>
    <s v="Consumer"/>
    <s v="Humidifier"/>
    <x v="2"/>
    <n v="239.67"/>
    <n v="881.52"/>
    <n v="176.304"/>
    <x v="470"/>
    <n v="479.34"/>
    <x v="469"/>
    <n v="0.32029335692894095"/>
    <n v="2025"/>
    <x v="1"/>
    <s v="mai"/>
    <s v="Q2"/>
    <x v="0"/>
    <n v="0"/>
  </r>
  <r>
    <x v="2"/>
    <s v="P1008"/>
    <s v="C0037"/>
    <s v="Online Fulfillment"/>
    <s v="Gift Card"/>
    <n v="1"/>
    <s v="Lucas Scott"/>
    <s v="Victoria"/>
    <s v="Small Business"/>
    <s v="Smart Speaker"/>
    <x v="4"/>
    <n v="69"/>
    <n v="133.57"/>
    <n v="20.035499999999999"/>
    <x v="471"/>
    <n v="69"/>
    <x v="470"/>
    <n v="0.39225521757703602"/>
    <n v="2025"/>
    <x v="8"/>
    <s v="novembre"/>
    <s v="Q4"/>
    <x v="0"/>
    <n v="0"/>
  </r>
  <r>
    <x v="1"/>
    <s v="P1020"/>
    <s v="C0074"/>
    <s v="Montreal Central"/>
    <s v="Credit Card"/>
    <n v="1"/>
    <s v="Sophia Chen"/>
    <s v="Vancouver"/>
    <s v="Corporate"/>
    <s v="Blender"/>
    <x v="2"/>
    <n v="37.46"/>
    <n v="68.52"/>
    <n v="6.8520000000000003"/>
    <x v="472"/>
    <n v="37.46"/>
    <x v="471"/>
    <n v="0.3925536745151455"/>
    <n v="2025"/>
    <x v="2"/>
    <s v="février"/>
    <s v="Q1"/>
    <x v="0"/>
    <n v="0"/>
  </r>
  <r>
    <x v="2"/>
    <s v="P1025"/>
    <s v="C0064"/>
    <s v="Toronto Downtown"/>
    <s v="Credit Card"/>
    <n v="1"/>
    <s v="Amine Khan"/>
    <s v="Edmonton"/>
    <s v="Consumer"/>
    <s v="Yoga Mat"/>
    <x v="0"/>
    <n v="197.33"/>
    <n v="294.06"/>
    <n v="44.109000000000002"/>
    <x v="473"/>
    <n v="197.33"/>
    <x v="472"/>
    <n v="0.21052526295153842"/>
    <n v="2025"/>
    <x v="5"/>
    <s v="juin"/>
    <s v="Q2"/>
    <x v="3"/>
    <n v="0"/>
  </r>
  <r>
    <x v="0"/>
    <s v="P1006"/>
    <s v="C0094"/>
    <s v="Toronto Downtown"/>
    <s v="Debit Card"/>
    <n v="1"/>
    <s v="Mia Singh"/>
    <s v="Quebec City"/>
    <s v="Consumer"/>
    <s v="USB-C Hub"/>
    <x v="4"/>
    <n v="72"/>
    <n v="333.9"/>
    <n v="66.78"/>
    <x v="474"/>
    <n v="216"/>
    <x v="473"/>
    <n v="0.19137466307277629"/>
    <n v="2025"/>
    <x v="7"/>
    <s v="août"/>
    <s v="Q3"/>
    <x v="1"/>
    <n v="0"/>
  </r>
  <r>
    <x v="1"/>
    <s v="P1022"/>
    <s v="C0001"/>
    <s v="Vancouver West"/>
    <s v="Debit Card"/>
    <n v="1"/>
    <s v="Ethan Roy"/>
    <s v="Halifax"/>
    <s v="Consumer"/>
    <s v="Humidifier"/>
    <x v="2"/>
    <n v="239.67"/>
    <n v="803.36"/>
    <n v="80.336000000000013"/>
    <x v="475"/>
    <n v="479.34"/>
    <x v="474"/>
    <n v="0.3370344552877913"/>
    <n v="2025"/>
    <x v="8"/>
    <s v="novembre"/>
    <s v="Q4"/>
    <x v="4"/>
    <n v="0"/>
  </r>
  <r>
    <x v="0"/>
    <s v="P1016"/>
    <s v="C0063"/>
    <s v="Online Fulfillment"/>
    <s v="Paypal"/>
    <n v="1"/>
    <s v="Adam Singh"/>
    <s v="Laval"/>
    <s v="Small Business"/>
    <s v="Printer"/>
    <x v="3"/>
    <n v="156.75"/>
    <n v="989.37000000000012"/>
    <n v="98.937000000000012"/>
    <x v="476"/>
    <n v="470.25"/>
    <x v="475"/>
    <n v="0.47188614977207727"/>
    <n v="2025"/>
    <x v="9"/>
    <s v="avril"/>
    <s v="Q2"/>
    <x v="1"/>
    <n v="0"/>
  </r>
  <r>
    <x v="0"/>
    <s v="P1032"/>
    <s v="C0041"/>
    <s v="Online Fulfillment"/>
    <s v="Credit Card"/>
    <n v="1"/>
    <s v="Amine Chen"/>
    <s v="Halifax"/>
    <s v="Small Business"/>
    <s v="Gym Bag"/>
    <x v="0"/>
    <n v="132.72"/>
    <n v="202.81"/>
    <n v="30.421499999999998"/>
    <x v="477"/>
    <n v="132.72"/>
    <x v="476"/>
    <n v="0.23011105729210474"/>
    <n v="2025"/>
    <x v="5"/>
    <s v="juin"/>
    <s v="Q2"/>
    <x v="4"/>
    <n v="0"/>
  </r>
  <r>
    <x v="0"/>
    <s v="P1008"/>
    <s v="C0033"/>
    <s v="Vancouver West"/>
    <s v="Credit Card"/>
    <n v="1"/>
    <s v="Maya Hall"/>
    <s v="Winnipeg"/>
    <s v="Consumer"/>
    <s v="Smart Speaker"/>
    <x v="4"/>
    <n v="69"/>
    <n v="257.72000000000003"/>
    <n v="0"/>
    <x v="478"/>
    <n v="138"/>
    <x v="477"/>
    <n v="0.46453515443116566"/>
    <n v="2025"/>
    <x v="11"/>
    <s v="octobre"/>
    <s v="Q4"/>
    <x v="6"/>
    <n v="1"/>
  </r>
  <r>
    <x v="0"/>
    <s v="P1026"/>
    <s v="C0116"/>
    <s v="Vancouver West"/>
    <s v="Credit Card"/>
    <n v="1"/>
    <s v="Lucas Brown"/>
    <s v="Mississauga"/>
    <s v="Corporate"/>
    <s v="Resistance Bands"/>
    <x v="0"/>
    <n v="139.19999999999999"/>
    <n v="446.2"/>
    <n v="111.55"/>
    <x v="479"/>
    <n v="278.39999999999998"/>
    <x v="478"/>
    <n v="0.16808606006275215"/>
    <n v="2025"/>
    <x v="4"/>
    <s v="mars"/>
    <s v="Q1"/>
    <x v="2"/>
    <n v="0"/>
  </r>
  <r>
    <x v="1"/>
    <s v="P1031"/>
    <s v="C0099"/>
    <s v="Toronto Downtown"/>
    <s v="Paypal"/>
    <n v="1"/>
    <s v="Amine Gagnon"/>
    <s v="Laval"/>
    <s v="Small Business"/>
    <s v="Dumbbell Set"/>
    <x v="0"/>
    <n v="131.72999999999999"/>
    <n v="509.26"/>
    <n v="50.926000000000002"/>
    <x v="480"/>
    <n v="263.45999999999998"/>
    <x v="479"/>
    <n v="0.42517901792142854"/>
    <n v="2025"/>
    <x v="9"/>
    <s v="avril"/>
    <s v="Q2"/>
    <x v="1"/>
    <n v="0"/>
  </r>
  <r>
    <x v="0"/>
    <s v="P1001"/>
    <s v="C0014"/>
    <s v="Vancouver West"/>
    <s v="Credit Card"/>
    <n v="1"/>
    <s v="Zoe Scott"/>
    <s v="Montreal"/>
    <s v="Small Business"/>
    <s v="Headphones"/>
    <x v="4"/>
    <n v="254.6"/>
    <n v="751.1"/>
    <n v="37.555"/>
    <x v="481"/>
    <n v="509.2"/>
    <x v="480"/>
    <n v="0.28637997603514853"/>
    <n v="2025"/>
    <x v="1"/>
    <s v="mai"/>
    <s v="Q2"/>
    <x v="1"/>
    <n v="0"/>
  </r>
  <r>
    <x v="1"/>
    <s v="P1029"/>
    <s v="C0066"/>
    <s v="Montreal Central"/>
    <s v="Credit Card"/>
    <n v="1"/>
    <s v="Noah Clark"/>
    <s v="Laval"/>
    <s v="Consumer"/>
    <s v="Jump Rope"/>
    <x v="0"/>
    <n v="101"/>
    <n v="381.32"/>
    <n v="0"/>
    <x v="482"/>
    <n v="202"/>
    <x v="481"/>
    <n v="0.47026119794398402"/>
    <n v="2025"/>
    <x v="10"/>
    <s v="juillet"/>
    <s v="Q3"/>
    <x v="1"/>
    <n v="0"/>
  </r>
  <r>
    <x v="2"/>
    <s v="P1014"/>
    <s v="C0064"/>
    <s v="Calgary North"/>
    <s v="Gift Card"/>
    <n v="1"/>
    <s v="Amine Khan"/>
    <s v="Edmonton"/>
    <s v="Consumer"/>
    <s v="Document Shredder"/>
    <x v="3"/>
    <n v="117.65"/>
    <n v="229.48"/>
    <n v="22.948"/>
    <x v="483"/>
    <n v="117.65"/>
    <x v="482"/>
    <n v="0.43035461817054976"/>
    <n v="2025"/>
    <x v="1"/>
    <s v="mai"/>
    <s v="Q2"/>
    <x v="3"/>
    <n v="0"/>
  </r>
  <r>
    <x v="1"/>
    <s v="P1026"/>
    <s v="C0088"/>
    <s v="Online Fulfillment"/>
    <s v="Paypal"/>
    <n v="1"/>
    <s v="Olivia Bennett"/>
    <s v="Vancouver"/>
    <s v="Small Business"/>
    <s v="Resistance Bands"/>
    <x v="0"/>
    <n v="139.19999999999999"/>
    <n v="231.28"/>
    <n v="0"/>
    <x v="484"/>
    <n v="139.19999999999999"/>
    <x v="483"/>
    <n v="0.39813213420961613"/>
    <n v="2025"/>
    <x v="2"/>
    <s v="février"/>
    <s v="Q1"/>
    <x v="0"/>
    <n v="1"/>
  </r>
  <r>
    <x v="0"/>
    <s v="P1013"/>
    <s v="C0059"/>
    <s v="Online Fulfillment"/>
    <s v="Non renseigné"/>
    <n v="1"/>
    <s v="Lucas Chen"/>
    <s v="Vancouver"/>
    <s v="Corporate"/>
    <s v="Whiteboard"/>
    <x v="3"/>
    <n v="85.73"/>
    <n v="243.02"/>
    <n v="24.302000000000003"/>
    <x v="485"/>
    <n v="171.46"/>
    <x v="484"/>
    <n v="0.21606817911648793"/>
    <n v="2025"/>
    <x v="10"/>
    <s v="juillet"/>
    <s v="Q3"/>
    <x v="0"/>
    <n v="0"/>
  </r>
  <r>
    <x v="0"/>
    <s v="P1009"/>
    <s v="C0111"/>
    <s v="Vancouver West"/>
    <s v="Credit Card"/>
    <n v="1"/>
    <s v="Noah Khan"/>
    <s v="Halifax"/>
    <s v="Consumer"/>
    <s v="Notebook"/>
    <x v="3"/>
    <n v="176.13"/>
    <n v="296.25"/>
    <n v="59.25"/>
    <x v="486"/>
    <n v="176.13"/>
    <x v="485"/>
    <n v="0.25683544303797468"/>
    <n v="2025"/>
    <x v="1"/>
    <s v="mai"/>
    <s v="Q2"/>
    <x v="4"/>
    <n v="0"/>
  </r>
  <r>
    <x v="0"/>
    <s v="P1030"/>
    <s v="C0045"/>
    <s v="Calgary North"/>
    <s v="Paypal"/>
    <n v="1"/>
    <s v="Lucas Chen"/>
    <s v="Ottawa"/>
    <s v="Corporate"/>
    <s v="Pull-up Bar"/>
    <x v="0"/>
    <n v="125.4"/>
    <n v="476.76"/>
    <n v="71.513999999999996"/>
    <x v="487"/>
    <n v="250.8"/>
    <x v="486"/>
    <n v="0.38111665506877296"/>
    <n v="2025"/>
    <x v="7"/>
    <s v="août"/>
    <s v="Q3"/>
    <x v="2"/>
    <n v="0"/>
  </r>
  <r>
    <x v="2"/>
    <s v="P1025"/>
    <s v="C0103"/>
    <s v="Calgary North"/>
    <s v="Debit Card"/>
    <n v="1"/>
    <s v="Zoe Singh"/>
    <s v="Saskatoon"/>
    <s v="Corporate"/>
    <s v="Yoga Mat"/>
    <x v="0"/>
    <n v="197.33"/>
    <n v="295.45"/>
    <n v="59.09"/>
    <x v="488"/>
    <n v="197.33"/>
    <x v="487"/>
    <n v="0.16512946353020805"/>
    <n v="2025"/>
    <x v="10"/>
    <s v="juillet"/>
    <s v="Q3"/>
    <x v="5"/>
    <n v="0"/>
  </r>
  <r>
    <x v="1"/>
    <s v="P1022"/>
    <s v="C0046"/>
    <s v="Montreal Central"/>
    <s v="Non renseigné"/>
    <n v="1"/>
    <s v="Amelia Bennett"/>
    <s v="Laval"/>
    <s v="Consumer"/>
    <s v="Humidifier"/>
    <x v="2"/>
    <n v="239.67"/>
    <n v="420.77"/>
    <n v="21.038499999999999"/>
    <x v="489"/>
    <n v="239.67"/>
    <x v="488"/>
    <n v="0.40042253362569624"/>
    <n v="2025"/>
    <x v="10"/>
    <s v="juillet"/>
    <s v="Q3"/>
    <x v="1"/>
    <n v="0"/>
  </r>
  <r>
    <x v="1"/>
    <s v="P1035"/>
    <s v="C0042"/>
    <s v="Toronto Downtown"/>
    <s v="Credit Card"/>
    <n v="1"/>
    <s v="Emma King"/>
    <s v="Quebec City"/>
    <s v="Consumer"/>
    <s v="Phone Stand"/>
    <x v="1"/>
    <n v="59.85"/>
    <n v="176.18"/>
    <n v="0"/>
    <x v="490"/>
    <n v="119.7"/>
    <x v="489"/>
    <n v="0.32058122374843911"/>
    <n v="2025"/>
    <x v="2"/>
    <s v="février"/>
    <s v="Q1"/>
    <x v="1"/>
    <n v="0"/>
  </r>
  <r>
    <x v="0"/>
    <s v="P1004"/>
    <s v="C0012"/>
    <s v="Calgary North"/>
    <s v="Paypal"/>
    <n v="1"/>
    <s v="Daniel Taylor"/>
    <s v="Victoria"/>
    <s v="Corporate"/>
    <s v="Webcam"/>
    <x v="4"/>
    <n v="154.72999999999999"/>
    <n v="822.69"/>
    <n v="0"/>
    <x v="491"/>
    <n v="464.18999999999994"/>
    <x v="490"/>
    <n v="0.43576559822047195"/>
    <n v="2025"/>
    <x v="7"/>
    <s v="août"/>
    <s v="Q3"/>
    <x v="0"/>
    <n v="1"/>
  </r>
  <r>
    <x v="1"/>
    <s v="P1007"/>
    <s v="C0030"/>
    <s v="Toronto Downtown"/>
    <s v="Credit Card"/>
    <n v="1"/>
    <s v="Emma Lee"/>
    <s v="Calgary"/>
    <s v="Corporate"/>
    <s v="Monitor"/>
    <x v="4"/>
    <n v="224.47"/>
    <n v="360.8"/>
    <n v="0"/>
    <x v="492"/>
    <n v="224.47"/>
    <x v="491"/>
    <n v="0.37785476718403549"/>
    <n v="2025"/>
    <x v="2"/>
    <s v="février"/>
    <s v="Q1"/>
    <x v="3"/>
    <n v="0"/>
  </r>
  <r>
    <x v="1"/>
    <s v="P1023"/>
    <s v="C0059"/>
    <s v="Toronto Downtown"/>
    <s v="Credit Card"/>
    <n v="1"/>
    <s v="Lucas Chen"/>
    <s v="Vancouver"/>
    <s v="Corporate"/>
    <s v="Toaster"/>
    <x v="2"/>
    <n v="152.88"/>
    <n v="345.91"/>
    <n v="69.182000000000002"/>
    <x v="493"/>
    <n v="152.88"/>
    <x v="492"/>
    <n v="0.44754415888525922"/>
    <n v="2025"/>
    <x v="5"/>
    <s v="juin"/>
    <s v="Q2"/>
    <x v="0"/>
    <n v="0"/>
  </r>
  <r>
    <x v="1"/>
    <s v="P1032"/>
    <s v="C0064"/>
    <s v="Toronto Downtown"/>
    <s v="Credit Card"/>
    <n v="1"/>
    <s v="Amine Khan"/>
    <s v="Edmonton"/>
    <s v="Consumer"/>
    <s v="Gym Bag"/>
    <x v="0"/>
    <n v="132.72"/>
    <n v="404.18"/>
    <n v="20.209000000000003"/>
    <x v="494"/>
    <n v="265.44"/>
    <x v="493"/>
    <n v="0.30869779228118793"/>
    <n v="2025"/>
    <x v="0"/>
    <s v="septembre"/>
    <s v="Q3"/>
    <x v="3"/>
    <n v="0"/>
  </r>
  <r>
    <x v="0"/>
    <s v="P1026"/>
    <s v="C0035"/>
    <s v="Toronto Downtown"/>
    <s v="Credit Card"/>
    <n v="1"/>
    <s v="Amelia Scott"/>
    <s v="Edmonton"/>
    <s v="Small Business"/>
    <s v="Resistance Bands"/>
    <x v="0"/>
    <n v="139.19999999999999"/>
    <n v="460.58"/>
    <n v="115.145"/>
    <x v="495"/>
    <n v="278.39999999999998"/>
    <x v="494"/>
    <n v="0.19405966390203663"/>
    <n v="2025"/>
    <x v="7"/>
    <s v="août"/>
    <s v="Q3"/>
    <x v="3"/>
    <n v="0"/>
  </r>
  <r>
    <x v="0"/>
    <s v="P1008"/>
    <s v="C0088"/>
    <s v="Montreal Central"/>
    <s v="Credit Card"/>
    <n v="1"/>
    <s v="Olivia Bennett"/>
    <s v="Vancouver"/>
    <s v="Small Business"/>
    <s v="Smart Speaker"/>
    <x v="4"/>
    <n v="69"/>
    <n v="262.8"/>
    <n v="0"/>
    <x v="496"/>
    <n v="138"/>
    <x v="495"/>
    <n v="0.47488584474885848"/>
    <n v="2025"/>
    <x v="3"/>
    <s v="janvier"/>
    <s v="Q1"/>
    <x v="0"/>
    <n v="0"/>
  </r>
  <r>
    <x v="0"/>
    <s v="P1035"/>
    <s v="C0108"/>
    <s v="Vancouver West"/>
    <s v="Paypal"/>
    <n v="1"/>
    <s v="Noah Lee"/>
    <s v="Surrey"/>
    <s v="Consumer"/>
    <s v="Phone Stand"/>
    <x v="1"/>
    <n v="59.85"/>
    <n v="170.5"/>
    <n v="0"/>
    <x v="497"/>
    <n v="119.7"/>
    <x v="496"/>
    <n v="0.2979472140762463"/>
    <n v="2025"/>
    <x v="11"/>
    <s v="octobre"/>
    <s v="Q4"/>
    <x v="0"/>
    <n v="0"/>
  </r>
  <r>
    <x v="1"/>
    <s v="P1040"/>
    <s v="C0037"/>
    <s v="Vancouver West"/>
    <s v="Paypal"/>
    <n v="1"/>
    <s v="Lucas Scott"/>
    <s v="Victoria"/>
    <s v="Small Business"/>
    <s v="Desk Pad"/>
    <x v="1"/>
    <n v="177.57"/>
    <n v="875.16000000000008"/>
    <n v="87.51600000000002"/>
    <x v="498"/>
    <n v="532.71"/>
    <x v="497"/>
    <n v="0.32366652954888248"/>
    <n v="2025"/>
    <x v="11"/>
    <s v="octobre"/>
    <s v="Q4"/>
    <x v="0"/>
    <n v="0"/>
  </r>
  <r>
    <x v="1"/>
    <s v="P1004"/>
    <s v="C0081"/>
    <s v="Toronto Downtown"/>
    <s v="Debit Card"/>
    <n v="1"/>
    <s v="Yasmine Bennett"/>
    <s v="Saskatoon"/>
    <s v="Small Business"/>
    <s v="Webcam"/>
    <x v="4"/>
    <n v="154.72999999999999"/>
    <n v="282.05"/>
    <n v="56.410000000000004"/>
    <x v="499"/>
    <n v="154.72999999999999"/>
    <x v="498"/>
    <n v="0.31426165573479886"/>
    <n v="2025"/>
    <x v="4"/>
    <s v="mars"/>
    <s v="Q1"/>
    <x v="5"/>
    <n v="0"/>
  </r>
  <r>
    <x v="2"/>
    <s v="P1014"/>
    <s v="C0031"/>
    <s v="Vancouver West"/>
    <s v="Paypal"/>
    <n v="1"/>
    <s v="Leo Gagnon"/>
    <s v="Surrey"/>
    <s v="Small Business"/>
    <s v="Document Shredder"/>
    <x v="3"/>
    <n v="117.65"/>
    <n v="230.73"/>
    <n v="23.073"/>
    <x v="500"/>
    <n v="117.65"/>
    <x v="499"/>
    <n v="0.43344072195977013"/>
    <n v="2025"/>
    <x v="1"/>
    <s v="mai"/>
    <s v="Q2"/>
    <x v="0"/>
    <n v="0"/>
  </r>
  <r>
    <x v="0"/>
    <s v="P1025"/>
    <s v="C0058"/>
    <s v="Online Fulfillment"/>
    <s v="Debit Card"/>
    <n v="1"/>
    <s v="Mia Singh"/>
    <s v="Laval"/>
    <s v="Consumer"/>
    <s v="Yoga Mat"/>
    <x v="0"/>
    <n v="197.33"/>
    <n v="326.2"/>
    <n v="0"/>
    <x v="501"/>
    <n v="197.33"/>
    <x v="500"/>
    <n v="0.39506437768240338"/>
    <n v="2025"/>
    <x v="1"/>
    <s v="mai"/>
    <s v="Q2"/>
    <x v="1"/>
    <n v="0"/>
  </r>
  <r>
    <x v="0"/>
    <s v="P1028"/>
    <s v="C0026"/>
    <s v="Montreal Central"/>
    <s v="Credit Card"/>
    <n v="1"/>
    <s v="Adam Hall"/>
    <s v="Surrey"/>
    <s v="Corporate"/>
    <s v="Foam Roller"/>
    <x v="0"/>
    <n v="212.02"/>
    <n v="353.25"/>
    <n v="70.650000000000006"/>
    <x v="502"/>
    <n v="212.02"/>
    <x v="501"/>
    <n v="0.24975230007077143"/>
    <n v="2025"/>
    <x v="7"/>
    <s v="août"/>
    <s v="Q3"/>
    <x v="0"/>
    <n v="0"/>
  </r>
  <r>
    <x v="0"/>
    <s v="P1030"/>
    <s v="C0067"/>
    <s v="Calgary North"/>
    <s v="Credit Card"/>
    <n v="1"/>
    <s v="Leo Bennett"/>
    <s v="Mississauga"/>
    <s v="Consumer"/>
    <s v="Pull-up Bar"/>
    <x v="0"/>
    <n v="125.4"/>
    <n v="247.11"/>
    <n v="24.711000000000002"/>
    <x v="503"/>
    <n v="125.4"/>
    <x v="502"/>
    <n v="0.43614854383338053"/>
    <n v="2025"/>
    <x v="7"/>
    <s v="août"/>
    <s v="Q3"/>
    <x v="2"/>
    <n v="0"/>
  </r>
  <r>
    <x v="0"/>
    <s v="P1036"/>
    <s v="C0001"/>
    <s v="Toronto Downtown"/>
    <s v="Credit Card"/>
    <n v="1"/>
    <s v="Ethan Roy"/>
    <s v="Halifax"/>
    <s v="Consumer"/>
    <s v="Power Bank"/>
    <x v="1"/>
    <n v="76.97"/>
    <n v="161.33000000000001"/>
    <n v="8.0665000000000013"/>
    <x v="504"/>
    <n v="76.97"/>
    <x v="503"/>
    <n v="0.49779301660212649"/>
    <n v="2025"/>
    <x v="6"/>
    <s v="décembre"/>
    <s v="Q4"/>
    <x v="4"/>
    <n v="0"/>
  </r>
  <r>
    <x v="0"/>
    <s v="P1033"/>
    <s v="C0063"/>
    <s v="Vancouver West"/>
    <s v="Credit Card"/>
    <n v="1"/>
    <s v="Adam Singh"/>
    <s v="Laval"/>
    <s v="Small Business"/>
    <s v="Backpack"/>
    <x v="1"/>
    <n v="152.55000000000001"/>
    <n v="1199.5999999999999"/>
    <n v="59.98"/>
    <x v="505"/>
    <n v="610.20000000000005"/>
    <x v="504"/>
    <n v="0.46455836155911612"/>
    <n v="2025"/>
    <x v="11"/>
    <s v="octobre"/>
    <s v="Q4"/>
    <x v="1"/>
    <n v="0"/>
  </r>
  <r>
    <x v="0"/>
    <s v="P1032"/>
    <s v="C0093"/>
    <s v="Calgary North"/>
    <s v="Debit Card"/>
    <n v="1"/>
    <s v="Ethan Roy"/>
    <s v="Winnipeg"/>
    <s v="Consumer"/>
    <s v="Gym Bag"/>
    <x v="0"/>
    <n v="132.72"/>
    <n v="409.98"/>
    <n v="0"/>
    <x v="506"/>
    <n v="265.44"/>
    <x v="505"/>
    <n v="0.35255378311137131"/>
    <n v="2025"/>
    <x v="7"/>
    <s v="août"/>
    <s v="Q3"/>
    <x v="6"/>
    <n v="0"/>
  </r>
  <r>
    <x v="0"/>
    <s v="P1016"/>
    <s v="C0056"/>
    <s v="Toronto Downtown"/>
    <s v="Paypal"/>
    <n v="1"/>
    <s v="Sarah Wilson"/>
    <s v="Halifax"/>
    <s v="Consumer"/>
    <s v="Printer"/>
    <x v="3"/>
    <n v="156.75"/>
    <n v="675.84"/>
    <n v="67.584000000000003"/>
    <x v="507"/>
    <n v="313.5"/>
    <x v="506"/>
    <n v="0.48459201388888895"/>
    <n v="2025"/>
    <x v="6"/>
    <s v="décembre"/>
    <s v="Q4"/>
    <x v="4"/>
    <n v="0"/>
  </r>
  <r>
    <x v="0"/>
    <s v="P1038"/>
    <s v="C0118"/>
    <s v="Toronto Downtown"/>
    <s v="Debit Card"/>
    <n v="1"/>
    <s v="Ryan Smith"/>
    <s v="Victoria"/>
    <s v="Small Business"/>
    <s v="Water Bottle"/>
    <x v="1"/>
    <n v="119.16"/>
    <n v="249.77"/>
    <n v="0"/>
    <x v="508"/>
    <n v="119.16"/>
    <x v="507"/>
    <n v="0.52292108740040844"/>
    <n v="2025"/>
    <x v="7"/>
    <s v="août"/>
    <s v="Q3"/>
    <x v="0"/>
    <n v="0"/>
  </r>
  <r>
    <x v="1"/>
    <s v="P1034"/>
    <s v="C0098"/>
    <s v="Vancouver West"/>
    <s v="Paypal"/>
    <n v="1"/>
    <s v="Nora Young"/>
    <s v="Winnipeg"/>
    <s v="Consumer"/>
    <s v="Laptop Sleeve"/>
    <x v="1"/>
    <n v="78.95"/>
    <n v="139.44"/>
    <n v="0"/>
    <x v="509"/>
    <n v="78.95"/>
    <x v="508"/>
    <n v="0.43380665519219735"/>
    <n v="2025"/>
    <x v="9"/>
    <s v="avril"/>
    <s v="Q2"/>
    <x v="6"/>
    <n v="0"/>
  </r>
  <r>
    <x v="0"/>
    <s v="P1029"/>
    <s v="C0016"/>
    <s v="Montreal Central"/>
    <s v="Paypal"/>
    <n v="1"/>
    <s v="Nora Singh"/>
    <s v="Calgary"/>
    <s v="Consumer"/>
    <s v="Jump Rope"/>
    <x v="0"/>
    <n v="101"/>
    <n v="399.24"/>
    <n v="59.885999999999996"/>
    <x v="510"/>
    <n v="202"/>
    <x v="509"/>
    <n v="0.40475138056424864"/>
    <n v="2025"/>
    <x v="8"/>
    <s v="novembre"/>
    <s v="Q4"/>
    <x v="3"/>
    <n v="0"/>
  </r>
  <r>
    <x v="1"/>
    <s v="P1021"/>
    <s v="C0006"/>
    <s v="Montreal Central"/>
    <s v="Credit Card"/>
    <n v="1"/>
    <s v="Nora Wilson"/>
    <s v="Laval"/>
    <s v="Consumer"/>
    <s v="Kettle"/>
    <x v="2"/>
    <n v="139.86000000000001"/>
    <n v="316.77999999999997"/>
    <n v="0"/>
    <x v="511"/>
    <n v="139.86000000000001"/>
    <x v="510"/>
    <n v="0.55849485447313585"/>
    <n v="2025"/>
    <x v="11"/>
    <s v="octobre"/>
    <s v="Q4"/>
    <x v="1"/>
    <n v="0"/>
  </r>
  <r>
    <x v="1"/>
    <s v="P1004"/>
    <s v="C0093"/>
    <s v="Online Fulfillment"/>
    <s v="Debit Card"/>
    <n v="1"/>
    <s v="Ethan Roy"/>
    <s v="Winnipeg"/>
    <s v="Consumer"/>
    <s v="Webcam"/>
    <x v="4"/>
    <n v="154.72999999999999"/>
    <n v="277.89999999999998"/>
    <n v="27.79"/>
    <x v="512"/>
    <n v="154.72999999999999"/>
    <x v="511"/>
    <n v="0.38135220502978689"/>
    <n v="2025"/>
    <x v="10"/>
    <s v="juillet"/>
    <s v="Q3"/>
    <x v="6"/>
    <n v="1"/>
  </r>
  <r>
    <x v="1"/>
    <s v="P1025"/>
    <s v="C0045"/>
    <s v="Calgary North"/>
    <s v="Credit Card"/>
    <n v="1"/>
    <s v="Lucas Chen"/>
    <s v="Ottawa"/>
    <s v="Corporate"/>
    <s v="Yoga Mat"/>
    <x v="0"/>
    <n v="197.33"/>
    <n v="972.59999999999991"/>
    <n v="243.14999999999998"/>
    <x v="513"/>
    <n v="591.99"/>
    <x v="512"/>
    <n v="0.18844334772773999"/>
    <n v="2025"/>
    <x v="8"/>
    <s v="novembre"/>
    <s v="Q4"/>
    <x v="2"/>
    <n v="0"/>
  </r>
  <r>
    <x v="1"/>
    <s v="P1010"/>
    <s v="C0068"/>
    <s v="Calgary North"/>
    <s v="Credit Card"/>
    <n v="1"/>
    <s v="Yasmine Martin"/>
    <s v="Calgary"/>
    <s v="Consumer"/>
    <s v="Desk Lamp"/>
    <x v="3"/>
    <n v="127.21"/>
    <n v="226.49"/>
    <n v="22.649000000000001"/>
    <x v="514"/>
    <n v="127.21"/>
    <x v="513"/>
    <n v="0.37593516515323222"/>
    <n v="2025"/>
    <x v="3"/>
    <s v="janvier"/>
    <s v="Q1"/>
    <x v="3"/>
    <n v="0"/>
  </r>
  <r>
    <x v="1"/>
    <s v="P1007"/>
    <s v="C0071"/>
    <s v="Montreal Central"/>
    <s v="Credit Card"/>
    <n v="1"/>
    <s v="Ethan Lee"/>
    <s v="Surrey"/>
    <s v="Consumer"/>
    <s v="Monitor"/>
    <x v="4"/>
    <n v="224.47"/>
    <n v="1496.52"/>
    <n v="74.826000000000008"/>
    <x v="515"/>
    <n v="897.88"/>
    <x v="514"/>
    <n v="0.36844356099132441"/>
    <n v="2025"/>
    <x v="8"/>
    <s v="novembre"/>
    <s v="Q4"/>
    <x v="0"/>
    <n v="0"/>
  </r>
  <r>
    <x v="2"/>
    <s v="P1020"/>
    <s v="C0118"/>
    <s v="Online Fulfillment"/>
    <s v="Debit Card"/>
    <n v="1"/>
    <s v="Ryan Smith"/>
    <s v="Victoria"/>
    <s v="Small Business"/>
    <s v="Blender"/>
    <x v="2"/>
    <n v="37.46"/>
    <n v="126.68"/>
    <n v="12.668000000000001"/>
    <x v="516"/>
    <n v="74.92"/>
    <x v="515"/>
    <n v="0.34287618847138895"/>
    <n v="2025"/>
    <x v="9"/>
    <s v="avril"/>
    <s v="Q2"/>
    <x v="0"/>
    <n v="0"/>
  </r>
  <r>
    <x v="1"/>
    <s v="P1034"/>
    <s v="C0005"/>
    <s v="Toronto Downtown"/>
    <s v="Debit Card"/>
    <n v="1"/>
    <s v="Yasmine Taylor"/>
    <s v="Calgary"/>
    <s v="Consumer"/>
    <s v="Laptop Sleeve"/>
    <x v="1"/>
    <n v="78.95"/>
    <n v="420.81000000000006"/>
    <n v="63.121500000000005"/>
    <x v="517"/>
    <n v="236.85000000000002"/>
    <x v="516"/>
    <n v="0.33783166078864713"/>
    <n v="2025"/>
    <x v="11"/>
    <s v="octobre"/>
    <s v="Q4"/>
    <x v="3"/>
    <n v="0"/>
  </r>
  <r>
    <x v="0"/>
    <s v="P1024"/>
    <s v="C0117"/>
    <s v="Vancouver West"/>
    <s v="Paypal"/>
    <n v="1"/>
    <s v="Ethan Hall"/>
    <s v="Vancouver"/>
    <s v="Consumer"/>
    <s v="Food Scale"/>
    <x v="2"/>
    <n v="46.07"/>
    <n v="304.20000000000005"/>
    <n v="30.420000000000005"/>
    <x v="518"/>
    <n v="138.21"/>
    <x v="517"/>
    <n v="0.49517861056322598"/>
    <n v="2025"/>
    <x v="3"/>
    <s v="janvier"/>
    <s v="Q1"/>
    <x v="0"/>
    <n v="0"/>
  </r>
  <r>
    <x v="1"/>
    <s v="P1012"/>
    <s v="C0074"/>
    <s v="Montreal Central"/>
    <s v="Credit Card"/>
    <n v="1"/>
    <s v="Sophia Chen"/>
    <s v="Vancouver"/>
    <s v="Corporate"/>
    <s v="Standing Desk"/>
    <x v="3"/>
    <n v="45.17"/>
    <n v="346.36"/>
    <n v="17.318000000000001"/>
    <x v="519"/>
    <n v="180.68"/>
    <x v="518"/>
    <n v="0.45089076774393544"/>
    <n v="2025"/>
    <x v="3"/>
    <s v="janvier"/>
    <s v="Q1"/>
    <x v="0"/>
    <n v="0"/>
  </r>
  <r>
    <x v="0"/>
    <s v="P1022"/>
    <s v="C0059"/>
    <s v="Online Fulfillment"/>
    <s v="Paypal"/>
    <n v="1"/>
    <s v="Lucas Chen"/>
    <s v="Vancouver"/>
    <s v="Corporate"/>
    <s v="Humidifier"/>
    <x v="2"/>
    <n v="239.67"/>
    <n v="832.56"/>
    <n v="0"/>
    <x v="520"/>
    <n v="479.34"/>
    <x v="519"/>
    <n v="0.42425771115595273"/>
    <n v="2025"/>
    <x v="6"/>
    <s v="décembre"/>
    <s v="Q4"/>
    <x v="0"/>
    <n v="0"/>
  </r>
  <r>
    <x v="0"/>
    <s v="P1026"/>
    <s v="C0013"/>
    <s v="Toronto Downtown"/>
    <s v="Credit Card"/>
    <n v="1"/>
    <s v="Amelia Martin"/>
    <s v="Quebec City"/>
    <s v="Small Business"/>
    <s v="Resistance Bands"/>
    <x v="0"/>
    <n v="139.19999999999999"/>
    <n v="444.36"/>
    <n v="111.09"/>
    <x v="521"/>
    <n v="278.39999999999998"/>
    <x v="431"/>
    <n v="0.16464128184355029"/>
    <n v="2025"/>
    <x v="4"/>
    <s v="mars"/>
    <s v="Q1"/>
    <x v="1"/>
    <n v="0"/>
  </r>
  <r>
    <x v="0"/>
    <s v="P1006"/>
    <s v="C0037"/>
    <s v="Montreal Central"/>
    <s v="Debit Card"/>
    <n v="1"/>
    <s v="Lucas Scott"/>
    <s v="Victoria"/>
    <s v="Small Business"/>
    <s v="USB-C Hub"/>
    <x v="4"/>
    <n v="72"/>
    <n v="106.25"/>
    <n v="5.3125"/>
    <x v="522"/>
    <n v="72"/>
    <x v="520"/>
    <n v="0.286687306501548"/>
    <n v="2025"/>
    <x v="8"/>
    <s v="novembre"/>
    <s v="Q4"/>
    <x v="0"/>
    <n v="0"/>
  </r>
  <r>
    <x v="1"/>
    <s v="P1040"/>
    <s v="C0084"/>
    <s v="Toronto Downtown"/>
    <s v="Paypal"/>
    <n v="1"/>
    <s v="Ryan Clark"/>
    <s v="Montreal"/>
    <s v="Corporate"/>
    <s v="Desk Pad"/>
    <x v="1"/>
    <n v="177.57"/>
    <n v="596.36"/>
    <n v="0"/>
    <x v="523"/>
    <n v="355.14"/>
    <x v="521"/>
    <n v="0.40448722248306396"/>
    <n v="2025"/>
    <x v="8"/>
    <s v="novembre"/>
    <s v="Q4"/>
    <x v="1"/>
    <n v="0"/>
  </r>
  <r>
    <x v="1"/>
    <s v="P1036"/>
    <s v="C0089"/>
    <s v="Calgary North"/>
    <s v="Paypal"/>
    <n v="1"/>
    <s v="Lucas Martin"/>
    <s v="Vancouver"/>
    <s v="Consumer"/>
    <s v="Power Bank"/>
    <x v="1"/>
    <n v="76.97"/>
    <n v="488.37"/>
    <n v="24.418500000000002"/>
    <x v="524"/>
    <n v="230.91"/>
    <x v="522"/>
    <n v="0.50229711510793695"/>
    <n v="2025"/>
    <x v="1"/>
    <s v="mai"/>
    <s v="Q2"/>
    <x v="0"/>
    <n v="0"/>
  </r>
  <r>
    <x v="2"/>
    <s v="P1025"/>
    <s v="C0076"/>
    <s v="Toronto Downtown"/>
    <s v="Debit Card"/>
    <n v="1"/>
    <s v="Maya Taylor"/>
    <s v="Saskatoon"/>
    <s v="Corporate"/>
    <s v="Yoga Mat"/>
    <x v="0"/>
    <n v="197.33"/>
    <n v="318.27"/>
    <n v="0"/>
    <x v="525"/>
    <n v="197.33"/>
    <x v="523"/>
    <n v="0.37999183083545413"/>
    <n v="2025"/>
    <x v="4"/>
    <s v="mars"/>
    <s v="Q1"/>
    <x v="5"/>
    <n v="0"/>
  </r>
  <r>
    <x v="1"/>
    <s v="P1029"/>
    <s v="C0093"/>
    <s v="Calgary North"/>
    <s v="Paypal"/>
    <n v="1"/>
    <s v="Ethan Roy"/>
    <s v="Winnipeg"/>
    <s v="Consumer"/>
    <s v="Jump Rope"/>
    <x v="0"/>
    <n v="101"/>
    <n v="207.24"/>
    <n v="31.085999999999999"/>
    <x v="526"/>
    <n v="101"/>
    <x v="524"/>
    <n v="0.42663805533794291"/>
    <n v="2025"/>
    <x v="5"/>
    <s v="juin"/>
    <s v="Q2"/>
    <x v="6"/>
    <n v="0"/>
  </r>
  <r>
    <x v="2"/>
    <s v="P1013"/>
    <s v="C0113"/>
    <s v="Online Fulfillment"/>
    <s v="Credit Card"/>
    <n v="1"/>
    <s v="Olivia Johnson"/>
    <s v="Surrey"/>
    <s v="Consumer"/>
    <s v="Whiteboard"/>
    <x v="3"/>
    <n v="85.73"/>
    <n v="235.44"/>
    <n v="11.772"/>
    <x v="527"/>
    <n v="171.46"/>
    <x v="525"/>
    <n v="0.23341738648353808"/>
    <n v="2025"/>
    <x v="7"/>
    <s v="août"/>
    <s v="Q3"/>
    <x v="0"/>
    <n v="0"/>
  </r>
  <r>
    <x v="0"/>
    <s v="P1021"/>
    <s v="C0042"/>
    <s v="Montreal Central"/>
    <s v="Credit Card"/>
    <n v="1"/>
    <s v="Emma King"/>
    <s v="Quebec City"/>
    <s v="Consumer"/>
    <s v="Kettle"/>
    <x v="2"/>
    <n v="139.86000000000001"/>
    <n v="314.3"/>
    <n v="15.715000000000002"/>
    <x v="528"/>
    <n v="139.86000000000001"/>
    <x v="526"/>
    <n v="0.53159066932364318"/>
    <n v="2025"/>
    <x v="10"/>
    <s v="juillet"/>
    <s v="Q3"/>
    <x v="1"/>
    <n v="0"/>
  </r>
  <r>
    <x v="0"/>
    <s v="P1015"/>
    <s v="C0042"/>
    <s v="Montreal Central"/>
    <s v="Credit Card"/>
    <n v="1"/>
    <s v="Emma King"/>
    <s v="Quebec City"/>
    <s v="Consumer"/>
    <s v="Desk Organizer"/>
    <x v="3"/>
    <n v="235.76"/>
    <n v="400.01"/>
    <n v="0"/>
    <x v="529"/>
    <n v="235.76"/>
    <x v="527"/>
    <n v="0.41061473463163423"/>
    <n v="2025"/>
    <x v="3"/>
    <s v="janvier"/>
    <s v="Q1"/>
    <x v="1"/>
    <n v="0"/>
  </r>
  <r>
    <x v="0"/>
    <s v="P1036"/>
    <s v="C0112"/>
    <s v="Toronto Downtown"/>
    <s v="Credit Card"/>
    <n v="1"/>
    <s v="Ava Bennett"/>
    <s v="Halifax"/>
    <s v="Consumer"/>
    <s v="Power Bank"/>
    <x v="1"/>
    <n v="76.97"/>
    <n v="166.49"/>
    <n v="16.649000000000001"/>
    <x v="530"/>
    <n v="76.97"/>
    <x v="528"/>
    <n v="0.48632216816492152"/>
    <n v="2025"/>
    <x v="0"/>
    <s v="septembre"/>
    <s v="Q3"/>
    <x v="4"/>
    <n v="0"/>
  </r>
  <r>
    <x v="0"/>
    <s v="P1015"/>
    <s v="C0051"/>
    <s v="Calgary North"/>
    <s v="Debit Card"/>
    <n v="1"/>
    <s v="Daniel Brown"/>
    <s v="Vancouver"/>
    <s v="Small Business"/>
    <s v="Desk Organizer"/>
    <x v="3"/>
    <n v="235.76"/>
    <n v="358.44"/>
    <n v="17.922000000000001"/>
    <x v="531"/>
    <n v="235.76"/>
    <x v="529"/>
    <n v="0.30764306145343268"/>
    <n v="2025"/>
    <x v="6"/>
    <s v="décembre"/>
    <s v="Q4"/>
    <x v="0"/>
    <n v="0"/>
  </r>
  <r>
    <x v="0"/>
    <s v="P1002"/>
    <s v="C0083"/>
    <s v="Calgary North"/>
    <s v="Debit Card"/>
    <n v="1"/>
    <s v="Amine King"/>
    <s v="Edmonton"/>
    <s v="Consumer"/>
    <s v="Keyboard"/>
    <x v="4"/>
    <n v="23.5"/>
    <n v="118.14000000000001"/>
    <n v="17.721"/>
    <x v="532"/>
    <n v="70.5"/>
    <x v="530"/>
    <n v="0.29794162459295559"/>
    <n v="2025"/>
    <x v="5"/>
    <s v="juin"/>
    <s v="Q2"/>
    <x v="3"/>
    <n v="0"/>
  </r>
  <r>
    <x v="0"/>
    <s v="P1002"/>
    <s v="C0004"/>
    <s v="Toronto Downtown"/>
    <s v="Paypal"/>
    <n v="1"/>
    <s v="Mia Bennett"/>
    <s v="Laval"/>
    <s v="Consumer"/>
    <s v="Keyboard"/>
    <x v="4"/>
    <n v="23.5"/>
    <n v="116.64000000000001"/>
    <n v="0"/>
    <x v="533"/>
    <n v="70.5"/>
    <x v="531"/>
    <n v="0.39557613168724287"/>
    <n v="2025"/>
    <x v="1"/>
    <s v="mai"/>
    <s v="Q2"/>
    <x v="1"/>
    <n v="0"/>
  </r>
  <r>
    <x v="1"/>
    <s v="P1009"/>
    <s v="C0034"/>
    <s v="Online Fulfillment"/>
    <s v="Credit Card"/>
    <n v="1"/>
    <s v="Noah Tremblay"/>
    <s v="Toronto"/>
    <s v="Corporate"/>
    <s v="Notebook"/>
    <x v="3"/>
    <n v="176.13"/>
    <n v="898.92"/>
    <n v="0"/>
    <x v="534"/>
    <n v="528.39"/>
    <x v="532"/>
    <n v="0.41219463356027231"/>
    <n v="2025"/>
    <x v="8"/>
    <s v="novembre"/>
    <s v="Q4"/>
    <x v="2"/>
    <n v="0"/>
  </r>
  <r>
    <x v="0"/>
    <s v="P1037"/>
    <s v="C0051"/>
    <s v="Vancouver West"/>
    <s v="Credit Card"/>
    <n v="1"/>
    <s v="Daniel Brown"/>
    <s v="Vancouver"/>
    <s v="Small Business"/>
    <s v="Cable Set"/>
    <x v="1"/>
    <n v="200.16"/>
    <n v="741.96"/>
    <n v="111.294"/>
    <x v="535"/>
    <n v="400.32"/>
    <x v="533"/>
    <n v="0.36524245797300003"/>
    <n v="2025"/>
    <x v="3"/>
    <s v="janvier"/>
    <s v="Q1"/>
    <x v="0"/>
    <n v="0"/>
  </r>
  <r>
    <x v="2"/>
    <s v="P1027"/>
    <s v="C0112"/>
    <s v="Online Fulfillment"/>
    <s v="Debit Card"/>
    <n v="1"/>
    <s v="Ava Bennett"/>
    <s v="Halifax"/>
    <s v="Consumer"/>
    <s v="Kettlebell"/>
    <x v="0"/>
    <n v="25.97"/>
    <n v="112.48"/>
    <n v="0"/>
    <x v="536"/>
    <n v="51.94"/>
    <x v="534"/>
    <n v="0.53822901849217641"/>
    <n v="2025"/>
    <x v="2"/>
    <s v="février"/>
    <s v="Q1"/>
    <x v="4"/>
    <n v="0"/>
  </r>
  <r>
    <x v="0"/>
    <s v="P1008"/>
    <s v="C0032"/>
    <s v="Online Fulfillment"/>
    <s v="Paypal"/>
    <n v="1"/>
    <s v="Nora Bennett"/>
    <s v="Surrey"/>
    <s v="Consumer"/>
    <s v="Smart Speaker"/>
    <x v="4"/>
    <n v="69"/>
    <n v="273.66000000000003"/>
    <n v="41.048999999999999"/>
    <x v="537"/>
    <n v="138"/>
    <x v="535"/>
    <n v="0.406734849168784"/>
    <n v="2025"/>
    <x v="4"/>
    <s v="mars"/>
    <s v="Q1"/>
    <x v="0"/>
    <n v="0"/>
  </r>
  <r>
    <x v="0"/>
    <s v="P1012"/>
    <s v="C0057"/>
    <s v="Vancouver West"/>
    <s v="Paypal"/>
    <n v="1"/>
    <s v="Adam Khan"/>
    <s v="Edmonton"/>
    <s v="Small Business"/>
    <s v="Standing Desk"/>
    <x v="3"/>
    <n v="45.17"/>
    <n v="82.59"/>
    <n v="16.518000000000001"/>
    <x v="538"/>
    <n v="45.17"/>
    <x v="536"/>
    <n v="0.31635185857852038"/>
    <n v="2025"/>
    <x v="4"/>
    <s v="mars"/>
    <s v="Q1"/>
    <x v="3"/>
    <n v="0"/>
  </r>
  <r>
    <x v="0"/>
    <s v="P1012"/>
    <s v="C0084"/>
    <s v="Calgary North"/>
    <s v="Credit Card"/>
    <n v="1"/>
    <s v="Ryan Clark"/>
    <s v="Montreal"/>
    <s v="Corporate"/>
    <s v="Standing Desk"/>
    <x v="3"/>
    <n v="45.17"/>
    <n v="164.8"/>
    <n v="8.24"/>
    <x v="539"/>
    <n v="90.34"/>
    <x v="537"/>
    <n v="0.42296882984159428"/>
    <n v="2025"/>
    <x v="0"/>
    <s v="septembre"/>
    <s v="Q3"/>
    <x v="1"/>
    <n v="0"/>
  </r>
  <r>
    <x v="2"/>
    <s v="P1029"/>
    <s v="C0013"/>
    <s v="Toronto Downtown"/>
    <s v="Debit Card"/>
    <n v="1"/>
    <s v="Amelia Martin"/>
    <s v="Quebec City"/>
    <s v="Small Business"/>
    <s v="Jump Rope"/>
    <x v="0"/>
    <n v="101"/>
    <n v="191.25"/>
    <n v="0"/>
    <x v="540"/>
    <n v="101"/>
    <x v="538"/>
    <n v="0.4718954248366013"/>
    <n v="2025"/>
    <x v="9"/>
    <s v="avril"/>
    <s v="Q2"/>
    <x v="1"/>
    <n v="0"/>
  </r>
  <r>
    <x v="2"/>
    <s v="P1031"/>
    <s v="C0111"/>
    <s v="Vancouver West"/>
    <s v="Paypal"/>
    <n v="1"/>
    <s v="Noah Khan"/>
    <s v="Halifax"/>
    <s v="Consumer"/>
    <s v="Dumbbell Set"/>
    <x v="0"/>
    <n v="131.72999999999999"/>
    <n v="257.38"/>
    <n v="12.869"/>
    <x v="541"/>
    <n v="131.72999999999999"/>
    <x v="539"/>
    <n v="0.46125123205090979"/>
    <n v="2025"/>
    <x v="1"/>
    <s v="mai"/>
    <s v="Q2"/>
    <x v="4"/>
    <n v="0"/>
  </r>
  <r>
    <x v="0"/>
    <s v="P1013"/>
    <s v="C0044"/>
    <s v="Calgary North"/>
    <s v="Debit Card"/>
    <n v="1"/>
    <s v="Nora Young"/>
    <s v="Vancouver"/>
    <s v="Corporate"/>
    <s v="Whiteboard"/>
    <x v="3"/>
    <n v="85.73"/>
    <n v="124.54"/>
    <n v="6.2270000000000003"/>
    <x v="542"/>
    <n v="85.73"/>
    <x v="540"/>
    <n v="0.27539661744694155"/>
    <n v="2025"/>
    <x v="5"/>
    <s v="juin"/>
    <s v="Q2"/>
    <x v="0"/>
    <n v="0"/>
  </r>
  <r>
    <x v="0"/>
    <s v="P1036"/>
    <s v="C0026"/>
    <s v="Toronto Downtown"/>
    <s v="Debit Card"/>
    <n v="1"/>
    <s v="Adam Hall"/>
    <s v="Surrey"/>
    <s v="Corporate"/>
    <s v="Power Bank"/>
    <x v="1"/>
    <n v="76.97"/>
    <n v="614.48"/>
    <n v="0"/>
    <x v="543"/>
    <n v="307.88"/>
    <x v="541"/>
    <n v="0.49895846894935558"/>
    <n v="2025"/>
    <x v="0"/>
    <s v="septembre"/>
    <s v="Q3"/>
    <x v="0"/>
    <n v="0"/>
  </r>
  <r>
    <x v="2"/>
    <s v="P1006"/>
    <s v="C0079"/>
    <s v="Toronto Downtown"/>
    <s v="Debit Card"/>
    <n v="1"/>
    <s v="Sophia Scott"/>
    <s v="Ottawa"/>
    <s v="Consumer"/>
    <s v="USB-C Hub"/>
    <x v="4"/>
    <n v="72"/>
    <n v="100.86"/>
    <n v="15.129"/>
    <x v="544"/>
    <n v="72"/>
    <x v="542"/>
    <n v="0.16016376806522722"/>
    <n v="2025"/>
    <x v="3"/>
    <s v="janvier"/>
    <s v="Q1"/>
    <x v="2"/>
    <n v="0"/>
  </r>
  <r>
    <x v="2"/>
    <s v="P1019"/>
    <s v="C0116"/>
    <s v="Montreal Central"/>
    <s v="Credit Card"/>
    <n v="1"/>
    <s v="Lucas Brown"/>
    <s v="Mississauga"/>
    <s v="Corporate"/>
    <s v="Vacuum"/>
    <x v="2"/>
    <n v="186.94"/>
    <n v="263.81"/>
    <n v="0"/>
    <x v="545"/>
    <n v="186.94"/>
    <x v="543"/>
    <n v="0.29138395057048633"/>
    <n v="2025"/>
    <x v="1"/>
    <s v="mai"/>
    <s v="Q2"/>
    <x v="2"/>
    <n v="0"/>
  </r>
  <r>
    <x v="0"/>
    <s v="P1040"/>
    <s v="C0107"/>
    <s v="Online Fulfillment"/>
    <s v="Debit Card"/>
    <n v="1"/>
    <s v="Ava Lee"/>
    <s v="Calgary"/>
    <s v="Small Business"/>
    <s v="Desk Pad"/>
    <x v="1"/>
    <n v="177.57"/>
    <n v="873.12000000000012"/>
    <n v="87.312000000000012"/>
    <x v="546"/>
    <n v="532.71"/>
    <x v="544"/>
    <n v="0.32208631115997804"/>
    <n v="2025"/>
    <x v="0"/>
    <s v="septembre"/>
    <s v="Q3"/>
    <x v="3"/>
    <n v="0"/>
  </r>
  <r>
    <x v="2"/>
    <s v="P1002"/>
    <s v="C0118"/>
    <s v="Toronto Downtown"/>
    <s v="Debit Card"/>
    <n v="1"/>
    <s v="Ryan Smith"/>
    <s v="Victoria"/>
    <s v="Small Business"/>
    <s v="Keyboard"/>
    <x v="4"/>
    <n v="23.5"/>
    <n v="36.26"/>
    <n v="1.8129999999999999"/>
    <x v="547"/>
    <n v="23.5"/>
    <x v="545"/>
    <n v="0.31779255087525754"/>
    <n v="2025"/>
    <x v="5"/>
    <s v="juin"/>
    <s v="Q2"/>
    <x v="0"/>
    <n v="1"/>
  </r>
  <r>
    <x v="0"/>
    <s v="P1032"/>
    <s v="C0027"/>
    <s v="Online Fulfillment"/>
    <s v="Credit Card"/>
    <n v="1"/>
    <s v="Nora Wilson"/>
    <s v="Toronto"/>
    <s v="Small Business"/>
    <s v="Gym Bag"/>
    <x v="0"/>
    <n v="132.72"/>
    <n v="619.43999999999994"/>
    <n v="123.88799999999999"/>
    <x v="548"/>
    <n v="398.15999999999997"/>
    <x v="546"/>
    <n v="0.19653235180162729"/>
    <n v="2025"/>
    <x v="8"/>
    <s v="novembre"/>
    <s v="Q4"/>
    <x v="2"/>
    <n v="0"/>
  </r>
  <r>
    <x v="0"/>
    <s v="P1004"/>
    <s v="C0025"/>
    <s v="Vancouver West"/>
    <s v="Debit Card"/>
    <n v="1"/>
    <s v="Emma Gagnon"/>
    <s v="Surrey"/>
    <s v="Corporate"/>
    <s v="Webcam"/>
    <x v="4"/>
    <n v="154.72999999999999"/>
    <n v="291.87"/>
    <n v="14.593500000000001"/>
    <x v="549"/>
    <n v="154.72999999999999"/>
    <x v="547"/>
    <n v="0.44196496998483464"/>
    <n v="2025"/>
    <x v="8"/>
    <s v="novembre"/>
    <s v="Q4"/>
    <x v="0"/>
    <n v="0"/>
  </r>
  <r>
    <x v="0"/>
    <s v="P1016"/>
    <s v="C0084"/>
    <s v="Online Fulfillment"/>
    <s v="Credit Card"/>
    <n v="1"/>
    <s v="Ryan Clark"/>
    <s v="Montreal"/>
    <s v="Corporate"/>
    <s v="Printer"/>
    <x v="3"/>
    <n v="156.75"/>
    <n v="314.67"/>
    <n v="0"/>
    <x v="550"/>
    <n v="156.75"/>
    <x v="548"/>
    <n v="0.50185909047573651"/>
    <n v="2025"/>
    <x v="2"/>
    <s v="février"/>
    <s v="Q1"/>
    <x v="1"/>
    <n v="0"/>
  </r>
  <r>
    <x v="2"/>
    <s v="P1005"/>
    <s v="C0105"/>
    <s v="Online Fulfillment"/>
    <s v="Debit Card"/>
    <n v="1"/>
    <s v="Liam Martin"/>
    <s v="Calgary"/>
    <s v="Consumer"/>
    <s v="Portable SSD"/>
    <x v="4"/>
    <n v="131.19"/>
    <n v="250.61"/>
    <n v="0"/>
    <x v="551"/>
    <n v="131.19"/>
    <x v="549"/>
    <n v="0.4765172977933842"/>
    <n v="2025"/>
    <x v="3"/>
    <s v="janvier"/>
    <s v="Q1"/>
    <x v="3"/>
    <n v="0"/>
  </r>
  <r>
    <x v="1"/>
    <s v="P1033"/>
    <s v="C0078"/>
    <s v="Toronto Downtown"/>
    <s v="Debit Card"/>
    <n v="1"/>
    <s v="Sarah Smith"/>
    <s v="Edmonton"/>
    <s v="Corporate"/>
    <s v="Backpack"/>
    <x v="1"/>
    <n v="152.55000000000001"/>
    <n v="636.41999999999996"/>
    <n v="0"/>
    <x v="552"/>
    <n v="305.10000000000002"/>
    <x v="550"/>
    <n v="0.52059960403507111"/>
    <n v="2025"/>
    <x v="7"/>
    <s v="août"/>
    <s v="Q3"/>
    <x v="3"/>
    <n v="0"/>
  </r>
  <r>
    <x v="2"/>
    <s v="P1040"/>
    <s v="C0071"/>
    <s v="Online Fulfillment"/>
    <s v="Credit Card"/>
    <n v="1"/>
    <s v="Ethan Lee"/>
    <s v="Surrey"/>
    <s v="Consumer"/>
    <s v="Desk Pad"/>
    <x v="1"/>
    <n v="177.57"/>
    <n v="1617.25"/>
    <n v="80.862500000000011"/>
    <x v="553"/>
    <n v="887.84999999999991"/>
    <x v="551"/>
    <n v="0.42211844342654448"/>
    <n v="2025"/>
    <x v="1"/>
    <s v="mai"/>
    <s v="Q2"/>
    <x v="0"/>
    <n v="0"/>
  </r>
  <r>
    <x v="0"/>
    <s v="P1017"/>
    <s v="C0058"/>
    <s v="Online Fulfillment"/>
    <s v="Gift Card"/>
    <n v="1"/>
    <s v="Mia Singh"/>
    <s v="Laval"/>
    <s v="Consumer"/>
    <s v="Coffee Maker"/>
    <x v="2"/>
    <n v="241.16"/>
    <n v="368.38"/>
    <n v="55.256999999999998"/>
    <x v="554"/>
    <n v="241.16"/>
    <x v="552"/>
    <n v="0.22982342402186998"/>
    <n v="2025"/>
    <x v="7"/>
    <s v="août"/>
    <s v="Q3"/>
    <x v="1"/>
    <n v="0"/>
  </r>
  <r>
    <x v="0"/>
    <s v="P1016"/>
    <s v="C0108"/>
    <s v="Toronto Downtown"/>
    <s v="Credit Card"/>
    <n v="1"/>
    <s v="Noah Lee"/>
    <s v="Surrey"/>
    <s v="Consumer"/>
    <s v="Printer"/>
    <x v="3"/>
    <n v="156.75"/>
    <n v="950.40000000000009"/>
    <n v="237.60000000000002"/>
    <x v="555"/>
    <n v="470.25"/>
    <x v="553"/>
    <n v="0.34027777777777785"/>
    <n v="2025"/>
    <x v="6"/>
    <s v="décembre"/>
    <s v="Q4"/>
    <x v="0"/>
    <n v="0"/>
  </r>
  <r>
    <x v="2"/>
    <s v="P1025"/>
    <s v="C0044"/>
    <s v="Toronto Downtown"/>
    <s v="Debit Card"/>
    <n v="1"/>
    <s v="Nora Young"/>
    <s v="Vancouver"/>
    <s v="Corporate"/>
    <s v="Yoga Mat"/>
    <x v="0"/>
    <n v="197.33"/>
    <n v="924.72"/>
    <n v="46.236000000000004"/>
    <x v="556"/>
    <n v="591.99"/>
    <x v="554"/>
    <n v="0.32612318494133075"/>
    <n v="2025"/>
    <x v="9"/>
    <s v="avril"/>
    <s v="Q2"/>
    <x v="0"/>
    <n v="0"/>
  </r>
  <r>
    <x v="0"/>
    <s v="P1022"/>
    <s v="C0085"/>
    <s v="Toronto Downtown"/>
    <s v="Credit Card"/>
    <n v="1"/>
    <s v="Yasmine Clark"/>
    <s v="Calgary"/>
    <s v="Consumer"/>
    <s v="Humidifier"/>
    <x v="2"/>
    <n v="239.67"/>
    <n v="428.94"/>
    <n v="0"/>
    <x v="557"/>
    <n v="239.67"/>
    <x v="555"/>
    <n v="0.44125052454888797"/>
    <n v="2025"/>
    <x v="6"/>
    <s v="décembre"/>
    <s v="Q4"/>
    <x v="3"/>
    <n v="0"/>
  </r>
  <r>
    <x v="2"/>
    <s v="P1012"/>
    <s v="C0118"/>
    <s v="Toronto Downtown"/>
    <s v="Credit Card"/>
    <n v="1"/>
    <s v="Ryan Smith"/>
    <s v="Victoria"/>
    <s v="Small Business"/>
    <s v="Standing Desk"/>
    <x v="3"/>
    <n v="45.17"/>
    <n v="83.97"/>
    <n v="8.3970000000000002"/>
    <x v="558"/>
    <n v="45.17"/>
    <x v="556"/>
    <n v="0.40229976314292132"/>
    <n v="2025"/>
    <x v="4"/>
    <s v="mars"/>
    <s v="Q1"/>
    <x v="0"/>
    <n v="0"/>
  </r>
  <r>
    <x v="1"/>
    <s v="P1038"/>
    <s v="C0088"/>
    <s v="Vancouver West"/>
    <s v="Credit Card"/>
    <n v="1"/>
    <s v="Olivia Bennett"/>
    <s v="Vancouver"/>
    <s v="Small Business"/>
    <s v="Water Bottle"/>
    <x v="1"/>
    <n v="119.16"/>
    <n v="521.44000000000005"/>
    <n v="26.072000000000003"/>
    <x v="559"/>
    <n v="238.32"/>
    <x v="557"/>
    <n v="0.51890311848968851"/>
    <n v="2025"/>
    <x v="0"/>
    <s v="septembre"/>
    <s v="Q3"/>
    <x v="0"/>
    <n v="1"/>
  </r>
  <r>
    <x v="2"/>
    <s v="P1012"/>
    <s v="C0116"/>
    <s v="Toronto Downtown"/>
    <s v="Paypal"/>
    <n v="1"/>
    <s v="Lucas Brown"/>
    <s v="Mississauga"/>
    <s v="Corporate"/>
    <s v="Standing Desk"/>
    <x v="3"/>
    <n v="45.17"/>
    <n v="243.42000000000002"/>
    <n v="0"/>
    <x v="560"/>
    <n v="135.51"/>
    <x v="558"/>
    <n v="0.44330786295292096"/>
    <n v="2025"/>
    <x v="6"/>
    <s v="décembre"/>
    <s v="Q4"/>
    <x v="2"/>
    <n v="0"/>
  </r>
  <r>
    <x v="0"/>
    <s v="P1007"/>
    <s v="C0019"/>
    <s v="Online Fulfillment"/>
    <s v="Paypal"/>
    <n v="1"/>
    <s v="Lucas Taylor"/>
    <s v="Montreal"/>
    <s v="Small Business"/>
    <s v="Monitor"/>
    <x v="4"/>
    <n v="224.47"/>
    <n v="734.46"/>
    <n v="36.723000000000006"/>
    <x v="561"/>
    <n v="448.94"/>
    <x v="559"/>
    <n v="0.35657704837209442"/>
    <n v="2025"/>
    <x v="2"/>
    <s v="février"/>
    <s v="Q1"/>
    <x v="1"/>
    <n v="0"/>
  </r>
  <r>
    <x v="0"/>
    <s v="P1035"/>
    <s v="C0107"/>
    <s v="Toronto Downtown"/>
    <s v="Credit Card"/>
    <n v="1"/>
    <s v="Ava Lee"/>
    <s v="Calgary"/>
    <s v="Small Business"/>
    <s v="Phone Stand"/>
    <x v="1"/>
    <n v="59.85"/>
    <n v="80.66"/>
    <n v="8.0660000000000007"/>
    <x v="562"/>
    <n v="59.85"/>
    <x v="560"/>
    <n v="0.17555169848747823"/>
    <n v="2025"/>
    <x v="6"/>
    <s v="décembre"/>
    <s v="Q4"/>
    <x v="3"/>
    <n v="0"/>
  </r>
  <r>
    <x v="0"/>
    <s v="P1025"/>
    <s v="C0038"/>
    <s v="Montreal Central"/>
    <s v="Paypal"/>
    <n v="1"/>
    <s v="Noah Brown"/>
    <s v="Montreal"/>
    <s v="Consumer"/>
    <s v="Yoga Mat"/>
    <x v="0"/>
    <n v="197.33"/>
    <n v="301.2"/>
    <n v="0"/>
    <x v="563"/>
    <n v="197.33"/>
    <x v="561"/>
    <n v="0.34485391766268253"/>
    <n v="2025"/>
    <x v="10"/>
    <s v="juillet"/>
    <s v="Q3"/>
    <x v="1"/>
    <n v="0"/>
  </r>
  <r>
    <x v="0"/>
    <s v="P1037"/>
    <s v="C0062"/>
    <s v="Calgary North"/>
    <s v="Credit Card"/>
    <n v="1"/>
    <s v="Yasmine Scott"/>
    <s v="Toronto"/>
    <s v="Consumer"/>
    <s v="Cable Set"/>
    <x v="1"/>
    <n v="200.16"/>
    <n v="348.97"/>
    <n v="0"/>
    <x v="564"/>
    <n v="200.16"/>
    <x v="562"/>
    <n v="0.42642634037309801"/>
    <n v="2025"/>
    <x v="4"/>
    <s v="mars"/>
    <s v="Q1"/>
    <x v="2"/>
    <n v="0"/>
  </r>
  <r>
    <x v="2"/>
    <s v="P1011"/>
    <s v="C0059"/>
    <s v="Vancouver West"/>
    <s v="Credit Card"/>
    <n v="1"/>
    <s v="Lucas Chen"/>
    <s v="Vancouver"/>
    <s v="Corporate"/>
    <s v="Office Chair"/>
    <x v="3"/>
    <n v="39.26"/>
    <n v="83.93"/>
    <n v="12.589500000000001"/>
    <x v="565"/>
    <n v="39.26"/>
    <x v="563"/>
    <n v="0.449681457236773"/>
    <n v="2025"/>
    <x v="6"/>
    <s v="décembre"/>
    <s v="Q4"/>
    <x v="0"/>
    <n v="0"/>
  </r>
  <r>
    <x v="0"/>
    <s v="P1017"/>
    <s v="C0010"/>
    <s v="Toronto Downtown"/>
    <s v="Debit Card"/>
    <n v="1"/>
    <s v="Ethan Martin"/>
    <s v="Victoria"/>
    <s v="Corporate"/>
    <s v="Coffee Maker"/>
    <x v="2"/>
    <n v="241.16"/>
    <n v="768"/>
    <n v="0"/>
    <x v="566"/>
    <n v="482.32"/>
    <x v="564"/>
    <n v="0.37197916666666669"/>
    <n v="2025"/>
    <x v="1"/>
    <s v="mai"/>
    <s v="Q2"/>
    <x v="0"/>
    <n v="0"/>
  </r>
  <r>
    <x v="2"/>
    <s v="P1022"/>
    <s v="C0035"/>
    <s v="Montreal Central"/>
    <s v="Credit Card"/>
    <n v="1"/>
    <s v="Amelia Scott"/>
    <s v="Edmonton"/>
    <s v="Small Business"/>
    <s v="Humidifier"/>
    <x v="2"/>
    <n v="239.67"/>
    <n v="829.26"/>
    <n v="124.389"/>
    <x v="567"/>
    <n v="479.34"/>
    <x v="565"/>
    <n v="0.31996067365517949"/>
    <n v="2025"/>
    <x v="3"/>
    <s v="janvier"/>
    <s v="Q1"/>
    <x v="3"/>
    <n v="0"/>
  </r>
  <r>
    <x v="0"/>
    <s v="P1002"/>
    <s v="C0027"/>
    <s v="Online Fulfillment"/>
    <s v="Gift Card"/>
    <n v="1"/>
    <s v="Nora Wilson"/>
    <s v="Toronto"/>
    <s v="Small Business"/>
    <s v="Keyboard"/>
    <x v="4"/>
    <n v="23.5"/>
    <n v="119.85000000000001"/>
    <n v="0"/>
    <x v="568"/>
    <n v="70.5"/>
    <x v="566"/>
    <n v="0.41176470588235298"/>
    <n v="2025"/>
    <x v="5"/>
    <s v="juin"/>
    <s v="Q2"/>
    <x v="2"/>
    <n v="0"/>
  </r>
  <r>
    <x v="1"/>
    <s v="P1032"/>
    <s v="C0050"/>
    <s v="Vancouver West"/>
    <s v="Paypal"/>
    <n v="1"/>
    <s v="Sarah Singh"/>
    <s v="Mississauga"/>
    <s v="Consumer"/>
    <s v="Gym Bag"/>
    <x v="0"/>
    <n v="132.72"/>
    <n v="189.83"/>
    <n v="37.966000000000001"/>
    <x v="569"/>
    <n v="132.72"/>
    <x v="567"/>
    <n v="0.12606015908971188"/>
    <n v="2025"/>
    <x v="1"/>
    <s v="mai"/>
    <s v="Q2"/>
    <x v="2"/>
    <n v="0"/>
  </r>
  <r>
    <x v="0"/>
    <s v="P1013"/>
    <s v="C0028"/>
    <s v="Toronto Downtown"/>
    <s v="Credit Card"/>
    <n v="1"/>
    <s v="Mia Clark"/>
    <s v="Victoria"/>
    <s v="Consumer"/>
    <s v="Whiteboard"/>
    <x v="3"/>
    <n v="85.73"/>
    <n v="357.78000000000003"/>
    <n v="0"/>
    <x v="570"/>
    <n v="257.19"/>
    <x v="568"/>
    <n v="0.28115042763709547"/>
    <n v="2025"/>
    <x v="4"/>
    <s v="mars"/>
    <s v="Q1"/>
    <x v="0"/>
    <n v="0"/>
  </r>
  <r>
    <x v="0"/>
    <s v="P1021"/>
    <s v="C0032"/>
    <s v="Online Fulfillment"/>
    <s v="Debit Card"/>
    <n v="1"/>
    <s v="Nora Bennett"/>
    <s v="Surrey"/>
    <s v="Consumer"/>
    <s v="Kettle"/>
    <x v="2"/>
    <n v="139.86000000000001"/>
    <n v="298.7"/>
    <n v="0"/>
    <x v="571"/>
    <n v="139.86000000000001"/>
    <x v="569"/>
    <n v="0.53177100770003338"/>
    <n v="2025"/>
    <x v="4"/>
    <s v="mars"/>
    <s v="Q1"/>
    <x v="0"/>
    <n v="0"/>
  </r>
  <r>
    <x v="0"/>
    <s v="P1023"/>
    <s v="C0037"/>
    <s v="Calgary North"/>
    <s v="Paypal"/>
    <n v="1"/>
    <s v="Lucas Scott"/>
    <s v="Victoria"/>
    <s v="Small Business"/>
    <s v="Toaster"/>
    <x v="2"/>
    <n v="152.88"/>
    <n v="635.86"/>
    <n v="127.17200000000001"/>
    <x v="572"/>
    <n v="305.76"/>
    <x v="570"/>
    <n v="0.39892429151070991"/>
    <n v="2025"/>
    <x v="2"/>
    <s v="février"/>
    <s v="Q1"/>
    <x v="0"/>
    <n v="0"/>
  </r>
  <r>
    <x v="0"/>
    <s v="P1023"/>
    <s v="C0109"/>
    <s v="Montreal Central"/>
    <s v="Paypal"/>
    <n v="1"/>
    <s v="Emma Wilson"/>
    <s v="Victoria"/>
    <s v="Consumer"/>
    <s v="Toaster"/>
    <x v="2"/>
    <n v="152.88"/>
    <n v="1322.48"/>
    <n v="0"/>
    <x v="573"/>
    <n v="611.52"/>
    <x v="571"/>
    <n v="0.53759603169802195"/>
    <n v="2025"/>
    <x v="3"/>
    <s v="janvier"/>
    <s v="Q1"/>
    <x v="0"/>
    <n v="0"/>
  </r>
  <r>
    <x v="1"/>
    <s v="P1005"/>
    <s v="C0038"/>
    <s v="Calgary North"/>
    <s v="Credit Card"/>
    <n v="1"/>
    <s v="Noah Brown"/>
    <s v="Montreal"/>
    <s v="Consumer"/>
    <s v="Portable SSD"/>
    <x v="4"/>
    <n v="131.19"/>
    <n v="744.54"/>
    <n v="37.226999999999997"/>
    <x v="574"/>
    <n v="393.57"/>
    <x v="572"/>
    <n v="0.44357024400795686"/>
    <n v="2025"/>
    <x v="2"/>
    <s v="février"/>
    <s v="Q1"/>
    <x v="1"/>
    <n v="0"/>
  </r>
  <r>
    <x v="2"/>
    <s v="P1034"/>
    <s v="C0011"/>
    <s v="Vancouver West"/>
    <s v="Credit Card"/>
    <n v="1"/>
    <s v="Ethan Hall"/>
    <s v="Quebec City"/>
    <s v="Consumer"/>
    <s v="Laptop Sleeve"/>
    <x v="1"/>
    <n v="78.95"/>
    <n v="152.36000000000001"/>
    <n v="7.6180000000000012"/>
    <x v="575"/>
    <n v="78.95"/>
    <x v="573"/>
    <n v="0.45454671069903696"/>
    <n v="2025"/>
    <x v="2"/>
    <s v="février"/>
    <s v="Q1"/>
    <x v="1"/>
    <n v="0"/>
  </r>
  <r>
    <x v="1"/>
    <s v="P1003"/>
    <s v="C0049"/>
    <s v="Vancouver West"/>
    <s v="Debit Card"/>
    <n v="1"/>
    <s v="Olivia Scott"/>
    <s v="Quebec City"/>
    <s v="Consumer"/>
    <s v="Mouse"/>
    <x v="4"/>
    <n v="106.4"/>
    <n v="633.08000000000004"/>
    <n v="94.962000000000003"/>
    <x v="576"/>
    <n v="425.6"/>
    <x v="574"/>
    <n v="0.20909540286702921"/>
    <n v="2025"/>
    <x v="0"/>
    <s v="septembre"/>
    <s v="Q3"/>
    <x v="1"/>
    <n v="0"/>
  </r>
  <r>
    <x v="0"/>
    <s v="P1005"/>
    <s v="C0012"/>
    <s v="Toronto Downtown"/>
    <s v="Credit Card"/>
    <n v="1"/>
    <s v="Daniel Taylor"/>
    <s v="Victoria"/>
    <s v="Corporate"/>
    <s v="Portable SSD"/>
    <x v="4"/>
    <n v="131.19"/>
    <n v="237.69"/>
    <n v="47.538000000000004"/>
    <x v="577"/>
    <n v="131.19"/>
    <x v="575"/>
    <n v="0.31007825318692411"/>
    <n v="2025"/>
    <x v="11"/>
    <s v="octobre"/>
    <s v="Q4"/>
    <x v="0"/>
    <n v="1"/>
  </r>
  <r>
    <x v="0"/>
    <s v="P1004"/>
    <s v="C0093"/>
    <s v="Toronto Downtown"/>
    <s v="Credit Card"/>
    <n v="1"/>
    <s v="Ethan Roy"/>
    <s v="Winnipeg"/>
    <s v="Consumer"/>
    <s v="Webcam"/>
    <x v="4"/>
    <n v="154.72999999999999"/>
    <n v="270.91000000000003"/>
    <n v="54.182000000000009"/>
    <x v="578"/>
    <n v="154.72999999999999"/>
    <x v="576"/>
    <n v="0.28606363737034446"/>
    <n v="2025"/>
    <x v="6"/>
    <s v="décembre"/>
    <s v="Q4"/>
    <x v="6"/>
    <n v="0"/>
  </r>
  <r>
    <x v="0"/>
    <s v="P1014"/>
    <s v="C0026"/>
    <s v="Vancouver West"/>
    <s v="Credit Card"/>
    <n v="1"/>
    <s v="Adam Hall"/>
    <s v="Surrey"/>
    <s v="Corporate"/>
    <s v="Document Shredder"/>
    <x v="3"/>
    <n v="117.65"/>
    <n v="709.47"/>
    <n v="70.947000000000003"/>
    <x v="579"/>
    <n v="352.95000000000005"/>
    <x v="577"/>
    <n v="0.44723995846664877"/>
    <n v="2025"/>
    <x v="9"/>
    <s v="avril"/>
    <s v="Q2"/>
    <x v="0"/>
    <n v="1"/>
  </r>
  <r>
    <x v="0"/>
    <s v="P1018"/>
    <s v="C0026"/>
    <s v="Calgary North"/>
    <s v="Paypal"/>
    <n v="1"/>
    <s v="Adam Hall"/>
    <s v="Surrey"/>
    <s v="Corporate"/>
    <s v="Air Fryer"/>
    <x v="2"/>
    <n v="14.58"/>
    <n v="63.9"/>
    <n v="3.1950000000000003"/>
    <x v="580"/>
    <n v="29.16"/>
    <x v="578"/>
    <n v="0.51964418087472197"/>
    <n v="2025"/>
    <x v="2"/>
    <s v="février"/>
    <s v="Q1"/>
    <x v="0"/>
    <n v="0"/>
  </r>
  <r>
    <x v="1"/>
    <s v="P1002"/>
    <s v="C0114"/>
    <s v="Calgary North"/>
    <s v="Credit Card"/>
    <n v="1"/>
    <s v="Olivia Johnson"/>
    <s v="Ottawa"/>
    <s v="Consumer"/>
    <s v="Keyboard"/>
    <x v="4"/>
    <n v="23.5"/>
    <n v="39.03"/>
    <n v="7.8060000000000009"/>
    <x v="581"/>
    <n v="23.5"/>
    <x v="579"/>
    <n v="0.24737381501409172"/>
    <n v="2025"/>
    <x v="6"/>
    <s v="décembre"/>
    <s v="Q4"/>
    <x v="2"/>
    <n v="0"/>
  </r>
  <r>
    <x v="0"/>
    <s v="P1028"/>
    <s v="C0035"/>
    <s v="Vancouver West"/>
    <s v="Debit Card"/>
    <n v="1"/>
    <s v="Amelia Scott"/>
    <s v="Edmonton"/>
    <s v="Small Business"/>
    <s v="Foam Roller"/>
    <x v="0"/>
    <n v="212.02"/>
    <n v="377.22"/>
    <n v="18.861000000000001"/>
    <x v="582"/>
    <n v="212.02"/>
    <x v="580"/>
    <n v="0.40835865710084024"/>
    <n v="2025"/>
    <x v="1"/>
    <s v="mai"/>
    <s v="Q2"/>
    <x v="3"/>
    <n v="0"/>
  </r>
  <r>
    <x v="1"/>
    <s v="P1040"/>
    <s v="C0064"/>
    <s v="Vancouver West"/>
    <s v="Debit Card"/>
    <n v="1"/>
    <s v="Amine Khan"/>
    <s v="Edmonton"/>
    <s v="Consumer"/>
    <s v="Desk Pad"/>
    <x v="1"/>
    <n v="177.57"/>
    <n v="878.79"/>
    <n v="43.939500000000002"/>
    <x v="583"/>
    <n v="532.71"/>
    <x v="581"/>
    <n v="0.36190970718709514"/>
    <n v="2025"/>
    <x v="8"/>
    <s v="novembre"/>
    <s v="Q4"/>
    <x v="3"/>
    <n v="0"/>
  </r>
  <r>
    <x v="0"/>
    <s v="P1002"/>
    <s v="C0052"/>
    <s v="Calgary North"/>
    <s v="Paypal"/>
    <n v="1"/>
    <s v="Liam Bennett"/>
    <s v="Edmonton"/>
    <s v="Corporate"/>
    <s v="Keyboard"/>
    <x v="4"/>
    <n v="23.5"/>
    <n v="36.51"/>
    <n v="0"/>
    <x v="584"/>
    <n v="23.5"/>
    <x v="582"/>
    <n v="0.3563407285675157"/>
    <n v="2025"/>
    <x v="4"/>
    <s v="mars"/>
    <s v="Q1"/>
    <x v="3"/>
    <n v="0"/>
  </r>
  <r>
    <x v="0"/>
    <s v="P1003"/>
    <s v="C0049"/>
    <s v="Calgary North"/>
    <s v="Credit Card"/>
    <n v="1"/>
    <s v="Olivia Scott"/>
    <s v="Quebec City"/>
    <s v="Consumer"/>
    <s v="Mouse"/>
    <x v="4"/>
    <n v="106.4"/>
    <n v="165.55"/>
    <n v="8.2775000000000016"/>
    <x v="585"/>
    <n v="106.4"/>
    <x v="583"/>
    <n v="0.32346723044397463"/>
    <n v="2025"/>
    <x v="6"/>
    <s v="décembre"/>
    <s v="Q4"/>
    <x v="1"/>
    <n v="0"/>
  </r>
  <r>
    <x v="1"/>
    <s v="P1031"/>
    <s v="C0085"/>
    <s v="Montreal Central"/>
    <s v="Gift Card"/>
    <n v="1"/>
    <s v="Yasmine Clark"/>
    <s v="Calgary"/>
    <s v="Consumer"/>
    <s v="Dumbbell Set"/>
    <x v="0"/>
    <n v="131.72999999999999"/>
    <n v="242.19"/>
    <n v="0"/>
    <x v="586"/>
    <n v="131.72999999999999"/>
    <x v="584"/>
    <n v="0.45608819521863003"/>
    <n v="2025"/>
    <x v="8"/>
    <s v="novembre"/>
    <s v="Q4"/>
    <x v="3"/>
    <n v="0"/>
  </r>
  <r>
    <x v="2"/>
    <s v="P1024"/>
    <s v="C0091"/>
    <s v="Vancouver West"/>
    <s v="Paypal"/>
    <n v="1"/>
    <s v="Leo Taylor"/>
    <s v="Victoria"/>
    <s v="Small Business"/>
    <s v="Food Scale"/>
    <x v="2"/>
    <n v="46.07"/>
    <n v="102.63"/>
    <n v="5.1315"/>
    <x v="587"/>
    <n v="46.07"/>
    <x v="585"/>
    <n v="0.52747990994733251"/>
    <n v="2025"/>
    <x v="10"/>
    <s v="juillet"/>
    <s v="Q3"/>
    <x v="0"/>
    <n v="0"/>
  </r>
  <r>
    <x v="0"/>
    <s v="P1031"/>
    <s v="C0048"/>
    <s v="Toronto Downtown"/>
    <s v="Debit Card"/>
    <n v="1"/>
    <s v="Amelia Brown"/>
    <s v="Quebec City"/>
    <s v="Corporate"/>
    <s v="Dumbbell Set"/>
    <x v="0"/>
    <n v="131.72999999999999"/>
    <n v="500.32"/>
    <n v="0"/>
    <x v="588"/>
    <n v="263.45999999999998"/>
    <x v="586"/>
    <n v="0.47341701311160861"/>
    <n v="2025"/>
    <x v="3"/>
    <s v="janvier"/>
    <s v="Q1"/>
    <x v="1"/>
    <n v="0"/>
  </r>
  <r>
    <x v="0"/>
    <s v="P1019"/>
    <s v="C0047"/>
    <s v="Montreal Central"/>
    <s v="Debit Card"/>
    <n v="1"/>
    <s v="Amine King"/>
    <s v="Victoria"/>
    <s v="Consumer"/>
    <s v="Vacuum"/>
    <x v="2"/>
    <n v="186.94"/>
    <n v="285.14999999999998"/>
    <n v="14.2575"/>
    <x v="589"/>
    <n v="186.94"/>
    <x v="587"/>
    <n v="0.30991075795749234"/>
    <n v="2025"/>
    <x v="2"/>
    <s v="février"/>
    <s v="Q1"/>
    <x v="0"/>
    <n v="0"/>
  </r>
  <r>
    <x v="1"/>
    <s v="P1016"/>
    <s v="C0022"/>
    <s v="Toronto Downtown"/>
    <s v="Credit Card"/>
    <n v="1"/>
    <s v="Adam White"/>
    <s v="Victoria"/>
    <s v="Consumer"/>
    <s v="Printer"/>
    <x v="3"/>
    <n v="156.75"/>
    <n v="669.02"/>
    <n v="100.35299999999999"/>
    <x v="590"/>
    <n v="313.5"/>
    <x v="588"/>
    <n v="0.44871075691045903"/>
    <n v="2025"/>
    <x v="9"/>
    <s v="avril"/>
    <s v="Q2"/>
    <x v="0"/>
    <n v="0"/>
  </r>
  <r>
    <x v="0"/>
    <s v="P1004"/>
    <s v="C0089"/>
    <s v="Online Fulfillment"/>
    <s v="Paypal"/>
    <n v="1"/>
    <s v="Lucas Martin"/>
    <s v="Vancouver"/>
    <s v="Consumer"/>
    <s v="Webcam"/>
    <x v="4"/>
    <n v="154.72999999999999"/>
    <n v="860.09999999999991"/>
    <n v="0"/>
    <x v="591"/>
    <n v="464.18999999999994"/>
    <x v="589"/>
    <n v="0.46030694105336589"/>
    <n v="2025"/>
    <x v="10"/>
    <s v="juillet"/>
    <s v="Q3"/>
    <x v="0"/>
    <n v="0"/>
  </r>
  <r>
    <x v="0"/>
    <s v="P1014"/>
    <s v="C0020"/>
    <s v="Online Fulfillment"/>
    <s v="Debit Card"/>
    <n v="1"/>
    <s v="Nora Khan"/>
    <s v="Mississauga"/>
    <s v="Consumer"/>
    <s v="Document Shredder"/>
    <x v="3"/>
    <n v="117.65"/>
    <n v="227.24"/>
    <n v="22.724000000000004"/>
    <x v="592"/>
    <n v="117.65"/>
    <x v="590"/>
    <n v="0.4247393846936181"/>
    <n v="2025"/>
    <x v="4"/>
    <s v="mars"/>
    <s v="Q1"/>
    <x v="2"/>
    <n v="0"/>
  </r>
  <r>
    <x v="2"/>
    <s v="P1032"/>
    <s v="C0038"/>
    <s v="Toronto Downtown"/>
    <s v="Credit Card"/>
    <n v="1"/>
    <s v="Noah Brown"/>
    <s v="Montreal"/>
    <s v="Consumer"/>
    <s v="Gym Bag"/>
    <x v="0"/>
    <n v="132.72"/>
    <n v="789.72"/>
    <n v="0"/>
    <x v="593"/>
    <n v="530.88"/>
    <x v="591"/>
    <n v="0.32776173833763866"/>
    <n v="2025"/>
    <x v="0"/>
    <s v="septembre"/>
    <s v="Q3"/>
    <x v="1"/>
    <n v="0"/>
  </r>
  <r>
    <x v="0"/>
    <s v="P1005"/>
    <s v="C0103"/>
    <s v="Toronto Downtown"/>
    <s v="Paypal"/>
    <n v="1"/>
    <s v="Zoe Singh"/>
    <s v="Saskatoon"/>
    <s v="Corporate"/>
    <s v="Portable SSD"/>
    <x v="4"/>
    <n v="131.19"/>
    <n v="247.8"/>
    <n v="49.56"/>
    <x v="594"/>
    <n v="131.19"/>
    <x v="592"/>
    <n v="0.338226392251816"/>
    <n v="2025"/>
    <x v="4"/>
    <s v="mars"/>
    <s v="Q1"/>
    <x v="5"/>
    <n v="0"/>
  </r>
  <r>
    <x v="0"/>
    <s v="P1007"/>
    <s v="C0079"/>
    <s v="Montreal Central"/>
    <s v="Credit Card"/>
    <n v="1"/>
    <s v="Sophia Scott"/>
    <s v="Ottawa"/>
    <s v="Consumer"/>
    <s v="Monitor"/>
    <x v="4"/>
    <n v="224.47"/>
    <n v="347.2"/>
    <n v="86.8"/>
    <x v="595"/>
    <n v="224.47"/>
    <x v="593"/>
    <n v="0.13798003072196613"/>
    <n v="2025"/>
    <x v="9"/>
    <s v="avril"/>
    <s v="Q2"/>
    <x v="2"/>
    <n v="0"/>
  </r>
  <r>
    <x v="1"/>
    <s v="P1038"/>
    <s v="C0047"/>
    <s v="Calgary North"/>
    <s v="Credit Card"/>
    <n v="1"/>
    <s v="Amine King"/>
    <s v="Victoria"/>
    <s v="Consumer"/>
    <s v="Water Bottle"/>
    <x v="1"/>
    <n v="119.16"/>
    <n v="538.5"/>
    <n v="80.774999999999991"/>
    <x v="596"/>
    <n v="238.32"/>
    <x v="594"/>
    <n v="0.47933803047681472"/>
    <n v="2025"/>
    <x v="11"/>
    <s v="octobre"/>
    <s v="Q4"/>
    <x v="0"/>
    <n v="0"/>
  </r>
  <r>
    <x v="0"/>
    <s v="P1032"/>
    <s v="C0018"/>
    <s v="Calgary North"/>
    <s v="Credit Card"/>
    <n v="1"/>
    <s v="Sophia Tremblay"/>
    <s v="Laval"/>
    <s v="Small Business"/>
    <s v="Gym Bag"/>
    <x v="0"/>
    <n v="132.72"/>
    <n v="407.98"/>
    <n v="0"/>
    <x v="597"/>
    <n v="265.44"/>
    <x v="595"/>
    <n v="0.34937987156233152"/>
    <n v="2025"/>
    <x v="5"/>
    <s v="juin"/>
    <s v="Q2"/>
    <x v="1"/>
    <n v="0"/>
  </r>
  <r>
    <x v="0"/>
    <s v="P1029"/>
    <s v="C0115"/>
    <s v="Online Fulfillment"/>
    <s v="Credit Card"/>
    <n v="1"/>
    <s v="Nora Lee"/>
    <s v="Calgary"/>
    <s v="Consumer"/>
    <s v="Jump Rope"/>
    <x v="0"/>
    <n v="101"/>
    <n v="424.1"/>
    <n v="0"/>
    <x v="598"/>
    <n v="202"/>
    <x v="596"/>
    <n v="0.52369724121669425"/>
    <n v="2025"/>
    <x v="10"/>
    <s v="juillet"/>
    <s v="Q3"/>
    <x v="3"/>
    <n v="0"/>
  </r>
  <r>
    <x v="0"/>
    <s v="P1014"/>
    <s v="C0115"/>
    <s v="Toronto Downtown"/>
    <s v="Debit Card"/>
    <n v="1"/>
    <s v="Nora Lee"/>
    <s v="Calgary"/>
    <s v="Consumer"/>
    <s v="Document Shredder"/>
    <x v="3"/>
    <n v="117.65"/>
    <n v="228.4"/>
    <n v="11.420000000000002"/>
    <x v="599"/>
    <n v="117.65"/>
    <x v="597"/>
    <n v="0.45778412756936127"/>
    <n v="2025"/>
    <x v="11"/>
    <s v="octobre"/>
    <s v="Q4"/>
    <x v="3"/>
    <n v="0"/>
  </r>
  <r>
    <x v="0"/>
    <s v="P1025"/>
    <s v="C0091"/>
    <s v="Calgary North"/>
    <s v="Debit Card"/>
    <n v="1"/>
    <s v="Leo Taylor"/>
    <s v="Victoria"/>
    <s v="Small Business"/>
    <s v="Yoga Mat"/>
    <x v="0"/>
    <n v="197.33"/>
    <n v="925.44"/>
    <n v="185.08800000000002"/>
    <x v="600"/>
    <n v="591.99"/>
    <x v="598"/>
    <n v="0.2003938667012449"/>
    <n v="2025"/>
    <x v="3"/>
    <s v="janvier"/>
    <s v="Q1"/>
    <x v="0"/>
    <n v="0"/>
  </r>
  <r>
    <x v="1"/>
    <s v="P1034"/>
    <s v="C0079"/>
    <s v="Vancouver West"/>
    <s v="Paypal"/>
    <n v="1"/>
    <s v="Sophia Scott"/>
    <s v="Ottawa"/>
    <s v="Consumer"/>
    <s v="Laptop Sleeve"/>
    <x v="1"/>
    <n v="78.95"/>
    <n v="137.82"/>
    <n v="13.782"/>
    <x v="601"/>
    <n v="78.95"/>
    <x v="599"/>
    <n v="0.36350150760250888"/>
    <n v="2025"/>
    <x v="5"/>
    <s v="juin"/>
    <s v="Q2"/>
    <x v="2"/>
    <n v="0"/>
  </r>
  <r>
    <x v="0"/>
    <s v="P1001"/>
    <s v="C0049"/>
    <s v="Vancouver West"/>
    <s v="Paypal"/>
    <n v="1"/>
    <s v="Olivia Scott"/>
    <s v="Quebec City"/>
    <s v="Consumer"/>
    <s v="Headphones"/>
    <x v="4"/>
    <n v="254.6"/>
    <n v="355.43"/>
    <n v="17.7715"/>
    <x v="602"/>
    <n v="254.6"/>
    <x v="600"/>
    <n v="0.24598373800748391"/>
    <n v="2025"/>
    <x v="11"/>
    <s v="octobre"/>
    <s v="Q4"/>
    <x v="1"/>
    <n v="0"/>
  </r>
  <r>
    <x v="1"/>
    <s v="P1035"/>
    <s v="C0070"/>
    <s v="Montreal Central"/>
    <s v="Debit Card"/>
    <n v="1"/>
    <s v="Sophia Young"/>
    <s v="Halifax"/>
    <s v="Corporate"/>
    <s v="Phone Stand"/>
    <x v="1"/>
    <n v="59.85"/>
    <n v="83.52"/>
    <n v="16.704000000000001"/>
    <x v="603"/>
    <n v="59.85"/>
    <x v="601"/>
    <n v="0.1042564655172414"/>
    <n v="2025"/>
    <x v="7"/>
    <s v="août"/>
    <s v="Q3"/>
    <x v="4"/>
    <n v="0"/>
  </r>
  <r>
    <x v="1"/>
    <s v="P1029"/>
    <s v="C0072"/>
    <s v="Montreal Central"/>
    <s v="Gift Card"/>
    <n v="1"/>
    <s v="Ryan Bennett"/>
    <s v="Montreal"/>
    <s v="Corporate"/>
    <s v="Jump Rope"/>
    <x v="0"/>
    <n v="101"/>
    <n v="415.02"/>
    <n v="0"/>
    <x v="604"/>
    <n v="202"/>
    <x v="602"/>
    <n v="0.51327646860392273"/>
    <n v="2025"/>
    <x v="3"/>
    <s v="janvier"/>
    <s v="Q1"/>
    <x v="1"/>
    <n v="0"/>
  </r>
  <r>
    <x v="0"/>
    <s v="P1024"/>
    <s v="C0030"/>
    <s v="Montreal Central"/>
    <s v="Credit Card"/>
    <n v="1"/>
    <s v="Emma Lee"/>
    <s v="Calgary"/>
    <s v="Corporate"/>
    <s v="Food Scale"/>
    <x v="2"/>
    <n v="46.07"/>
    <n v="106.45"/>
    <n v="10.645000000000001"/>
    <x v="605"/>
    <n v="46.07"/>
    <x v="603"/>
    <n v="0.5191273941861072"/>
    <n v="2025"/>
    <x v="0"/>
    <s v="septembre"/>
    <s v="Q3"/>
    <x v="3"/>
    <n v="0"/>
  </r>
  <r>
    <x v="0"/>
    <s v="P1018"/>
    <s v="C0019"/>
    <s v="Toronto Downtown"/>
    <s v="Credit Card"/>
    <n v="1"/>
    <s v="Lucas Taylor"/>
    <s v="Montreal"/>
    <s v="Small Business"/>
    <s v="Air Fryer"/>
    <x v="2"/>
    <n v="14.58"/>
    <n v="31.95"/>
    <n v="4.7924999999999995"/>
    <x v="606"/>
    <n v="14.58"/>
    <x v="604"/>
    <n v="0.46313173156586573"/>
    <n v="2025"/>
    <x v="1"/>
    <s v="mai"/>
    <s v="Q2"/>
    <x v="1"/>
    <n v="0"/>
  </r>
  <r>
    <x v="0"/>
    <s v="P1027"/>
    <s v="C0108"/>
    <s v="Toronto Downtown"/>
    <s v="Credit Card"/>
    <n v="1"/>
    <s v="Noah Lee"/>
    <s v="Surrey"/>
    <s v="Consumer"/>
    <s v="Kettlebell"/>
    <x v="0"/>
    <n v="25.97"/>
    <n v="54.15"/>
    <n v="0"/>
    <x v="607"/>
    <n v="25.97"/>
    <x v="605"/>
    <n v="0.52040627885503232"/>
    <n v="2025"/>
    <x v="8"/>
    <s v="novembre"/>
    <s v="Q4"/>
    <x v="0"/>
    <n v="0"/>
  </r>
  <r>
    <x v="0"/>
    <s v="P1038"/>
    <s v="C0037"/>
    <s v="Online Fulfillment"/>
    <s v="Credit Card"/>
    <n v="1"/>
    <s v="Lucas Scott"/>
    <s v="Victoria"/>
    <s v="Small Business"/>
    <s v="Water Bottle"/>
    <x v="1"/>
    <n v="119.16"/>
    <n v="275.77999999999997"/>
    <n v="13.789"/>
    <x v="608"/>
    <n v="119.16"/>
    <x v="606"/>
    <n v="0.54517521594253238"/>
    <n v="2025"/>
    <x v="8"/>
    <s v="novembre"/>
    <s v="Q4"/>
    <x v="0"/>
    <n v="0"/>
  </r>
  <r>
    <x v="1"/>
    <s v="P1030"/>
    <s v="C0068"/>
    <s v="Toronto Downtown"/>
    <s v="Credit Card"/>
    <n v="1"/>
    <s v="Yasmine Martin"/>
    <s v="Calgary"/>
    <s v="Consumer"/>
    <s v="Pull-up Bar"/>
    <x v="0"/>
    <n v="125.4"/>
    <n v="241.92"/>
    <n v="24.192"/>
    <x v="609"/>
    <n v="125.4"/>
    <x v="607"/>
    <n v="0.42405202821869481"/>
    <n v="2025"/>
    <x v="10"/>
    <s v="juillet"/>
    <s v="Q3"/>
    <x v="3"/>
    <n v="0"/>
  </r>
  <r>
    <x v="0"/>
    <s v="P1032"/>
    <s v="C0060"/>
    <s v="Montreal Central"/>
    <s v="Debit Card"/>
    <n v="1"/>
    <s v="Sarah Wilson"/>
    <s v="Quebec City"/>
    <s v="Corporate"/>
    <s v="Gym Bag"/>
    <x v="0"/>
    <n v="132.72"/>
    <n v="418.22"/>
    <n v="20.911000000000001"/>
    <x v="610"/>
    <n v="265.44"/>
    <x v="608"/>
    <n v="0.33190539353500681"/>
    <n v="2025"/>
    <x v="9"/>
    <s v="avril"/>
    <s v="Q2"/>
    <x v="1"/>
    <n v="0"/>
  </r>
  <r>
    <x v="0"/>
    <s v="P1036"/>
    <s v="C0066"/>
    <s v="Vancouver West"/>
    <s v="Paypal"/>
    <n v="1"/>
    <s v="Noah Clark"/>
    <s v="Laval"/>
    <s v="Consumer"/>
    <s v="Power Bank"/>
    <x v="1"/>
    <n v="76.97"/>
    <n v="156.22"/>
    <n v="39.055"/>
    <x v="611"/>
    <n v="76.97"/>
    <x v="609"/>
    <n v="0.34306320146801517"/>
    <n v="2025"/>
    <x v="1"/>
    <s v="mai"/>
    <s v="Q2"/>
    <x v="1"/>
    <n v="1"/>
  </r>
  <r>
    <x v="1"/>
    <s v="P1006"/>
    <s v="C0005"/>
    <s v="Toronto Downtown"/>
    <s v="Debit Card"/>
    <n v="1"/>
    <s v="Yasmine Taylor"/>
    <s v="Calgary"/>
    <s v="Consumer"/>
    <s v="USB-C Hub"/>
    <x v="4"/>
    <n v="72"/>
    <n v="400.92"/>
    <n v="20.046000000000003"/>
    <x v="612"/>
    <n v="288"/>
    <x v="610"/>
    <n v="0.24384442098961867"/>
    <n v="2025"/>
    <x v="11"/>
    <s v="octobre"/>
    <s v="Q4"/>
    <x v="3"/>
    <n v="0"/>
  </r>
  <r>
    <x v="0"/>
    <s v="P1013"/>
    <s v="C0065"/>
    <s v="Montreal Central"/>
    <s v="Paypal"/>
    <n v="1"/>
    <s v="Mia Wilson"/>
    <s v="Quebec City"/>
    <s v="Consumer"/>
    <s v="Whiteboard"/>
    <x v="3"/>
    <n v="85.73"/>
    <n v="126.75"/>
    <n v="0"/>
    <x v="613"/>
    <n v="85.73"/>
    <x v="611"/>
    <n v="0.32362919132149898"/>
    <n v="2025"/>
    <x v="0"/>
    <s v="septembre"/>
    <s v="Q3"/>
    <x v="1"/>
    <n v="0"/>
  </r>
  <r>
    <x v="1"/>
    <s v="P1004"/>
    <s v="C0072"/>
    <s v="Montreal Central"/>
    <s v="Credit Card"/>
    <n v="1"/>
    <s v="Ryan Bennett"/>
    <s v="Montreal"/>
    <s v="Corporate"/>
    <s v="Webcam"/>
    <x v="4"/>
    <n v="154.72999999999999"/>
    <n v="286.02"/>
    <n v="71.504999999999995"/>
    <x v="614"/>
    <n v="154.72999999999999"/>
    <x v="612"/>
    <n v="0.27869845931519943"/>
    <n v="2025"/>
    <x v="4"/>
    <s v="mars"/>
    <s v="Q1"/>
    <x v="1"/>
    <n v="0"/>
  </r>
  <r>
    <x v="1"/>
    <s v="P1028"/>
    <s v="C0049"/>
    <s v="Montreal Central"/>
    <s v="Credit Card"/>
    <n v="1"/>
    <s v="Olivia Scott"/>
    <s v="Quebec City"/>
    <s v="Consumer"/>
    <s v="Foam Roller"/>
    <x v="0"/>
    <n v="212.02"/>
    <n v="1874.9"/>
    <n v="281.23500000000001"/>
    <x v="615"/>
    <n v="1060.1000000000001"/>
    <x v="613"/>
    <n v="0.33480373855233053"/>
    <n v="2025"/>
    <x v="5"/>
    <s v="juin"/>
    <s v="Q2"/>
    <x v="1"/>
    <n v="0"/>
  </r>
  <r>
    <x v="1"/>
    <s v="P1001"/>
    <s v="C0112"/>
    <s v="Online Fulfillment"/>
    <s v="Credit Card"/>
    <n v="1"/>
    <s v="Ava Bennett"/>
    <s v="Halifax"/>
    <s v="Consumer"/>
    <s v="Headphones"/>
    <x v="4"/>
    <n v="254.6"/>
    <n v="750.26"/>
    <n v="75.025999999999996"/>
    <x v="616"/>
    <n v="509.2"/>
    <x v="614"/>
    <n v="0.24589105406422077"/>
    <n v="2025"/>
    <x v="8"/>
    <s v="novembre"/>
    <s v="Q4"/>
    <x v="4"/>
    <n v="0"/>
  </r>
  <r>
    <x v="0"/>
    <s v="P1032"/>
    <s v="C0113"/>
    <s v="Montreal Central"/>
    <s v="Credit Card"/>
    <n v="1"/>
    <s v="Olivia Johnson"/>
    <s v="Surrey"/>
    <s v="Consumer"/>
    <s v="Gym Bag"/>
    <x v="0"/>
    <n v="132.72"/>
    <n v="396.32"/>
    <n v="99.08"/>
    <x v="617"/>
    <n v="265.44"/>
    <x v="615"/>
    <n v="0.10698425514735571"/>
    <n v="2025"/>
    <x v="11"/>
    <s v="octobre"/>
    <s v="Q4"/>
    <x v="0"/>
    <n v="0"/>
  </r>
  <r>
    <x v="1"/>
    <s v="P1019"/>
    <s v="C0032"/>
    <s v="Calgary North"/>
    <s v="Debit Card"/>
    <n v="1"/>
    <s v="Nora Bennett"/>
    <s v="Surrey"/>
    <s v="Consumer"/>
    <s v="Vacuum"/>
    <x v="2"/>
    <n v="186.94"/>
    <n v="262.02999999999997"/>
    <n v="52.405999999999999"/>
    <x v="618"/>
    <n v="186.94"/>
    <x v="616"/>
    <n v="0.10821280006106158"/>
    <n v="2025"/>
    <x v="4"/>
    <s v="mars"/>
    <s v="Q1"/>
    <x v="0"/>
    <n v="0"/>
  </r>
  <r>
    <x v="0"/>
    <s v="P1040"/>
    <s v="C0114"/>
    <s v="Online Fulfillment"/>
    <s v="Paypal"/>
    <n v="1"/>
    <s v="Olivia Johnson"/>
    <s v="Ottawa"/>
    <s v="Consumer"/>
    <s v="Desk Pad"/>
    <x v="1"/>
    <n v="177.57"/>
    <n v="1208"/>
    <n v="60.400000000000006"/>
    <x v="619"/>
    <n v="710.28"/>
    <x v="617"/>
    <n v="0.38107354478912508"/>
    <n v="2025"/>
    <x v="3"/>
    <s v="janvier"/>
    <s v="Q1"/>
    <x v="2"/>
    <n v="0"/>
  </r>
  <r>
    <x v="2"/>
    <s v="P1018"/>
    <s v="C0067"/>
    <s v="Vancouver West"/>
    <s v="Paypal"/>
    <n v="1"/>
    <s v="Leo Bennett"/>
    <s v="Mississauga"/>
    <s v="Consumer"/>
    <s v="Air Fryer"/>
    <x v="2"/>
    <n v="14.58"/>
    <n v="57.58"/>
    <n v="2.879"/>
    <x v="620"/>
    <n v="29.16"/>
    <x v="618"/>
    <n v="0.4669201659933091"/>
    <n v="2025"/>
    <x v="5"/>
    <s v="juin"/>
    <s v="Q2"/>
    <x v="2"/>
    <n v="0"/>
  </r>
  <r>
    <x v="2"/>
    <s v="P1028"/>
    <s v="C0052"/>
    <s v="Vancouver West"/>
    <s v="Credit Card"/>
    <n v="1"/>
    <s v="Liam Bennett"/>
    <s v="Edmonton"/>
    <s v="Corporate"/>
    <s v="Foam Roller"/>
    <x v="0"/>
    <n v="212.02"/>
    <n v="342.07"/>
    <n v="17.1035"/>
    <x v="621"/>
    <n v="212.02"/>
    <x v="619"/>
    <n v="0.34756351808571034"/>
    <n v="2025"/>
    <x v="9"/>
    <s v="avril"/>
    <s v="Q2"/>
    <x v="3"/>
    <n v="0"/>
  </r>
  <r>
    <x v="0"/>
    <s v="P1002"/>
    <s v="C0065"/>
    <s v="Online Fulfillment"/>
    <s v="Gift Card"/>
    <n v="1"/>
    <s v="Mia Wilson"/>
    <s v="Quebec City"/>
    <s v="Consumer"/>
    <s v="Keyboard"/>
    <x v="4"/>
    <n v="23.5"/>
    <n v="76.12"/>
    <n v="0"/>
    <x v="622"/>
    <n v="47"/>
    <x v="620"/>
    <n v="0.38255386232264849"/>
    <n v="2025"/>
    <x v="6"/>
    <s v="décembre"/>
    <s v="Q4"/>
    <x v="1"/>
    <n v="0"/>
  </r>
  <r>
    <x v="1"/>
    <s v="P1003"/>
    <s v="C0112"/>
    <s v="Calgary North"/>
    <s v="Credit Card"/>
    <n v="1"/>
    <s v="Ava Bennett"/>
    <s v="Halifax"/>
    <s v="Consumer"/>
    <s v="Mouse"/>
    <x v="4"/>
    <n v="106.4"/>
    <n v="623"/>
    <n v="62.300000000000004"/>
    <x v="623"/>
    <n v="425.6"/>
    <x v="621"/>
    <n v="0.24094881398252188"/>
    <n v="2025"/>
    <x v="3"/>
    <s v="janvier"/>
    <s v="Q1"/>
    <x v="4"/>
    <n v="0"/>
  </r>
  <r>
    <x v="0"/>
    <s v="P1016"/>
    <s v="C0096"/>
    <s v="Montreal Central"/>
    <s v="Credit Card"/>
    <n v="1"/>
    <s v="Ryan Roy"/>
    <s v="Laval"/>
    <s v="Corporate"/>
    <s v="Printer"/>
    <x v="3"/>
    <n v="156.75"/>
    <n v="1276.24"/>
    <n v="127.62400000000001"/>
    <x v="624"/>
    <n v="627"/>
    <x v="622"/>
    <n v="0.45412566079525274"/>
    <n v="2025"/>
    <x v="1"/>
    <s v="mai"/>
    <s v="Q2"/>
    <x v="1"/>
    <n v="0"/>
  </r>
  <r>
    <x v="0"/>
    <s v="P1004"/>
    <s v="C0095"/>
    <s v="Montreal Central"/>
    <s v="Credit Card"/>
    <n v="1"/>
    <s v="Maya White"/>
    <s v="Quebec City"/>
    <s v="Corporate"/>
    <s v="Webcam"/>
    <x v="4"/>
    <n v="154.72999999999999"/>
    <n v="592.16"/>
    <n v="0"/>
    <x v="625"/>
    <n v="309.45999999999998"/>
    <x v="623"/>
    <n v="0.47740475547149419"/>
    <n v="2025"/>
    <x v="7"/>
    <s v="août"/>
    <s v="Q3"/>
    <x v="1"/>
    <n v="0"/>
  </r>
  <r>
    <x v="1"/>
    <s v="P1001"/>
    <s v="C0060"/>
    <s v="Vancouver West"/>
    <s v="Debit Card"/>
    <n v="1"/>
    <s v="Sarah Wilson"/>
    <s v="Quebec City"/>
    <s v="Corporate"/>
    <s v="Headphones"/>
    <x v="4"/>
    <n v="254.6"/>
    <n v="376.61"/>
    <n v="18.830500000000001"/>
    <x v="626"/>
    <n v="254.6"/>
    <x v="624"/>
    <n v="0.28838851862669601"/>
    <n v="2025"/>
    <x v="1"/>
    <s v="mai"/>
    <s v="Q2"/>
    <x v="1"/>
    <n v="0"/>
  </r>
  <r>
    <x v="1"/>
    <s v="P1037"/>
    <s v="C0028"/>
    <s v="Vancouver West"/>
    <s v="Credit Card"/>
    <n v="1"/>
    <s v="Mia Clark"/>
    <s v="Victoria"/>
    <s v="Consumer"/>
    <s v="Cable Set"/>
    <x v="1"/>
    <n v="200.16"/>
    <n v="728.94"/>
    <n v="182.23500000000001"/>
    <x v="627"/>
    <n v="400.32"/>
    <x v="625"/>
    <n v="0.26775866326446629"/>
    <n v="2025"/>
    <x v="1"/>
    <s v="mai"/>
    <s v="Q2"/>
    <x v="0"/>
    <n v="0"/>
  </r>
  <r>
    <x v="0"/>
    <s v="P1009"/>
    <s v="C0083"/>
    <s v="Calgary North"/>
    <s v="Paypal"/>
    <n v="1"/>
    <s v="Amine King"/>
    <s v="Edmonton"/>
    <s v="Consumer"/>
    <s v="Notebook"/>
    <x v="3"/>
    <n v="176.13"/>
    <n v="618.62"/>
    <n v="123.724"/>
    <x v="628"/>
    <n v="352.26"/>
    <x v="626"/>
    <n v="0.28821408942484888"/>
    <n v="2025"/>
    <x v="9"/>
    <s v="avril"/>
    <s v="Q2"/>
    <x v="3"/>
    <n v="0"/>
  </r>
  <r>
    <x v="0"/>
    <s v="P1037"/>
    <s v="C0037"/>
    <s v="Online Fulfillment"/>
    <s v="Debit Card"/>
    <n v="1"/>
    <s v="Lucas Scott"/>
    <s v="Victoria"/>
    <s v="Small Business"/>
    <s v="Cable Set"/>
    <x v="1"/>
    <n v="200.16"/>
    <n v="370.32"/>
    <n v="0"/>
    <x v="629"/>
    <n v="200.16"/>
    <x v="627"/>
    <n v="0.4594944912508101"/>
    <n v="2025"/>
    <x v="11"/>
    <s v="octobre"/>
    <s v="Q4"/>
    <x v="0"/>
    <n v="0"/>
  </r>
  <r>
    <x v="1"/>
    <s v="P1009"/>
    <s v="C0002"/>
    <s v="Online Fulfillment"/>
    <s v="Debit Card"/>
    <n v="1"/>
    <s v="Ryan Johnson"/>
    <s v="Montreal"/>
    <s v="Small Business"/>
    <s v="Notebook"/>
    <x v="3"/>
    <n v="176.13"/>
    <n v="295.52"/>
    <n v="0"/>
    <x v="630"/>
    <n v="176.13"/>
    <x v="628"/>
    <n v="0.40399972929074174"/>
    <n v="2025"/>
    <x v="2"/>
    <s v="février"/>
    <s v="Q1"/>
    <x v="1"/>
    <n v="0"/>
  </r>
  <r>
    <x v="1"/>
    <s v="P1011"/>
    <s v="C0080"/>
    <s v="Vancouver West"/>
    <s v="Credit Card"/>
    <n v="1"/>
    <s v="Sarah Smith"/>
    <s v="Mississauga"/>
    <s v="Corporate"/>
    <s v="Office Chair"/>
    <x v="3"/>
    <n v="39.26"/>
    <n v="167.6"/>
    <n v="8.3800000000000008"/>
    <x v="631"/>
    <n v="78.52"/>
    <x v="629"/>
    <n v="0.5068458736339656"/>
    <n v="2025"/>
    <x v="11"/>
    <s v="octobre"/>
    <s v="Q4"/>
    <x v="2"/>
    <n v="0"/>
  </r>
  <r>
    <x v="0"/>
    <s v="P1019"/>
    <s v="C0038"/>
    <s v="Toronto Downtown"/>
    <s v="Credit Card"/>
    <n v="1"/>
    <s v="Noah Brown"/>
    <s v="Montreal"/>
    <s v="Consumer"/>
    <s v="Vacuum"/>
    <x v="2"/>
    <n v="186.94"/>
    <n v="258"/>
    <n v="51.6"/>
    <x v="632"/>
    <n v="186.94"/>
    <x v="630"/>
    <n v="9.4282945736434143E-2"/>
    <n v="2025"/>
    <x v="3"/>
    <s v="janvier"/>
    <s v="Q1"/>
    <x v="1"/>
    <n v="0"/>
  </r>
  <r>
    <x v="0"/>
    <s v="P1030"/>
    <s v="C0060"/>
    <s v="Montreal Central"/>
    <s v="Credit Card"/>
    <n v="1"/>
    <s v="Sarah Wilson"/>
    <s v="Quebec City"/>
    <s v="Corporate"/>
    <s v="Pull-up Bar"/>
    <x v="0"/>
    <n v="125.4"/>
    <n v="247.09"/>
    <n v="24.709000000000003"/>
    <x v="633"/>
    <n v="125.4"/>
    <x v="631"/>
    <n v="0.43610290447475275"/>
    <n v="2025"/>
    <x v="7"/>
    <s v="août"/>
    <s v="Q3"/>
    <x v="1"/>
    <n v="0"/>
  </r>
  <r>
    <x v="0"/>
    <s v="P1029"/>
    <s v="C0104"/>
    <s v="Toronto Downtown"/>
    <s v="Credit Card"/>
    <n v="1"/>
    <s v="Ava Scott"/>
    <s v="Edmonton"/>
    <s v="Corporate"/>
    <s v="Jump Rope"/>
    <x v="0"/>
    <n v="101"/>
    <n v="636.45000000000005"/>
    <n v="31.822500000000005"/>
    <x v="634"/>
    <n v="303"/>
    <x v="632"/>
    <n v="0.49886500365927788"/>
    <n v="2025"/>
    <x v="7"/>
    <s v="août"/>
    <s v="Q3"/>
    <x v="3"/>
    <n v="0"/>
  </r>
  <r>
    <x v="0"/>
    <s v="P1008"/>
    <s v="C0017"/>
    <s v="Vancouver West"/>
    <s v="Credit Card"/>
    <n v="1"/>
    <s v="Yasmine Khan"/>
    <s v="Mississauga"/>
    <s v="Corporate"/>
    <s v="Smart Speaker"/>
    <x v="4"/>
    <n v="69"/>
    <n v="139.57"/>
    <n v="34.892499999999998"/>
    <x v="635"/>
    <n v="69"/>
    <x v="633"/>
    <n v="0.34083255713978644"/>
    <n v="2025"/>
    <x v="10"/>
    <s v="juillet"/>
    <s v="Q3"/>
    <x v="2"/>
    <n v="0"/>
  </r>
  <r>
    <x v="0"/>
    <s v="P1008"/>
    <s v="C0049"/>
    <s v="Montreal Central"/>
    <s v="Credit Card"/>
    <n v="1"/>
    <s v="Olivia Scott"/>
    <s v="Quebec City"/>
    <s v="Consumer"/>
    <s v="Smart Speaker"/>
    <x v="4"/>
    <n v="69"/>
    <n v="416.25"/>
    <n v="104.0625"/>
    <x v="636"/>
    <n v="207"/>
    <x v="634"/>
    <n v="0.33693693693693694"/>
    <n v="2025"/>
    <x v="11"/>
    <s v="octobre"/>
    <s v="Q4"/>
    <x v="1"/>
    <n v="1"/>
  </r>
  <r>
    <x v="0"/>
    <s v="P1039"/>
    <s v="C0022"/>
    <s v="Online Fulfillment"/>
    <s v="Credit Card"/>
    <n v="1"/>
    <s v="Adam White"/>
    <s v="Victoria"/>
    <s v="Consumer"/>
    <s v="Travel Adapter"/>
    <x v="1"/>
    <n v="229.86"/>
    <n v="1387.48"/>
    <n v="69.374000000000009"/>
    <x v="637"/>
    <n v="919.44"/>
    <x v="635"/>
    <n v="0.30245367216293678"/>
    <n v="2025"/>
    <x v="7"/>
    <s v="août"/>
    <s v="Q3"/>
    <x v="0"/>
    <n v="0"/>
  </r>
  <r>
    <x v="0"/>
    <s v="P1021"/>
    <s v="C0100"/>
    <s v="Montreal Central"/>
    <s v="Debit Card"/>
    <n v="1"/>
    <s v="Yasmine Smith"/>
    <s v="Mississauga"/>
    <s v="Consumer"/>
    <s v="Kettle"/>
    <x v="2"/>
    <n v="139.86000000000001"/>
    <n v="938.81999999999994"/>
    <n v="93.882000000000005"/>
    <x v="638"/>
    <n v="419.58000000000004"/>
    <x v="636"/>
    <n v="0.50341918578641265"/>
    <n v="2025"/>
    <x v="6"/>
    <s v="décembre"/>
    <s v="Q4"/>
    <x v="2"/>
    <n v="0"/>
  </r>
  <r>
    <x v="1"/>
    <s v="P1010"/>
    <s v="C0014"/>
    <s v="Online Fulfillment"/>
    <s v="Paypal"/>
    <n v="1"/>
    <s v="Zoe Scott"/>
    <s v="Montreal"/>
    <s v="Small Business"/>
    <s v="Desk Lamp"/>
    <x v="3"/>
    <n v="127.21"/>
    <n v="431.96"/>
    <n v="21.597999999999999"/>
    <x v="639"/>
    <n v="254.42"/>
    <x v="637"/>
    <n v="0.38001081971527578"/>
    <n v="2025"/>
    <x v="9"/>
    <s v="avril"/>
    <s v="Q2"/>
    <x v="1"/>
    <n v="0"/>
  </r>
  <r>
    <x v="1"/>
    <s v="P1037"/>
    <s v="C0101"/>
    <s v="Calgary North"/>
    <s v="Credit Card"/>
    <n v="1"/>
    <s v="Noah Martin"/>
    <s v="Saskatoon"/>
    <s v="Small Business"/>
    <s v="Cable Set"/>
    <x v="1"/>
    <n v="200.16"/>
    <n v="1098.33"/>
    <n v="0"/>
    <x v="640"/>
    <n v="600.48"/>
    <x v="638"/>
    <n v="0.45327906913222799"/>
    <n v="2025"/>
    <x v="3"/>
    <s v="janvier"/>
    <s v="Q1"/>
    <x v="5"/>
    <n v="0"/>
  </r>
  <r>
    <x v="1"/>
    <s v="P1013"/>
    <s v="C0105"/>
    <s v="Toronto Downtown"/>
    <s v="Credit Card"/>
    <n v="1"/>
    <s v="Liam Martin"/>
    <s v="Calgary"/>
    <s v="Consumer"/>
    <s v="Whiteboard"/>
    <x v="3"/>
    <n v="85.73"/>
    <n v="122.63"/>
    <n v="0"/>
    <x v="641"/>
    <n v="85.73"/>
    <x v="639"/>
    <n v="0.30090516186903687"/>
    <n v="2025"/>
    <x v="2"/>
    <s v="février"/>
    <s v="Q1"/>
    <x v="3"/>
    <n v="0"/>
  </r>
  <r>
    <x v="0"/>
    <s v="P1001"/>
    <s v="C0102"/>
    <s v="Montreal Central"/>
    <s v="Paypal"/>
    <n v="1"/>
    <s v="Adam Roy"/>
    <s v="Edmonton"/>
    <s v="Corporate"/>
    <s v="Headphones"/>
    <x v="4"/>
    <n v="254.6"/>
    <n v="379.66"/>
    <n v="0"/>
    <x v="642"/>
    <n v="254.6"/>
    <x v="640"/>
    <n v="0.32939998946425753"/>
    <n v="2025"/>
    <x v="6"/>
    <s v="décembre"/>
    <s v="Q4"/>
    <x v="3"/>
    <n v="0"/>
  </r>
  <r>
    <x v="0"/>
    <s v="P1003"/>
    <s v="C0031"/>
    <s v="Toronto Downtown"/>
    <s v="Credit Card"/>
    <n v="1"/>
    <s v="Leo Gagnon"/>
    <s v="Surrey"/>
    <s v="Small Business"/>
    <s v="Mouse"/>
    <x v="4"/>
    <n v="106.4"/>
    <n v="328.14"/>
    <n v="0"/>
    <x v="643"/>
    <n v="212.8"/>
    <x v="641"/>
    <n v="0.35149631254952146"/>
    <n v="2025"/>
    <x v="3"/>
    <s v="janvier"/>
    <s v="Q1"/>
    <x v="0"/>
    <n v="0"/>
  </r>
  <r>
    <x v="0"/>
    <s v="P1032"/>
    <s v="C0067"/>
    <s v="Vancouver West"/>
    <s v="Credit Card"/>
    <n v="1"/>
    <s v="Leo Bennett"/>
    <s v="Mississauga"/>
    <s v="Consumer"/>
    <s v="Gym Bag"/>
    <x v="0"/>
    <n v="132.72"/>
    <n v="616.04999999999995"/>
    <n v="61.604999999999997"/>
    <x v="644"/>
    <n v="398.15999999999997"/>
    <x v="642"/>
    <n v="0.28187647106566022"/>
    <n v="2025"/>
    <x v="5"/>
    <s v="juin"/>
    <s v="Q2"/>
    <x v="2"/>
    <n v="0"/>
  </r>
  <r>
    <x v="0"/>
    <s v="P1003"/>
    <s v="C0084"/>
    <s v="Vancouver West"/>
    <s v="Debit Card"/>
    <n v="1"/>
    <s v="Ryan Clark"/>
    <s v="Montreal"/>
    <s v="Corporate"/>
    <s v="Mouse"/>
    <x v="4"/>
    <n v="106.4"/>
    <n v="327.08"/>
    <n v="32.707999999999998"/>
    <x v="645"/>
    <n v="212.8"/>
    <x v="643"/>
    <n v="0.27710515945810049"/>
    <n v="2025"/>
    <x v="0"/>
    <s v="septembre"/>
    <s v="Q3"/>
    <x v="1"/>
    <n v="0"/>
  </r>
  <r>
    <x v="1"/>
    <s v="P1023"/>
    <s v="C0021"/>
    <s v="Calgary North"/>
    <s v="Debit Card"/>
    <n v="1"/>
    <s v="Nora King"/>
    <s v="Halifax"/>
    <s v="Corporate"/>
    <s v="Toaster"/>
    <x v="2"/>
    <n v="152.88"/>
    <n v="646.08000000000004"/>
    <n v="32.304000000000002"/>
    <x v="646"/>
    <n v="305.76"/>
    <x v="644"/>
    <n v="0.50183780401970757"/>
    <n v="2025"/>
    <x v="0"/>
    <s v="septembre"/>
    <s v="Q3"/>
    <x v="4"/>
    <n v="0"/>
  </r>
  <r>
    <x v="0"/>
    <s v="P1039"/>
    <s v="C0062"/>
    <s v="Vancouver West"/>
    <s v="Gift Card"/>
    <n v="1"/>
    <s v="Yasmine Scott"/>
    <s v="Toronto"/>
    <s v="Consumer"/>
    <s v="Travel Adapter"/>
    <x v="1"/>
    <n v="229.86"/>
    <n v="673.12"/>
    <n v="168.28"/>
    <x v="647"/>
    <n v="459.72"/>
    <x v="645"/>
    <n v="8.9374851438079397E-2"/>
    <n v="2025"/>
    <x v="1"/>
    <s v="mai"/>
    <s v="Q2"/>
    <x v="2"/>
    <n v="0"/>
  </r>
  <r>
    <x v="0"/>
    <s v="P1031"/>
    <s v="C0030"/>
    <s v="Toronto Downtown"/>
    <s v="Credit Card"/>
    <n v="1"/>
    <s v="Emma Lee"/>
    <s v="Calgary"/>
    <s v="Corporate"/>
    <s v="Dumbbell Set"/>
    <x v="0"/>
    <n v="131.72999999999999"/>
    <n v="526.26"/>
    <n v="0"/>
    <x v="648"/>
    <n v="263.45999999999998"/>
    <x v="646"/>
    <n v="0.4993729335309543"/>
    <n v="2025"/>
    <x v="6"/>
    <s v="décembre"/>
    <s v="Q4"/>
    <x v="3"/>
    <n v="0"/>
  </r>
  <r>
    <x v="0"/>
    <s v="P1013"/>
    <s v="C0086"/>
    <s v="Online Fulfillment"/>
    <s v="Credit Card"/>
    <n v="1"/>
    <s v="Adam Gagnon"/>
    <s v="Winnipeg"/>
    <s v="Consumer"/>
    <s v="Whiteboard"/>
    <x v="3"/>
    <n v="85.73"/>
    <n v="117.96"/>
    <n v="0"/>
    <x v="378"/>
    <n v="85.73"/>
    <x v="647"/>
    <n v="0.27322821295354349"/>
    <n v="2025"/>
    <x v="9"/>
    <s v="avril"/>
    <s v="Q2"/>
    <x v="6"/>
    <n v="0"/>
  </r>
  <r>
    <x v="0"/>
    <s v="P1014"/>
    <s v="C0101"/>
    <s v="Montreal Central"/>
    <s v="Debit Card"/>
    <n v="1"/>
    <s v="Noah Martin"/>
    <s v="Saskatoon"/>
    <s v="Small Business"/>
    <s v="Document Shredder"/>
    <x v="3"/>
    <n v="117.65"/>
    <n v="246.22"/>
    <n v="61.555"/>
    <x v="649"/>
    <n v="117.65"/>
    <x v="648"/>
    <n v="0.36290038718760992"/>
    <n v="2025"/>
    <x v="2"/>
    <s v="février"/>
    <s v="Q1"/>
    <x v="5"/>
    <n v="0"/>
  </r>
  <r>
    <x v="0"/>
    <s v="P1020"/>
    <s v="C0093"/>
    <s v="Online Fulfillment"/>
    <s v="Debit Card"/>
    <n v="1"/>
    <s v="Ethan Roy"/>
    <s v="Winnipeg"/>
    <s v="Consumer"/>
    <s v="Blender"/>
    <x v="2"/>
    <n v="37.46"/>
    <n v="69.75"/>
    <n v="3.4875000000000003"/>
    <x v="650"/>
    <n v="37.46"/>
    <x v="649"/>
    <n v="0.43467270326353519"/>
    <n v="2025"/>
    <x v="2"/>
    <s v="février"/>
    <s v="Q1"/>
    <x v="6"/>
    <n v="0"/>
  </r>
  <r>
    <x v="0"/>
    <s v="P1001"/>
    <s v="C0092"/>
    <s v="Online Fulfillment"/>
    <s v="Credit Card"/>
    <n v="1"/>
    <s v="Lucas Tremblay"/>
    <s v="Saskatoon"/>
    <s v="Consumer"/>
    <s v="Headphones"/>
    <x v="4"/>
    <n v="254.6"/>
    <n v="1064.28"/>
    <n v="159.642"/>
    <x v="651"/>
    <n v="763.8"/>
    <x v="650"/>
    <n v="0.15568437319679251"/>
    <n v="2025"/>
    <x v="1"/>
    <s v="mai"/>
    <s v="Q2"/>
    <x v="5"/>
    <n v="0"/>
  </r>
  <r>
    <x v="1"/>
    <s v="P1004"/>
    <s v="C0047"/>
    <s v="Montreal Central"/>
    <s v="Credit Card"/>
    <n v="1"/>
    <s v="Amine King"/>
    <s v="Victoria"/>
    <s v="Consumer"/>
    <s v="Webcam"/>
    <x v="4"/>
    <n v="154.72999999999999"/>
    <n v="272.07"/>
    <n v="0"/>
    <x v="652"/>
    <n v="154.72999999999999"/>
    <x v="651"/>
    <n v="0.43128606608593378"/>
    <n v="2025"/>
    <x v="4"/>
    <s v="mars"/>
    <s v="Q1"/>
    <x v="0"/>
    <n v="0"/>
  </r>
  <r>
    <x v="0"/>
    <s v="P1002"/>
    <s v="C0103"/>
    <s v="Calgary North"/>
    <s v="Paypal"/>
    <n v="1"/>
    <s v="Zoe Singh"/>
    <s v="Saskatoon"/>
    <s v="Corporate"/>
    <s v="Keyboard"/>
    <x v="4"/>
    <n v="23.5"/>
    <n v="38.159999999999997"/>
    <n v="0"/>
    <x v="653"/>
    <n v="23.5"/>
    <x v="652"/>
    <n v="0.38417190775681337"/>
    <n v="2025"/>
    <x v="4"/>
    <s v="mars"/>
    <s v="Q1"/>
    <x v="5"/>
    <n v="0"/>
  </r>
  <r>
    <x v="0"/>
    <s v="P1015"/>
    <s v="C0086"/>
    <s v="Online Fulfillment"/>
    <s v="Credit Card"/>
    <n v="1"/>
    <s v="Adam Gagnon"/>
    <s v="Winnipeg"/>
    <s v="Consumer"/>
    <s v="Desk Organizer"/>
    <x v="3"/>
    <n v="235.76"/>
    <n v="1523.16"/>
    <n v="228.47400000000002"/>
    <x v="654"/>
    <n v="943.04"/>
    <x v="653"/>
    <n v="0.27160716961487197"/>
    <n v="2025"/>
    <x v="8"/>
    <s v="novembre"/>
    <s v="Q4"/>
    <x v="6"/>
    <n v="0"/>
  </r>
  <r>
    <x v="0"/>
    <s v="P1007"/>
    <s v="C0097"/>
    <s v="Montreal Central"/>
    <s v="Credit Card"/>
    <n v="1"/>
    <s v="Sarah Khan"/>
    <s v="Montreal"/>
    <s v="Consumer"/>
    <s v="Monitor"/>
    <x v="4"/>
    <n v="224.47"/>
    <n v="747.86"/>
    <n v="0"/>
    <x v="655"/>
    <n v="448.94"/>
    <x v="654"/>
    <n v="0.39970047869922182"/>
    <n v="2025"/>
    <x v="6"/>
    <s v="décembre"/>
    <s v="Q4"/>
    <x v="1"/>
    <n v="0"/>
  </r>
  <r>
    <x v="0"/>
    <s v="P1028"/>
    <s v="C0070"/>
    <s v="Toronto Downtown"/>
    <s v="Debit Card"/>
    <n v="1"/>
    <s v="Sophia Young"/>
    <s v="Halifax"/>
    <s v="Corporate"/>
    <s v="Foam Roller"/>
    <x v="0"/>
    <n v="212.02"/>
    <n v="750.18"/>
    <n v="37.509"/>
    <x v="656"/>
    <n v="424.04"/>
    <x v="655"/>
    <n v="0.40499894060513186"/>
    <n v="2025"/>
    <x v="5"/>
    <s v="juin"/>
    <s v="Q2"/>
    <x v="4"/>
    <n v="0"/>
  </r>
  <r>
    <x v="0"/>
    <s v="P1011"/>
    <s v="C0060"/>
    <s v="Toronto Downtown"/>
    <s v="Credit Card"/>
    <n v="1"/>
    <s v="Sarah Wilson"/>
    <s v="Quebec City"/>
    <s v="Corporate"/>
    <s v="Office Chair"/>
    <x v="3"/>
    <n v="39.26"/>
    <n v="80.88"/>
    <n v="4.0439999999999996"/>
    <x v="657"/>
    <n v="39.26"/>
    <x v="656"/>
    <n v="0.48904159508563694"/>
    <n v="2025"/>
    <x v="11"/>
    <s v="octobre"/>
    <s v="Q4"/>
    <x v="1"/>
    <n v="1"/>
  </r>
  <r>
    <x v="0"/>
    <s v="P1026"/>
    <s v="C0096"/>
    <s v="Online Fulfillment"/>
    <s v="Credit Card"/>
    <n v="1"/>
    <s v="Ryan Roy"/>
    <s v="Laval"/>
    <s v="Corporate"/>
    <s v="Resistance Bands"/>
    <x v="0"/>
    <n v="139.19999999999999"/>
    <n v="435.5"/>
    <n v="65.325000000000003"/>
    <x v="658"/>
    <n v="278.39999999999998"/>
    <x v="657"/>
    <n v="0.24792327952995213"/>
    <n v="2025"/>
    <x v="3"/>
    <s v="janvier"/>
    <s v="Q1"/>
    <x v="1"/>
    <n v="0"/>
  </r>
  <r>
    <x v="2"/>
    <s v="P1026"/>
    <s v="C0019"/>
    <s v="Toronto Downtown"/>
    <s v="Credit Card"/>
    <n v="1"/>
    <s v="Lucas Taylor"/>
    <s v="Montreal"/>
    <s v="Small Business"/>
    <s v="Resistance Bands"/>
    <x v="0"/>
    <n v="139.19999999999999"/>
    <n v="223.78"/>
    <n v="22.378"/>
    <x v="659"/>
    <n v="139.19999999999999"/>
    <x v="658"/>
    <n v="0.30884499657401615"/>
    <n v="2025"/>
    <x v="1"/>
    <s v="mai"/>
    <s v="Q2"/>
    <x v="1"/>
    <n v="0"/>
  </r>
  <r>
    <x v="0"/>
    <s v="P1006"/>
    <s v="C0038"/>
    <s v="Vancouver West"/>
    <s v="Credit Card"/>
    <n v="1"/>
    <s v="Noah Brown"/>
    <s v="Montreal"/>
    <s v="Consumer"/>
    <s v="USB-C Hub"/>
    <x v="4"/>
    <n v="72"/>
    <n v="99.27"/>
    <n v="0"/>
    <x v="660"/>
    <n v="72"/>
    <x v="659"/>
    <n v="0.27470534904805072"/>
    <n v="2025"/>
    <x v="9"/>
    <s v="avril"/>
    <s v="Q2"/>
    <x v="1"/>
    <n v="0"/>
  </r>
  <r>
    <x v="1"/>
    <s v="P1023"/>
    <s v="C0027"/>
    <s v="Online Fulfillment"/>
    <s v="Debit Card"/>
    <n v="1"/>
    <s v="Nora Wilson"/>
    <s v="Toronto"/>
    <s v="Small Business"/>
    <s v="Toaster"/>
    <x v="2"/>
    <n v="152.88"/>
    <n v="1007.61"/>
    <n v="201.52200000000002"/>
    <x v="661"/>
    <n v="458.64"/>
    <x v="660"/>
    <n v="0.43102986274451421"/>
    <n v="2025"/>
    <x v="3"/>
    <s v="janvier"/>
    <s v="Q1"/>
    <x v="2"/>
    <n v="1"/>
  </r>
  <r>
    <x v="0"/>
    <s v="P1034"/>
    <s v="C0040"/>
    <s v="Calgary North"/>
    <s v="Paypal"/>
    <n v="1"/>
    <s v="Ethan Young"/>
    <s v="Surrey"/>
    <s v="Consumer"/>
    <s v="Laptop Sleeve"/>
    <x v="1"/>
    <n v="78.95"/>
    <n v="429.68999999999994"/>
    <n v="42.968999999999994"/>
    <x v="662"/>
    <n v="236.85000000000002"/>
    <x v="661"/>
    <n v="0.38754295732582389"/>
    <n v="2025"/>
    <x v="0"/>
    <s v="septembre"/>
    <s v="Q3"/>
    <x v="0"/>
    <n v="0"/>
  </r>
  <r>
    <x v="0"/>
    <s v="P1033"/>
    <s v="C0053"/>
    <s v="Toronto Downtown"/>
    <s v="Debit Card"/>
    <n v="1"/>
    <s v="Ryan Lee"/>
    <s v="Laval"/>
    <s v="Consumer"/>
    <s v="Backpack"/>
    <x v="1"/>
    <n v="152.55000000000001"/>
    <n v="609.34"/>
    <n v="60.934000000000005"/>
    <x v="663"/>
    <n v="305.10000000000002"/>
    <x v="662"/>
    <n v="0.44366035382545049"/>
    <n v="2025"/>
    <x v="4"/>
    <s v="mars"/>
    <s v="Q1"/>
    <x v="1"/>
    <n v="0"/>
  </r>
  <r>
    <x v="1"/>
    <s v="P1021"/>
    <s v="C0111"/>
    <s v="Online Fulfillment"/>
    <s v="Credit Card"/>
    <n v="1"/>
    <s v="Noah Khan"/>
    <s v="Halifax"/>
    <s v="Consumer"/>
    <s v="Kettle"/>
    <x v="2"/>
    <n v="139.86000000000001"/>
    <n v="320.24"/>
    <n v="16.012"/>
    <x v="664"/>
    <n v="139.86000000000001"/>
    <x v="663"/>
    <n v="0.54027900127535922"/>
    <n v="2025"/>
    <x v="0"/>
    <s v="septembre"/>
    <s v="Q3"/>
    <x v="4"/>
    <n v="0"/>
  </r>
  <r>
    <x v="0"/>
    <s v="P1001"/>
    <s v="C0063"/>
    <s v="Calgary North"/>
    <s v="Debit Card"/>
    <n v="1"/>
    <s v="Adam Singh"/>
    <s v="Laval"/>
    <s v="Small Business"/>
    <s v="Headphones"/>
    <x v="4"/>
    <n v="254.6"/>
    <n v="1888.75"/>
    <n v="188.875"/>
    <x v="665"/>
    <n v="1273"/>
    <x v="664"/>
    <n v="0.25112140598573424"/>
    <n v="2025"/>
    <x v="8"/>
    <s v="novembre"/>
    <s v="Q4"/>
    <x v="1"/>
    <n v="0"/>
  </r>
  <r>
    <x v="2"/>
    <s v="P1012"/>
    <s v="C0025"/>
    <s v="Toronto Downtown"/>
    <s v="Paypal"/>
    <n v="1"/>
    <s v="Emma Gagnon"/>
    <s v="Surrey"/>
    <s v="Corporate"/>
    <s v="Standing Desk"/>
    <x v="3"/>
    <n v="45.17"/>
    <n v="83.34"/>
    <n v="12.500999999999999"/>
    <x v="666"/>
    <n v="45.17"/>
    <x v="665"/>
    <n v="0.36235689380143704"/>
    <n v="2025"/>
    <x v="11"/>
    <s v="octobre"/>
    <s v="Q4"/>
    <x v="0"/>
    <n v="0"/>
  </r>
  <r>
    <x v="1"/>
    <s v="P1037"/>
    <s v="C0069"/>
    <s v="Toronto Downtown"/>
    <s v="Paypal"/>
    <n v="1"/>
    <s v="Sarah White"/>
    <s v="Ottawa"/>
    <s v="Consumer"/>
    <s v="Cable Set"/>
    <x v="1"/>
    <n v="200.16"/>
    <n v="354.02"/>
    <n v="53.102999999999994"/>
    <x v="667"/>
    <n v="200.16"/>
    <x v="666"/>
    <n v="0.3348331932061"/>
    <n v="2025"/>
    <x v="7"/>
    <s v="août"/>
    <s v="Q3"/>
    <x v="2"/>
    <n v="1"/>
  </r>
  <r>
    <x v="0"/>
    <s v="P1036"/>
    <s v="C0101"/>
    <s v="Vancouver West"/>
    <s v="Credit Card"/>
    <n v="1"/>
    <s v="Noah Martin"/>
    <s v="Saskatoon"/>
    <s v="Small Business"/>
    <s v="Power Bank"/>
    <x v="1"/>
    <n v="76.97"/>
    <n v="163.31"/>
    <n v="32.661999999999999"/>
    <x v="668"/>
    <n v="76.97"/>
    <x v="667"/>
    <n v="0.41085971465311372"/>
    <n v="2025"/>
    <x v="6"/>
    <s v="décembre"/>
    <s v="Q4"/>
    <x v="5"/>
    <n v="0"/>
  </r>
  <r>
    <x v="0"/>
    <s v="P1030"/>
    <s v="C0044"/>
    <s v="Online Fulfillment"/>
    <s v="Debit Card"/>
    <n v="1"/>
    <s v="Nora Young"/>
    <s v="Vancouver"/>
    <s v="Corporate"/>
    <s v="Pull-up Bar"/>
    <x v="0"/>
    <n v="125.4"/>
    <n v="487.28"/>
    <n v="121.82"/>
    <x v="669"/>
    <n v="250.8"/>
    <x v="668"/>
    <n v="0.31374158594647833"/>
    <n v="2025"/>
    <x v="6"/>
    <s v="décembre"/>
    <s v="Q4"/>
    <x v="0"/>
    <n v="0"/>
  </r>
  <r>
    <x v="0"/>
    <s v="P1016"/>
    <s v="C0012"/>
    <s v="Montreal Central"/>
    <s v="Credit Card"/>
    <n v="1"/>
    <s v="Daniel Taylor"/>
    <s v="Victoria"/>
    <s v="Corporate"/>
    <s v="Printer"/>
    <x v="3"/>
    <n v="156.75"/>
    <n v="333.13"/>
    <n v="0"/>
    <x v="670"/>
    <n v="156.75"/>
    <x v="669"/>
    <n v="0.52946297241317208"/>
    <n v="2025"/>
    <x v="1"/>
    <s v="mai"/>
    <s v="Q2"/>
    <x v="0"/>
    <n v="0"/>
  </r>
  <r>
    <x v="0"/>
    <s v="P1033"/>
    <s v="C0113"/>
    <s v="Montreal Central"/>
    <s v="Credit Card"/>
    <n v="1"/>
    <s v="Olivia Johnson"/>
    <s v="Surrey"/>
    <s v="Consumer"/>
    <s v="Backpack"/>
    <x v="1"/>
    <n v="152.55000000000001"/>
    <n v="300.93"/>
    <n v="45.139499999999998"/>
    <x v="671"/>
    <n v="152.55000000000001"/>
    <x v="670"/>
    <n v="0.40361350401989127"/>
    <n v="2025"/>
    <x v="4"/>
    <s v="mars"/>
    <s v="Q1"/>
    <x v="0"/>
    <n v="0"/>
  </r>
  <r>
    <x v="0"/>
    <s v="P1010"/>
    <s v="C0030"/>
    <s v="Online Fulfillment"/>
    <s v="Non renseigné"/>
    <n v="1"/>
    <s v="Emma Lee"/>
    <s v="Calgary"/>
    <s v="Corporate"/>
    <s v="Desk Lamp"/>
    <x v="3"/>
    <n v="127.21"/>
    <n v="634.20000000000005"/>
    <n v="95.13000000000001"/>
    <x v="672"/>
    <n v="381.63"/>
    <x v="671"/>
    <n v="0.29205854527241365"/>
    <n v="2025"/>
    <x v="8"/>
    <s v="novembre"/>
    <s v="Q4"/>
    <x v="3"/>
    <n v="0"/>
  </r>
  <r>
    <x v="0"/>
    <s v="P1029"/>
    <s v="C0009"/>
    <s v="Toronto Downtown"/>
    <s v="Debit Card"/>
    <n v="1"/>
    <s v="Ethan Tremblay"/>
    <s v="Mississauga"/>
    <s v="Corporate"/>
    <s v="Jump Rope"/>
    <x v="0"/>
    <n v="101"/>
    <n v="196.11"/>
    <n v="19.611000000000004"/>
    <x v="673"/>
    <n v="101"/>
    <x v="672"/>
    <n v="0.42775879750026918"/>
    <n v="2025"/>
    <x v="8"/>
    <s v="novembre"/>
    <s v="Q4"/>
    <x v="2"/>
    <n v="0"/>
  </r>
  <r>
    <x v="0"/>
    <s v="P1005"/>
    <s v="C0085"/>
    <s v="Calgary North"/>
    <s v="Paypal"/>
    <n v="1"/>
    <s v="Yasmine Clark"/>
    <s v="Calgary"/>
    <s v="Consumer"/>
    <s v="Portable SSD"/>
    <x v="4"/>
    <n v="131.19"/>
    <n v="464.66"/>
    <n v="69.698999999999998"/>
    <x v="674"/>
    <n v="262.38"/>
    <x v="673"/>
    <n v="0.33568124447730285"/>
    <n v="2025"/>
    <x v="3"/>
    <s v="janvier"/>
    <s v="Q1"/>
    <x v="3"/>
    <n v="0"/>
  </r>
  <r>
    <x v="0"/>
    <s v="P1039"/>
    <s v="C0101"/>
    <s v="Calgary North"/>
    <s v="Credit Card"/>
    <n v="1"/>
    <s v="Noah Martin"/>
    <s v="Saskatoon"/>
    <s v="Small Business"/>
    <s v="Travel Adapter"/>
    <x v="1"/>
    <n v="229.86"/>
    <n v="328.26"/>
    <n v="65.652000000000001"/>
    <x v="675"/>
    <n v="229.86"/>
    <x v="674"/>
    <n v="0.12470297934564062"/>
    <n v="2025"/>
    <x v="8"/>
    <s v="novembre"/>
    <s v="Q4"/>
    <x v="5"/>
    <n v="1"/>
  </r>
  <r>
    <x v="0"/>
    <s v="P1018"/>
    <s v="C0043"/>
    <s v="Calgary North"/>
    <s v="Paypal"/>
    <n v="1"/>
    <s v="Ava Brown"/>
    <s v="Ottawa"/>
    <s v="Small Business"/>
    <s v="Air Fryer"/>
    <x v="2"/>
    <n v="14.58"/>
    <n v="29.28"/>
    <n v="5.8560000000000008"/>
    <x v="676"/>
    <n v="14.58"/>
    <x v="675"/>
    <n v="0.37756147540983603"/>
    <n v="2025"/>
    <x v="7"/>
    <s v="août"/>
    <s v="Q3"/>
    <x v="2"/>
    <n v="0"/>
  </r>
  <r>
    <x v="0"/>
    <s v="P1039"/>
    <s v="C0009"/>
    <s v="Montreal Central"/>
    <s v="Debit Card"/>
    <n v="1"/>
    <s v="Ethan Tremblay"/>
    <s v="Mississauga"/>
    <s v="Corporate"/>
    <s v="Travel Adapter"/>
    <x v="1"/>
    <n v="229.86"/>
    <n v="679.64"/>
    <n v="33.981999999999999"/>
    <x v="677"/>
    <n v="459.72"/>
    <x v="676"/>
    <n v="0.2879821825176796"/>
    <n v="2025"/>
    <x v="3"/>
    <s v="janvier"/>
    <s v="Q1"/>
    <x v="2"/>
    <n v="0"/>
  </r>
  <r>
    <x v="2"/>
    <s v="P1032"/>
    <s v="C0070"/>
    <s v="Online Fulfillment"/>
    <s v="Credit Card"/>
    <n v="1"/>
    <s v="Sophia Young"/>
    <s v="Halifax"/>
    <s v="Corporate"/>
    <s v="Gym Bag"/>
    <x v="0"/>
    <n v="132.72"/>
    <n v="1053.8"/>
    <n v="0"/>
    <x v="678"/>
    <n v="663.6"/>
    <x v="677"/>
    <n v="0.37027899032074391"/>
    <n v="2025"/>
    <x v="3"/>
    <s v="janvier"/>
    <s v="Q1"/>
    <x v="4"/>
    <n v="0"/>
  </r>
  <r>
    <x v="0"/>
    <s v="P1015"/>
    <s v="C0052"/>
    <s v="Online Fulfillment"/>
    <s v="Credit Card"/>
    <n v="1"/>
    <s v="Liam Bennett"/>
    <s v="Edmonton"/>
    <s v="Corporate"/>
    <s v="Desk Organizer"/>
    <x v="3"/>
    <n v="235.76"/>
    <n v="798.12"/>
    <n v="0"/>
    <x v="679"/>
    <n v="471.52"/>
    <x v="678"/>
    <n v="0.40921164737132265"/>
    <n v="2025"/>
    <x v="10"/>
    <s v="juillet"/>
    <s v="Q3"/>
    <x v="3"/>
    <n v="0"/>
  </r>
  <r>
    <x v="1"/>
    <s v="P1034"/>
    <s v="C0110"/>
    <s v="Online Fulfillment"/>
    <s v="Paypal"/>
    <n v="1"/>
    <s v="Sarah Smith"/>
    <s v="Laval"/>
    <s v="Consumer"/>
    <s v="Laptop Sleeve"/>
    <x v="1"/>
    <n v="78.95"/>
    <n v="144.43"/>
    <n v="21.6645"/>
    <x v="680"/>
    <n v="78.95"/>
    <x v="679"/>
    <n v="0.35690401619347456"/>
    <n v="2025"/>
    <x v="7"/>
    <s v="août"/>
    <s v="Q3"/>
    <x v="1"/>
    <n v="0"/>
  </r>
  <r>
    <x v="0"/>
    <s v="P1021"/>
    <s v="C0029"/>
    <s v="Online Fulfillment"/>
    <s v="Credit Card"/>
    <n v="1"/>
    <s v="Olivia White"/>
    <s v="Victoria"/>
    <s v="Consumer"/>
    <s v="Kettle"/>
    <x v="2"/>
    <n v="139.86000000000001"/>
    <n v="925.08"/>
    <n v="92.50800000000001"/>
    <x v="681"/>
    <n v="419.58000000000004"/>
    <x v="680"/>
    <n v="0.49604358541963933"/>
    <n v="2025"/>
    <x v="8"/>
    <s v="novembre"/>
    <s v="Q4"/>
    <x v="0"/>
    <n v="0"/>
  </r>
  <r>
    <x v="1"/>
    <s v="P1014"/>
    <s v="C0012"/>
    <s v="Vancouver West"/>
    <s v="Credit Card"/>
    <n v="1"/>
    <s v="Daniel Taylor"/>
    <s v="Victoria"/>
    <s v="Corporate"/>
    <s v="Document Shredder"/>
    <x v="3"/>
    <n v="117.65"/>
    <n v="229.18"/>
    <n v="57.295000000000002"/>
    <x v="682"/>
    <n v="117.65"/>
    <x v="681"/>
    <n v="0.31553073275736676"/>
    <n v="2025"/>
    <x v="8"/>
    <s v="novembre"/>
    <s v="Q4"/>
    <x v="0"/>
    <n v="0"/>
  </r>
  <r>
    <x v="2"/>
    <s v="P1019"/>
    <s v="C0119"/>
    <s v="Calgary North"/>
    <s v="Debit Card"/>
    <n v="1"/>
    <s v="Liam Chen"/>
    <s v="Winnipeg"/>
    <s v="Consumer"/>
    <s v="Vacuum"/>
    <x v="2"/>
    <n v="186.94"/>
    <n v="280.38"/>
    <n v="70.094999999999999"/>
    <x v="683"/>
    <n v="186.94"/>
    <x v="682"/>
    <n v="0.11101600209239841"/>
    <n v="2025"/>
    <x v="4"/>
    <s v="mars"/>
    <s v="Q1"/>
    <x v="6"/>
    <n v="1"/>
  </r>
  <r>
    <x v="0"/>
    <s v="P1001"/>
    <s v="C0089"/>
    <s v="Online Fulfillment"/>
    <s v="Paypal"/>
    <n v="1"/>
    <s v="Lucas Martin"/>
    <s v="Vancouver"/>
    <s v="Consumer"/>
    <s v="Headphones"/>
    <x v="4"/>
    <n v="254.6"/>
    <n v="701.54"/>
    <n v="70.153999999999996"/>
    <x v="684"/>
    <n v="509.2"/>
    <x v="683"/>
    <n v="0.19352028711438007"/>
    <n v="2025"/>
    <x v="1"/>
    <s v="mai"/>
    <s v="Q2"/>
    <x v="0"/>
    <n v="0"/>
  </r>
  <r>
    <x v="0"/>
    <s v="P1030"/>
    <s v="C0120"/>
    <s v="Montreal Central"/>
    <s v="Credit Card"/>
    <n v="1"/>
    <s v="Ethan King"/>
    <s v="Mississauga"/>
    <s v="Small Business"/>
    <s v="Pull-up Bar"/>
    <x v="0"/>
    <n v="125.4"/>
    <n v="240.35"/>
    <n v="0"/>
    <x v="685"/>
    <n v="125.4"/>
    <x v="684"/>
    <n v="0.47826086956521735"/>
    <n v="2025"/>
    <x v="11"/>
    <s v="octobre"/>
    <s v="Q4"/>
    <x v="2"/>
    <n v="0"/>
  </r>
  <r>
    <x v="0"/>
    <s v="P1038"/>
    <s v="C0082"/>
    <s v="Montreal Central"/>
    <s v="Credit Card"/>
    <n v="1"/>
    <s v="Ryan King"/>
    <s v="Winnipeg"/>
    <s v="Small Business"/>
    <s v="Water Bottle"/>
    <x v="1"/>
    <n v="119.16"/>
    <n v="522.86"/>
    <n v="78.429000000000002"/>
    <x v="686"/>
    <n v="238.32"/>
    <x v="685"/>
    <n v="0.46376377885431042"/>
    <n v="2025"/>
    <x v="2"/>
    <s v="février"/>
    <s v="Q1"/>
    <x v="6"/>
    <n v="0"/>
  </r>
  <r>
    <x v="1"/>
    <s v="P1019"/>
    <s v="C0090"/>
    <s v="Online Fulfillment"/>
    <s v="Credit Card"/>
    <n v="1"/>
    <s v="Nora Young"/>
    <s v="Montreal"/>
    <s v="Small Business"/>
    <s v="Vacuum"/>
    <x v="2"/>
    <n v="186.94"/>
    <n v="558.05999999999995"/>
    <n v="27.902999999999999"/>
    <x v="687"/>
    <n v="373.88"/>
    <x v="686"/>
    <n v="0.29477494402601484"/>
    <n v="2025"/>
    <x v="5"/>
    <s v="juin"/>
    <s v="Q2"/>
    <x v="1"/>
    <n v="0"/>
  </r>
  <r>
    <x v="2"/>
    <s v="P1023"/>
    <s v="C0097"/>
    <s v="Vancouver West"/>
    <s v="Credit Card"/>
    <n v="1"/>
    <s v="Sarah Khan"/>
    <s v="Montreal"/>
    <s v="Consumer"/>
    <s v="Toaster"/>
    <x v="2"/>
    <n v="152.88"/>
    <n v="312.32"/>
    <n v="15.616"/>
    <x v="688"/>
    <n v="152.88"/>
    <x v="687"/>
    <n v="0.48473899913718727"/>
    <n v="2025"/>
    <x v="9"/>
    <s v="avril"/>
    <s v="Q2"/>
    <x v="1"/>
    <n v="0"/>
  </r>
  <r>
    <x v="0"/>
    <s v="P1013"/>
    <s v="C0052"/>
    <s v="Online Fulfillment"/>
    <s v="Credit Card"/>
    <n v="1"/>
    <s v="Liam Bennett"/>
    <s v="Edmonton"/>
    <s v="Corporate"/>
    <s v="Whiteboard"/>
    <x v="3"/>
    <n v="85.73"/>
    <n v="256.32"/>
    <n v="38.448"/>
    <x v="689"/>
    <n v="171.46"/>
    <x v="688"/>
    <n v="0.21302416097525143"/>
    <n v="2025"/>
    <x v="9"/>
    <s v="avril"/>
    <s v="Q2"/>
    <x v="3"/>
    <n v="0"/>
  </r>
  <r>
    <x v="0"/>
    <s v="P1007"/>
    <s v="C0068"/>
    <s v="Calgary North"/>
    <s v="Credit Card"/>
    <n v="1"/>
    <s v="Yasmine Martin"/>
    <s v="Calgary"/>
    <s v="Consumer"/>
    <s v="Monitor"/>
    <x v="4"/>
    <n v="224.47"/>
    <n v="1103.73"/>
    <n v="0"/>
    <x v="690"/>
    <n v="673.41"/>
    <x v="689"/>
    <n v="0.38987795928352048"/>
    <n v="2025"/>
    <x v="1"/>
    <s v="mai"/>
    <s v="Q2"/>
    <x v="3"/>
    <n v="0"/>
  </r>
  <r>
    <x v="1"/>
    <s v="P1024"/>
    <s v="C0109"/>
    <s v="Calgary North"/>
    <s v="Paypal"/>
    <n v="1"/>
    <s v="Emma Wilson"/>
    <s v="Victoria"/>
    <s v="Consumer"/>
    <s v="Food Scale"/>
    <x v="2"/>
    <n v="46.07"/>
    <n v="309.20999999999998"/>
    <n v="30.920999999999999"/>
    <x v="691"/>
    <n v="138.21"/>
    <x v="690"/>
    <n v="0.5033580199001757"/>
    <n v="2025"/>
    <x v="7"/>
    <s v="août"/>
    <s v="Q3"/>
    <x v="0"/>
    <n v="0"/>
  </r>
  <r>
    <x v="0"/>
    <s v="P1010"/>
    <s v="C0101"/>
    <s v="Montreal Central"/>
    <s v="Debit Card"/>
    <n v="1"/>
    <s v="Noah Martin"/>
    <s v="Saskatoon"/>
    <s v="Small Business"/>
    <s v="Desk Lamp"/>
    <x v="3"/>
    <n v="127.21"/>
    <n v="840.24"/>
    <n v="42.012"/>
    <x v="692"/>
    <n v="508.84"/>
    <x v="691"/>
    <n v="0.36253802171810567"/>
    <n v="2025"/>
    <x v="11"/>
    <s v="octobre"/>
    <s v="Q4"/>
    <x v="5"/>
    <n v="0"/>
  </r>
  <r>
    <x v="0"/>
    <s v="P1037"/>
    <s v="C0002"/>
    <s v="Online Fulfillment"/>
    <s v="Gift Card"/>
    <n v="1"/>
    <s v="Ryan Johnson"/>
    <s v="Montreal"/>
    <s v="Small Business"/>
    <s v="Cable Set"/>
    <x v="1"/>
    <n v="200.16"/>
    <n v="704.94"/>
    <n v="0"/>
    <x v="693"/>
    <n v="400.32"/>
    <x v="692"/>
    <n v="0.43212188271342244"/>
    <n v="2025"/>
    <x v="2"/>
    <s v="février"/>
    <s v="Q1"/>
    <x v="1"/>
    <n v="1"/>
  </r>
  <r>
    <x v="0"/>
    <s v="P1017"/>
    <s v="C0113"/>
    <s v="Toronto Downtown"/>
    <s v="Paypal"/>
    <n v="1"/>
    <s v="Olivia Johnson"/>
    <s v="Surrey"/>
    <s v="Consumer"/>
    <s v="Coffee Maker"/>
    <x v="2"/>
    <n v="241.16"/>
    <n v="1091.9100000000001"/>
    <n v="0"/>
    <x v="694"/>
    <n v="723.48"/>
    <x v="693"/>
    <n v="0.33741791905926316"/>
    <n v="2025"/>
    <x v="4"/>
    <s v="mars"/>
    <s v="Q1"/>
    <x v="0"/>
    <n v="0"/>
  </r>
  <r>
    <x v="1"/>
    <s v="P1035"/>
    <s v="C0119"/>
    <s v="Toronto Downtown"/>
    <s v="Paypal"/>
    <n v="1"/>
    <s v="Liam Chen"/>
    <s v="Winnipeg"/>
    <s v="Consumer"/>
    <s v="Phone Stand"/>
    <x v="1"/>
    <n v="59.85"/>
    <n v="82.58"/>
    <n v="0"/>
    <x v="695"/>
    <n v="59.85"/>
    <x v="694"/>
    <n v="0.27524824412690718"/>
    <n v="2025"/>
    <x v="11"/>
    <s v="octobre"/>
    <s v="Q4"/>
    <x v="6"/>
    <n v="0"/>
  </r>
  <r>
    <x v="0"/>
    <s v="P1034"/>
    <s v="C0120"/>
    <s v="Online Fulfillment"/>
    <s v="Credit Card"/>
    <n v="1"/>
    <s v="Ethan King"/>
    <s v="Mississauga"/>
    <s v="Small Business"/>
    <s v="Laptop Sleeve"/>
    <x v="1"/>
    <n v="78.95"/>
    <n v="149.07"/>
    <n v="14.907"/>
    <x v="696"/>
    <n v="78.95"/>
    <x v="695"/>
    <n v="0.41153671280457343"/>
    <n v="2025"/>
    <x v="0"/>
    <s v="septembre"/>
    <s v="Q3"/>
    <x v="2"/>
    <n v="0"/>
  </r>
  <r>
    <x v="0"/>
    <s v="P1023"/>
    <s v="C0037"/>
    <s v="Montreal Central"/>
    <s v="Paypal"/>
    <n v="1"/>
    <s v="Lucas Scott"/>
    <s v="Victoria"/>
    <s v="Small Business"/>
    <s v="Toaster"/>
    <x v="2"/>
    <n v="152.88"/>
    <n v="958.23"/>
    <n v="143.7345"/>
    <x v="697"/>
    <n v="458.64"/>
    <x v="696"/>
    <n v="0.43690296631473102"/>
    <n v="2025"/>
    <x v="10"/>
    <s v="juillet"/>
    <s v="Q3"/>
    <x v="0"/>
    <n v="0"/>
  </r>
  <r>
    <x v="1"/>
    <s v="P1009"/>
    <s v="C0006"/>
    <s v="Montreal Central"/>
    <s v="Paypal"/>
    <n v="1"/>
    <s v="Nora Wilson"/>
    <s v="Laval"/>
    <s v="Consumer"/>
    <s v="Notebook"/>
    <x v="3"/>
    <n v="176.13"/>
    <n v="297.7"/>
    <n v="44.654999999999994"/>
    <x v="698"/>
    <n v="176.13"/>
    <x v="697"/>
    <n v="0.30395779406824869"/>
    <n v="2025"/>
    <x v="1"/>
    <s v="mai"/>
    <s v="Q2"/>
    <x v="1"/>
    <n v="0"/>
  </r>
  <r>
    <x v="0"/>
    <s v="P1004"/>
    <s v="C0072"/>
    <s v="Vancouver West"/>
    <s v="Debit Card"/>
    <n v="1"/>
    <s v="Ryan Bennett"/>
    <s v="Montreal"/>
    <s v="Corporate"/>
    <s v="Webcam"/>
    <x v="4"/>
    <n v="154.72999999999999"/>
    <n v="548.76"/>
    <n v="82.313999999999993"/>
    <x v="699"/>
    <n v="309.45999999999998"/>
    <x v="698"/>
    <n v="0.33655771514816302"/>
    <n v="2025"/>
    <x v="2"/>
    <s v="février"/>
    <s v="Q1"/>
    <x v="1"/>
    <n v="0"/>
  </r>
  <r>
    <x v="1"/>
    <s v="P1016"/>
    <s v="C0067"/>
    <s v="Toronto Downtown"/>
    <s v="Credit Card"/>
    <n v="1"/>
    <s v="Leo Bennett"/>
    <s v="Mississauga"/>
    <s v="Consumer"/>
    <s v="Printer"/>
    <x v="3"/>
    <n v="156.75"/>
    <n v="656.7"/>
    <n v="32.835000000000001"/>
    <x v="700"/>
    <n v="313.5"/>
    <x v="699"/>
    <n v="0.49748743718592964"/>
    <n v="2025"/>
    <x v="2"/>
    <s v="février"/>
    <s v="Q1"/>
    <x v="2"/>
    <n v="0"/>
  </r>
  <r>
    <x v="0"/>
    <s v="P1015"/>
    <s v="C0116"/>
    <s v="Online Fulfillment"/>
    <s v="Debit Card"/>
    <n v="1"/>
    <s v="Lucas Brown"/>
    <s v="Mississauga"/>
    <s v="Corporate"/>
    <s v="Desk Organizer"/>
    <x v="3"/>
    <n v="235.76"/>
    <n v="755.72"/>
    <n v="188.93"/>
    <x v="701"/>
    <n v="471.52"/>
    <x v="700"/>
    <n v="0.16808694578238853"/>
    <n v="2025"/>
    <x v="6"/>
    <s v="décembre"/>
    <s v="Q4"/>
    <x v="2"/>
    <n v="0"/>
  </r>
  <r>
    <x v="0"/>
    <s v="P1034"/>
    <s v="C0107"/>
    <s v="Calgary North"/>
    <s v="Credit Card"/>
    <n v="1"/>
    <s v="Ava Lee"/>
    <s v="Calgary"/>
    <s v="Small Business"/>
    <s v="Laptop Sleeve"/>
    <x v="1"/>
    <n v="78.95"/>
    <n v="564.96"/>
    <n v="0"/>
    <x v="702"/>
    <n v="315.8"/>
    <x v="701"/>
    <n v="0.44102237326536392"/>
    <n v="2025"/>
    <x v="7"/>
    <s v="août"/>
    <s v="Q3"/>
    <x v="3"/>
    <n v="0"/>
  </r>
  <r>
    <x v="0"/>
    <s v="P1033"/>
    <s v="C0048"/>
    <s v="Vancouver West"/>
    <s v="Debit Card"/>
    <n v="1"/>
    <s v="Amelia Brown"/>
    <s v="Quebec City"/>
    <s v="Corporate"/>
    <s v="Backpack"/>
    <x v="1"/>
    <n v="152.55000000000001"/>
    <n v="954.54"/>
    <n v="95.454000000000008"/>
    <x v="703"/>
    <n v="457.65000000000003"/>
    <x v="702"/>
    <n v="0.46728267018668673"/>
    <n v="2025"/>
    <x v="4"/>
    <s v="mars"/>
    <s v="Q1"/>
    <x v="1"/>
    <n v="0"/>
  </r>
  <r>
    <x v="1"/>
    <s v="P1016"/>
    <s v="C0082"/>
    <s v="Vancouver West"/>
    <s v="Paypal"/>
    <n v="1"/>
    <s v="Ryan King"/>
    <s v="Winnipeg"/>
    <s v="Small Business"/>
    <s v="Printer"/>
    <x v="3"/>
    <n v="156.75"/>
    <n v="1314.68"/>
    <n v="0"/>
    <x v="704"/>
    <n v="627"/>
    <x v="703"/>
    <n v="0.52307785925092043"/>
    <n v="2025"/>
    <x v="11"/>
    <s v="octobre"/>
    <s v="Q4"/>
    <x v="6"/>
    <n v="0"/>
  </r>
  <r>
    <x v="1"/>
    <s v="P1020"/>
    <s v="C0034"/>
    <s v="Montreal Central"/>
    <s v="Credit Card"/>
    <n v="1"/>
    <s v="Noah Tremblay"/>
    <s v="Toronto"/>
    <s v="Corporate"/>
    <s v="Blender"/>
    <x v="2"/>
    <n v="37.46"/>
    <n v="312.39999999999998"/>
    <n v="0"/>
    <x v="705"/>
    <n v="187.3"/>
    <x v="704"/>
    <n v="0.4004481434058898"/>
    <n v="2025"/>
    <x v="5"/>
    <s v="juin"/>
    <s v="Q2"/>
    <x v="2"/>
    <n v="0"/>
  </r>
  <r>
    <x v="1"/>
    <s v="P1023"/>
    <s v="C0028"/>
    <s v="Vancouver West"/>
    <s v="Paypal"/>
    <n v="1"/>
    <s v="Mia Clark"/>
    <s v="Victoria"/>
    <s v="Consumer"/>
    <s v="Toaster"/>
    <x v="2"/>
    <n v="152.88"/>
    <n v="678.5"/>
    <n v="33.925000000000004"/>
    <x v="706"/>
    <n v="305.76"/>
    <x v="705"/>
    <n v="0.52564092619167668"/>
    <n v="2025"/>
    <x v="6"/>
    <s v="décembre"/>
    <s v="Q4"/>
    <x v="0"/>
    <n v="0"/>
  </r>
  <r>
    <x v="1"/>
    <s v="P1008"/>
    <s v="C0092"/>
    <s v="Vancouver West"/>
    <s v="Credit Card"/>
    <n v="1"/>
    <s v="Lucas Tremblay"/>
    <s v="Saskatoon"/>
    <s v="Consumer"/>
    <s v="Smart Speaker"/>
    <x v="4"/>
    <n v="69"/>
    <n v="128.07"/>
    <n v="12.807"/>
    <x v="707"/>
    <n v="69"/>
    <x v="706"/>
    <n v="0.40136904297129167"/>
    <n v="2025"/>
    <x v="4"/>
    <s v="mars"/>
    <s v="Q1"/>
    <x v="5"/>
    <n v="0"/>
  </r>
  <r>
    <x v="0"/>
    <s v="P1021"/>
    <s v="C0120"/>
    <s v="Vancouver West"/>
    <s v="Credit Card"/>
    <n v="1"/>
    <s v="Ethan King"/>
    <s v="Mississauga"/>
    <s v="Small Business"/>
    <s v="Kettle"/>
    <x v="2"/>
    <n v="139.86000000000001"/>
    <n v="905.06999999999994"/>
    <n v="45.253500000000003"/>
    <x v="708"/>
    <n v="419.58000000000004"/>
    <x v="707"/>
    <n v="0.51201215608214068"/>
    <n v="2025"/>
    <x v="4"/>
    <s v="mars"/>
    <s v="Q1"/>
    <x v="2"/>
    <n v="0"/>
  </r>
  <r>
    <x v="0"/>
    <s v="P1003"/>
    <s v="C0006"/>
    <s v="Montreal Central"/>
    <s v="Paypal"/>
    <n v="1"/>
    <s v="Nora Wilson"/>
    <s v="Laval"/>
    <s v="Consumer"/>
    <s v="Mouse"/>
    <x v="4"/>
    <n v="106.4"/>
    <n v="153"/>
    <n v="0"/>
    <x v="709"/>
    <n v="106.4"/>
    <x v="708"/>
    <n v="0.30457516339869278"/>
    <n v="2025"/>
    <x v="9"/>
    <s v="avril"/>
    <s v="Q2"/>
    <x v="1"/>
    <n v="0"/>
  </r>
  <r>
    <x v="1"/>
    <s v="P1030"/>
    <s v="C0060"/>
    <s v="Vancouver West"/>
    <s v="Debit Card"/>
    <n v="1"/>
    <s v="Sarah Wilson"/>
    <s v="Quebec City"/>
    <s v="Corporate"/>
    <s v="Pull-up Bar"/>
    <x v="0"/>
    <n v="125.4"/>
    <n v="1236.6500000000001"/>
    <n v="61.83250000000001"/>
    <x v="710"/>
    <n v="627"/>
    <x v="709"/>
    <n v="0.46630008490680475"/>
    <n v="2025"/>
    <x v="10"/>
    <s v="juillet"/>
    <s v="Q3"/>
    <x v="1"/>
    <n v="0"/>
  </r>
  <r>
    <x v="1"/>
    <s v="P1038"/>
    <s v="C0066"/>
    <s v="Calgary North"/>
    <s v="Credit Card"/>
    <n v="1"/>
    <s v="Noah Clark"/>
    <s v="Laval"/>
    <s v="Consumer"/>
    <s v="Water Bottle"/>
    <x v="1"/>
    <n v="119.16"/>
    <n v="255.13"/>
    <n v="51.026000000000003"/>
    <x v="711"/>
    <n v="119.16"/>
    <x v="710"/>
    <n v="0.41617998667346057"/>
    <n v="2025"/>
    <x v="9"/>
    <s v="avril"/>
    <s v="Q2"/>
    <x v="1"/>
    <n v="0"/>
  </r>
  <r>
    <x v="2"/>
    <s v="P1021"/>
    <s v="C0060"/>
    <s v="Vancouver West"/>
    <s v="Credit Card"/>
    <n v="1"/>
    <s v="Sarah Wilson"/>
    <s v="Quebec City"/>
    <s v="Corporate"/>
    <s v="Kettle"/>
    <x v="2"/>
    <n v="139.86000000000001"/>
    <n v="291.2"/>
    <n v="14.56"/>
    <x v="712"/>
    <n v="139.86000000000001"/>
    <x v="711"/>
    <n v="0.49443319838056671"/>
    <n v="2025"/>
    <x v="7"/>
    <s v="août"/>
    <s v="Q3"/>
    <x v="1"/>
    <n v="0"/>
  </r>
  <r>
    <x v="1"/>
    <s v="P1019"/>
    <s v="C0061"/>
    <s v="Calgary North"/>
    <s v="Credit Card"/>
    <n v="1"/>
    <s v="Zoe Hall"/>
    <s v="Vancouver"/>
    <s v="Consumer"/>
    <s v="Vacuum"/>
    <x v="2"/>
    <n v="186.94"/>
    <n v="564.82000000000005"/>
    <n v="141.20500000000001"/>
    <x v="713"/>
    <n v="373.88"/>
    <x v="712"/>
    <n v="0.11740613528793838"/>
    <n v="2025"/>
    <x v="10"/>
    <s v="juillet"/>
    <s v="Q3"/>
    <x v="0"/>
    <n v="0"/>
  </r>
  <r>
    <x v="1"/>
    <s v="P1013"/>
    <s v="C0015"/>
    <s v="Calgary North"/>
    <s v="Credit Card"/>
    <n v="1"/>
    <s v="Zoe Singh"/>
    <s v="Halifax"/>
    <s v="Consumer"/>
    <s v="Whiteboard"/>
    <x v="3"/>
    <n v="85.73"/>
    <n v="492.84"/>
    <n v="0"/>
    <x v="714"/>
    <n v="342.92"/>
    <x v="713"/>
    <n v="0.30419608797987169"/>
    <n v="2025"/>
    <x v="0"/>
    <s v="septembre"/>
    <s v="Q3"/>
    <x v="4"/>
    <n v="0"/>
  </r>
  <r>
    <x v="0"/>
    <s v="P1020"/>
    <s v="C0022"/>
    <s v="Online Fulfillment"/>
    <s v="Debit Card"/>
    <n v="1"/>
    <s v="Adam White"/>
    <s v="Victoria"/>
    <s v="Consumer"/>
    <s v="Blender"/>
    <x v="2"/>
    <n v="37.46"/>
    <n v="207.66"/>
    <n v="41.532000000000004"/>
    <x v="715"/>
    <n v="112.38"/>
    <x v="714"/>
    <n v="0.32353366079167867"/>
    <n v="2025"/>
    <x v="0"/>
    <s v="septembre"/>
    <s v="Q3"/>
    <x v="0"/>
    <n v="1"/>
  </r>
  <r>
    <x v="1"/>
    <s v="P1004"/>
    <s v="C0114"/>
    <s v="Calgary North"/>
    <s v="Credit Card"/>
    <n v="1"/>
    <s v="Olivia Johnson"/>
    <s v="Ottawa"/>
    <s v="Consumer"/>
    <s v="Webcam"/>
    <x v="4"/>
    <n v="154.72999999999999"/>
    <n v="299.10000000000002"/>
    <n v="0"/>
    <x v="716"/>
    <n v="154.72999999999999"/>
    <x v="715"/>
    <n v="0.48268137746573059"/>
    <n v="2025"/>
    <x v="4"/>
    <s v="mars"/>
    <s v="Q1"/>
    <x v="2"/>
    <n v="0"/>
  </r>
  <r>
    <x v="1"/>
    <s v="P1033"/>
    <s v="C0037"/>
    <s v="Toronto Downtown"/>
    <s v="Credit Card"/>
    <n v="1"/>
    <s v="Lucas Scott"/>
    <s v="Victoria"/>
    <s v="Small Business"/>
    <s v="Backpack"/>
    <x v="1"/>
    <n v="152.55000000000001"/>
    <n v="308.49"/>
    <n v="0"/>
    <x v="717"/>
    <n v="152.55000000000001"/>
    <x v="716"/>
    <n v="0.50549450549450547"/>
    <n v="2025"/>
    <x v="2"/>
    <s v="février"/>
    <s v="Q1"/>
    <x v="0"/>
    <n v="0"/>
  </r>
  <r>
    <x v="0"/>
    <s v="P1034"/>
    <s v="C0065"/>
    <s v="Calgary North"/>
    <s v="Credit Card"/>
    <n v="1"/>
    <s v="Mia Wilson"/>
    <s v="Quebec City"/>
    <s v="Consumer"/>
    <s v="Laptop Sleeve"/>
    <x v="1"/>
    <n v="78.95"/>
    <n v="275.08"/>
    <n v="41.261999999999993"/>
    <x v="718"/>
    <n v="157.9"/>
    <x v="717"/>
    <n v="0.32468843288369581"/>
    <n v="2025"/>
    <x v="3"/>
    <s v="janvier"/>
    <s v="Q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eau croisé dynamique5" cacheId="2" applyNumberFormats="0" applyBorderFormats="0" applyFontFormats="0" applyPatternFormats="0" applyAlignmentFormats="0" applyWidthHeightFormats="1" dataCaption="Valeurs" updatedVersion="5" minRefreshableVersion="3" useAutoFormatting="1" itemPrintTitles="1" createdVersion="5" indent="0" outline="1" outlineData="1" multipleFieldFilters="0" chartFormat="3">
  <location ref="E20:F26"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axis="axisRow" showAll="0">
      <items count="6">
        <item x="1"/>
        <item x="4"/>
        <item x="0"/>
        <item x="2"/>
        <item x="3"/>
        <item t="default"/>
      </items>
    </pivotField>
    <pivotField showAll="0"/>
    <pivotField showAll="0"/>
    <pivotField showAll="0"/>
    <pivotField showAll="0"/>
    <pivotField showAll="0"/>
    <pivotField showAll="0"/>
    <pivotField numFmtId="9" showAll="0"/>
    <pivotField showAll="0"/>
    <pivotField showAll="0"/>
    <pivotField showAll="0"/>
    <pivotField showAll="0"/>
    <pivotField showAll="0">
      <items count="8">
        <item x="3"/>
        <item x="0"/>
        <item x="6"/>
        <item x="4"/>
        <item x="2"/>
        <item x="1"/>
        <item x="5"/>
        <item t="default"/>
      </items>
    </pivotField>
    <pivotField dataField="1" showAll="0"/>
  </pivotFields>
  <rowFields count="1">
    <field x="10"/>
  </rowFields>
  <rowItems count="6">
    <i>
      <x/>
    </i>
    <i>
      <x v="1"/>
    </i>
    <i>
      <x v="2"/>
    </i>
    <i>
      <x v="3"/>
    </i>
    <i>
      <x v="4"/>
    </i>
    <i t="grand">
      <x/>
    </i>
  </rowItems>
  <colItems count="1">
    <i/>
  </colItems>
  <dataFields count="1">
    <dataField name="Moyenne de Return_Flag" fld="23" subtotal="average" baseField="10" baseItem="0" numFmtId="169"/>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eau croisé dynamique4" cacheId="2" applyNumberFormats="0" applyBorderFormats="0" applyFontFormats="0" applyPatternFormats="0" applyAlignmentFormats="0" applyWidthHeightFormats="1" dataCaption="Valeurs" updatedVersion="5" minRefreshableVersion="3" useAutoFormatting="1" itemPrintTitles="1" createdVersion="5" indent="0" outline="1" outlineData="1" multipleFieldFilters="0" chartFormat="5">
  <location ref="A20:C28" firstHeaderRow="0"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6">
        <item x="1"/>
        <item x="4"/>
        <item x="0"/>
        <item x="2"/>
        <item x="3"/>
        <item t="default"/>
      </items>
    </pivotField>
    <pivotField showAll="0"/>
    <pivotField showAll="0"/>
    <pivotField showAll="0"/>
    <pivotField dataField="1" showAll="0">
      <items count="720">
        <item x="228"/>
        <item x="676"/>
        <item x="235"/>
        <item x="32"/>
        <item x="116"/>
        <item x="606"/>
        <item x="109"/>
        <item x="196"/>
        <item x="293"/>
        <item x="359"/>
        <item x="581"/>
        <item x="71"/>
        <item x="122"/>
        <item x="547"/>
        <item x="584"/>
        <item x="653"/>
        <item x="236"/>
        <item x="159"/>
        <item x="333"/>
        <item x="348"/>
        <item x="208"/>
        <item x="405"/>
        <item x="607"/>
        <item x="620"/>
        <item x="410"/>
        <item x="225"/>
        <item x="75"/>
        <item x="292"/>
        <item x="417"/>
        <item x="103"/>
        <item x="430"/>
        <item x="580"/>
        <item x="472"/>
        <item x="402"/>
        <item x="294"/>
        <item x="16"/>
        <item x="538"/>
        <item x="650"/>
        <item x="603"/>
        <item x="212"/>
        <item x="240"/>
        <item x="197"/>
        <item x="666"/>
        <item x="565"/>
        <item x="562"/>
        <item x="241"/>
        <item x="95"/>
        <item x="214"/>
        <item x="19"/>
        <item x="558"/>
        <item x="395"/>
        <item x="622"/>
        <item x="657"/>
        <item x="462"/>
        <item x="447"/>
        <item x="304"/>
        <item x="106"/>
        <item x="296"/>
        <item x="695"/>
        <item x="238"/>
        <item x="12"/>
        <item x="161"/>
        <item x="43"/>
        <item x="150"/>
        <item x="414"/>
        <item x="544"/>
        <item x="143"/>
        <item x="91"/>
        <item x="87"/>
        <item x="200"/>
        <item x="133"/>
        <item x="253"/>
        <item x="387"/>
        <item x="437"/>
        <item x="180"/>
        <item x="605"/>
        <item x="98"/>
        <item x="587"/>
        <item x="450"/>
        <item x="423"/>
        <item x="660"/>
        <item x="31"/>
        <item x="400"/>
        <item x="532"/>
        <item x="522"/>
        <item x="86"/>
        <item x="262"/>
        <item x="635"/>
        <item x="27"/>
        <item x="125"/>
        <item x="252"/>
        <item x="338"/>
        <item x="160"/>
        <item x="431"/>
        <item x="536"/>
        <item x="471"/>
        <item x="516"/>
        <item x="297"/>
        <item x="707"/>
        <item x="167"/>
        <item x="361"/>
        <item x="533"/>
        <item x="611"/>
        <item x="38"/>
        <item x="378"/>
        <item x="542"/>
        <item x="568"/>
        <item x="336"/>
        <item x="303"/>
        <item x="314"/>
        <item x="181"/>
        <item x="88"/>
        <item x="641"/>
        <item x="680"/>
        <item x="601"/>
        <item x="613"/>
        <item x="231"/>
        <item x="80"/>
        <item x="219"/>
        <item x="668"/>
        <item x="26"/>
        <item x="278"/>
        <item x="420"/>
        <item x="36"/>
        <item x="696"/>
        <item x="135"/>
        <item x="134"/>
        <item x="72"/>
        <item x="127"/>
        <item x="509"/>
        <item x="6"/>
        <item x="119"/>
        <item x="575"/>
        <item x="388"/>
        <item x="232"/>
        <item x="530"/>
        <item x="140"/>
        <item x="384"/>
        <item x="4"/>
        <item x="569"/>
        <item x="709"/>
        <item x="504"/>
        <item x="357"/>
        <item x="9"/>
        <item x="53"/>
        <item x="539"/>
        <item x="311"/>
        <item x="585"/>
        <item x="147"/>
        <item x="248"/>
        <item x="631"/>
        <item x="118"/>
        <item x="220"/>
        <item x="310"/>
        <item x="432"/>
        <item x="204"/>
        <item x="189"/>
        <item x="715"/>
        <item x="37"/>
        <item x="68"/>
        <item x="497"/>
        <item x="682"/>
        <item x="477"/>
        <item x="77"/>
        <item x="247"/>
        <item x="526"/>
        <item x="490"/>
        <item x="673"/>
        <item x="3"/>
        <item x="261"/>
        <item x="99"/>
        <item x="84"/>
        <item x="229"/>
        <item x="148"/>
        <item x="649"/>
        <item x="438"/>
        <item x="301"/>
        <item x="428"/>
        <item x="367"/>
        <item x="22"/>
        <item x="101"/>
        <item x="176"/>
        <item x="577"/>
        <item x="540"/>
        <item x="340"/>
        <item x="239"/>
        <item x="58"/>
        <item x="120"/>
        <item x="444"/>
        <item x="594"/>
        <item x="335"/>
        <item x="280"/>
        <item x="201"/>
        <item x="659"/>
        <item x="289"/>
        <item x="182"/>
        <item x="102"/>
        <item x="514"/>
        <item x="453"/>
        <item x="82"/>
        <item x="66"/>
        <item x="711"/>
        <item x="592"/>
        <item x="371"/>
        <item x="632"/>
        <item x="483"/>
        <item x="446"/>
        <item x="500"/>
        <item x="618"/>
        <item x="683"/>
        <item x="422"/>
        <item x="372"/>
        <item x="322"/>
        <item x="144"/>
        <item x="614"/>
        <item x="17"/>
        <item x="146"/>
        <item x="33"/>
        <item x="325"/>
        <item x="186"/>
        <item x="578"/>
        <item x="599"/>
        <item x="39"/>
        <item x="609"/>
        <item x="689"/>
        <item x="485"/>
        <item x="28"/>
        <item x="47"/>
        <item x="396"/>
        <item x="633"/>
        <item x="503"/>
        <item x="190"/>
        <item x="527"/>
        <item x="386"/>
        <item x="345"/>
        <item x="96"/>
        <item x="408"/>
        <item x="499"/>
        <item x="454"/>
        <item x="202"/>
        <item x="439"/>
        <item x="13"/>
        <item x="291"/>
        <item x="484"/>
        <item x="349"/>
        <item x="380"/>
        <item x="537"/>
        <item x="403"/>
        <item x="442"/>
        <item x="718"/>
        <item x="78"/>
        <item x="488"/>
        <item x="486"/>
        <item x="10"/>
        <item x="309"/>
        <item x="11"/>
        <item x="355"/>
        <item x="149"/>
        <item x="685"/>
        <item x="313"/>
        <item x="586"/>
        <item x="363"/>
        <item x="560"/>
        <item x="108"/>
        <item x="541"/>
        <item x="463"/>
        <item x="356"/>
        <item x="268"/>
        <item x="368"/>
        <item x="508"/>
        <item x="287"/>
        <item x="473"/>
        <item x="512"/>
        <item x="551"/>
        <item x="465"/>
        <item x="92"/>
        <item x="698"/>
        <item x="274"/>
        <item x="671"/>
        <item x="404"/>
        <item x="104"/>
        <item x="478"/>
        <item x="595"/>
        <item x="608"/>
        <item x="675"/>
        <item x="381"/>
        <item x="496"/>
        <item x="449"/>
        <item x="545"/>
        <item x="260"/>
        <item x="121"/>
        <item x="464"/>
        <item x="364"/>
        <item x="474"/>
        <item x="451"/>
        <item x="233"/>
        <item x="452"/>
        <item x="589"/>
        <item x="652"/>
        <item x="155"/>
        <item x="429"/>
        <item x="407"/>
        <item x="518"/>
        <item x="288"/>
        <item x="326"/>
        <item x="49"/>
        <item x="712"/>
        <item x="493"/>
        <item x="549"/>
        <item x="691"/>
        <item x="461"/>
        <item x="55"/>
        <item x="337"/>
        <item x="290"/>
        <item x="502"/>
        <item x="100"/>
        <item x="54"/>
        <item x="234"/>
        <item x="222"/>
        <item x="645"/>
        <item x="630"/>
        <item x="250"/>
        <item x="688"/>
        <item x="617"/>
        <item x="89"/>
        <item x="528"/>
        <item x="571"/>
        <item x="716"/>
        <item x="45"/>
        <item x="667"/>
        <item x="163"/>
        <item x="563"/>
        <item x="436"/>
        <item x="152"/>
        <item x="415"/>
        <item x="281"/>
        <item x="664"/>
        <item x="30"/>
        <item x="379"/>
        <item x="62"/>
        <item x="29"/>
        <item x="284"/>
        <item x="126"/>
        <item x="717"/>
        <item x="373"/>
        <item x="328"/>
        <item x="443"/>
        <item x="636"/>
        <item x="705"/>
        <item x="317"/>
        <item x="105"/>
        <item x="213"/>
        <item x="554"/>
        <item x="550"/>
        <item x="142"/>
        <item x="51"/>
        <item x="397"/>
        <item x="298"/>
        <item x="511"/>
        <item x="131"/>
        <item x="8"/>
        <item x="185"/>
        <item x="139"/>
        <item x="316"/>
        <item x="370"/>
        <item x="145"/>
        <item x="525"/>
        <item x="321"/>
        <item x="433"/>
        <item x="315"/>
        <item x="183"/>
        <item x="0"/>
        <item x="352"/>
        <item x="162"/>
        <item x="621"/>
        <item x="353"/>
        <item x="158"/>
        <item x="117"/>
        <item x="501"/>
        <item x="172"/>
        <item x="643"/>
        <item x="205"/>
        <item x="351"/>
        <item x="519"/>
        <item x="93"/>
        <item x="670"/>
        <item x="521"/>
        <item x="164"/>
        <item x="479"/>
        <item x="392"/>
        <item x="263"/>
        <item x="602"/>
        <item x="510"/>
        <item x="128"/>
        <item x="21"/>
        <item x="531"/>
        <item x="307"/>
        <item x="90"/>
        <item x="83"/>
        <item x="255"/>
        <item x="495"/>
        <item x="249"/>
        <item x="564"/>
        <item x="448"/>
        <item x="94"/>
        <item x="343"/>
        <item x="70"/>
        <item x="312"/>
        <item x="157"/>
        <item x="517"/>
        <item x="626"/>
        <item x="570"/>
        <item x="582"/>
        <item x="245"/>
        <item x="492"/>
        <item x="15"/>
        <item x="169"/>
        <item x="390"/>
        <item x="669"/>
        <item x="658"/>
        <item x="629"/>
        <item x="418"/>
        <item x="211"/>
        <item x="175"/>
        <item x="35"/>
        <item x="207"/>
        <item x="642"/>
        <item x="468"/>
        <item x="612"/>
        <item x="482"/>
        <item x="419"/>
        <item x="441"/>
        <item x="273"/>
        <item x="494"/>
        <item x="662"/>
        <item x="24"/>
        <item x="191"/>
        <item x="173"/>
        <item x="111"/>
        <item x="69"/>
        <item x="192"/>
        <item x="460"/>
        <item x="421"/>
        <item x="112"/>
        <item x="674"/>
        <item x="153"/>
        <item x="610"/>
        <item x="489"/>
        <item x="529"/>
        <item x="455"/>
        <item x="306"/>
        <item x="302"/>
        <item x="178"/>
        <item x="487"/>
        <item x="597"/>
        <item x="506"/>
        <item x="639"/>
        <item x="401"/>
        <item x="132"/>
        <item x="242"/>
        <item x="604"/>
        <item x="416"/>
        <item x="713"/>
        <item x="598"/>
        <item x="67"/>
        <item x="346"/>
        <item x="557"/>
        <item x="46"/>
        <item x="466"/>
        <item x="195"/>
        <item x="227"/>
        <item x="74"/>
        <item x="686"/>
        <item x="257"/>
        <item x="458"/>
        <item x="57"/>
        <item x="216"/>
        <item x="319"/>
        <item x="300"/>
        <item x="596"/>
        <item x="480"/>
        <item x="524"/>
        <item x="198"/>
        <item x="151"/>
        <item x="699"/>
        <item x="168"/>
        <item x="366"/>
        <item x="286"/>
        <item x="365"/>
        <item x="275"/>
        <item x="266"/>
        <item x="41"/>
        <item x="714"/>
        <item x="85"/>
        <item x="628"/>
        <item x="559"/>
        <item x="548"/>
        <item x="221"/>
        <item x="376"/>
        <item x="269"/>
        <item x="588"/>
        <item x="136"/>
        <item x="64"/>
        <item x="647"/>
        <item x="223"/>
        <item x="391"/>
        <item x="572"/>
        <item x="48"/>
        <item x="354"/>
        <item x="369"/>
        <item x="52"/>
        <item x="171"/>
        <item x="648"/>
        <item x="334"/>
        <item x="687"/>
        <item x="375"/>
        <item x="259"/>
        <item x="344"/>
        <item x="576"/>
        <item x="672"/>
        <item x="627"/>
        <item x="663"/>
        <item x="295"/>
        <item x="644"/>
        <item x="23"/>
        <item x="456"/>
        <item x="623"/>
        <item x="76"/>
        <item x="702"/>
        <item x="61"/>
        <item x="701"/>
        <item x="457"/>
        <item x="590"/>
        <item x="385"/>
        <item x="97"/>
        <item x="270"/>
        <item x="193"/>
        <item x="165"/>
        <item x="285"/>
        <item x="299"/>
        <item x="179"/>
        <item x="73"/>
        <item x="362"/>
        <item x="342"/>
        <item x="170"/>
        <item x="625"/>
        <item x="523"/>
        <item x="251"/>
        <item x="2"/>
        <item x="634"/>
        <item x="218"/>
        <item x="7"/>
        <item x="507"/>
        <item x="226"/>
        <item x="272"/>
        <item x="646"/>
        <item x="79"/>
        <item x="543"/>
        <item x="279"/>
        <item x="50"/>
        <item x="358"/>
        <item x="700"/>
        <item x="535"/>
        <item x="684"/>
        <item x="412"/>
        <item x="374"/>
        <item x="552"/>
        <item x="579"/>
        <item x="427"/>
        <item x="243"/>
        <item x="308"/>
        <item x="706"/>
        <item x="677"/>
        <item x="107"/>
        <item x="283"/>
        <item x="210"/>
        <item x="194"/>
        <item x="141"/>
        <item x="616"/>
        <item x="56"/>
        <item x="224"/>
        <item x="561"/>
        <item x="254"/>
        <item x="426"/>
        <item x="123"/>
        <item x="567"/>
        <item x="693"/>
        <item x="470"/>
        <item x="324"/>
        <item x="574"/>
        <item x="440"/>
        <item x="20"/>
        <item x="656"/>
        <item x="555"/>
        <item x="481"/>
        <item x="265"/>
        <item x="475"/>
        <item x="513"/>
        <item x="320"/>
        <item x="331"/>
        <item x="130"/>
        <item x="199"/>
        <item x="382"/>
        <item x="330"/>
        <item x="600"/>
        <item x="383"/>
        <item x="267"/>
        <item x="244"/>
        <item x="655"/>
        <item x="246"/>
        <item x="459"/>
        <item x="113"/>
        <item x="5"/>
        <item x="264"/>
        <item x="124"/>
        <item x="25"/>
        <item x="339"/>
        <item x="276"/>
        <item x="350"/>
        <item x="566"/>
        <item x="154"/>
        <item x="329"/>
        <item x="166"/>
        <item x="546"/>
        <item x="498"/>
        <item x="593"/>
        <item x="377"/>
        <item x="679"/>
        <item x="692"/>
        <item x="467"/>
        <item x="661"/>
        <item x="277"/>
        <item x="411"/>
        <item x="697"/>
        <item x="137"/>
        <item x="491"/>
        <item x="40"/>
        <item x="184"/>
        <item x="520"/>
        <item x="681"/>
        <item x="583"/>
        <item x="187"/>
        <item x="638"/>
        <item x="271"/>
        <item x="237"/>
        <item x="156"/>
        <item x="703"/>
        <item x="708"/>
        <item x="591"/>
        <item x="323"/>
        <item x="305"/>
        <item x="206"/>
        <item x="282"/>
        <item x="556"/>
        <item x="476"/>
        <item x="44"/>
        <item x="534"/>
        <item x="651"/>
        <item x="389"/>
        <item x="65"/>
        <item x="256"/>
        <item x="59"/>
        <item x="115"/>
        <item x="188"/>
        <item x="110"/>
        <item x="445"/>
        <item x="332"/>
        <item x="413"/>
        <item x="347"/>
        <item x="209"/>
        <item x="177"/>
        <item x="203"/>
        <item x="63"/>
        <item x="435"/>
        <item x="678"/>
        <item x="215"/>
        <item x="34"/>
        <item x="60"/>
        <item x="129"/>
        <item x="18"/>
        <item x="1"/>
        <item x="694"/>
        <item x="640"/>
        <item x="14"/>
        <item x="690"/>
        <item x="469"/>
        <item x="505"/>
        <item x="425"/>
        <item x="393"/>
        <item x="619"/>
        <item x="624"/>
        <item x="258"/>
        <item x="710"/>
        <item x="81"/>
        <item x="138"/>
        <item x="42"/>
        <item x="174"/>
        <item x="394"/>
        <item x="409"/>
        <item x="654"/>
        <item x="424"/>
        <item x="704"/>
        <item x="637"/>
        <item x="398"/>
        <item x="399"/>
        <item x="573"/>
        <item x="318"/>
        <item x="217"/>
        <item x="341"/>
        <item x="406"/>
        <item x="515"/>
        <item x="360"/>
        <item x="553"/>
        <item x="615"/>
        <item x="327"/>
        <item x="665"/>
        <item x="230"/>
        <item x="434"/>
        <item x="114"/>
        <item t="default"/>
      </items>
    </pivotField>
    <pivotField showAll="0"/>
    <pivotField dataField="1" showAll="0">
      <items count="719">
        <item x="292"/>
        <item x="601"/>
        <item x="579"/>
        <item x="227"/>
        <item x="239"/>
        <item x="295"/>
        <item x="675"/>
        <item x="122"/>
        <item x="234"/>
        <item x="32"/>
        <item x="116"/>
        <item x="545"/>
        <item x="604"/>
        <item x="560"/>
        <item x="582"/>
        <item x="422"/>
        <item x="240"/>
        <item x="109"/>
        <item x="542"/>
        <item x="91"/>
        <item x="652"/>
        <item x="195"/>
        <item x="213"/>
        <item x="158"/>
        <item x="358"/>
        <item x="235"/>
        <item x="404"/>
        <item x="71"/>
        <item x="567"/>
        <item x="630"/>
        <item x="252"/>
        <item x="16"/>
        <item x="536"/>
        <item x="291"/>
        <item x="386"/>
        <item x="429"/>
        <item x="211"/>
        <item x="416"/>
        <item x="436"/>
        <item x="616"/>
        <item x="694"/>
        <item x="196"/>
        <item x="682"/>
        <item x="471"/>
        <item x="159"/>
        <item x="207"/>
        <item x="401"/>
        <item x="332"/>
        <item x="293"/>
        <item x="618"/>
        <item x="430"/>
        <item x="449"/>
        <item x="665"/>
        <item x="143"/>
        <item x="36"/>
        <item x="659"/>
        <item x="347"/>
        <item x="95"/>
        <item x="31"/>
        <item x="19"/>
        <item x="605"/>
        <item x="77"/>
        <item x="649"/>
        <item x="409"/>
        <item x="520"/>
        <item x="620"/>
        <item x="224"/>
        <item x="75"/>
        <item x="530"/>
        <item x="103"/>
        <item x="556"/>
        <item x="337"/>
        <item x="394"/>
        <item x="72"/>
        <item x="578"/>
        <item x="615"/>
        <item x="461"/>
        <item x="563"/>
        <item x="647"/>
        <item x="203"/>
        <item x="540"/>
        <item x="127"/>
        <item x="674"/>
        <item x="47"/>
        <item x="260"/>
        <item x="106"/>
        <item x="27"/>
        <item x="313"/>
        <item x="402"/>
        <item x="633"/>
        <item x="593"/>
        <item x="180"/>
        <item x="189"/>
        <item x="237"/>
        <item x="639"/>
        <item x="310"/>
        <item x="656"/>
        <item x="296"/>
        <item x="160"/>
        <item x="251"/>
        <item x="450"/>
        <item x="149"/>
        <item x="43"/>
        <item x="487"/>
        <item x="515"/>
        <item x="247"/>
        <item x="387"/>
        <item x="476"/>
        <item x="446"/>
        <item x="303"/>
        <item x="609"/>
        <item x="413"/>
        <item x="611"/>
        <item x="148"/>
        <item x="87"/>
        <item x="199"/>
        <item x="12"/>
        <item x="679"/>
        <item x="470"/>
        <item x="403"/>
        <item x="599"/>
        <item x="645"/>
        <item x="3"/>
        <item x="437"/>
        <item x="531"/>
        <item x="706"/>
        <item x="688"/>
        <item x="133"/>
        <item x="708"/>
        <item x="38"/>
        <item x="484"/>
        <item x="360"/>
        <item x="88"/>
        <item x="179"/>
        <item x="9"/>
        <item x="53"/>
        <item x="566"/>
        <item x="603"/>
        <item x="712"/>
        <item x="86"/>
        <item x="302"/>
        <item x="98"/>
        <item x="496"/>
        <item x="583"/>
        <item x="335"/>
        <item x="473"/>
        <item x="119"/>
        <item x="585"/>
        <item x="147"/>
        <item x="80"/>
        <item x="525"/>
        <item x="218"/>
        <item x="472"/>
        <item x="271"/>
        <item x="118"/>
        <item x="667"/>
        <item x="714"/>
        <item x="399"/>
        <item x="681"/>
        <item x="431"/>
        <item x="695"/>
        <item x="419"/>
        <item x="135"/>
        <item x="478"/>
        <item x="489"/>
        <item x="175"/>
        <item x="134"/>
        <item x="261"/>
        <item x="230"/>
        <item x="300"/>
        <item x="575"/>
        <item x="377"/>
        <item x="612"/>
        <item x="125"/>
        <item x="508"/>
        <item x="120"/>
        <item x="534"/>
        <item x="51"/>
        <item x="485"/>
        <item x="26"/>
        <item x="447"/>
        <item x="576"/>
        <item x="658"/>
        <item x="37"/>
        <item x="6"/>
        <item x="277"/>
        <item x="356"/>
        <item x="166"/>
        <item x="443"/>
        <item x="573"/>
        <item x="537"/>
        <item x="648"/>
        <item x="494"/>
        <item x="592"/>
        <item x="89"/>
        <item x="463"/>
        <item x="501"/>
        <item x="181"/>
        <item x="232"/>
        <item x="498"/>
        <item x="231"/>
        <item x="140"/>
        <item x="552"/>
        <item x="383"/>
        <item x="191"/>
        <item x="290"/>
        <item x="4"/>
        <item x="528"/>
        <item x="200"/>
        <item x="372"/>
        <item x="286"/>
        <item x="421"/>
        <item x="371"/>
        <item x="427"/>
        <item x="321"/>
        <item x="58"/>
        <item x="102"/>
        <item x="524"/>
        <item x="154"/>
        <item x="136"/>
        <item x="672"/>
        <item x="30"/>
        <item x="717"/>
        <item x="221"/>
        <item x="503"/>
        <item x="448"/>
        <item x="453"/>
        <item x="513"/>
        <item x="82"/>
        <item x="543"/>
        <item x="697"/>
        <item x="316"/>
        <item x="101"/>
        <item x="99"/>
        <item x="49"/>
        <item x="432"/>
        <item x="153"/>
        <item x="68"/>
        <item x="84"/>
        <item x="327"/>
        <item x="163"/>
        <item x="228"/>
        <item x="395"/>
        <item x="629"/>
        <item x="308"/>
        <item x="104"/>
        <item x="643"/>
        <item x="57"/>
        <item x="334"/>
        <item x="279"/>
        <item x="380"/>
        <item x="144"/>
        <item x="25"/>
        <item x="318"/>
        <item x="219"/>
        <item x="600"/>
        <item x="309"/>
        <item x="146"/>
        <item x="587"/>
        <item x="126"/>
        <item x="389"/>
        <item x="385"/>
        <item x="66"/>
        <item x="710"/>
        <item x="39"/>
        <item x="185"/>
        <item x="590"/>
        <item x="8"/>
        <item x="366"/>
        <item x="315"/>
        <item x="33"/>
        <item x="324"/>
        <item x="445"/>
        <item x="312"/>
        <item x="188"/>
        <item x="482"/>
        <item x="320"/>
        <item x="378"/>
        <item x="499"/>
        <item x="367"/>
        <item x="538"/>
        <item x="314"/>
        <item x="238"/>
        <item x="48"/>
        <item x="657"/>
        <item x="13"/>
        <item x="201"/>
        <item x="483"/>
        <item x="607"/>
        <item x="610"/>
        <item x="256"/>
        <item x="355"/>
        <item x="407"/>
        <item x="267"/>
        <item x="535"/>
        <item x="161"/>
        <item x="700"/>
        <item x="511"/>
        <item x="94"/>
        <item x="117"/>
        <item x="246"/>
        <item x="93"/>
        <item x="22"/>
        <item x="379"/>
        <item x="631"/>
        <item x="502"/>
        <item x="546"/>
        <item x="96"/>
        <item x="442"/>
        <item x="597"/>
        <item x="344"/>
        <item x="339"/>
        <item x="568"/>
        <item x="348"/>
        <item x="666"/>
        <item x="28"/>
        <item x="369"/>
        <item x="452"/>
        <item x="624"/>
        <item x="10"/>
        <item x="670"/>
        <item x="418"/>
        <item x="561"/>
        <item x="64"/>
        <item x="55"/>
        <item x="529"/>
        <item x="336"/>
        <item x="435"/>
        <item x="634"/>
        <item x="90"/>
        <item x="434"/>
        <item x="222"/>
        <item x="441"/>
        <item x="558"/>
        <item x="288"/>
        <item x="438"/>
        <item x="584"/>
        <item x="283"/>
        <item x="248"/>
        <item x="259"/>
        <item x="306"/>
        <item x="362"/>
        <item x="451"/>
        <item x="574"/>
        <item x="539"/>
        <item x="619"/>
        <item x="370"/>
        <item x="668"/>
        <item x="684"/>
        <item x="128"/>
        <item x="21"/>
        <item x="641"/>
        <item x="41"/>
        <item x="363"/>
        <item x="350"/>
        <item x="440"/>
        <item x="651"/>
        <item x="78"/>
        <item x="145"/>
        <item x="258"/>
        <item x="428"/>
        <item x="493"/>
        <item x="628"/>
        <item x="549"/>
        <item x="477"/>
        <item x="11"/>
        <item x="168"/>
        <item x="516"/>
        <item x="523"/>
        <item x="354"/>
        <item x="206"/>
        <item x="683"/>
        <item x="17"/>
        <item x="547"/>
        <item x="352"/>
        <item x="45"/>
        <item x="391"/>
        <item x="492"/>
        <item x="0"/>
        <item x="262"/>
        <item x="495"/>
        <item x="460"/>
        <item x="640"/>
        <item x="704"/>
        <item x="375"/>
        <item x="467"/>
        <item x="15"/>
        <item x="108"/>
        <item x="364"/>
        <item x="274"/>
        <item x="171"/>
        <item x="462"/>
        <item x="289"/>
        <item x="500"/>
        <item x="29"/>
        <item x="507"/>
        <item x="174"/>
        <item x="608"/>
        <item x="390"/>
        <item x="673"/>
        <item x="156"/>
        <item x="121"/>
        <item x="92"/>
        <item x="54"/>
        <item x="190"/>
        <item x="233"/>
        <item x="464"/>
        <item x="368"/>
        <item x="244"/>
        <item x="621"/>
        <item x="241"/>
        <item x="325"/>
        <item x="517"/>
        <item x="353"/>
        <item x="491"/>
        <item x="107"/>
        <item x="711"/>
        <item x="273"/>
        <item x="305"/>
        <item x="509"/>
        <item x="512"/>
        <item x="459"/>
        <item x="342"/>
        <item x="690"/>
        <item x="650"/>
        <item x="595"/>
        <item x="626"/>
        <item x="606"/>
        <item x="194"/>
        <item x="254"/>
        <item x="687"/>
        <item x="715"/>
        <item x="505"/>
        <item x="151"/>
        <item x="100"/>
        <item x="454"/>
        <item x="580"/>
        <item x="625"/>
        <item x="272"/>
        <item x="35"/>
        <item x="157"/>
        <item x="162"/>
        <item x="518"/>
        <item x="598"/>
        <item x="562"/>
        <item x="661"/>
        <item x="713"/>
        <item x="414"/>
        <item x="280"/>
        <item x="69"/>
        <item x="365"/>
        <item x="62"/>
        <item x="18"/>
        <item x="311"/>
        <item x="406"/>
        <item x="172"/>
        <item x="486"/>
        <item x="420"/>
        <item x="112"/>
        <item x="111"/>
        <item x="287"/>
        <item x="716"/>
        <item x="637"/>
        <item x="686"/>
        <item x="642"/>
        <item x="249"/>
        <item x="152"/>
        <item x="698"/>
        <item x="671"/>
        <item x="548"/>
        <item x="526"/>
        <item x="569"/>
        <item x="210"/>
        <item x="263"/>
        <item x="488"/>
        <item x="105"/>
        <item x="212"/>
        <item x="142"/>
        <item x="396"/>
        <item x="139"/>
        <item x="297"/>
        <item x="131"/>
        <item x="527"/>
        <item x="663"/>
        <item x="345"/>
        <item x="184"/>
        <item x="79"/>
        <item x="67"/>
        <item x="614"/>
        <item x="226"/>
        <item x="177"/>
        <item x="457"/>
        <item x="417"/>
        <item x="351"/>
        <item x="627"/>
        <item x="357"/>
        <item x="400"/>
        <item x="132"/>
        <item x="46"/>
        <item x="204"/>
        <item x="669"/>
        <item x="343"/>
        <item x="510"/>
        <item x="415"/>
        <item x="481"/>
        <item x="209"/>
        <item x="182"/>
        <item x="264"/>
        <item x="24"/>
        <item x="676"/>
        <item x="73"/>
        <item x="361"/>
        <item x="74"/>
        <item x="281"/>
        <item x="555"/>
        <item x="83"/>
        <item x="298"/>
        <item x="456"/>
        <item x="215"/>
        <item x="425"/>
        <item x="479"/>
        <item x="169"/>
        <item x="70"/>
        <item x="250"/>
        <item x="465"/>
        <item x="570"/>
        <item x="282"/>
        <item x="130"/>
        <item x="480"/>
        <item x="685"/>
        <item x="602"/>
        <item x="255"/>
        <item x="225"/>
        <item x="299"/>
        <item x="301"/>
        <item x="269"/>
        <item x="167"/>
        <item x="328"/>
        <item x="594"/>
        <item x="458"/>
        <item x="141"/>
        <item x="596"/>
        <item x="333"/>
        <item x="565"/>
        <item x="469"/>
        <item x="374"/>
        <item x="533"/>
        <item x="85"/>
        <item x="150"/>
        <item x="178"/>
        <item x="522"/>
        <item x="164"/>
        <item x="197"/>
        <item x="323"/>
        <item x="183"/>
        <item x="393"/>
        <item x="341"/>
        <item x="586"/>
        <item x="20"/>
        <item x="382"/>
        <item x="253"/>
        <item x="285"/>
        <item x="521"/>
        <item x="553"/>
        <item x="662"/>
        <item x="474"/>
        <item x="23"/>
        <item x="52"/>
        <item x="242"/>
        <item x="294"/>
        <item x="559"/>
        <item x="307"/>
        <item x="701"/>
        <item x="268"/>
        <item x="217"/>
        <item x="165"/>
        <item x="544"/>
        <item x="275"/>
        <item x="330"/>
        <item x="123"/>
        <item x="455"/>
        <item x="497"/>
        <item x="588"/>
        <item x="270"/>
        <item x="557"/>
        <item x="265"/>
        <item x="591"/>
        <item x="76"/>
        <item x="97"/>
        <item x="646"/>
        <item x="192"/>
        <item x="243"/>
        <item x="155"/>
        <item x="384"/>
        <item x="198"/>
        <item x="220"/>
        <item x="346"/>
        <item x="245"/>
        <item x="113"/>
        <item x="319"/>
        <item x="411"/>
        <item x="5"/>
        <item x="266"/>
        <item x="284"/>
        <item x="623"/>
        <item x="577"/>
        <item x="564"/>
        <item x="61"/>
        <item x="554"/>
        <item x="170"/>
        <item x="655"/>
        <item x="381"/>
        <item x="691"/>
        <item x="439"/>
        <item x="56"/>
        <item x="338"/>
        <item x="506"/>
        <item x="654"/>
        <item x="632"/>
        <item x="581"/>
        <item x="7"/>
        <item x="692"/>
        <item x="541"/>
        <item x="214"/>
        <item x="278"/>
        <item x="644"/>
        <item x="699"/>
        <item x="50"/>
        <item x="572"/>
        <item x="444"/>
        <item x="408"/>
        <item x="329"/>
        <item x="223"/>
        <item x="373"/>
        <item x="2"/>
        <item x="426"/>
        <item x="678"/>
        <item x="236"/>
        <item x="376"/>
        <item x="276"/>
        <item x="410"/>
        <item x="550"/>
        <item x="304"/>
        <item x="176"/>
        <item x="202"/>
        <item x="705"/>
        <item x="40"/>
        <item x="660"/>
        <item x="653"/>
        <item x="205"/>
        <item x="519"/>
        <item x="137"/>
        <item x="696"/>
        <item x="490"/>
        <item x="193"/>
        <item x="44"/>
        <item x="693"/>
        <item x="124"/>
        <item x="532"/>
        <item x="349"/>
        <item x="322"/>
        <item x="186"/>
        <item x="423"/>
        <item x="208"/>
        <item x="466"/>
        <item x="677"/>
        <item x="63"/>
        <item x="59"/>
        <item x="589"/>
        <item x="115"/>
        <item x="635"/>
        <item x="14"/>
        <item x="60"/>
        <item x="702"/>
        <item x="138"/>
        <item x="680"/>
        <item x="424"/>
        <item x="475"/>
        <item x="636"/>
        <item x="664"/>
        <item x="689"/>
        <item x="257"/>
        <item x="617"/>
        <item x="392"/>
        <item x="110"/>
        <item x="317"/>
        <item x="707"/>
        <item x="216"/>
        <item x="388"/>
        <item x="65"/>
        <item x="34"/>
        <item x="412"/>
        <item x="340"/>
        <item x="129"/>
        <item x="1"/>
        <item x="187"/>
        <item x="331"/>
        <item x="638"/>
        <item x="622"/>
        <item x="514"/>
        <item x="504"/>
        <item x="613"/>
        <item x="709"/>
        <item x="81"/>
        <item x="405"/>
        <item x="326"/>
        <item x="468"/>
        <item x="433"/>
        <item x="397"/>
        <item x="359"/>
        <item x="42"/>
        <item x="551"/>
        <item x="173"/>
        <item x="703"/>
        <item x="398"/>
        <item x="571"/>
        <item x="114"/>
        <item x="229"/>
        <item t="default"/>
      </items>
    </pivotField>
    <pivotField numFmtId="9" showAll="0"/>
    <pivotField showAll="0"/>
    <pivotField showAll="0"/>
    <pivotField showAll="0"/>
    <pivotField showAll="0"/>
    <pivotField axis="axisRow" showAll="0" sortType="descending">
      <items count="8">
        <item x="3"/>
        <item x="0"/>
        <item x="6"/>
        <item x="4"/>
        <item x="2"/>
        <item x="1"/>
        <item x="5"/>
        <item t="default"/>
      </items>
      <autoSortScope>
        <pivotArea dataOnly="0" outline="0" fieldPosition="0">
          <references count="1">
            <reference field="4294967294" count="1" selected="0">
              <x v="1"/>
            </reference>
          </references>
        </pivotArea>
      </autoSortScope>
    </pivotField>
    <pivotField showAll="0"/>
  </pivotFields>
  <rowFields count="1">
    <field x="22"/>
  </rowFields>
  <rowItems count="8">
    <i>
      <x v="1"/>
    </i>
    <i>
      <x v="5"/>
    </i>
    <i>
      <x v="4"/>
    </i>
    <i>
      <x/>
    </i>
    <i>
      <x v="3"/>
    </i>
    <i>
      <x v="2"/>
    </i>
    <i>
      <x v="6"/>
    </i>
    <i t="grand">
      <x/>
    </i>
  </rowItems>
  <colFields count="1">
    <field x="-2"/>
  </colFields>
  <colItems count="2">
    <i>
      <x/>
    </i>
    <i i="1">
      <x v="1"/>
    </i>
  </colItems>
  <dataFields count="2">
    <dataField name="Somme de Net_Sales" fld="14" baseField="0" baseItem="0"/>
    <dataField name="Somme de Profit" fld="16"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eau croisé dynamique3" cacheId="1" applyNumberFormats="0" applyBorderFormats="0" applyFontFormats="0" applyPatternFormats="0" applyAlignmentFormats="0" applyWidthHeightFormats="1" dataCaption="Valeurs" updatedVersion="5" minRefreshableVersion="3" useAutoFormatting="1" itemPrintTitles="1" createdVersion="5" indent="0" outline="1" outlineData="1" multipleFieldFilters="0" chartFormat="6">
  <location ref="E3:F16" firstHeaderRow="1" firstDataRow="1" firstDataCol="1"/>
  <pivotFields count="38">
    <pivotField showAll="0"/>
    <pivotField numFmtId="165" showAll="0"/>
    <pivotField showAll="0"/>
    <pivotField showAll="0"/>
    <pivotField showAll="0"/>
    <pivotField showAll="0"/>
    <pivotField showAll="0"/>
    <pivotField showAll="0"/>
    <pivotField showAll="0"/>
    <pivotField numFmtId="164"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showAll="0"/>
    <pivotField axis="axisRow" showAll="0">
      <items count="13">
        <item x="3"/>
        <item x="2"/>
        <item x="4"/>
        <item x="9"/>
        <item x="1"/>
        <item x="5"/>
        <item x="10"/>
        <item x="7"/>
        <item x="0"/>
        <item x="11"/>
        <item x="8"/>
        <item x="6"/>
        <item t="default"/>
      </items>
    </pivotField>
    <pivotField showAll="0"/>
    <pivotField showAll="0"/>
    <pivotField showAll="0"/>
    <pivotField showAll="0"/>
  </pivotFields>
  <rowFields count="1">
    <field x="33"/>
  </rowFields>
  <rowItems count="13">
    <i>
      <x/>
    </i>
    <i>
      <x v="1"/>
    </i>
    <i>
      <x v="2"/>
    </i>
    <i>
      <x v="3"/>
    </i>
    <i>
      <x v="4"/>
    </i>
    <i>
      <x v="5"/>
    </i>
    <i>
      <x v="6"/>
    </i>
    <i>
      <x v="7"/>
    </i>
    <i>
      <x v="8"/>
    </i>
    <i>
      <x v="9"/>
    </i>
    <i>
      <x v="10"/>
    </i>
    <i>
      <x v="11"/>
    </i>
    <i t="grand">
      <x/>
    </i>
  </rowItems>
  <colItems count="1">
    <i/>
  </colItems>
  <dataFields count="1">
    <dataField name="Somme de Net_Sales"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eau croisé dynamique2" cacheId="1" applyNumberFormats="0" applyBorderFormats="0" applyFontFormats="0" applyPatternFormats="0" applyAlignmentFormats="0" applyWidthHeightFormats="1" dataCaption="Valeurs" updatedVersion="5" minRefreshableVersion="3" useAutoFormatting="1" itemPrintTitles="1" createdVersion="5" indent="0" outline="1" outlineData="1" multipleFieldFilters="0">
  <location ref="A3:C9" firstHeaderRow="0" firstDataRow="1" firstDataCol="1"/>
  <pivotFields count="38">
    <pivotField showAll="0"/>
    <pivotField numFmtId="165" showAll="0"/>
    <pivotField showAll="0"/>
    <pivotField showAll="0"/>
    <pivotField showAll="0"/>
    <pivotField showAll="0"/>
    <pivotField showAll="0"/>
    <pivotField showAll="0"/>
    <pivotField showAll="0"/>
    <pivotField numFmtId="164"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1"/>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720">
        <item x="228"/>
        <item x="676"/>
        <item x="235"/>
        <item x="32"/>
        <item x="116"/>
        <item x="606"/>
        <item x="109"/>
        <item x="196"/>
        <item x="293"/>
        <item x="359"/>
        <item x="581"/>
        <item x="71"/>
        <item x="122"/>
        <item x="547"/>
        <item x="584"/>
        <item x="653"/>
        <item x="236"/>
        <item x="159"/>
        <item x="333"/>
        <item x="348"/>
        <item x="208"/>
        <item x="405"/>
        <item x="607"/>
        <item x="620"/>
        <item x="410"/>
        <item x="225"/>
        <item x="75"/>
        <item x="292"/>
        <item x="417"/>
        <item x="103"/>
        <item x="430"/>
        <item x="580"/>
        <item x="472"/>
        <item x="402"/>
        <item x="294"/>
        <item x="16"/>
        <item x="538"/>
        <item x="650"/>
        <item x="603"/>
        <item x="212"/>
        <item x="240"/>
        <item x="197"/>
        <item x="666"/>
        <item x="565"/>
        <item x="562"/>
        <item x="241"/>
        <item x="95"/>
        <item x="214"/>
        <item x="19"/>
        <item x="558"/>
        <item x="395"/>
        <item x="622"/>
        <item x="657"/>
        <item x="462"/>
        <item x="447"/>
        <item x="304"/>
        <item x="106"/>
        <item x="296"/>
        <item x="695"/>
        <item x="238"/>
        <item x="12"/>
        <item x="161"/>
        <item x="43"/>
        <item x="150"/>
        <item x="414"/>
        <item x="544"/>
        <item x="143"/>
        <item x="91"/>
        <item x="87"/>
        <item x="200"/>
        <item x="133"/>
        <item x="253"/>
        <item x="387"/>
        <item x="437"/>
        <item x="180"/>
        <item x="605"/>
        <item x="98"/>
        <item x="587"/>
        <item x="450"/>
        <item x="423"/>
        <item x="660"/>
        <item x="31"/>
        <item x="400"/>
        <item x="532"/>
        <item x="522"/>
        <item x="86"/>
        <item x="262"/>
        <item x="635"/>
        <item x="27"/>
        <item x="125"/>
        <item x="252"/>
        <item x="338"/>
        <item x="160"/>
        <item x="431"/>
        <item x="536"/>
        <item x="471"/>
        <item x="516"/>
        <item x="297"/>
        <item x="707"/>
        <item x="167"/>
        <item x="361"/>
        <item x="533"/>
        <item x="611"/>
        <item x="38"/>
        <item x="378"/>
        <item x="542"/>
        <item x="568"/>
        <item x="336"/>
        <item x="303"/>
        <item x="314"/>
        <item x="181"/>
        <item x="88"/>
        <item x="641"/>
        <item x="680"/>
        <item x="601"/>
        <item x="613"/>
        <item x="231"/>
        <item x="80"/>
        <item x="219"/>
        <item x="668"/>
        <item x="26"/>
        <item x="278"/>
        <item x="420"/>
        <item x="36"/>
        <item x="696"/>
        <item x="135"/>
        <item x="134"/>
        <item x="72"/>
        <item x="127"/>
        <item x="509"/>
        <item x="6"/>
        <item x="119"/>
        <item x="575"/>
        <item x="388"/>
        <item x="232"/>
        <item x="530"/>
        <item x="140"/>
        <item x="384"/>
        <item x="4"/>
        <item x="569"/>
        <item x="709"/>
        <item x="504"/>
        <item x="357"/>
        <item x="9"/>
        <item x="53"/>
        <item x="539"/>
        <item x="311"/>
        <item x="585"/>
        <item x="147"/>
        <item x="248"/>
        <item x="631"/>
        <item x="118"/>
        <item x="220"/>
        <item x="310"/>
        <item x="432"/>
        <item x="204"/>
        <item x="189"/>
        <item x="715"/>
        <item x="37"/>
        <item x="68"/>
        <item x="497"/>
        <item x="682"/>
        <item x="477"/>
        <item x="77"/>
        <item x="247"/>
        <item x="526"/>
        <item x="490"/>
        <item x="673"/>
        <item x="3"/>
        <item x="261"/>
        <item x="99"/>
        <item x="84"/>
        <item x="229"/>
        <item x="148"/>
        <item x="649"/>
        <item x="438"/>
        <item x="301"/>
        <item x="428"/>
        <item x="367"/>
        <item x="22"/>
        <item x="101"/>
        <item x="176"/>
        <item x="577"/>
        <item x="540"/>
        <item x="340"/>
        <item x="239"/>
        <item x="58"/>
        <item x="120"/>
        <item x="444"/>
        <item x="594"/>
        <item x="335"/>
        <item x="280"/>
        <item x="201"/>
        <item x="659"/>
        <item x="289"/>
        <item x="182"/>
        <item x="102"/>
        <item x="514"/>
        <item x="453"/>
        <item x="82"/>
        <item x="66"/>
        <item x="711"/>
        <item x="592"/>
        <item x="371"/>
        <item x="632"/>
        <item x="483"/>
        <item x="446"/>
        <item x="500"/>
        <item x="618"/>
        <item x="683"/>
        <item x="422"/>
        <item x="372"/>
        <item x="322"/>
        <item x="144"/>
        <item x="614"/>
        <item x="17"/>
        <item x="146"/>
        <item x="33"/>
        <item x="325"/>
        <item x="186"/>
        <item x="578"/>
        <item x="599"/>
        <item x="39"/>
        <item x="609"/>
        <item x="689"/>
        <item x="485"/>
        <item x="28"/>
        <item x="47"/>
        <item x="396"/>
        <item x="633"/>
        <item x="503"/>
        <item x="190"/>
        <item x="527"/>
        <item x="386"/>
        <item x="345"/>
        <item x="96"/>
        <item x="408"/>
        <item x="499"/>
        <item x="454"/>
        <item x="202"/>
        <item x="439"/>
        <item x="13"/>
        <item x="291"/>
        <item x="484"/>
        <item x="349"/>
        <item x="380"/>
        <item x="537"/>
        <item x="403"/>
        <item x="442"/>
        <item x="718"/>
        <item x="78"/>
        <item x="488"/>
        <item x="486"/>
        <item x="10"/>
        <item x="309"/>
        <item x="11"/>
        <item x="355"/>
        <item x="149"/>
        <item x="685"/>
        <item x="313"/>
        <item x="586"/>
        <item x="363"/>
        <item x="560"/>
        <item x="108"/>
        <item x="541"/>
        <item x="463"/>
        <item x="356"/>
        <item x="268"/>
        <item x="368"/>
        <item x="508"/>
        <item x="287"/>
        <item x="473"/>
        <item x="512"/>
        <item x="551"/>
        <item x="465"/>
        <item x="92"/>
        <item x="698"/>
        <item x="274"/>
        <item x="671"/>
        <item x="404"/>
        <item x="104"/>
        <item x="478"/>
        <item x="595"/>
        <item x="608"/>
        <item x="675"/>
        <item x="381"/>
        <item x="496"/>
        <item x="449"/>
        <item x="545"/>
        <item x="260"/>
        <item x="121"/>
        <item x="464"/>
        <item x="364"/>
        <item x="474"/>
        <item x="451"/>
        <item x="233"/>
        <item x="452"/>
        <item x="589"/>
        <item x="652"/>
        <item x="155"/>
        <item x="429"/>
        <item x="407"/>
        <item x="518"/>
        <item x="288"/>
        <item x="326"/>
        <item x="49"/>
        <item x="712"/>
        <item x="493"/>
        <item x="549"/>
        <item x="691"/>
        <item x="461"/>
        <item x="55"/>
        <item x="337"/>
        <item x="290"/>
        <item x="502"/>
        <item x="100"/>
        <item x="54"/>
        <item x="234"/>
        <item x="222"/>
        <item x="645"/>
        <item x="630"/>
        <item x="250"/>
        <item x="688"/>
        <item x="617"/>
        <item x="89"/>
        <item x="528"/>
        <item x="571"/>
        <item x="716"/>
        <item x="45"/>
        <item x="667"/>
        <item x="163"/>
        <item x="563"/>
        <item x="436"/>
        <item x="152"/>
        <item x="415"/>
        <item x="281"/>
        <item x="664"/>
        <item x="30"/>
        <item x="379"/>
        <item x="62"/>
        <item x="29"/>
        <item x="284"/>
        <item x="126"/>
        <item x="717"/>
        <item x="373"/>
        <item x="328"/>
        <item x="443"/>
        <item x="636"/>
        <item x="705"/>
        <item x="317"/>
        <item x="105"/>
        <item x="213"/>
        <item x="554"/>
        <item x="550"/>
        <item x="142"/>
        <item x="51"/>
        <item x="397"/>
        <item x="298"/>
        <item x="511"/>
        <item x="131"/>
        <item x="8"/>
        <item x="185"/>
        <item x="139"/>
        <item x="316"/>
        <item x="370"/>
        <item x="145"/>
        <item x="525"/>
        <item x="321"/>
        <item x="433"/>
        <item x="315"/>
        <item x="183"/>
        <item x="0"/>
        <item x="352"/>
        <item x="162"/>
        <item x="621"/>
        <item x="353"/>
        <item x="158"/>
        <item x="117"/>
        <item x="501"/>
        <item x="172"/>
        <item x="643"/>
        <item x="205"/>
        <item x="351"/>
        <item x="519"/>
        <item x="93"/>
        <item x="670"/>
        <item x="521"/>
        <item x="164"/>
        <item x="479"/>
        <item x="392"/>
        <item x="263"/>
        <item x="602"/>
        <item x="510"/>
        <item x="128"/>
        <item x="21"/>
        <item x="531"/>
        <item x="307"/>
        <item x="90"/>
        <item x="83"/>
        <item x="255"/>
        <item x="495"/>
        <item x="249"/>
        <item x="564"/>
        <item x="448"/>
        <item x="94"/>
        <item x="343"/>
        <item x="70"/>
        <item x="312"/>
        <item x="157"/>
        <item x="517"/>
        <item x="626"/>
        <item x="570"/>
        <item x="582"/>
        <item x="245"/>
        <item x="492"/>
        <item x="15"/>
        <item x="169"/>
        <item x="390"/>
        <item x="669"/>
        <item x="658"/>
        <item x="629"/>
        <item x="418"/>
        <item x="211"/>
        <item x="175"/>
        <item x="35"/>
        <item x="207"/>
        <item x="642"/>
        <item x="468"/>
        <item x="612"/>
        <item x="482"/>
        <item x="419"/>
        <item x="441"/>
        <item x="273"/>
        <item x="494"/>
        <item x="662"/>
        <item x="24"/>
        <item x="191"/>
        <item x="173"/>
        <item x="111"/>
        <item x="69"/>
        <item x="192"/>
        <item x="460"/>
        <item x="421"/>
        <item x="112"/>
        <item x="674"/>
        <item x="153"/>
        <item x="610"/>
        <item x="489"/>
        <item x="529"/>
        <item x="455"/>
        <item x="306"/>
        <item x="302"/>
        <item x="178"/>
        <item x="487"/>
        <item x="597"/>
        <item x="506"/>
        <item x="639"/>
        <item x="401"/>
        <item x="132"/>
        <item x="242"/>
        <item x="604"/>
        <item x="416"/>
        <item x="713"/>
        <item x="598"/>
        <item x="67"/>
        <item x="346"/>
        <item x="557"/>
        <item x="46"/>
        <item x="466"/>
        <item x="195"/>
        <item x="227"/>
        <item x="74"/>
        <item x="686"/>
        <item x="257"/>
        <item x="458"/>
        <item x="57"/>
        <item x="216"/>
        <item x="319"/>
        <item x="300"/>
        <item x="596"/>
        <item x="480"/>
        <item x="524"/>
        <item x="198"/>
        <item x="151"/>
        <item x="699"/>
        <item x="168"/>
        <item x="366"/>
        <item x="286"/>
        <item x="365"/>
        <item x="275"/>
        <item x="266"/>
        <item x="41"/>
        <item x="714"/>
        <item x="85"/>
        <item x="628"/>
        <item x="559"/>
        <item x="548"/>
        <item x="221"/>
        <item x="376"/>
        <item x="269"/>
        <item x="588"/>
        <item x="136"/>
        <item x="64"/>
        <item x="647"/>
        <item x="223"/>
        <item x="391"/>
        <item x="572"/>
        <item x="48"/>
        <item x="354"/>
        <item x="369"/>
        <item x="52"/>
        <item x="171"/>
        <item x="648"/>
        <item x="334"/>
        <item x="687"/>
        <item x="375"/>
        <item x="259"/>
        <item x="344"/>
        <item x="576"/>
        <item x="672"/>
        <item x="627"/>
        <item x="663"/>
        <item x="295"/>
        <item x="644"/>
        <item x="23"/>
        <item x="456"/>
        <item x="623"/>
        <item x="76"/>
        <item x="702"/>
        <item x="61"/>
        <item x="701"/>
        <item x="457"/>
        <item x="590"/>
        <item x="385"/>
        <item x="97"/>
        <item x="270"/>
        <item x="193"/>
        <item x="165"/>
        <item x="285"/>
        <item x="299"/>
        <item x="179"/>
        <item x="73"/>
        <item x="362"/>
        <item x="342"/>
        <item x="170"/>
        <item x="625"/>
        <item x="523"/>
        <item x="251"/>
        <item x="2"/>
        <item x="634"/>
        <item x="218"/>
        <item x="7"/>
        <item x="507"/>
        <item x="226"/>
        <item x="272"/>
        <item x="646"/>
        <item x="79"/>
        <item x="543"/>
        <item x="279"/>
        <item x="50"/>
        <item x="358"/>
        <item x="700"/>
        <item x="535"/>
        <item x="684"/>
        <item x="412"/>
        <item x="374"/>
        <item x="552"/>
        <item x="579"/>
        <item x="427"/>
        <item x="243"/>
        <item x="308"/>
        <item x="706"/>
        <item x="677"/>
        <item x="107"/>
        <item x="283"/>
        <item x="210"/>
        <item x="194"/>
        <item x="141"/>
        <item x="616"/>
        <item x="56"/>
        <item x="224"/>
        <item x="561"/>
        <item x="254"/>
        <item x="426"/>
        <item x="123"/>
        <item x="567"/>
        <item x="693"/>
        <item x="470"/>
        <item x="324"/>
        <item x="574"/>
        <item x="440"/>
        <item x="20"/>
        <item x="656"/>
        <item x="555"/>
        <item x="481"/>
        <item x="265"/>
        <item x="475"/>
        <item x="513"/>
        <item x="320"/>
        <item x="331"/>
        <item x="130"/>
        <item x="199"/>
        <item x="382"/>
        <item x="330"/>
        <item x="600"/>
        <item x="383"/>
        <item x="267"/>
        <item x="244"/>
        <item x="655"/>
        <item x="246"/>
        <item x="459"/>
        <item x="113"/>
        <item x="5"/>
        <item x="264"/>
        <item x="124"/>
        <item x="25"/>
        <item x="339"/>
        <item x="276"/>
        <item x="350"/>
        <item x="566"/>
        <item x="154"/>
        <item x="329"/>
        <item x="166"/>
        <item x="546"/>
        <item x="498"/>
        <item x="593"/>
        <item x="377"/>
        <item x="679"/>
        <item x="692"/>
        <item x="467"/>
        <item x="661"/>
        <item x="277"/>
        <item x="411"/>
        <item x="697"/>
        <item x="137"/>
        <item x="491"/>
        <item x="40"/>
        <item x="184"/>
        <item x="520"/>
        <item x="681"/>
        <item x="583"/>
        <item x="187"/>
        <item x="638"/>
        <item x="271"/>
        <item x="237"/>
        <item x="156"/>
        <item x="703"/>
        <item x="708"/>
        <item x="591"/>
        <item x="323"/>
        <item x="305"/>
        <item x="206"/>
        <item x="282"/>
        <item x="556"/>
        <item x="476"/>
        <item x="44"/>
        <item x="534"/>
        <item x="651"/>
        <item x="389"/>
        <item x="65"/>
        <item x="256"/>
        <item x="59"/>
        <item x="115"/>
        <item x="188"/>
        <item x="110"/>
        <item x="445"/>
        <item x="332"/>
        <item x="413"/>
        <item x="347"/>
        <item x="209"/>
        <item x="177"/>
        <item x="203"/>
        <item x="63"/>
        <item x="435"/>
        <item x="678"/>
        <item x="215"/>
        <item x="34"/>
        <item x="60"/>
        <item x="129"/>
        <item x="18"/>
        <item x="1"/>
        <item x="694"/>
        <item x="640"/>
        <item x="14"/>
        <item x="690"/>
        <item x="469"/>
        <item x="505"/>
        <item x="425"/>
        <item x="393"/>
        <item x="619"/>
        <item x="624"/>
        <item x="258"/>
        <item x="710"/>
        <item x="81"/>
        <item x="138"/>
        <item x="42"/>
        <item x="174"/>
        <item x="394"/>
        <item x="409"/>
        <item x="654"/>
        <item x="424"/>
        <item x="704"/>
        <item x="637"/>
        <item x="398"/>
        <item x="399"/>
        <item x="573"/>
        <item x="318"/>
        <item x="217"/>
        <item x="341"/>
        <item x="406"/>
        <item x="515"/>
        <item x="360"/>
        <item x="553"/>
        <item x="615"/>
        <item x="327"/>
        <item x="665"/>
        <item x="230"/>
        <item x="434"/>
        <item x="114"/>
        <item t="default"/>
      </items>
    </pivotField>
    <pivotField showAll="0"/>
    <pivotField dataField="1" showAll="0">
      <items count="719">
        <item x="292"/>
        <item x="601"/>
        <item x="579"/>
        <item x="227"/>
        <item x="239"/>
        <item x="295"/>
        <item x="675"/>
        <item x="122"/>
        <item x="234"/>
        <item x="32"/>
        <item x="116"/>
        <item x="545"/>
        <item x="604"/>
        <item x="560"/>
        <item x="582"/>
        <item x="422"/>
        <item x="240"/>
        <item x="109"/>
        <item x="542"/>
        <item x="91"/>
        <item x="652"/>
        <item x="195"/>
        <item x="213"/>
        <item x="158"/>
        <item x="358"/>
        <item x="235"/>
        <item x="404"/>
        <item x="71"/>
        <item x="567"/>
        <item x="630"/>
        <item x="252"/>
        <item x="16"/>
        <item x="536"/>
        <item x="291"/>
        <item x="386"/>
        <item x="429"/>
        <item x="211"/>
        <item x="416"/>
        <item x="436"/>
        <item x="616"/>
        <item x="694"/>
        <item x="196"/>
        <item x="682"/>
        <item x="471"/>
        <item x="159"/>
        <item x="207"/>
        <item x="401"/>
        <item x="332"/>
        <item x="293"/>
        <item x="618"/>
        <item x="430"/>
        <item x="449"/>
        <item x="665"/>
        <item x="143"/>
        <item x="36"/>
        <item x="659"/>
        <item x="347"/>
        <item x="95"/>
        <item x="31"/>
        <item x="19"/>
        <item x="605"/>
        <item x="77"/>
        <item x="649"/>
        <item x="409"/>
        <item x="520"/>
        <item x="620"/>
        <item x="224"/>
        <item x="75"/>
        <item x="530"/>
        <item x="103"/>
        <item x="556"/>
        <item x="337"/>
        <item x="394"/>
        <item x="72"/>
        <item x="578"/>
        <item x="615"/>
        <item x="461"/>
        <item x="563"/>
        <item x="647"/>
        <item x="203"/>
        <item x="540"/>
        <item x="127"/>
        <item x="674"/>
        <item x="47"/>
        <item x="260"/>
        <item x="106"/>
        <item x="27"/>
        <item x="313"/>
        <item x="402"/>
        <item x="633"/>
        <item x="593"/>
        <item x="180"/>
        <item x="189"/>
        <item x="237"/>
        <item x="639"/>
        <item x="310"/>
        <item x="656"/>
        <item x="296"/>
        <item x="160"/>
        <item x="251"/>
        <item x="450"/>
        <item x="149"/>
        <item x="43"/>
        <item x="487"/>
        <item x="515"/>
        <item x="247"/>
        <item x="387"/>
        <item x="476"/>
        <item x="446"/>
        <item x="303"/>
        <item x="609"/>
        <item x="413"/>
        <item x="611"/>
        <item x="148"/>
        <item x="87"/>
        <item x="199"/>
        <item x="12"/>
        <item x="679"/>
        <item x="470"/>
        <item x="403"/>
        <item x="599"/>
        <item x="645"/>
        <item x="3"/>
        <item x="437"/>
        <item x="531"/>
        <item x="706"/>
        <item x="688"/>
        <item x="133"/>
        <item x="708"/>
        <item x="38"/>
        <item x="484"/>
        <item x="360"/>
        <item x="88"/>
        <item x="179"/>
        <item x="9"/>
        <item x="53"/>
        <item x="566"/>
        <item x="603"/>
        <item x="712"/>
        <item x="86"/>
        <item x="302"/>
        <item x="98"/>
        <item x="496"/>
        <item x="583"/>
        <item x="335"/>
        <item x="473"/>
        <item x="119"/>
        <item x="585"/>
        <item x="147"/>
        <item x="80"/>
        <item x="525"/>
        <item x="218"/>
        <item x="472"/>
        <item x="271"/>
        <item x="118"/>
        <item x="667"/>
        <item x="714"/>
        <item x="399"/>
        <item x="681"/>
        <item x="431"/>
        <item x="695"/>
        <item x="419"/>
        <item x="135"/>
        <item x="478"/>
        <item x="489"/>
        <item x="175"/>
        <item x="134"/>
        <item x="261"/>
        <item x="230"/>
        <item x="300"/>
        <item x="575"/>
        <item x="377"/>
        <item x="612"/>
        <item x="125"/>
        <item x="508"/>
        <item x="120"/>
        <item x="534"/>
        <item x="51"/>
        <item x="485"/>
        <item x="26"/>
        <item x="447"/>
        <item x="576"/>
        <item x="658"/>
        <item x="37"/>
        <item x="6"/>
        <item x="277"/>
        <item x="356"/>
        <item x="166"/>
        <item x="443"/>
        <item x="573"/>
        <item x="537"/>
        <item x="648"/>
        <item x="494"/>
        <item x="592"/>
        <item x="89"/>
        <item x="463"/>
        <item x="501"/>
        <item x="181"/>
        <item x="232"/>
        <item x="498"/>
        <item x="231"/>
        <item x="140"/>
        <item x="552"/>
        <item x="383"/>
        <item x="191"/>
        <item x="290"/>
        <item x="4"/>
        <item x="528"/>
        <item x="200"/>
        <item x="372"/>
        <item x="286"/>
        <item x="421"/>
        <item x="371"/>
        <item x="427"/>
        <item x="321"/>
        <item x="58"/>
        <item x="102"/>
        <item x="524"/>
        <item x="154"/>
        <item x="136"/>
        <item x="672"/>
        <item x="30"/>
        <item x="717"/>
        <item x="221"/>
        <item x="503"/>
        <item x="448"/>
        <item x="453"/>
        <item x="513"/>
        <item x="82"/>
        <item x="543"/>
        <item x="697"/>
        <item x="316"/>
        <item x="101"/>
        <item x="99"/>
        <item x="49"/>
        <item x="432"/>
        <item x="153"/>
        <item x="68"/>
        <item x="84"/>
        <item x="327"/>
        <item x="163"/>
        <item x="228"/>
        <item x="395"/>
        <item x="629"/>
        <item x="308"/>
        <item x="104"/>
        <item x="643"/>
        <item x="57"/>
        <item x="334"/>
        <item x="279"/>
        <item x="380"/>
        <item x="144"/>
        <item x="25"/>
        <item x="318"/>
        <item x="219"/>
        <item x="600"/>
        <item x="309"/>
        <item x="146"/>
        <item x="587"/>
        <item x="126"/>
        <item x="389"/>
        <item x="385"/>
        <item x="66"/>
        <item x="710"/>
        <item x="39"/>
        <item x="185"/>
        <item x="590"/>
        <item x="8"/>
        <item x="366"/>
        <item x="315"/>
        <item x="33"/>
        <item x="324"/>
        <item x="445"/>
        <item x="312"/>
        <item x="188"/>
        <item x="482"/>
        <item x="320"/>
        <item x="378"/>
        <item x="499"/>
        <item x="367"/>
        <item x="538"/>
        <item x="314"/>
        <item x="238"/>
        <item x="48"/>
        <item x="657"/>
        <item x="13"/>
        <item x="201"/>
        <item x="483"/>
        <item x="607"/>
        <item x="610"/>
        <item x="256"/>
        <item x="355"/>
        <item x="407"/>
        <item x="267"/>
        <item x="535"/>
        <item x="161"/>
        <item x="700"/>
        <item x="511"/>
        <item x="94"/>
        <item x="117"/>
        <item x="246"/>
        <item x="93"/>
        <item x="22"/>
        <item x="379"/>
        <item x="631"/>
        <item x="502"/>
        <item x="546"/>
        <item x="96"/>
        <item x="442"/>
        <item x="597"/>
        <item x="344"/>
        <item x="339"/>
        <item x="568"/>
        <item x="348"/>
        <item x="666"/>
        <item x="28"/>
        <item x="369"/>
        <item x="452"/>
        <item x="624"/>
        <item x="10"/>
        <item x="670"/>
        <item x="418"/>
        <item x="561"/>
        <item x="64"/>
        <item x="55"/>
        <item x="529"/>
        <item x="336"/>
        <item x="435"/>
        <item x="634"/>
        <item x="90"/>
        <item x="434"/>
        <item x="222"/>
        <item x="441"/>
        <item x="558"/>
        <item x="288"/>
        <item x="438"/>
        <item x="584"/>
        <item x="283"/>
        <item x="248"/>
        <item x="259"/>
        <item x="306"/>
        <item x="362"/>
        <item x="451"/>
        <item x="574"/>
        <item x="539"/>
        <item x="619"/>
        <item x="370"/>
        <item x="668"/>
        <item x="684"/>
        <item x="128"/>
        <item x="21"/>
        <item x="641"/>
        <item x="41"/>
        <item x="363"/>
        <item x="350"/>
        <item x="440"/>
        <item x="651"/>
        <item x="78"/>
        <item x="145"/>
        <item x="258"/>
        <item x="428"/>
        <item x="493"/>
        <item x="628"/>
        <item x="549"/>
        <item x="477"/>
        <item x="11"/>
        <item x="168"/>
        <item x="516"/>
        <item x="523"/>
        <item x="354"/>
        <item x="206"/>
        <item x="683"/>
        <item x="17"/>
        <item x="547"/>
        <item x="352"/>
        <item x="45"/>
        <item x="391"/>
        <item x="492"/>
        <item x="0"/>
        <item x="262"/>
        <item x="495"/>
        <item x="460"/>
        <item x="640"/>
        <item x="704"/>
        <item x="375"/>
        <item x="467"/>
        <item x="15"/>
        <item x="108"/>
        <item x="364"/>
        <item x="274"/>
        <item x="171"/>
        <item x="462"/>
        <item x="289"/>
        <item x="500"/>
        <item x="29"/>
        <item x="507"/>
        <item x="174"/>
        <item x="608"/>
        <item x="390"/>
        <item x="673"/>
        <item x="156"/>
        <item x="121"/>
        <item x="92"/>
        <item x="54"/>
        <item x="190"/>
        <item x="233"/>
        <item x="464"/>
        <item x="368"/>
        <item x="244"/>
        <item x="621"/>
        <item x="241"/>
        <item x="325"/>
        <item x="517"/>
        <item x="353"/>
        <item x="491"/>
        <item x="107"/>
        <item x="711"/>
        <item x="273"/>
        <item x="305"/>
        <item x="509"/>
        <item x="512"/>
        <item x="459"/>
        <item x="342"/>
        <item x="690"/>
        <item x="650"/>
        <item x="595"/>
        <item x="626"/>
        <item x="606"/>
        <item x="194"/>
        <item x="254"/>
        <item x="687"/>
        <item x="715"/>
        <item x="505"/>
        <item x="151"/>
        <item x="100"/>
        <item x="454"/>
        <item x="580"/>
        <item x="625"/>
        <item x="272"/>
        <item x="35"/>
        <item x="157"/>
        <item x="162"/>
        <item x="518"/>
        <item x="598"/>
        <item x="562"/>
        <item x="661"/>
        <item x="713"/>
        <item x="414"/>
        <item x="280"/>
        <item x="69"/>
        <item x="365"/>
        <item x="62"/>
        <item x="18"/>
        <item x="311"/>
        <item x="406"/>
        <item x="172"/>
        <item x="486"/>
        <item x="420"/>
        <item x="112"/>
        <item x="111"/>
        <item x="287"/>
        <item x="716"/>
        <item x="637"/>
        <item x="686"/>
        <item x="642"/>
        <item x="249"/>
        <item x="152"/>
        <item x="698"/>
        <item x="671"/>
        <item x="548"/>
        <item x="526"/>
        <item x="569"/>
        <item x="210"/>
        <item x="263"/>
        <item x="488"/>
        <item x="105"/>
        <item x="212"/>
        <item x="142"/>
        <item x="396"/>
        <item x="139"/>
        <item x="297"/>
        <item x="131"/>
        <item x="527"/>
        <item x="663"/>
        <item x="345"/>
        <item x="184"/>
        <item x="79"/>
        <item x="67"/>
        <item x="614"/>
        <item x="226"/>
        <item x="177"/>
        <item x="457"/>
        <item x="417"/>
        <item x="351"/>
        <item x="627"/>
        <item x="357"/>
        <item x="400"/>
        <item x="132"/>
        <item x="46"/>
        <item x="204"/>
        <item x="669"/>
        <item x="343"/>
        <item x="510"/>
        <item x="415"/>
        <item x="481"/>
        <item x="209"/>
        <item x="182"/>
        <item x="264"/>
        <item x="24"/>
        <item x="676"/>
        <item x="73"/>
        <item x="361"/>
        <item x="74"/>
        <item x="281"/>
        <item x="555"/>
        <item x="83"/>
        <item x="298"/>
        <item x="456"/>
        <item x="215"/>
        <item x="425"/>
        <item x="479"/>
        <item x="169"/>
        <item x="70"/>
        <item x="250"/>
        <item x="465"/>
        <item x="570"/>
        <item x="282"/>
        <item x="130"/>
        <item x="480"/>
        <item x="685"/>
        <item x="602"/>
        <item x="255"/>
        <item x="225"/>
        <item x="299"/>
        <item x="301"/>
        <item x="269"/>
        <item x="167"/>
        <item x="328"/>
        <item x="594"/>
        <item x="458"/>
        <item x="141"/>
        <item x="596"/>
        <item x="333"/>
        <item x="565"/>
        <item x="469"/>
        <item x="374"/>
        <item x="533"/>
        <item x="85"/>
        <item x="150"/>
        <item x="178"/>
        <item x="522"/>
        <item x="164"/>
        <item x="197"/>
        <item x="323"/>
        <item x="183"/>
        <item x="393"/>
        <item x="341"/>
        <item x="586"/>
        <item x="20"/>
        <item x="382"/>
        <item x="253"/>
        <item x="285"/>
        <item x="521"/>
        <item x="553"/>
        <item x="662"/>
        <item x="474"/>
        <item x="23"/>
        <item x="52"/>
        <item x="242"/>
        <item x="294"/>
        <item x="559"/>
        <item x="307"/>
        <item x="701"/>
        <item x="268"/>
        <item x="217"/>
        <item x="165"/>
        <item x="544"/>
        <item x="275"/>
        <item x="330"/>
        <item x="123"/>
        <item x="455"/>
        <item x="497"/>
        <item x="588"/>
        <item x="270"/>
        <item x="557"/>
        <item x="265"/>
        <item x="591"/>
        <item x="76"/>
        <item x="97"/>
        <item x="646"/>
        <item x="192"/>
        <item x="243"/>
        <item x="155"/>
        <item x="384"/>
        <item x="198"/>
        <item x="220"/>
        <item x="346"/>
        <item x="245"/>
        <item x="113"/>
        <item x="319"/>
        <item x="411"/>
        <item x="5"/>
        <item x="266"/>
        <item x="284"/>
        <item x="623"/>
        <item x="577"/>
        <item x="564"/>
        <item x="61"/>
        <item x="554"/>
        <item x="170"/>
        <item x="655"/>
        <item x="381"/>
        <item x="691"/>
        <item x="439"/>
        <item x="56"/>
        <item x="338"/>
        <item x="506"/>
        <item x="654"/>
        <item x="632"/>
        <item x="581"/>
        <item x="7"/>
        <item x="692"/>
        <item x="541"/>
        <item x="214"/>
        <item x="278"/>
        <item x="644"/>
        <item x="699"/>
        <item x="50"/>
        <item x="572"/>
        <item x="444"/>
        <item x="408"/>
        <item x="329"/>
        <item x="223"/>
        <item x="373"/>
        <item x="2"/>
        <item x="426"/>
        <item x="678"/>
        <item x="236"/>
        <item x="376"/>
        <item x="276"/>
        <item x="410"/>
        <item x="550"/>
        <item x="304"/>
        <item x="176"/>
        <item x="202"/>
        <item x="705"/>
        <item x="40"/>
        <item x="660"/>
        <item x="653"/>
        <item x="205"/>
        <item x="519"/>
        <item x="137"/>
        <item x="696"/>
        <item x="490"/>
        <item x="193"/>
        <item x="44"/>
        <item x="693"/>
        <item x="124"/>
        <item x="532"/>
        <item x="349"/>
        <item x="322"/>
        <item x="186"/>
        <item x="423"/>
        <item x="208"/>
        <item x="466"/>
        <item x="677"/>
        <item x="63"/>
        <item x="59"/>
        <item x="589"/>
        <item x="115"/>
        <item x="635"/>
        <item x="14"/>
        <item x="60"/>
        <item x="702"/>
        <item x="138"/>
        <item x="680"/>
        <item x="424"/>
        <item x="475"/>
        <item x="636"/>
        <item x="664"/>
        <item x="689"/>
        <item x="257"/>
        <item x="617"/>
        <item x="392"/>
        <item x="110"/>
        <item x="317"/>
        <item x="707"/>
        <item x="216"/>
        <item x="388"/>
        <item x="65"/>
        <item x="34"/>
        <item x="412"/>
        <item x="340"/>
        <item x="129"/>
        <item x="1"/>
        <item x="187"/>
        <item x="331"/>
        <item x="638"/>
        <item x="622"/>
        <item x="514"/>
        <item x="504"/>
        <item x="613"/>
        <item x="709"/>
        <item x="81"/>
        <item x="405"/>
        <item x="326"/>
        <item x="468"/>
        <item x="433"/>
        <item x="397"/>
        <item x="359"/>
        <item x="42"/>
        <item x="551"/>
        <item x="173"/>
        <item x="703"/>
        <item x="398"/>
        <item x="571"/>
        <item x="114"/>
        <item x="229"/>
        <item t="default"/>
      </items>
    </pivotField>
    <pivotField numFmtId="9" showAll="0"/>
    <pivotField showAll="0"/>
    <pivotField showAll="0"/>
    <pivotField showAll="0"/>
    <pivotField showAll="0"/>
    <pivotField showAll="0"/>
    <pivotField showAll="0"/>
  </pivotFields>
  <rowFields count="1">
    <field x="24"/>
  </rowFields>
  <rowItems count="6">
    <i>
      <x v="3"/>
    </i>
    <i>
      <x/>
    </i>
    <i>
      <x v="2"/>
    </i>
    <i>
      <x v="4"/>
    </i>
    <i>
      <x v="1"/>
    </i>
    <i t="grand">
      <x/>
    </i>
  </rowItems>
  <colFields count="1">
    <field x="-2"/>
  </colFields>
  <colItems count="2">
    <i>
      <x/>
    </i>
    <i i="1">
      <x v="1"/>
    </i>
  </colItems>
  <dataFields count="2">
    <dataField name="Somme de Profit" fld="30" baseField="0" baseItem="0"/>
    <dataField name="Somme de Net_Sales" fld="28" baseField="0" baseItem="0"/>
  </dataFields>
  <formats count="1">
    <format dxfId="1">
      <pivotArea collapsedLevelsAreSubtotals="1" fieldPosition="0">
        <references count="1">
          <reference field="2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eau croisé dynamique6" cacheId="2" applyNumberFormats="0" applyBorderFormats="0" applyFontFormats="0" applyPatternFormats="0" applyAlignmentFormats="0" applyWidthHeightFormats="1" dataCaption="Valeurs" updatedVersion="5" minRefreshableVersion="3" useAutoFormatting="1" itemPrintTitles="1" createdVersion="5" indent="0" outline="1" outlineData="1" multipleFieldFilters="0" chartFormat="8">
  <location ref="M3:N16"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6">
        <item x="1"/>
        <item x="4"/>
        <item x="0"/>
        <item x="2"/>
        <item x="3"/>
        <item t="default"/>
      </items>
    </pivotField>
    <pivotField showAll="0"/>
    <pivotField showAll="0"/>
    <pivotField showAll="0"/>
    <pivotField dataField="1" showAll="0">
      <items count="720">
        <item x="228"/>
        <item x="676"/>
        <item x="235"/>
        <item x="32"/>
        <item x="116"/>
        <item x="606"/>
        <item x="109"/>
        <item x="196"/>
        <item x="293"/>
        <item x="359"/>
        <item x="581"/>
        <item x="71"/>
        <item x="122"/>
        <item x="547"/>
        <item x="584"/>
        <item x="653"/>
        <item x="236"/>
        <item x="159"/>
        <item x="333"/>
        <item x="348"/>
        <item x="208"/>
        <item x="405"/>
        <item x="607"/>
        <item x="620"/>
        <item x="410"/>
        <item x="225"/>
        <item x="75"/>
        <item x="292"/>
        <item x="417"/>
        <item x="103"/>
        <item x="430"/>
        <item x="580"/>
        <item x="472"/>
        <item x="402"/>
        <item x="294"/>
        <item x="16"/>
        <item x="538"/>
        <item x="650"/>
        <item x="603"/>
        <item x="212"/>
        <item x="240"/>
        <item x="197"/>
        <item x="666"/>
        <item x="565"/>
        <item x="562"/>
        <item x="241"/>
        <item x="95"/>
        <item x="214"/>
        <item x="19"/>
        <item x="558"/>
        <item x="395"/>
        <item x="622"/>
        <item x="657"/>
        <item x="462"/>
        <item x="447"/>
        <item x="304"/>
        <item x="106"/>
        <item x="296"/>
        <item x="695"/>
        <item x="238"/>
        <item x="12"/>
        <item x="161"/>
        <item x="43"/>
        <item x="150"/>
        <item x="414"/>
        <item x="544"/>
        <item x="143"/>
        <item x="91"/>
        <item x="87"/>
        <item x="200"/>
        <item x="133"/>
        <item x="253"/>
        <item x="387"/>
        <item x="437"/>
        <item x="180"/>
        <item x="605"/>
        <item x="98"/>
        <item x="587"/>
        <item x="450"/>
        <item x="423"/>
        <item x="660"/>
        <item x="31"/>
        <item x="400"/>
        <item x="532"/>
        <item x="522"/>
        <item x="86"/>
        <item x="262"/>
        <item x="635"/>
        <item x="27"/>
        <item x="125"/>
        <item x="252"/>
        <item x="338"/>
        <item x="160"/>
        <item x="431"/>
        <item x="536"/>
        <item x="471"/>
        <item x="516"/>
        <item x="297"/>
        <item x="707"/>
        <item x="167"/>
        <item x="361"/>
        <item x="533"/>
        <item x="611"/>
        <item x="38"/>
        <item x="378"/>
        <item x="542"/>
        <item x="568"/>
        <item x="336"/>
        <item x="303"/>
        <item x="314"/>
        <item x="181"/>
        <item x="88"/>
        <item x="641"/>
        <item x="680"/>
        <item x="601"/>
        <item x="613"/>
        <item x="231"/>
        <item x="80"/>
        <item x="219"/>
        <item x="668"/>
        <item x="26"/>
        <item x="278"/>
        <item x="420"/>
        <item x="36"/>
        <item x="696"/>
        <item x="135"/>
        <item x="134"/>
        <item x="72"/>
        <item x="127"/>
        <item x="509"/>
        <item x="6"/>
        <item x="119"/>
        <item x="575"/>
        <item x="388"/>
        <item x="232"/>
        <item x="530"/>
        <item x="140"/>
        <item x="384"/>
        <item x="4"/>
        <item x="569"/>
        <item x="709"/>
        <item x="504"/>
        <item x="357"/>
        <item x="9"/>
        <item x="53"/>
        <item x="539"/>
        <item x="311"/>
        <item x="585"/>
        <item x="147"/>
        <item x="248"/>
        <item x="631"/>
        <item x="118"/>
        <item x="220"/>
        <item x="310"/>
        <item x="432"/>
        <item x="204"/>
        <item x="189"/>
        <item x="715"/>
        <item x="37"/>
        <item x="68"/>
        <item x="497"/>
        <item x="682"/>
        <item x="477"/>
        <item x="77"/>
        <item x="247"/>
        <item x="526"/>
        <item x="490"/>
        <item x="673"/>
        <item x="3"/>
        <item x="261"/>
        <item x="99"/>
        <item x="84"/>
        <item x="229"/>
        <item x="148"/>
        <item x="649"/>
        <item x="438"/>
        <item x="301"/>
        <item x="428"/>
        <item x="367"/>
        <item x="22"/>
        <item x="101"/>
        <item x="176"/>
        <item x="577"/>
        <item x="540"/>
        <item x="340"/>
        <item x="239"/>
        <item x="58"/>
        <item x="120"/>
        <item x="444"/>
        <item x="594"/>
        <item x="335"/>
        <item x="280"/>
        <item x="201"/>
        <item x="659"/>
        <item x="289"/>
        <item x="182"/>
        <item x="102"/>
        <item x="514"/>
        <item x="453"/>
        <item x="82"/>
        <item x="66"/>
        <item x="711"/>
        <item x="592"/>
        <item x="371"/>
        <item x="632"/>
        <item x="483"/>
        <item x="446"/>
        <item x="500"/>
        <item x="618"/>
        <item x="683"/>
        <item x="422"/>
        <item x="372"/>
        <item x="322"/>
        <item x="144"/>
        <item x="614"/>
        <item x="17"/>
        <item x="146"/>
        <item x="33"/>
        <item x="325"/>
        <item x="186"/>
        <item x="578"/>
        <item x="599"/>
        <item x="39"/>
        <item x="609"/>
        <item x="689"/>
        <item x="485"/>
        <item x="28"/>
        <item x="47"/>
        <item x="396"/>
        <item x="633"/>
        <item x="503"/>
        <item x="190"/>
        <item x="527"/>
        <item x="386"/>
        <item x="345"/>
        <item x="96"/>
        <item x="408"/>
        <item x="499"/>
        <item x="454"/>
        <item x="202"/>
        <item x="439"/>
        <item x="13"/>
        <item x="291"/>
        <item x="484"/>
        <item x="349"/>
        <item x="380"/>
        <item x="537"/>
        <item x="403"/>
        <item x="442"/>
        <item x="718"/>
        <item x="78"/>
        <item x="488"/>
        <item x="486"/>
        <item x="10"/>
        <item x="309"/>
        <item x="11"/>
        <item x="355"/>
        <item x="149"/>
        <item x="685"/>
        <item x="313"/>
        <item x="586"/>
        <item x="363"/>
        <item x="560"/>
        <item x="108"/>
        <item x="541"/>
        <item x="463"/>
        <item x="356"/>
        <item x="268"/>
        <item x="368"/>
        <item x="508"/>
        <item x="287"/>
        <item x="473"/>
        <item x="512"/>
        <item x="551"/>
        <item x="465"/>
        <item x="92"/>
        <item x="698"/>
        <item x="274"/>
        <item x="671"/>
        <item x="404"/>
        <item x="104"/>
        <item x="478"/>
        <item x="595"/>
        <item x="608"/>
        <item x="675"/>
        <item x="381"/>
        <item x="496"/>
        <item x="449"/>
        <item x="545"/>
        <item x="260"/>
        <item x="121"/>
        <item x="464"/>
        <item x="364"/>
        <item x="474"/>
        <item x="451"/>
        <item x="233"/>
        <item x="452"/>
        <item x="589"/>
        <item x="652"/>
        <item x="155"/>
        <item x="429"/>
        <item x="407"/>
        <item x="518"/>
        <item x="288"/>
        <item x="326"/>
        <item x="49"/>
        <item x="712"/>
        <item x="493"/>
        <item x="549"/>
        <item x="691"/>
        <item x="461"/>
        <item x="55"/>
        <item x="337"/>
        <item x="290"/>
        <item x="502"/>
        <item x="100"/>
        <item x="54"/>
        <item x="234"/>
        <item x="222"/>
        <item x="645"/>
        <item x="630"/>
        <item x="250"/>
        <item x="688"/>
        <item x="617"/>
        <item x="89"/>
        <item x="528"/>
        <item x="571"/>
        <item x="716"/>
        <item x="45"/>
        <item x="667"/>
        <item x="163"/>
        <item x="563"/>
        <item x="436"/>
        <item x="152"/>
        <item x="415"/>
        <item x="281"/>
        <item x="664"/>
        <item x="30"/>
        <item x="379"/>
        <item x="62"/>
        <item x="29"/>
        <item x="284"/>
        <item x="126"/>
        <item x="717"/>
        <item x="373"/>
        <item x="328"/>
        <item x="443"/>
        <item x="636"/>
        <item x="705"/>
        <item x="317"/>
        <item x="105"/>
        <item x="213"/>
        <item x="554"/>
        <item x="550"/>
        <item x="142"/>
        <item x="51"/>
        <item x="397"/>
        <item x="298"/>
        <item x="511"/>
        <item x="131"/>
        <item x="8"/>
        <item x="185"/>
        <item x="139"/>
        <item x="316"/>
        <item x="370"/>
        <item x="145"/>
        <item x="525"/>
        <item x="321"/>
        <item x="433"/>
        <item x="315"/>
        <item x="183"/>
        <item x="0"/>
        <item x="352"/>
        <item x="162"/>
        <item x="621"/>
        <item x="353"/>
        <item x="158"/>
        <item x="117"/>
        <item x="501"/>
        <item x="172"/>
        <item x="643"/>
        <item x="205"/>
        <item x="351"/>
        <item x="519"/>
        <item x="93"/>
        <item x="670"/>
        <item x="521"/>
        <item x="164"/>
        <item x="479"/>
        <item x="392"/>
        <item x="263"/>
        <item x="602"/>
        <item x="510"/>
        <item x="128"/>
        <item x="21"/>
        <item x="531"/>
        <item x="307"/>
        <item x="90"/>
        <item x="83"/>
        <item x="255"/>
        <item x="495"/>
        <item x="249"/>
        <item x="564"/>
        <item x="448"/>
        <item x="94"/>
        <item x="343"/>
        <item x="70"/>
        <item x="312"/>
        <item x="157"/>
        <item x="517"/>
        <item x="626"/>
        <item x="570"/>
        <item x="582"/>
        <item x="245"/>
        <item x="492"/>
        <item x="15"/>
        <item x="169"/>
        <item x="390"/>
        <item x="669"/>
        <item x="658"/>
        <item x="629"/>
        <item x="418"/>
        <item x="211"/>
        <item x="175"/>
        <item x="35"/>
        <item x="207"/>
        <item x="642"/>
        <item x="468"/>
        <item x="612"/>
        <item x="482"/>
        <item x="419"/>
        <item x="441"/>
        <item x="273"/>
        <item x="494"/>
        <item x="662"/>
        <item x="24"/>
        <item x="191"/>
        <item x="173"/>
        <item x="111"/>
        <item x="69"/>
        <item x="192"/>
        <item x="460"/>
        <item x="421"/>
        <item x="112"/>
        <item x="674"/>
        <item x="153"/>
        <item x="610"/>
        <item x="489"/>
        <item x="529"/>
        <item x="455"/>
        <item x="306"/>
        <item x="302"/>
        <item x="178"/>
        <item x="487"/>
        <item x="597"/>
        <item x="506"/>
        <item x="639"/>
        <item x="401"/>
        <item x="132"/>
        <item x="242"/>
        <item x="604"/>
        <item x="416"/>
        <item x="713"/>
        <item x="598"/>
        <item x="67"/>
        <item x="346"/>
        <item x="557"/>
        <item x="46"/>
        <item x="466"/>
        <item x="195"/>
        <item x="227"/>
        <item x="74"/>
        <item x="686"/>
        <item x="257"/>
        <item x="458"/>
        <item x="57"/>
        <item x="216"/>
        <item x="319"/>
        <item x="300"/>
        <item x="596"/>
        <item x="480"/>
        <item x="524"/>
        <item x="198"/>
        <item x="151"/>
        <item x="699"/>
        <item x="168"/>
        <item x="366"/>
        <item x="286"/>
        <item x="365"/>
        <item x="275"/>
        <item x="266"/>
        <item x="41"/>
        <item x="714"/>
        <item x="85"/>
        <item x="628"/>
        <item x="559"/>
        <item x="548"/>
        <item x="221"/>
        <item x="376"/>
        <item x="269"/>
        <item x="588"/>
        <item x="136"/>
        <item x="64"/>
        <item x="647"/>
        <item x="223"/>
        <item x="391"/>
        <item x="572"/>
        <item x="48"/>
        <item x="354"/>
        <item x="369"/>
        <item x="52"/>
        <item x="171"/>
        <item x="648"/>
        <item x="334"/>
        <item x="687"/>
        <item x="375"/>
        <item x="259"/>
        <item x="344"/>
        <item x="576"/>
        <item x="672"/>
        <item x="627"/>
        <item x="663"/>
        <item x="295"/>
        <item x="644"/>
        <item x="23"/>
        <item x="456"/>
        <item x="623"/>
        <item x="76"/>
        <item x="702"/>
        <item x="61"/>
        <item x="701"/>
        <item x="457"/>
        <item x="590"/>
        <item x="385"/>
        <item x="97"/>
        <item x="270"/>
        <item x="193"/>
        <item x="165"/>
        <item x="285"/>
        <item x="299"/>
        <item x="179"/>
        <item x="73"/>
        <item x="362"/>
        <item x="342"/>
        <item x="170"/>
        <item x="625"/>
        <item x="523"/>
        <item x="251"/>
        <item x="2"/>
        <item x="634"/>
        <item x="218"/>
        <item x="7"/>
        <item x="507"/>
        <item x="226"/>
        <item x="272"/>
        <item x="646"/>
        <item x="79"/>
        <item x="543"/>
        <item x="279"/>
        <item x="50"/>
        <item x="358"/>
        <item x="700"/>
        <item x="535"/>
        <item x="684"/>
        <item x="412"/>
        <item x="374"/>
        <item x="552"/>
        <item x="579"/>
        <item x="427"/>
        <item x="243"/>
        <item x="308"/>
        <item x="706"/>
        <item x="677"/>
        <item x="107"/>
        <item x="283"/>
        <item x="210"/>
        <item x="194"/>
        <item x="141"/>
        <item x="616"/>
        <item x="56"/>
        <item x="224"/>
        <item x="561"/>
        <item x="254"/>
        <item x="426"/>
        <item x="123"/>
        <item x="567"/>
        <item x="693"/>
        <item x="470"/>
        <item x="324"/>
        <item x="574"/>
        <item x="440"/>
        <item x="20"/>
        <item x="656"/>
        <item x="555"/>
        <item x="481"/>
        <item x="265"/>
        <item x="475"/>
        <item x="513"/>
        <item x="320"/>
        <item x="331"/>
        <item x="130"/>
        <item x="199"/>
        <item x="382"/>
        <item x="330"/>
        <item x="600"/>
        <item x="383"/>
        <item x="267"/>
        <item x="244"/>
        <item x="655"/>
        <item x="246"/>
        <item x="459"/>
        <item x="113"/>
        <item x="5"/>
        <item x="264"/>
        <item x="124"/>
        <item x="25"/>
        <item x="339"/>
        <item x="276"/>
        <item x="350"/>
        <item x="566"/>
        <item x="154"/>
        <item x="329"/>
        <item x="166"/>
        <item x="546"/>
        <item x="498"/>
        <item x="593"/>
        <item x="377"/>
        <item x="679"/>
        <item x="692"/>
        <item x="467"/>
        <item x="661"/>
        <item x="277"/>
        <item x="411"/>
        <item x="697"/>
        <item x="137"/>
        <item x="491"/>
        <item x="40"/>
        <item x="184"/>
        <item x="520"/>
        <item x="681"/>
        <item x="583"/>
        <item x="187"/>
        <item x="638"/>
        <item x="271"/>
        <item x="237"/>
        <item x="156"/>
        <item x="703"/>
        <item x="708"/>
        <item x="591"/>
        <item x="323"/>
        <item x="305"/>
        <item x="206"/>
        <item x="282"/>
        <item x="556"/>
        <item x="476"/>
        <item x="44"/>
        <item x="534"/>
        <item x="651"/>
        <item x="389"/>
        <item x="65"/>
        <item x="256"/>
        <item x="59"/>
        <item x="115"/>
        <item x="188"/>
        <item x="110"/>
        <item x="445"/>
        <item x="332"/>
        <item x="413"/>
        <item x="347"/>
        <item x="209"/>
        <item x="177"/>
        <item x="203"/>
        <item x="63"/>
        <item x="435"/>
        <item x="678"/>
        <item x="215"/>
        <item x="34"/>
        <item x="60"/>
        <item x="129"/>
        <item x="18"/>
        <item x="1"/>
        <item x="694"/>
        <item x="640"/>
        <item x="14"/>
        <item x="690"/>
        <item x="469"/>
        <item x="505"/>
        <item x="425"/>
        <item x="393"/>
        <item x="619"/>
        <item x="624"/>
        <item x="258"/>
        <item x="710"/>
        <item x="81"/>
        <item x="138"/>
        <item x="42"/>
        <item x="174"/>
        <item x="394"/>
        <item x="409"/>
        <item x="654"/>
        <item x="424"/>
        <item x="704"/>
        <item x="637"/>
        <item x="398"/>
        <item x="399"/>
        <item x="573"/>
        <item x="318"/>
        <item x="217"/>
        <item x="341"/>
        <item x="406"/>
        <item x="515"/>
        <item x="360"/>
        <item x="553"/>
        <item x="615"/>
        <item x="327"/>
        <item x="665"/>
        <item x="230"/>
        <item x="434"/>
        <item x="114"/>
        <item t="default"/>
      </items>
    </pivotField>
    <pivotField showAll="0"/>
    <pivotField showAll="0">
      <items count="719">
        <item x="292"/>
        <item x="601"/>
        <item x="579"/>
        <item x="227"/>
        <item x="239"/>
        <item x="295"/>
        <item x="675"/>
        <item x="122"/>
        <item x="234"/>
        <item x="32"/>
        <item x="116"/>
        <item x="545"/>
        <item x="604"/>
        <item x="560"/>
        <item x="582"/>
        <item x="422"/>
        <item x="240"/>
        <item x="109"/>
        <item x="542"/>
        <item x="91"/>
        <item x="652"/>
        <item x="195"/>
        <item x="213"/>
        <item x="158"/>
        <item x="358"/>
        <item x="235"/>
        <item x="404"/>
        <item x="71"/>
        <item x="567"/>
        <item x="630"/>
        <item x="252"/>
        <item x="16"/>
        <item x="536"/>
        <item x="291"/>
        <item x="386"/>
        <item x="429"/>
        <item x="211"/>
        <item x="416"/>
        <item x="436"/>
        <item x="616"/>
        <item x="694"/>
        <item x="196"/>
        <item x="682"/>
        <item x="471"/>
        <item x="159"/>
        <item x="207"/>
        <item x="401"/>
        <item x="332"/>
        <item x="293"/>
        <item x="618"/>
        <item x="430"/>
        <item x="449"/>
        <item x="665"/>
        <item x="143"/>
        <item x="36"/>
        <item x="659"/>
        <item x="347"/>
        <item x="95"/>
        <item x="31"/>
        <item x="19"/>
        <item x="605"/>
        <item x="77"/>
        <item x="649"/>
        <item x="409"/>
        <item x="520"/>
        <item x="620"/>
        <item x="224"/>
        <item x="75"/>
        <item x="530"/>
        <item x="103"/>
        <item x="556"/>
        <item x="337"/>
        <item x="394"/>
        <item x="72"/>
        <item x="578"/>
        <item x="615"/>
        <item x="461"/>
        <item x="563"/>
        <item x="647"/>
        <item x="203"/>
        <item x="540"/>
        <item x="127"/>
        <item x="674"/>
        <item x="47"/>
        <item x="260"/>
        <item x="106"/>
        <item x="27"/>
        <item x="313"/>
        <item x="402"/>
        <item x="633"/>
        <item x="593"/>
        <item x="180"/>
        <item x="189"/>
        <item x="237"/>
        <item x="639"/>
        <item x="310"/>
        <item x="656"/>
        <item x="296"/>
        <item x="160"/>
        <item x="251"/>
        <item x="450"/>
        <item x="149"/>
        <item x="43"/>
        <item x="487"/>
        <item x="515"/>
        <item x="247"/>
        <item x="387"/>
        <item x="476"/>
        <item x="446"/>
        <item x="303"/>
        <item x="609"/>
        <item x="413"/>
        <item x="611"/>
        <item x="148"/>
        <item x="87"/>
        <item x="199"/>
        <item x="12"/>
        <item x="679"/>
        <item x="470"/>
        <item x="403"/>
        <item x="599"/>
        <item x="645"/>
        <item x="3"/>
        <item x="437"/>
        <item x="531"/>
        <item x="706"/>
        <item x="688"/>
        <item x="133"/>
        <item x="708"/>
        <item x="38"/>
        <item x="484"/>
        <item x="360"/>
        <item x="88"/>
        <item x="179"/>
        <item x="9"/>
        <item x="53"/>
        <item x="566"/>
        <item x="603"/>
        <item x="712"/>
        <item x="86"/>
        <item x="302"/>
        <item x="98"/>
        <item x="496"/>
        <item x="583"/>
        <item x="335"/>
        <item x="473"/>
        <item x="119"/>
        <item x="585"/>
        <item x="147"/>
        <item x="80"/>
        <item x="525"/>
        <item x="218"/>
        <item x="472"/>
        <item x="271"/>
        <item x="118"/>
        <item x="667"/>
        <item x="714"/>
        <item x="399"/>
        <item x="681"/>
        <item x="431"/>
        <item x="695"/>
        <item x="419"/>
        <item x="135"/>
        <item x="478"/>
        <item x="489"/>
        <item x="175"/>
        <item x="134"/>
        <item x="261"/>
        <item x="230"/>
        <item x="300"/>
        <item x="575"/>
        <item x="377"/>
        <item x="612"/>
        <item x="125"/>
        <item x="508"/>
        <item x="120"/>
        <item x="534"/>
        <item x="51"/>
        <item x="485"/>
        <item x="26"/>
        <item x="447"/>
        <item x="576"/>
        <item x="658"/>
        <item x="37"/>
        <item x="6"/>
        <item x="277"/>
        <item x="356"/>
        <item x="166"/>
        <item x="443"/>
        <item x="573"/>
        <item x="537"/>
        <item x="648"/>
        <item x="494"/>
        <item x="592"/>
        <item x="89"/>
        <item x="463"/>
        <item x="501"/>
        <item x="181"/>
        <item x="232"/>
        <item x="498"/>
        <item x="231"/>
        <item x="140"/>
        <item x="552"/>
        <item x="383"/>
        <item x="191"/>
        <item x="290"/>
        <item x="4"/>
        <item x="528"/>
        <item x="200"/>
        <item x="372"/>
        <item x="286"/>
        <item x="421"/>
        <item x="371"/>
        <item x="427"/>
        <item x="321"/>
        <item x="58"/>
        <item x="102"/>
        <item x="524"/>
        <item x="154"/>
        <item x="136"/>
        <item x="672"/>
        <item x="30"/>
        <item x="717"/>
        <item x="221"/>
        <item x="503"/>
        <item x="448"/>
        <item x="453"/>
        <item x="513"/>
        <item x="82"/>
        <item x="543"/>
        <item x="697"/>
        <item x="316"/>
        <item x="101"/>
        <item x="99"/>
        <item x="49"/>
        <item x="432"/>
        <item x="153"/>
        <item x="68"/>
        <item x="84"/>
        <item x="327"/>
        <item x="163"/>
        <item x="228"/>
        <item x="395"/>
        <item x="629"/>
        <item x="308"/>
        <item x="104"/>
        <item x="643"/>
        <item x="57"/>
        <item x="334"/>
        <item x="279"/>
        <item x="380"/>
        <item x="144"/>
        <item x="25"/>
        <item x="318"/>
        <item x="219"/>
        <item x="600"/>
        <item x="309"/>
        <item x="146"/>
        <item x="587"/>
        <item x="126"/>
        <item x="389"/>
        <item x="385"/>
        <item x="66"/>
        <item x="710"/>
        <item x="39"/>
        <item x="185"/>
        <item x="590"/>
        <item x="8"/>
        <item x="366"/>
        <item x="315"/>
        <item x="33"/>
        <item x="324"/>
        <item x="445"/>
        <item x="312"/>
        <item x="188"/>
        <item x="482"/>
        <item x="320"/>
        <item x="378"/>
        <item x="499"/>
        <item x="367"/>
        <item x="538"/>
        <item x="314"/>
        <item x="238"/>
        <item x="48"/>
        <item x="657"/>
        <item x="13"/>
        <item x="201"/>
        <item x="483"/>
        <item x="607"/>
        <item x="610"/>
        <item x="256"/>
        <item x="355"/>
        <item x="407"/>
        <item x="267"/>
        <item x="535"/>
        <item x="161"/>
        <item x="700"/>
        <item x="511"/>
        <item x="94"/>
        <item x="117"/>
        <item x="246"/>
        <item x="93"/>
        <item x="22"/>
        <item x="379"/>
        <item x="631"/>
        <item x="502"/>
        <item x="546"/>
        <item x="96"/>
        <item x="442"/>
        <item x="597"/>
        <item x="344"/>
        <item x="339"/>
        <item x="568"/>
        <item x="348"/>
        <item x="666"/>
        <item x="28"/>
        <item x="369"/>
        <item x="452"/>
        <item x="624"/>
        <item x="10"/>
        <item x="670"/>
        <item x="418"/>
        <item x="561"/>
        <item x="64"/>
        <item x="55"/>
        <item x="529"/>
        <item x="336"/>
        <item x="435"/>
        <item x="634"/>
        <item x="90"/>
        <item x="434"/>
        <item x="222"/>
        <item x="441"/>
        <item x="558"/>
        <item x="288"/>
        <item x="438"/>
        <item x="584"/>
        <item x="283"/>
        <item x="248"/>
        <item x="259"/>
        <item x="306"/>
        <item x="362"/>
        <item x="451"/>
        <item x="574"/>
        <item x="539"/>
        <item x="619"/>
        <item x="370"/>
        <item x="668"/>
        <item x="684"/>
        <item x="128"/>
        <item x="21"/>
        <item x="641"/>
        <item x="41"/>
        <item x="363"/>
        <item x="350"/>
        <item x="440"/>
        <item x="651"/>
        <item x="78"/>
        <item x="145"/>
        <item x="258"/>
        <item x="428"/>
        <item x="493"/>
        <item x="628"/>
        <item x="549"/>
        <item x="477"/>
        <item x="11"/>
        <item x="168"/>
        <item x="516"/>
        <item x="523"/>
        <item x="354"/>
        <item x="206"/>
        <item x="683"/>
        <item x="17"/>
        <item x="547"/>
        <item x="352"/>
        <item x="45"/>
        <item x="391"/>
        <item x="492"/>
        <item x="0"/>
        <item x="262"/>
        <item x="495"/>
        <item x="460"/>
        <item x="640"/>
        <item x="704"/>
        <item x="375"/>
        <item x="467"/>
        <item x="15"/>
        <item x="108"/>
        <item x="364"/>
        <item x="274"/>
        <item x="171"/>
        <item x="462"/>
        <item x="289"/>
        <item x="500"/>
        <item x="29"/>
        <item x="507"/>
        <item x="174"/>
        <item x="608"/>
        <item x="390"/>
        <item x="673"/>
        <item x="156"/>
        <item x="121"/>
        <item x="92"/>
        <item x="54"/>
        <item x="190"/>
        <item x="233"/>
        <item x="464"/>
        <item x="368"/>
        <item x="244"/>
        <item x="621"/>
        <item x="241"/>
        <item x="325"/>
        <item x="517"/>
        <item x="353"/>
        <item x="491"/>
        <item x="107"/>
        <item x="711"/>
        <item x="273"/>
        <item x="305"/>
        <item x="509"/>
        <item x="512"/>
        <item x="459"/>
        <item x="342"/>
        <item x="690"/>
        <item x="650"/>
        <item x="595"/>
        <item x="626"/>
        <item x="606"/>
        <item x="194"/>
        <item x="254"/>
        <item x="687"/>
        <item x="715"/>
        <item x="505"/>
        <item x="151"/>
        <item x="100"/>
        <item x="454"/>
        <item x="580"/>
        <item x="625"/>
        <item x="272"/>
        <item x="35"/>
        <item x="157"/>
        <item x="162"/>
        <item x="518"/>
        <item x="598"/>
        <item x="562"/>
        <item x="661"/>
        <item x="713"/>
        <item x="414"/>
        <item x="280"/>
        <item x="69"/>
        <item x="365"/>
        <item x="62"/>
        <item x="18"/>
        <item x="311"/>
        <item x="406"/>
        <item x="172"/>
        <item x="486"/>
        <item x="420"/>
        <item x="112"/>
        <item x="111"/>
        <item x="287"/>
        <item x="716"/>
        <item x="637"/>
        <item x="686"/>
        <item x="642"/>
        <item x="249"/>
        <item x="152"/>
        <item x="698"/>
        <item x="671"/>
        <item x="548"/>
        <item x="526"/>
        <item x="569"/>
        <item x="210"/>
        <item x="263"/>
        <item x="488"/>
        <item x="105"/>
        <item x="212"/>
        <item x="142"/>
        <item x="396"/>
        <item x="139"/>
        <item x="297"/>
        <item x="131"/>
        <item x="527"/>
        <item x="663"/>
        <item x="345"/>
        <item x="184"/>
        <item x="79"/>
        <item x="67"/>
        <item x="614"/>
        <item x="226"/>
        <item x="177"/>
        <item x="457"/>
        <item x="417"/>
        <item x="351"/>
        <item x="627"/>
        <item x="357"/>
        <item x="400"/>
        <item x="132"/>
        <item x="46"/>
        <item x="204"/>
        <item x="669"/>
        <item x="343"/>
        <item x="510"/>
        <item x="415"/>
        <item x="481"/>
        <item x="209"/>
        <item x="182"/>
        <item x="264"/>
        <item x="24"/>
        <item x="676"/>
        <item x="73"/>
        <item x="361"/>
        <item x="74"/>
        <item x="281"/>
        <item x="555"/>
        <item x="83"/>
        <item x="298"/>
        <item x="456"/>
        <item x="215"/>
        <item x="425"/>
        <item x="479"/>
        <item x="169"/>
        <item x="70"/>
        <item x="250"/>
        <item x="465"/>
        <item x="570"/>
        <item x="282"/>
        <item x="130"/>
        <item x="480"/>
        <item x="685"/>
        <item x="602"/>
        <item x="255"/>
        <item x="225"/>
        <item x="299"/>
        <item x="301"/>
        <item x="269"/>
        <item x="167"/>
        <item x="328"/>
        <item x="594"/>
        <item x="458"/>
        <item x="141"/>
        <item x="596"/>
        <item x="333"/>
        <item x="565"/>
        <item x="469"/>
        <item x="374"/>
        <item x="533"/>
        <item x="85"/>
        <item x="150"/>
        <item x="178"/>
        <item x="522"/>
        <item x="164"/>
        <item x="197"/>
        <item x="323"/>
        <item x="183"/>
        <item x="393"/>
        <item x="341"/>
        <item x="586"/>
        <item x="20"/>
        <item x="382"/>
        <item x="253"/>
        <item x="285"/>
        <item x="521"/>
        <item x="553"/>
        <item x="662"/>
        <item x="474"/>
        <item x="23"/>
        <item x="52"/>
        <item x="242"/>
        <item x="294"/>
        <item x="559"/>
        <item x="307"/>
        <item x="701"/>
        <item x="268"/>
        <item x="217"/>
        <item x="165"/>
        <item x="544"/>
        <item x="275"/>
        <item x="330"/>
        <item x="123"/>
        <item x="455"/>
        <item x="497"/>
        <item x="588"/>
        <item x="270"/>
        <item x="557"/>
        <item x="265"/>
        <item x="591"/>
        <item x="76"/>
        <item x="97"/>
        <item x="646"/>
        <item x="192"/>
        <item x="243"/>
        <item x="155"/>
        <item x="384"/>
        <item x="198"/>
        <item x="220"/>
        <item x="346"/>
        <item x="245"/>
        <item x="113"/>
        <item x="319"/>
        <item x="411"/>
        <item x="5"/>
        <item x="266"/>
        <item x="284"/>
        <item x="623"/>
        <item x="577"/>
        <item x="564"/>
        <item x="61"/>
        <item x="554"/>
        <item x="170"/>
        <item x="655"/>
        <item x="381"/>
        <item x="691"/>
        <item x="439"/>
        <item x="56"/>
        <item x="338"/>
        <item x="506"/>
        <item x="654"/>
        <item x="632"/>
        <item x="581"/>
        <item x="7"/>
        <item x="692"/>
        <item x="541"/>
        <item x="214"/>
        <item x="278"/>
        <item x="644"/>
        <item x="699"/>
        <item x="50"/>
        <item x="572"/>
        <item x="444"/>
        <item x="408"/>
        <item x="329"/>
        <item x="223"/>
        <item x="373"/>
        <item x="2"/>
        <item x="426"/>
        <item x="678"/>
        <item x="236"/>
        <item x="376"/>
        <item x="276"/>
        <item x="410"/>
        <item x="550"/>
        <item x="304"/>
        <item x="176"/>
        <item x="202"/>
        <item x="705"/>
        <item x="40"/>
        <item x="660"/>
        <item x="653"/>
        <item x="205"/>
        <item x="519"/>
        <item x="137"/>
        <item x="696"/>
        <item x="490"/>
        <item x="193"/>
        <item x="44"/>
        <item x="693"/>
        <item x="124"/>
        <item x="532"/>
        <item x="349"/>
        <item x="322"/>
        <item x="186"/>
        <item x="423"/>
        <item x="208"/>
        <item x="466"/>
        <item x="677"/>
        <item x="63"/>
        <item x="59"/>
        <item x="589"/>
        <item x="115"/>
        <item x="635"/>
        <item x="14"/>
        <item x="60"/>
        <item x="702"/>
        <item x="138"/>
        <item x="680"/>
        <item x="424"/>
        <item x="475"/>
        <item x="636"/>
        <item x="664"/>
        <item x="689"/>
        <item x="257"/>
        <item x="617"/>
        <item x="392"/>
        <item x="110"/>
        <item x="317"/>
        <item x="707"/>
        <item x="216"/>
        <item x="388"/>
        <item x="65"/>
        <item x="34"/>
        <item x="412"/>
        <item x="340"/>
        <item x="129"/>
        <item x="1"/>
        <item x="187"/>
        <item x="331"/>
        <item x="638"/>
        <item x="622"/>
        <item x="514"/>
        <item x="504"/>
        <item x="613"/>
        <item x="709"/>
        <item x="81"/>
        <item x="405"/>
        <item x="326"/>
        <item x="468"/>
        <item x="433"/>
        <item x="397"/>
        <item x="359"/>
        <item x="42"/>
        <item x="551"/>
        <item x="173"/>
        <item x="703"/>
        <item x="398"/>
        <item x="571"/>
        <item x="114"/>
        <item x="229"/>
        <item t="default"/>
      </items>
    </pivotField>
    <pivotField numFmtId="9" showAll="0"/>
    <pivotField showAll="0"/>
    <pivotField axis="axisRow" showAll="0">
      <items count="13">
        <item x="3"/>
        <item x="2"/>
        <item x="4"/>
        <item x="9"/>
        <item x="1"/>
        <item x="5"/>
        <item x="10"/>
        <item x="7"/>
        <item x="0"/>
        <item x="11"/>
        <item x="8"/>
        <item x="6"/>
        <item t="default"/>
      </items>
    </pivotField>
    <pivotField showAll="0"/>
    <pivotField showAll="0"/>
    <pivotField showAll="0">
      <items count="8">
        <item x="3"/>
        <item x="0"/>
        <item x="6"/>
        <item x="4"/>
        <item x="2"/>
        <item x="1"/>
        <item x="5"/>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Somme de Net_Sales" fld="14" baseField="0" baseItem="0"/>
  </dataFields>
  <chartFormats count="3">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_Channel_Clean" sourceName="Channel_Clean">
  <pivotTables>
    <pivotTable tabId="8" name="Tableau croisé dynamique4"/>
    <pivotTable tabId="8" name="Tableau croisé dynamique5"/>
    <pivotTable tabId="8" name="Tableau croisé dynamique6"/>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_Category" sourceName="Category">
  <pivotTables>
    <pivotTable tabId="8" name="Tableau croisé dynamique4"/>
    <pivotTable tabId="8" name="Tableau croisé dynamique5"/>
    <pivotTable tabId="8" name="Tableau croisé dynamique6"/>
  </pivotTables>
  <data>
    <tabular pivotCacheId="1">
      <items count="5">
        <i x="1"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_Region" sourceName="Region">
  <pivotTables>
    <pivotTable tabId="8" name="Tableau croisé dynamique4"/>
    <pivotTable tabId="8" name="Tableau croisé dynamique5"/>
    <pivotTable tabId="8" name="Tableau croisé dynamique6"/>
  </pivotTables>
  <data>
    <tabular pivotCacheId="1">
      <items count="7">
        <i x="3" s="1"/>
        <i x="0" s="1"/>
        <i x="6" s="1"/>
        <i x="4"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_Clean" cache="Segment_Channel_Clean" caption="Channel_Clean" rowHeight="234950"/>
  <slicer name="Category" cache="Segment_Category" caption="Category" rowHeight="234950"/>
  <slicer name="Region" cache="Segment_Region" caption="Region" rowHeight="234950"/>
</slicers>
</file>

<file path=xl/tables/table1.xml><?xml version="1.0" encoding="utf-8"?>
<table xmlns="http://schemas.openxmlformats.org/spreadsheetml/2006/main" id="5" name="RawSalesTable6" displayName="RawSalesTable6" ref="A1:AL721" totalsRowShown="0">
  <autoFilter ref="A1:AL721"/>
  <tableColumns count="38">
    <tableColumn id="1" name="Order_ID"/>
    <tableColumn id="2" name="Order_Date"/>
    <tableColumn id="3" name="Customer_ID"/>
    <tableColumn id="4" name="Product_ID"/>
    <tableColumn id="5" name="Customer_Info"/>
    <tableColumn id="6" name="Store_Raw"/>
    <tableColumn id="7" name="Salesperson"/>
    <tableColumn id="8" name="Channel_Raw"/>
    <tableColumn id="9" name="Quantity"/>
    <tableColumn id="10" name="Unit_Price"/>
    <tableColumn id="11" name="Discount_Pct"/>
    <tableColumn id="12" name="Payment_Method_Raw"/>
    <tableColumn id="13" name="Delivery_Days"/>
    <tableColumn id="14" name="Return_Status"/>
    <tableColumn id="15" name="Channel_Clean" dataDxfId="24">
      <calculatedColumnFormula>SUBSTITUTE(PROPER(TRIM(RawSalesTable6[[#This Row],[Channel_Raw]])),"Market Place","Marketplace")</calculatedColumnFormula>
    </tableColumn>
    <tableColumn id="16" name="Product_ID_Clean" dataDxfId="23">
      <calculatedColumnFormula>TRIM(RawSalesTable6[[#This Row],[Product_ID]])</calculatedColumnFormula>
    </tableColumn>
    <tableColumn id="17" name="Customer_ID_Clean" dataDxfId="22">
      <calculatedColumnFormula>TRIM(RawSalesTable6[[#This Row],[Customer_ID]])</calculatedColumnFormula>
    </tableColumn>
    <tableColumn id="18" name="Store_Clean" dataDxfId="21">
      <calculatedColumnFormula>PROPER(TRIM(RawSalesTable6[[#This Row],[Store_Raw]]))</calculatedColumnFormula>
    </tableColumn>
    <tableColumn id="19" name="Payment_Method_Clean" dataDxfId="20">
      <calculatedColumnFormula>IF(TRIM(RawSalesTable6[[#This Row],[Payment_Method_Raw]])="","Non renseigné",SUBSTITUTE(PROPER(TRIM(RawSalesTable6[[#This Row],[Payment_Method_Raw]])),"Cc","Credit Card"))</calculatedColumnFormula>
    </tableColumn>
    <tableColumn id="21" name="Order_ID_Count" dataDxfId="19">
      <calculatedColumnFormula>COUNTIF(A:A,RawSalesTable6[[#This Row],[Order_ID]])</calculatedColumnFormula>
    </tableColumn>
    <tableColumn id="22" name="Customer_Name_Extracted" dataDxfId="18">
      <calculatedColumnFormula>TRIM(LEFT(RawSalesTable6[[#This Row],[Customer_Info]],FIND(",",RawSalesTable6[[#This Row],[Customer_Info]])-1))</calculatedColumnFormula>
    </tableColumn>
    <tableColumn id="23" name="City_Extracted" dataDxfId="17">
      <calculatedColumnFormula>TRIM(MID(RawSalesTable6[[#This Row],[Customer_Info]],FIND(",",RawSalesTable6[[#This Row],[Customer_Info]])+1,FIND(",",RawSalesTable6[[#This Row],[Customer_Info]],FIND(",",RawSalesTable6[[#This Row],[Customer_Info]])+1)-FIND(",",RawSalesTable6[[#This Row],[Customer_Info]])-1))</calculatedColumnFormula>
    </tableColumn>
    <tableColumn id="24" name="Segment_Extracted" dataDxfId="16">
      <calculatedColumnFormula>TRIM(RIGHT(RawSalesTable6[[#This Row],[Customer_Info]],LEN(RawSalesTable6[[#This Row],[Customer_Info]])-FIND(",",RawSalesTable6[[#This Row],[Customer_Info]],FIND(",",RawSalesTable6[[#This Row],[Customer_Info]])+1)))</calculatedColumnFormula>
    </tableColumn>
    <tableColumn id="25" name="Product_Name" dataDxfId="15">
      <calculatedColumnFormula>VLOOKUP(RawSalesTable6[[#This Row],[Product_ID_Clean]],ProductsTable[],2,FALSE)</calculatedColumnFormula>
    </tableColumn>
    <tableColumn id="26" name="Category" dataDxfId="14">
      <calculatedColumnFormula>VLOOKUP(RawSalesTable6[[#This Row],[Product_ID_Clean]],ProductsTable[],3,FALSE)</calculatedColumnFormula>
    </tableColumn>
    <tableColumn id="27" name="Unit_Cost" dataDxfId="13">
      <calculatedColumnFormula>VLOOKUP(RawSalesTable6[[#This Row],[Product_ID_Clean]],ProductsTable[],5,FALSE)</calculatedColumnFormula>
    </tableColumn>
    <tableColumn id="28" name="Gross_Sales" dataDxfId="12">
      <calculatedColumnFormula>RawSalesTable6[[#This Row],[Unit_Price]]*RawSalesTable6[[#This Row],[Quantity]]</calculatedColumnFormula>
    </tableColumn>
    <tableColumn id="29" name="Discount_Amount" dataDxfId="11">
      <calculatedColumnFormula>RawSalesTable6[[#This Row],[Gross_Sales]]*RawSalesTable6[[#This Row],[Discount_Pct]]</calculatedColumnFormula>
    </tableColumn>
    <tableColumn id="30" name="Net_Sales" dataDxfId="10">
      <calculatedColumnFormula>RawSalesTable6[[#This Row],[Gross_Sales]]-RawSalesTable6[[#This Row],[Discount_Amount]]</calculatedColumnFormula>
    </tableColumn>
    <tableColumn id="31" name="Total_Cost" dataDxfId="9">
      <calculatedColumnFormula>RawSalesTable6[[#This Row],[Unit_Cost]]*RawSalesTable6[[#This Row],[Quantity]]</calculatedColumnFormula>
    </tableColumn>
    <tableColumn id="32" name="Profit" dataDxfId="8">
      <calculatedColumnFormula>RawSalesTable6[[#This Row],[Net_Sales]]-RawSalesTable6[[#This Row],[Total_Cost]]</calculatedColumnFormula>
    </tableColumn>
    <tableColumn id="33" name="Profit_Margin" dataCellStyle="Pourcentage">
      <calculatedColumnFormula>RawSalesTable6[[#This Row],[Profit]]/RawSalesTable6[[#This Row],[Net_Sales]]</calculatedColumnFormula>
    </tableColumn>
    <tableColumn id="34" name="Year" dataDxfId="7">
      <calculatedColumnFormula>YEAR(RawSalesTable6[[#This Row],[Order_Date]])</calculatedColumnFormula>
    </tableColumn>
    <tableColumn id="35" name="Month_Number" dataDxfId="6">
      <calculatedColumnFormula>MONTH(RawSalesTable6[[#This Row],[Order_Date]])</calculatedColumnFormula>
    </tableColumn>
    <tableColumn id="36" name="Month_Name" dataDxfId="5">
      <calculatedColumnFormula>TEXT(RawSalesTable6[[#This Row],[Order_Date]],"mmmm")</calculatedColumnFormula>
    </tableColumn>
    <tableColumn id="37" name="Quarter" dataDxfId="4">
      <calculatedColumnFormula>IF(RawSalesTable6[[#This Row],[Month_Number]]&lt;=3,"Q1",IF(RawSalesTable6[[#This Row],[Month_Number]]&lt;=6,"Q2",IF(RawSalesTable6[[#This Row],[Month_Number]]&lt;=9,"Q3","Q4")))</calculatedColumnFormula>
    </tableColumn>
    <tableColumn id="38" name="Region" dataDxfId="3">
      <calculatedColumnFormula>VLOOKUP(RawSalesTable6[[#This Row],[Customer_ID_Clean]],CustomersTable[],4,FALSE)</calculatedColumnFormula>
    </tableColumn>
    <tableColumn id="39" name="Return_Flag" dataDxfId="2">
      <calculatedColumnFormula>IF(RawSalesTable6[[#This Row],[Return_Status]]="Yes",1,0)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RawSalesTable" displayName="RawSalesTable" ref="A1:N733" totalsRowShown="0">
  <autoFilter ref="A1:N733"/>
  <tableColumns count="14">
    <tableColumn id="1" name="Order_ID"/>
    <tableColumn id="2" name="Order_Date"/>
    <tableColumn id="3" name="Customer_ID"/>
    <tableColumn id="4" name="Product_ID"/>
    <tableColumn id="5" name="Customer_Info"/>
    <tableColumn id="6" name="Store_Raw"/>
    <tableColumn id="7" name="Salesperson"/>
    <tableColumn id="8" name="Channel_Raw"/>
    <tableColumn id="9" name="Quantity"/>
    <tableColumn id="10" name="Unit_Price"/>
    <tableColumn id="11" name="Discount_Pct"/>
    <tableColumn id="12" name="Payment_Method_Raw"/>
    <tableColumn id="13" name="Delivery_Days"/>
    <tableColumn id="14" name="Return_Status"/>
  </tableColumns>
  <tableStyleInfo name="TableStyleMedium2" showFirstColumn="0" showLastColumn="0" showRowStripes="1" showColumnStripes="0"/>
</table>
</file>

<file path=xl/tables/table3.xml><?xml version="1.0" encoding="utf-8"?>
<table xmlns="http://schemas.openxmlformats.org/spreadsheetml/2006/main" id="1" name="ProductsTable" displayName="ProductsTable" ref="A1:G41" totalsRowShown="0">
  <tableColumns count="7">
    <tableColumn id="1" name="Product_ID"/>
    <tableColumn id="2" name="Product_Name"/>
    <tableColumn id="3" name="Category"/>
    <tableColumn id="4" name="Subcategory"/>
    <tableColumn id="5" name="Unit_Cost"/>
    <tableColumn id="6" name="List_Price"/>
    <tableColumn id="7" name="Supplier"/>
  </tableColumns>
  <tableStyleInfo name="TableStyleMedium2" showFirstColumn="0" showLastColumn="0" showRowStripes="1" showColumnStripes="0"/>
</table>
</file>

<file path=xl/tables/table4.xml><?xml version="1.0" encoding="utf-8"?>
<table xmlns="http://schemas.openxmlformats.org/spreadsheetml/2006/main" id="2" name="CustomersTable" displayName="CustomersTable" ref="A1:F121" totalsRowShown="0">
  <tableColumns count="6">
    <tableColumn id="1" name="Customer_ID"/>
    <tableColumn id="2" name="Customer_Name"/>
    <tableColumn id="3" name="City"/>
    <tableColumn id="4" name="Region"/>
    <tableColumn id="5" name="Segment"/>
    <tableColumn id="6" name="Signup_Date"/>
  </tableColumns>
  <tableStyleInfo name="TableStyleMedium2" showFirstColumn="0" showLastColumn="0" showRowStripes="1" showColumnStripes="0"/>
</table>
</file>

<file path=xl/tables/table5.xml><?xml version="1.0" encoding="utf-8"?>
<table xmlns="http://schemas.openxmlformats.org/spreadsheetml/2006/main" id="4" name="TargetsTable" displayName="TargetsTable" ref="A1:D13" totalsRowShown="0">
  <tableColumns count="4">
    <tableColumn id="1" name="Month"/>
    <tableColumn id="2" name="Sales_Target"/>
    <tableColumn id="3" name="Profit_Target"/>
    <tableColumn id="4" name="Orders_Target"/>
  </tableColumns>
  <tableStyleInfo name="TableStyleMedium2" showFirstColumn="0" showLastColumn="0" showRowStripes="1" showColumnStripes="0"/>
</table>
</file>

<file path=xl/tables/table6.xml><?xml version="1.0" encoding="utf-8"?>
<table xmlns="http://schemas.openxmlformats.org/spreadsheetml/2006/main" id="6" name="Tableau6" displayName="Tableau6" ref="A1:X102" totalsRowShown="0">
  <autoFilter ref="A1:X102"/>
  <tableColumns count="24">
    <tableColumn id="1" name="Channel_Clean"/>
    <tableColumn id="2" name="Product_ID_Clean"/>
    <tableColumn id="3" name="Customer_ID_Clean"/>
    <tableColumn id="4" name="Store_Clean"/>
    <tableColumn id="5" name="Payment_Method_Clean"/>
    <tableColumn id="6" name="Order_ID_Count"/>
    <tableColumn id="7" name="Customer_Name_Extracted"/>
    <tableColumn id="8" name="City_Extracted"/>
    <tableColumn id="9" name="Segment_Extracted"/>
    <tableColumn id="10" name="Product_Name"/>
    <tableColumn id="11" name="Category"/>
    <tableColumn id="12" name="Unit_Cost"/>
    <tableColumn id="13" name="Gross_Sales"/>
    <tableColumn id="14" name="Discount_Amount"/>
    <tableColumn id="15" name="Net_Sales"/>
    <tableColumn id="16" name="Total_Cost"/>
    <tableColumn id="17" name="Profit"/>
    <tableColumn id="18" name="Profit_Margin"/>
    <tableColumn id="19" name="Year"/>
    <tableColumn id="20" name="Month_Number"/>
    <tableColumn id="21" name="Month_Name"/>
    <tableColumn id="22" name="Quarter"/>
    <tableColumn id="23" name="Region"/>
    <tableColumn id="24" name="Return_Flag"/>
  </tableColumns>
  <tableStyleInfo name="TableStyleMedium2" showFirstColumn="0" showLastColumn="0" showRowStripes="1" showColumnStripes="0"/>
</table>
</file>

<file path=xl/tables/table7.xml><?xml version="1.0" encoding="utf-8"?>
<table xmlns="http://schemas.openxmlformats.org/spreadsheetml/2006/main" id="7" name="Tableau7" displayName="Tableau7" ref="A1:AL721" totalsRowShown="0">
  <autoFilter ref="A1:AL721"/>
  <tableColumns count="38">
    <tableColumn id="1" name="Order_ID"/>
    <tableColumn id="2" name="Order_Date" dataDxfId="0"/>
    <tableColumn id="3" name="Customer_ID"/>
    <tableColumn id="4" name="Product_ID"/>
    <tableColumn id="5" name="Customer_Info"/>
    <tableColumn id="6" name="Store_Raw"/>
    <tableColumn id="7" name="Salesperson"/>
    <tableColumn id="8" name="Channel_Raw"/>
    <tableColumn id="9" name="Quantity"/>
    <tableColumn id="10" name="Unit_Price"/>
    <tableColumn id="11" name="Discount_Pct"/>
    <tableColumn id="12" name="Payment_Method_Raw"/>
    <tableColumn id="13" name="Delivery_Days"/>
    <tableColumn id="14" name="Return_Status"/>
    <tableColumn id="15" name="Channel_Clean"/>
    <tableColumn id="16" name="Product_ID_Clean"/>
    <tableColumn id="17" name="Customer_ID_Clean"/>
    <tableColumn id="18" name="Store_Clean"/>
    <tableColumn id="19" name="Payment_Method_Clean"/>
    <tableColumn id="20" name="Order_ID_Count"/>
    <tableColumn id="21" name="Customer_Name_Extracted"/>
    <tableColumn id="22" name="City_Extracted"/>
    <tableColumn id="23" name="Segment_Extracted"/>
    <tableColumn id="24" name="Product_Name"/>
    <tableColumn id="25" name="Category"/>
    <tableColumn id="26" name="Unit_Cost"/>
    <tableColumn id="27" name="Gross_Sales"/>
    <tableColumn id="28" name="Discount_Amount"/>
    <tableColumn id="29" name="Net_Sales"/>
    <tableColumn id="30" name="Total_Cost"/>
    <tableColumn id="31" name="Profit"/>
    <tableColumn id="32" name="Profit_Margin"/>
    <tableColumn id="33" name="Year"/>
    <tableColumn id="34" name="Month_Number"/>
    <tableColumn id="35" name="Month_Name"/>
    <tableColumn id="36" name="Quarter"/>
    <tableColumn id="37" name="Region"/>
    <tableColumn id="38" name="Return_Fla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workbookViewId="0">
      <selection sqref="A1:H2"/>
    </sheetView>
  </sheetViews>
  <sheetFormatPr baseColWidth="10" defaultColWidth="8.796875" defaultRowHeight="13.8"/>
  <cols>
    <col min="1" max="1" width="18" customWidth="1"/>
    <col min="2" max="2" width="58" customWidth="1"/>
    <col min="3" max="3" width="45" customWidth="1"/>
  </cols>
  <sheetData>
    <row r="1" spans="1:8" ht="22.35" customHeight="1">
      <c r="A1" s="19" t="s">
        <v>0</v>
      </c>
      <c r="B1" s="19"/>
      <c r="C1" s="19"/>
      <c r="D1" s="19"/>
      <c r="E1" s="19"/>
      <c r="F1" s="19"/>
      <c r="G1" s="19"/>
      <c r="H1" s="19"/>
    </row>
    <row r="2" spans="1:8" ht="22.35" customHeight="1">
      <c r="A2" s="19"/>
      <c r="B2" s="19"/>
      <c r="C2" s="19"/>
      <c r="D2" s="19"/>
      <c r="E2" s="19"/>
      <c r="F2" s="19"/>
      <c r="G2" s="19"/>
      <c r="H2" s="19"/>
    </row>
    <row r="4" spans="1:8">
      <c r="A4" s="18" t="s">
        <v>1</v>
      </c>
      <c r="B4" s="18"/>
      <c r="C4" s="18"/>
      <c r="D4" s="18"/>
      <c r="E4" s="18"/>
      <c r="F4" s="18"/>
      <c r="G4" s="18"/>
      <c r="H4" s="18"/>
    </row>
    <row r="5" spans="1:8">
      <c r="A5" s="20" t="s">
        <v>2</v>
      </c>
      <c r="B5" s="20"/>
      <c r="C5" s="20"/>
      <c r="D5" s="20"/>
      <c r="E5" s="20"/>
      <c r="F5" s="20"/>
      <c r="G5" s="20"/>
      <c r="H5" s="20"/>
    </row>
    <row r="6" spans="1:8">
      <c r="A6" s="20"/>
      <c r="B6" s="20"/>
      <c r="C6" s="20"/>
      <c r="D6" s="20"/>
      <c r="E6" s="20"/>
      <c r="F6" s="20"/>
      <c r="G6" s="20"/>
      <c r="H6" s="20"/>
    </row>
    <row r="7" spans="1:8">
      <c r="A7" s="20"/>
      <c r="B7" s="20"/>
      <c r="C7" s="20"/>
      <c r="D7" s="20"/>
      <c r="E7" s="20"/>
      <c r="F7" s="20"/>
      <c r="G7" s="20"/>
      <c r="H7" s="20"/>
    </row>
    <row r="9" spans="1:8">
      <c r="A9" s="18" t="s">
        <v>3</v>
      </c>
      <c r="B9" s="18"/>
      <c r="C9" s="18"/>
      <c r="D9" s="18"/>
      <c r="E9" s="18"/>
      <c r="F9" s="18"/>
      <c r="G9" s="18"/>
      <c r="H9" s="18"/>
    </row>
    <row r="10" spans="1:8">
      <c r="A10" s="1" t="s">
        <v>4</v>
      </c>
      <c r="B10" s="1" t="s">
        <v>5</v>
      </c>
      <c r="C10" s="1" t="s">
        <v>6</v>
      </c>
    </row>
    <row r="11" spans="1:8" ht="27.6">
      <c r="A11" s="7" t="s">
        <v>7</v>
      </c>
      <c r="B11" s="7" t="s">
        <v>8</v>
      </c>
      <c r="C11" s="7" t="s">
        <v>9</v>
      </c>
    </row>
    <row r="12" spans="1:8" ht="27.6">
      <c r="A12" s="7" t="s">
        <v>10</v>
      </c>
      <c r="B12" s="7" t="s">
        <v>11</v>
      </c>
      <c r="C12" s="7" t="s">
        <v>12</v>
      </c>
    </row>
    <row r="13" spans="1:8" ht="27.6">
      <c r="A13" s="7" t="s">
        <v>13</v>
      </c>
      <c r="B13" s="7" t="s">
        <v>14</v>
      </c>
      <c r="C13" s="7" t="s">
        <v>15</v>
      </c>
    </row>
    <row r="14" spans="1:8" ht="27.6">
      <c r="A14" s="7" t="s">
        <v>16</v>
      </c>
      <c r="B14" s="7" t="s">
        <v>17</v>
      </c>
      <c r="C14" s="7" t="s">
        <v>18</v>
      </c>
    </row>
    <row r="15" spans="1:8" ht="27.6">
      <c r="A15" s="7" t="s">
        <v>19</v>
      </c>
      <c r="B15" s="7" t="s">
        <v>20</v>
      </c>
      <c r="C15" s="7" t="s">
        <v>21</v>
      </c>
    </row>
    <row r="16" spans="1:8">
      <c r="A16" s="7" t="s">
        <v>22</v>
      </c>
      <c r="B16" s="7" t="s">
        <v>23</v>
      </c>
      <c r="C16" s="7" t="s">
        <v>24</v>
      </c>
    </row>
    <row r="17" spans="1:8" ht="27.6">
      <c r="A17" s="7" t="s">
        <v>25</v>
      </c>
      <c r="B17" s="7" t="s">
        <v>26</v>
      </c>
      <c r="C17" s="7" t="s">
        <v>27</v>
      </c>
    </row>
    <row r="18" spans="1:8">
      <c r="A18" s="7" t="s">
        <v>28</v>
      </c>
      <c r="B18" s="7" t="s">
        <v>29</v>
      </c>
      <c r="C18" s="7" t="s">
        <v>30</v>
      </c>
    </row>
    <row r="19" spans="1:8" ht="27.6">
      <c r="A19" s="7" t="s">
        <v>31</v>
      </c>
      <c r="B19" s="7" t="s">
        <v>32</v>
      </c>
      <c r="C19" s="7" t="s">
        <v>33</v>
      </c>
    </row>
    <row r="20" spans="1:8">
      <c r="A20" s="7" t="s">
        <v>34</v>
      </c>
      <c r="B20" s="7" t="s">
        <v>35</v>
      </c>
      <c r="C20" s="7" t="s">
        <v>36</v>
      </c>
    </row>
    <row r="22" spans="1:8">
      <c r="A22" s="18" t="s">
        <v>37</v>
      </c>
      <c r="B22" s="18"/>
      <c r="C22" s="18"/>
      <c r="D22" s="18"/>
      <c r="E22" s="18"/>
      <c r="F22" s="18"/>
      <c r="G22" s="18"/>
      <c r="H22" s="18"/>
    </row>
    <row r="23" spans="1:8" ht="27.6">
      <c r="A23" s="7" t="s">
        <v>38</v>
      </c>
      <c r="B23" s="7" t="s">
        <v>39</v>
      </c>
    </row>
    <row r="24" spans="1:8">
      <c r="A24" s="7" t="s">
        <v>40</v>
      </c>
      <c r="B24" s="7" t="s">
        <v>41</v>
      </c>
    </row>
    <row r="25" spans="1:8" ht="27.6">
      <c r="A25" s="7" t="s">
        <v>42</v>
      </c>
      <c r="B25" s="7" t="s">
        <v>43</v>
      </c>
    </row>
    <row r="26" spans="1:8">
      <c r="A26" s="7" t="s">
        <v>44</v>
      </c>
      <c r="B26" s="7" t="s">
        <v>45</v>
      </c>
    </row>
    <row r="27" spans="1:8">
      <c r="A27" s="7" t="s">
        <v>46</v>
      </c>
      <c r="B27" s="7" t="s">
        <v>47</v>
      </c>
    </row>
    <row r="28" spans="1:8">
      <c r="A28" s="7" t="s">
        <v>48</v>
      </c>
      <c r="B28" s="7" t="s">
        <v>49</v>
      </c>
    </row>
    <row r="29" spans="1:8" ht="27.6">
      <c r="A29" s="7" t="s">
        <v>50</v>
      </c>
      <c r="B29" s="7" t="s">
        <v>51</v>
      </c>
    </row>
    <row r="30" spans="1:8">
      <c r="A30" s="7" t="s">
        <v>52</v>
      </c>
      <c r="B30" s="7" t="s">
        <v>53</v>
      </c>
    </row>
    <row r="31" spans="1:8">
      <c r="A31" s="7" t="s">
        <v>54</v>
      </c>
      <c r="B31" s="7" t="s">
        <v>55</v>
      </c>
    </row>
    <row r="32" spans="1:8" ht="27.6">
      <c r="A32" s="7" t="s">
        <v>56</v>
      </c>
      <c r="B32" s="7" t="s">
        <v>57</v>
      </c>
    </row>
    <row r="34" spans="1:8">
      <c r="A34" s="18" t="s">
        <v>58</v>
      </c>
      <c r="B34" s="18"/>
      <c r="C34" s="18"/>
      <c r="D34" s="18"/>
      <c r="E34" s="18"/>
      <c r="F34" s="18"/>
      <c r="G34" s="18"/>
      <c r="H34" s="18"/>
    </row>
    <row r="35" spans="1:8">
      <c r="A35" s="1" t="s">
        <v>59</v>
      </c>
      <c r="B35" s="1" t="s">
        <v>60</v>
      </c>
    </row>
    <row r="36" spans="1:8" ht="27.6">
      <c r="A36" s="7" t="s">
        <v>61</v>
      </c>
      <c r="B36" s="7" t="s">
        <v>62</v>
      </c>
    </row>
    <row r="37" spans="1:8" ht="27.6">
      <c r="A37" s="7" t="s">
        <v>63</v>
      </c>
      <c r="B37" s="7" t="s">
        <v>64</v>
      </c>
    </row>
    <row r="38" spans="1:8">
      <c r="A38" s="7" t="s">
        <v>65</v>
      </c>
      <c r="B38" s="7" t="s">
        <v>66</v>
      </c>
    </row>
    <row r="39" spans="1:8" ht="27.6">
      <c r="A39" s="7" t="s">
        <v>67</v>
      </c>
      <c r="B39" s="7" t="s">
        <v>68</v>
      </c>
    </row>
  </sheetData>
  <mergeCells count="6">
    <mergeCell ref="A34:H34"/>
    <mergeCell ref="A1:H2"/>
    <mergeCell ref="A4:H4"/>
    <mergeCell ref="A5:H7"/>
    <mergeCell ref="A9:H9"/>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27"/>
  <sheetViews>
    <sheetView workbookViewId="0">
      <selection activeCell="X1" sqref="A1:XFD1048576"/>
    </sheetView>
  </sheetViews>
  <sheetFormatPr baseColWidth="10" defaultColWidth="8.796875" defaultRowHeight="13.8"/>
  <cols>
    <col min="1" max="1" width="18" customWidth="1"/>
    <col min="2" max="2" width="12" customWidth="1"/>
    <col min="3" max="3" width="13" customWidth="1"/>
    <col min="4" max="4" width="11.59765625" customWidth="1"/>
    <col min="5" max="5" width="34" customWidth="1"/>
    <col min="6" max="6" width="22" customWidth="1"/>
    <col min="7" max="7" width="16" customWidth="1"/>
    <col min="8" max="8" width="18" customWidth="1"/>
    <col min="9" max="9" width="9.69921875" customWidth="1"/>
    <col min="10" max="10" width="11" customWidth="1"/>
    <col min="11" max="11" width="13" customWidth="1"/>
    <col min="12" max="12" width="20" customWidth="1"/>
    <col min="13" max="13" width="13.8984375" customWidth="1"/>
    <col min="14" max="14" width="7.296875" bestFit="1" customWidth="1"/>
    <col min="15" max="15" width="16.09765625" bestFit="1" customWidth="1"/>
    <col min="16" max="16" width="18.59765625" bestFit="1" customWidth="1"/>
    <col min="17" max="17" width="20.3984375" bestFit="1" customWidth="1"/>
    <col min="18" max="18" width="16.19921875" bestFit="1" customWidth="1"/>
    <col min="19" max="19" width="14.19921875" customWidth="1"/>
    <col min="20" max="20" width="16.8984375" bestFit="1" customWidth="1"/>
    <col min="21" max="21" width="23" bestFit="1" customWidth="1"/>
    <col min="22" max="22" width="12.5" bestFit="1" customWidth="1"/>
    <col min="23" max="23" width="16.59765625" bestFit="1" customWidth="1"/>
    <col min="24" max="24" width="12.796875" customWidth="1"/>
    <col min="25" max="25" width="10.5" bestFit="1" customWidth="1"/>
    <col min="27" max="27" width="11.19921875" bestFit="1" customWidth="1"/>
    <col min="28" max="28" width="14.8984375" bestFit="1" customWidth="1"/>
    <col min="29" max="29" width="9.5" bestFit="1" customWidth="1"/>
    <col min="30" max="30" width="13.5" customWidth="1"/>
    <col min="32" max="32" width="8.796875" style="9"/>
    <col min="34" max="34" width="9.59765625" customWidth="1"/>
    <col min="37" max="37" width="13.8984375" bestFit="1" customWidth="1"/>
    <col min="38" max="38" width="13.5" bestFit="1" customWidth="1"/>
  </cols>
  <sheetData>
    <row r="1" spans="1:38" ht="41.4">
      <c r="A1" s="1" t="s">
        <v>69</v>
      </c>
      <c r="B1" s="1" t="s">
        <v>70</v>
      </c>
      <c r="C1" s="1" t="s">
        <v>71</v>
      </c>
      <c r="D1" s="1" t="s">
        <v>72</v>
      </c>
      <c r="E1" s="1" t="s">
        <v>73</v>
      </c>
      <c r="F1" s="1" t="s">
        <v>74</v>
      </c>
      <c r="G1" s="1" t="s">
        <v>75</v>
      </c>
      <c r="H1" s="1" t="s">
        <v>76</v>
      </c>
      <c r="I1" s="1" t="s">
        <v>77</v>
      </c>
      <c r="J1" s="1" t="s">
        <v>78</v>
      </c>
      <c r="K1" s="1" t="s">
        <v>79</v>
      </c>
      <c r="L1" s="1" t="s">
        <v>80</v>
      </c>
      <c r="M1" s="1" t="s">
        <v>81</v>
      </c>
      <c r="N1" s="1" t="s">
        <v>82</v>
      </c>
      <c r="O1" t="s">
        <v>1389</v>
      </c>
      <c r="P1" t="s">
        <v>1390</v>
      </c>
      <c r="Q1" t="s">
        <v>1391</v>
      </c>
      <c r="R1" t="s">
        <v>1392</v>
      </c>
      <c r="S1" t="s">
        <v>1393</v>
      </c>
      <c r="T1" t="s">
        <v>1394</v>
      </c>
      <c r="U1" t="s">
        <v>1395</v>
      </c>
      <c r="V1" t="s">
        <v>1396</v>
      </c>
      <c r="W1" t="s">
        <v>1397</v>
      </c>
      <c r="X1" t="s">
        <v>1173</v>
      </c>
      <c r="Y1" t="s">
        <v>1174</v>
      </c>
      <c r="Z1" t="s">
        <v>1176</v>
      </c>
      <c r="AA1" t="s">
        <v>1398</v>
      </c>
      <c r="AB1" t="s">
        <v>1399</v>
      </c>
      <c r="AC1" t="s">
        <v>1400</v>
      </c>
      <c r="AD1" t="s">
        <v>1401</v>
      </c>
      <c r="AE1" t="s">
        <v>1402</v>
      </c>
      <c r="AF1" s="9" t="s">
        <v>1403</v>
      </c>
      <c r="AG1" t="s">
        <v>1404</v>
      </c>
      <c r="AH1" t="s">
        <v>1405</v>
      </c>
      <c r="AI1" t="s">
        <v>1406</v>
      </c>
      <c r="AJ1" t="s">
        <v>1407</v>
      </c>
      <c r="AK1" t="s">
        <v>1231</v>
      </c>
      <c r="AL1" t="s">
        <v>1408</v>
      </c>
    </row>
    <row r="2" spans="1:38">
      <c r="A2" t="s">
        <v>83</v>
      </c>
      <c r="B2" s="3">
        <v>45921</v>
      </c>
      <c r="C2" t="s">
        <v>84</v>
      </c>
      <c r="D2" t="s">
        <v>85</v>
      </c>
      <c r="E2" t="s">
        <v>86</v>
      </c>
      <c r="F2" t="s">
        <v>87</v>
      </c>
      <c r="G2" t="s">
        <v>88</v>
      </c>
      <c r="H2" t="s">
        <v>89</v>
      </c>
      <c r="I2">
        <v>1</v>
      </c>
      <c r="J2" s="2">
        <v>321.89</v>
      </c>
      <c r="K2" s="4">
        <v>0</v>
      </c>
      <c r="L2" t="s">
        <v>90</v>
      </c>
      <c r="M2">
        <v>1</v>
      </c>
      <c r="N2" t="s">
        <v>91</v>
      </c>
      <c r="O2" t="str">
        <f>SUBSTITUTE(PROPER(TRIM(RawSalesTable6[[#This Row],[Channel_Raw]])),"Market Place","Marketplace")</f>
        <v>Online</v>
      </c>
      <c r="P2" t="str">
        <f>TRIM(RawSalesTable6[[#This Row],[Product_ID]])</f>
        <v>P1025</v>
      </c>
      <c r="Q2" t="str">
        <f>TRIM(RawSalesTable6[[#This Row],[Customer_ID]])</f>
        <v>C0113</v>
      </c>
      <c r="R2" s="8" t="str">
        <f>PROPER(TRIM(RawSalesTable6[[#This Row],[Store_Raw]]))</f>
        <v>Online Fulfillment</v>
      </c>
      <c r="S2" s="8" t="str">
        <f>IF(TRIM(RawSalesTable6[[#This Row],[Payment_Method_Raw]])="","Non renseigné",SUBSTITUTE(PROPER(TRIM(RawSalesTable6[[#This Row],[Payment_Method_Raw]])),"Cc","Credit Card"))</f>
        <v>Paypal</v>
      </c>
      <c r="T2" s="8">
        <f>COUNTIF(A:A,RawSalesTable6[[#This Row],[Order_ID]])</f>
        <v>1</v>
      </c>
      <c r="U2" s="8" t="str">
        <f>TRIM(LEFT(RawSalesTable6[[#This Row],[Customer_Info]],FIND(",",RawSalesTable6[[#This Row],[Customer_Info]])-1))</f>
        <v>Olivia Johnson</v>
      </c>
      <c r="V2" s="8" t="str">
        <f>TRIM(MID(RawSalesTable6[[#This Row],[Customer_Info]],FIND(",",RawSalesTable6[[#This Row],[Customer_Info]])+1,FIND(",",RawSalesTable6[[#This Row],[Customer_Info]],FIND(",",RawSalesTable6[[#This Row],[Customer_Info]])+1)-FIND(",",RawSalesTable6[[#This Row],[Customer_Info]])-1))</f>
        <v>Surrey</v>
      </c>
      <c r="W2" s="8" t="str">
        <f>TRIM(RIGHT(RawSalesTable6[[#This Row],[Customer_Info]],LEN(RawSalesTable6[[#This Row],[Customer_Info]])-FIND(",",RawSalesTable6[[#This Row],[Customer_Info]],FIND(",",RawSalesTable6[[#This Row],[Customer_Info]])+1)))</f>
        <v>Consumer</v>
      </c>
      <c r="X2" s="8" t="str">
        <f>VLOOKUP(RawSalesTable6[[#This Row],[Product_ID_Clean]],ProductsTable[],2,FALSE)</f>
        <v>Yoga Mat</v>
      </c>
      <c r="Y2" s="8" t="str">
        <f>VLOOKUP(RawSalesTable6[[#This Row],[Product_ID_Clean]],ProductsTable[],3,FALSE)</f>
        <v>Fitness</v>
      </c>
      <c r="Z2" s="8">
        <f>VLOOKUP(RawSalesTable6[[#This Row],[Product_ID_Clean]],ProductsTable[],5,FALSE)</f>
        <v>197.33</v>
      </c>
      <c r="AA2" s="8">
        <f>RawSalesTable6[[#This Row],[Unit_Price]]*RawSalesTable6[[#This Row],[Quantity]]</f>
        <v>321.89</v>
      </c>
      <c r="AB2" s="8">
        <f>RawSalesTable6[[#This Row],[Gross_Sales]]*RawSalesTable6[[#This Row],[Discount_Pct]]</f>
        <v>0</v>
      </c>
      <c r="AC2" s="8">
        <f>RawSalesTable6[[#This Row],[Gross_Sales]]-RawSalesTable6[[#This Row],[Discount_Amount]]</f>
        <v>321.89</v>
      </c>
      <c r="AD2" s="8">
        <f>RawSalesTable6[[#This Row],[Unit_Cost]]*RawSalesTable6[[#This Row],[Quantity]]</f>
        <v>197.33</v>
      </c>
      <c r="AE2" s="8">
        <f>RawSalesTable6[[#This Row],[Net_Sales]]-RawSalesTable6[[#This Row],[Total_Cost]]</f>
        <v>124.55999999999997</v>
      </c>
      <c r="AF2" s="9">
        <f>RawSalesTable6[[#This Row],[Profit]]/RawSalesTable6[[#This Row],[Net_Sales]]</f>
        <v>0.38696449097517777</v>
      </c>
      <c r="AG2" s="8">
        <f>YEAR(RawSalesTable6[[#This Row],[Order_Date]])</f>
        <v>2025</v>
      </c>
      <c r="AH2" s="8">
        <f>MONTH(RawSalesTable6[[#This Row],[Order_Date]])</f>
        <v>9</v>
      </c>
      <c r="AI2" s="8" t="str">
        <f>TEXT(RawSalesTable6[[#This Row],[Order_Date]],"mmmm")</f>
        <v>septembre</v>
      </c>
      <c r="AJ2" s="8" t="str">
        <f>IF(RawSalesTable6[[#This Row],[Month_Number]]&lt;=3,"Q1",IF(RawSalesTable6[[#This Row],[Month_Number]]&lt;=6,"Q2",IF(RawSalesTable6[[#This Row],[Month_Number]]&lt;=9,"Q3","Q4")))</f>
        <v>Q3</v>
      </c>
      <c r="AK2" s="8" t="str">
        <f>VLOOKUP(RawSalesTable6[[#This Row],[Customer_ID_Clean]],CustomersTable[],4,FALSE)</f>
        <v>British Columbia</v>
      </c>
      <c r="AL2" s="8">
        <f>IF(RawSalesTable6[[#This Row],[Return_Status]]="Yes",1,0)</f>
        <v>0</v>
      </c>
    </row>
    <row r="3" spans="1:38">
      <c r="A3" t="s">
        <v>92</v>
      </c>
      <c r="B3" s="3">
        <v>45801</v>
      </c>
      <c r="C3" t="s">
        <v>93</v>
      </c>
      <c r="D3" t="s">
        <v>94</v>
      </c>
      <c r="E3" t="s">
        <v>95</v>
      </c>
      <c r="F3" t="s">
        <v>87</v>
      </c>
      <c r="G3" t="s">
        <v>96</v>
      </c>
      <c r="H3" t="s">
        <v>97</v>
      </c>
      <c r="I3">
        <v>4</v>
      </c>
      <c r="J3" s="2">
        <v>316.17</v>
      </c>
      <c r="K3" s="4">
        <v>0.15</v>
      </c>
      <c r="L3" t="s">
        <v>98</v>
      </c>
      <c r="M3">
        <v>3</v>
      </c>
      <c r="N3" t="s">
        <v>91</v>
      </c>
      <c r="O3" t="str">
        <f>SUBSTITUTE(PROPER(TRIM(RawSalesTable6[[#This Row],[Channel_Raw]])),"Market Place","Marketplace")</f>
        <v>Retail Store</v>
      </c>
      <c r="P3" t="str">
        <f>TRIM(RawSalesTable6[[#This Row],[Product_ID]])</f>
        <v>P1033</v>
      </c>
      <c r="Q3" t="str">
        <f>TRIM(RawSalesTable6[[#This Row],[Customer_ID]])</f>
        <v>C0084</v>
      </c>
      <c r="R3" s="8" t="str">
        <f>PROPER(TRIM(RawSalesTable6[[#This Row],[Store_Raw]]))</f>
        <v>Online Fulfillment</v>
      </c>
      <c r="S3" s="8" t="str">
        <f>IF(TRIM(RawSalesTable6[[#This Row],[Payment_Method_Raw]])="","Non renseigné",SUBSTITUTE(PROPER(TRIM(RawSalesTable6[[#This Row],[Payment_Method_Raw]])),"Cc","Credit Card"))</f>
        <v>Debit Card</v>
      </c>
      <c r="T3" s="8">
        <f>COUNTIF(A:A,RawSalesTable6[[#This Row],[Order_ID]])</f>
        <v>1</v>
      </c>
      <c r="U3" s="8" t="str">
        <f>TRIM(LEFT(RawSalesTable6[[#This Row],[Customer_Info]],FIND(",",RawSalesTable6[[#This Row],[Customer_Info]])-1))</f>
        <v>Ryan Clark</v>
      </c>
      <c r="V3" s="8" t="str">
        <f>TRIM(MID(RawSalesTable6[[#This Row],[Customer_Info]],FIND(",",RawSalesTable6[[#This Row],[Customer_Info]])+1,FIND(",",RawSalesTable6[[#This Row],[Customer_Info]],FIND(",",RawSalesTable6[[#This Row],[Customer_Info]])+1)-FIND(",",RawSalesTable6[[#This Row],[Customer_Info]])-1))</f>
        <v>Montreal</v>
      </c>
      <c r="W3" s="8" t="str">
        <f>TRIM(RIGHT(RawSalesTable6[[#This Row],[Customer_Info]],LEN(RawSalesTable6[[#This Row],[Customer_Info]])-FIND(",",RawSalesTable6[[#This Row],[Customer_Info]],FIND(",",RawSalesTable6[[#This Row],[Customer_Info]])+1)))</f>
        <v>Corporate</v>
      </c>
      <c r="X3" s="8" t="str">
        <f>VLOOKUP(RawSalesTable6[[#This Row],[Product_ID_Clean]],ProductsTable[],2,FALSE)</f>
        <v>Backpack</v>
      </c>
      <c r="Y3" s="8" t="str">
        <f>VLOOKUP(RawSalesTable6[[#This Row],[Product_ID_Clean]],ProductsTable[],3,FALSE)</f>
        <v>Accessories</v>
      </c>
      <c r="Z3" s="8">
        <f>VLOOKUP(RawSalesTable6[[#This Row],[Product_ID_Clean]],ProductsTable[],5,FALSE)</f>
        <v>152.55000000000001</v>
      </c>
      <c r="AA3" s="8">
        <f>RawSalesTable6[[#This Row],[Unit_Price]]*RawSalesTable6[[#This Row],[Quantity]]</f>
        <v>1264.68</v>
      </c>
      <c r="AB3" s="8">
        <f>RawSalesTable6[[#This Row],[Gross_Sales]]*RawSalesTable6[[#This Row],[Discount_Pct]]</f>
        <v>189.702</v>
      </c>
      <c r="AC3" s="8">
        <f>RawSalesTable6[[#This Row],[Gross_Sales]]-RawSalesTable6[[#This Row],[Discount_Amount]]</f>
        <v>1074.9780000000001</v>
      </c>
      <c r="AD3" s="8">
        <f>RawSalesTable6[[#This Row],[Unit_Cost]]*RawSalesTable6[[#This Row],[Quantity]]</f>
        <v>610.20000000000005</v>
      </c>
      <c r="AE3" s="8">
        <f>RawSalesTable6[[#This Row],[Net_Sales]]-RawSalesTable6[[#This Row],[Total_Cost]]</f>
        <v>464.77800000000002</v>
      </c>
      <c r="AF3" s="9">
        <f>RawSalesTable6[[#This Row],[Profit]]/RawSalesTable6[[#This Row],[Net_Sales]]</f>
        <v>0.43236047621439694</v>
      </c>
      <c r="AG3" s="8">
        <f>YEAR(RawSalesTable6[[#This Row],[Order_Date]])</f>
        <v>2025</v>
      </c>
      <c r="AH3" s="8">
        <f>MONTH(RawSalesTable6[[#This Row],[Order_Date]])</f>
        <v>5</v>
      </c>
      <c r="AI3" s="8" t="str">
        <f>TEXT(RawSalesTable6[[#This Row],[Order_Date]],"mmmm")</f>
        <v>mai</v>
      </c>
      <c r="AJ3" s="8" t="str">
        <f>IF(RawSalesTable6[[#This Row],[Month_Number]]&lt;=3,"Q1",IF(RawSalesTable6[[#This Row],[Month_Number]]&lt;=6,"Q2",IF(RawSalesTable6[[#This Row],[Month_Number]]&lt;=9,"Q3","Q4")))</f>
        <v>Q2</v>
      </c>
      <c r="AK3" s="8" t="str">
        <f>VLOOKUP(RawSalesTable6[[#This Row],[Customer_ID_Clean]],CustomersTable[],4,FALSE)</f>
        <v>Quebec</v>
      </c>
      <c r="AL3" s="8">
        <f>IF(RawSalesTable6[[#This Row],[Return_Status]]="Yes",1,0)</f>
        <v>0</v>
      </c>
    </row>
    <row r="4" spans="1:38">
      <c r="A4" t="s">
        <v>99</v>
      </c>
      <c r="B4" s="3">
        <v>45694</v>
      </c>
      <c r="C4" t="s">
        <v>100</v>
      </c>
      <c r="D4" t="s">
        <v>101</v>
      </c>
      <c r="E4" t="s">
        <v>102</v>
      </c>
      <c r="F4" t="s">
        <v>103</v>
      </c>
      <c r="G4" t="s">
        <v>104</v>
      </c>
      <c r="H4" t="s">
        <v>105</v>
      </c>
      <c r="I4">
        <v>2</v>
      </c>
      <c r="J4" s="2">
        <v>302.17</v>
      </c>
      <c r="K4" s="4">
        <v>0</v>
      </c>
      <c r="L4" t="s">
        <v>106</v>
      </c>
      <c r="M4">
        <v>7</v>
      </c>
      <c r="N4" t="s">
        <v>91</v>
      </c>
      <c r="O4" t="str">
        <f>SUBSTITUTE(PROPER(TRIM(RawSalesTable6[[#This Row],[Channel_Raw]])),"Market Place","Marketplace")</f>
        <v>Marketplace</v>
      </c>
      <c r="P4" t="str">
        <f>TRIM(RawSalesTable6[[#This Row],[Product_ID]])</f>
        <v>P1021</v>
      </c>
      <c r="Q4" t="str">
        <f>TRIM(RawSalesTable6[[#This Row],[Customer_ID]])</f>
        <v>C0003</v>
      </c>
      <c r="R4" s="8" t="str">
        <f>PROPER(TRIM(RawSalesTable6[[#This Row],[Store_Raw]]))</f>
        <v>Vancouver West</v>
      </c>
      <c r="S4" s="8" t="str">
        <f>IF(TRIM(RawSalesTable6[[#This Row],[Payment_Method_Raw]])="","Non renseigné",SUBSTITUTE(PROPER(TRIM(RawSalesTable6[[#This Row],[Payment_Method_Raw]])),"Cc","Credit Card"))</f>
        <v>Credit Card</v>
      </c>
      <c r="T4" s="8">
        <f>COUNTIF(A:A,RawSalesTable6[[#This Row],[Order_ID]])</f>
        <v>1</v>
      </c>
      <c r="U4" s="8" t="str">
        <f>TRIM(LEFT(RawSalesTable6[[#This Row],[Customer_Info]],FIND(",",RawSalesTable6[[#This Row],[Customer_Info]])-1))</f>
        <v>Amelia Young</v>
      </c>
      <c r="V4" s="8" t="str">
        <f>TRIM(MID(RawSalesTable6[[#This Row],[Customer_Info]],FIND(",",RawSalesTable6[[#This Row],[Customer_Info]])+1,FIND(",",RawSalesTable6[[#This Row],[Customer_Info]],FIND(",",RawSalesTable6[[#This Row],[Customer_Info]])+1)-FIND(",",RawSalesTable6[[#This Row],[Customer_Info]])-1))</f>
        <v>Ottawa</v>
      </c>
      <c r="W4" s="8" t="str">
        <f>TRIM(RIGHT(RawSalesTable6[[#This Row],[Customer_Info]],LEN(RawSalesTable6[[#This Row],[Customer_Info]])-FIND(",",RawSalesTable6[[#This Row],[Customer_Info]],FIND(",",RawSalesTable6[[#This Row],[Customer_Info]])+1)))</f>
        <v>Corporate</v>
      </c>
      <c r="X4" s="8" t="str">
        <f>VLOOKUP(RawSalesTable6[[#This Row],[Product_ID_Clean]],ProductsTable[],2,FALSE)</f>
        <v>Kettle</v>
      </c>
      <c r="Y4" s="8" t="str">
        <f>VLOOKUP(RawSalesTable6[[#This Row],[Product_ID_Clean]],ProductsTable[],3,FALSE)</f>
        <v>Home</v>
      </c>
      <c r="Z4" s="8">
        <f>VLOOKUP(RawSalesTable6[[#This Row],[Product_ID_Clean]],ProductsTable[],5,FALSE)</f>
        <v>139.86000000000001</v>
      </c>
      <c r="AA4" s="8">
        <f>RawSalesTable6[[#This Row],[Unit_Price]]*RawSalesTable6[[#This Row],[Quantity]]</f>
        <v>604.34</v>
      </c>
      <c r="AB4" s="8">
        <f>RawSalesTable6[[#This Row],[Gross_Sales]]*RawSalesTable6[[#This Row],[Discount_Pct]]</f>
        <v>0</v>
      </c>
      <c r="AC4" s="8">
        <f>RawSalesTable6[[#This Row],[Gross_Sales]]-RawSalesTable6[[#This Row],[Discount_Amount]]</f>
        <v>604.34</v>
      </c>
      <c r="AD4" s="8">
        <f>RawSalesTable6[[#This Row],[Unit_Cost]]*RawSalesTable6[[#This Row],[Quantity]]</f>
        <v>279.72000000000003</v>
      </c>
      <c r="AE4" s="8">
        <f>RawSalesTable6[[#This Row],[Net_Sales]]-RawSalesTable6[[#This Row],[Total_Cost]]</f>
        <v>324.62</v>
      </c>
      <c r="AF4" s="9">
        <f>RawSalesTable6[[#This Row],[Profit]]/RawSalesTable6[[#This Row],[Net_Sales]]</f>
        <v>0.53714796306714763</v>
      </c>
      <c r="AG4" s="8">
        <f>YEAR(RawSalesTable6[[#This Row],[Order_Date]])</f>
        <v>2025</v>
      </c>
      <c r="AH4" s="8">
        <f>MONTH(RawSalesTable6[[#This Row],[Order_Date]])</f>
        <v>2</v>
      </c>
      <c r="AI4" s="8" t="str">
        <f>TEXT(RawSalesTable6[[#This Row],[Order_Date]],"mmmm")</f>
        <v>février</v>
      </c>
      <c r="AJ4" s="8" t="str">
        <f>IF(RawSalesTable6[[#This Row],[Month_Number]]&lt;=3,"Q1",IF(RawSalesTable6[[#This Row],[Month_Number]]&lt;=6,"Q2",IF(RawSalesTable6[[#This Row],[Month_Number]]&lt;=9,"Q3","Q4")))</f>
        <v>Q1</v>
      </c>
      <c r="AK4" s="8" t="str">
        <f>VLOOKUP(RawSalesTable6[[#This Row],[Customer_ID_Clean]],CustomersTable[],4,FALSE)</f>
        <v>Ontario</v>
      </c>
      <c r="AL4" s="8">
        <f>IF(RawSalesTable6[[#This Row],[Return_Status]]="Yes",1,0)</f>
        <v>0</v>
      </c>
    </row>
    <row r="5" spans="1:38">
      <c r="A5" t="s">
        <v>107</v>
      </c>
      <c r="B5" s="3">
        <v>45687</v>
      </c>
      <c r="C5" t="s">
        <v>108</v>
      </c>
      <c r="D5" t="s">
        <v>109</v>
      </c>
      <c r="E5" t="s">
        <v>110</v>
      </c>
      <c r="F5" t="s">
        <v>111</v>
      </c>
      <c r="G5" t="s">
        <v>88</v>
      </c>
      <c r="H5" t="s">
        <v>89</v>
      </c>
      <c r="I5">
        <v>1</v>
      </c>
      <c r="J5" s="2">
        <v>197.68</v>
      </c>
      <c r="K5" s="4">
        <v>0.1</v>
      </c>
      <c r="L5" t="s">
        <v>90</v>
      </c>
      <c r="M5">
        <v>3</v>
      </c>
      <c r="N5" t="s">
        <v>91</v>
      </c>
      <c r="O5" t="str">
        <f>SUBSTITUTE(PROPER(TRIM(RawSalesTable6[[#This Row],[Channel_Raw]])),"Market Place","Marketplace")</f>
        <v>Online</v>
      </c>
      <c r="P5" t="str">
        <f>TRIM(RawSalesTable6[[#This Row],[Product_ID]])</f>
        <v>P1032</v>
      </c>
      <c r="Q5" t="str">
        <f>TRIM(RawSalesTable6[[#This Row],[Customer_ID]])</f>
        <v>C0071</v>
      </c>
      <c r="R5" s="8" t="str">
        <f>PROPER(TRIM(RawSalesTable6[[#This Row],[Store_Raw]]))</f>
        <v>Montreal Central</v>
      </c>
      <c r="S5" s="8" t="str">
        <f>IF(TRIM(RawSalesTable6[[#This Row],[Payment_Method_Raw]])="","Non renseigné",SUBSTITUTE(PROPER(TRIM(RawSalesTable6[[#This Row],[Payment_Method_Raw]])),"Cc","Credit Card"))</f>
        <v>Paypal</v>
      </c>
      <c r="T5" s="8">
        <f>COUNTIF(A:A,RawSalesTable6[[#This Row],[Order_ID]])</f>
        <v>1</v>
      </c>
      <c r="U5" s="8" t="str">
        <f>TRIM(LEFT(RawSalesTable6[[#This Row],[Customer_Info]],FIND(",",RawSalesTable6[[#This Row],[Customer_Info]])-1))</f>
        <v>Ethan Lee</v>
      </c>
      <c r="V5" s="8" t="str">
        <f>TRIM(MID(RawSalesTable6[[#This Row],[Customer_Info]],FIND(",",RawSalesTable6[[#This Row],[Customer_Info]])+1,FIND(",",RawSalesTable6[[#This Row],[Customer_Info]],FIND(",",RawSalesTable6[[#This Row],[Customer_Info]])+1)-FIND(",",RawSalesTable6[[#This Row],[Customer_Info]])-1))</f>
        <v>Surrey</v>
      </c>
      <c r="W5" s="8" t="str">
        <f>TRIM(RIGHT(RawSalesTable6[[#This Row],[Customer_Info]],LEN(RawSalesTable6[[#This Row],[Customer_Info]])-FIND(",",RawSalesTable6[[#This Row],[Customer_Info]],FIND(",",RawSalesTable6[[#This Row],[Customer_Info]])+1)))</f>
        <v>Consumer</v>
      </c>
      <c r="X5" s="8" t="str">
        <f>VLOOKUP(RawSalesTable6[[#This Row],[Product_ID_Clean]],ProductsTable[],2,FALSE)</f>
        <v>Gym Bag</v>
      </c>
      <c r="Y5" s="8" t="str">
        <f>VLOOKUP(RawSalesTable6[[#This Row],[Product_ID_Clean]],ProductsTable[],3,FALSE)</f>
        <v>Fitness</v>
      </c>
      <c r="Z5" s="8">
        <f>VLOOKUP(RawSalesTable6[[#This Row],[Product_ID_Clean]],ProductsTable[],5,FALSE)</f>
        <v>132.72</v>
      </c>
      <c r="AA5" s="8">
        <f>RawSalesTable6[[#This Row],[Unit_Price]]*RawSalesTable6[[#This Row],[Quantity]]</f>
        <v>197.68</v>
      </c>
      <c r="AB5" s="8">
        <f>RawSalesTable6[[#This Row],[Gross_Sales]]*RawSalesTable6[[#This Row],[Discount_Pct]]</f>
        <v>19.768000000000001</v>
      </c>
      <c r="AC5" s="8">
        <f>RawSalesTable6[[#This Row],[Gross_Sales]]-RawSalesTable6[[#This Row],[Discount_Amount]]</f>
        <v>177.91200000000001</v>
      </c>
      <c r="AD5" s="8">
        <f>RawSalesTable6[[#This Row],[Unit_Cost]]*RawSalesTable6[[#This Row],[Quantity]]</f>
        <v>132.72</v>
      </c>
      <c r="AE5" s="8">
        <f>RawSalesTable6[[#This Row],[Net_Sales]]-RawSalesTable6[[#This Row],[Total_Cost]]</f>
        <v>45.192000000000007</v>
      </c>
      <c r="AF5" s="9">
        <f>RawSalesTable6[[#This Row],[Profit]]/RawSalesTable6[[#This Row],[Net_Sales]]</f>
        <v>0.25401322001888577</v>
      </c>
      <c r="AG5" s="8">
        <f>YEAR(RawSalesTable6[[#This Row],[Order_Date]])</f>
        <v>2025</v>
      </c>
      <c r="AH5" s="8">
        <f>MONTH(RawSalesTable6[[#This Row],[Order_Date]])</f>
        <v>1</v>
      </c>
      <c r="AI5" s="8" t="str">
        <f>TEXT(RawSalesTable6[[#This Row],[Order_Date]],"mmmm")</f>
        <v>janvier</v>
      </c>
      <c r="AJ5" s="8" t="str">
        <f>IF(RawSalesTable6[[#This Row],[Month_Number]]&lt;=3,"Q1",IF(RawSalesTable6[[#This Row],[Month_Number]]&lt;=6,"Q2",IF(RawSalesTable6[[#This Row],[Month_Number]]&lt;=9,"Q3","Q4")))</f>
        <v>Q1</v>
      </c>
      <c r="AK5" s="8" t="str">
        <f>VLOOKUP(RawSalesTable6[[#This Row],[Customer_ID_Clean]],CustomersTable[],4,FALSE)</f>
        <v>British Columbia</v>
      </c>
      <c r="AL5" s="8">
        <f>IF(RawSalesTable6[[#This Row],[Return_Status]]="Yes",1,0)</f>
        <v>0</v>
      </c>
    </row>
    <row r="6" spans="1:38">
      <c r="A6" t="s">
        <v>112</v>
      </c>
      <c r="B6" s="3">
        <v>45732</v>
      </c>
      <c r="C6" t="s">
        <v>113</v>
      </c>
      <c r="D6" t="s">
        <v>114</v>
      </c>
      <c r="E6" t="s">
        <v>115</v>
      </c>
      <c r="F6" t="s">
        <v>116</v>
      </c>
      <c r="G6" t="s">
        <v>117</v>
      </c>
      <c r="H6" t="s">
        <v>89</v>
      </c>
      <c r="I6">
        <v>1</v>
      </c>
      <c r="J6" s="2">
        <v>151.79</v>
      </c>
      <c r="K6" s="4">
        <v>0</v>
      </c>
      <c r="L6" t="s">
        <v>106</v>
      </c>
      <c r="M6">
        <v>2</v>
      </c>
      <c r="N6" t="s">
        <v>91</v>
      </c>
      <c r="O6" t="str">
        <f>SUBSTITUTE(PROPER(TRIM(RawSalesTable6[[#This Row],[Channel_Raw]])),"Market Place","Marketplace")</f>
        <v>Online</v>
      </c>
      <c r="P6" t="str">
        <f>TRIM(RawSalesTable6[[#This Row],[Product_ID]])</f>
        <v>P1034</v>
      </c>
      <c r="Q6" t="str">
        <f>TRIM(RawSalesTable6[[#This Row],[Customer_ID]])</f>
        <v>C0083</v>
      </c>
      <c r="R6" s="8" t="str">
        <f>PROPER(TRIM(RawSalesTable6[[#This Row],[Store_Raw]]))</f>
        <v>Toronto Downtown</v>
      </c>
      <c r="S6" s="8" t="str">
        <f>IF(TRIM(RawSalesTable6[[#This Row],[Payment_Method_Raw]])="","Non renseigné",SUBSTITUTE(PROPER(TRIM(RawSalesTable6[[#This Row],[Payment_Method_Raw]])),"Cc","Credit Card"))</f>
        <v>Credit Card</v>
      </c>
      <c r="T6" s="8">
        <f>COUNTIF(A:A,RawSalesTable6[[#This Row],[Order_ID]])</f>
        <v>1</v>
      </c>
      <c r="U6" s="8" t="str">
        <f>TRIM(LEFT(RawSalesTable6[[#This Row],[Customer_Info]],FIND(",",RawSalesTable6[[#This Row],[Customer_Info]])-1))</f>
        <v>Amine King</v>
      </c>
      <c r="V6" s="8" t="str">
        <f>TRIM(MID(RawSalesTable6[[#This Row],[Customer_Info]],FIND(",",RawSalesTable6[[#This Row],[Customer_Info]])+1,FIND(",",RawSalesTable6[[#This Row],[Customer_Info]],FIND(",",RawSalesTable6[[#This Row],[Customer_Info]])+1)-FIND(",",RawSalesTable6[[#This Row],[Customer_Info]])-1))</f>
        <v>Edmonton</v>
      </c>
      <c r="W6" s="8" t="str">
        <f>TRIM(RIGHT(RawSalesTable6[[#This Row],[Customer_Info]],LEN(RawSalesTable6[[#This Row],[Customer_Info]])-FIND(",",RawSalesTable6[[#This Row],[Customer_Info]],FIND(",",RawSalesTable6[[#This Row],[Customer_Info]])+1)))</f>
        <v>Consumer</v>
      </c>
      <c r="X6" s="8" t="str">
        <f>VLOOKUP(RawSalesTable6[[#This Row],[Product_ID_Clean]],ProductsTable[],2,FALSE)</f>
        <v>Laptop Sleeve</v>
      </c>
      <c r="Y6" s="8" t="str">
        <f>VLOOKUP(RawSalesTable6[[#This Row],[Product_ID_Clean]],ProductsTable[],3,FALSE)</f>
        <v>Accessories</v>
      </c>
      <c r="Z6" s="8">
        <f>VLOOKUP(RawSalesTable6[[#This Row],[Product_ID_Clean]],ProductsTable[],5,FALSE)</f>
        <v>78.95</v>
      </c>
      <c r="AA6" s="8">
        <f>RawSalesTable6[[#This Row],[Unit_Price]]*RawSalesTable6[[#This Row],[Quantity]]</f>
        <v>151.79</v>
      </c>
      <c r="AB6" s="8">
        <f>RawSalesTable6[[#This Row],[Gross_Sales]]*RawSalesTable6[[#This Row],[Discount_Pct]]</f>
        <v>0</v>
      </c>
      <c r="AC6" s="8">
        <f>RawSalesTable6[[#This Row],[Gross_Sales]]-RawSalesTable6[[#This Row],[Discount_Amount]]</f>
        <v>151.79</v>
      </c>
      <c r="AD6" s="8">
        <f>RawSalesTable6[[#This Row],[Unit_Cost]]*RawSalesTable6[[#This Row],[Quantity]]</f>
        <v>78.95</v>
      </c>
      <c r="AE6" s="8">
        <f>RawSalesTable6[[#This Row],[Net_Sales]]-RawSalesTable6[[#This Row],[Total_Cost]]</f>
        <v>72.839999999999989</v>
      </c>
      <c r="AF6" s="9">
        <f>RawSalesTable6[[#This Row],[Profit]]/RawSalesTable6[[#This Row],[Net_Sales]]</f>
        <v>0.47987350945385066</v>
      </c>
      <c r="AG6" s="8">
        <f>YEAR(RawSalesTable6[[#This Row],[Order_Date]])</f>
        <v>2025</v>
      </c>
      <c r="AH6" s="8">
        <f>MONTH(RawSalesTable6[[#This Row],[Order_Date]])</f>
        <v>3</v>
      </c>
      <c r="AI6" s="8" t="str">
        <f>TEXT(RawSalesTable6[[#This Row],[Order_Date]],"mmmm")</f>
        <v>mars</v>
      </c>
      <c r="AJ6" s="8" t="str">
        <f>IF(RawSalesTable6[[#This Row],[Month_Number]]&lt;=3,"Q1",IF(RawSalesTable6[[#This Row],[Month_Number]]&lt;=6,"Q2",IF(RawSalesTable6[[#This Row],[Month_Number]]&lt;=9,"Q3","Q4")))</f>
        <v>Q1</v>
      </c>
      <c r="AK6" s="8" t="str">
        <f>VLOOKUP(RawSalesTable6[[#This Row],[Customer_ID_Clean]],CustomersTable[],4,FALSE)</f>
        <v>Alberta</v>
      </c>
      <c r="AL6" s="8">
        <f>IF(RawSalesTable6[[#This Row],[Return_Status]]="Yes",1,0)</f>
        <v>0</v>
      </c>
    </row>
    <row r="7" spans="1:38">
      <c r="A7" t="s">
        <v>118</v>
      </c>
      <c r="B7" s="3">
        <v>45672</v>
      </c>
      <c r="C7" t="s">
        <v>119</v>
      </c>
      <c r="D7" t="s">
        <v>120</v>
      </c>
      <c r="E7" t="s">
        <v>121</v>
      </c>
      <c r="F7" t="s">
        <v>116</v>
      </c>
      <c r="G7" t="s">
        <v>122</v>
      </c>
      <c r="H7" t="s">
        <v>97</v>
      </c>
      <c r="I7">
        <v>2</v>
      </c>
      <c r="J7" s="2">
        <v>375.75</v>
      </c>
      <c r="K7" s="4">
        <v>0</v>
      </c>
      <c r="L7" t="s">
        <v>106</v>
      </c>
      <c r="M7">
        <v>2</v>
      </c>
      <c r="N7" t="s">
        <v>91</v>
      </c>
      <c r="O7" t="str">
        <f>SUBSTITUTE(PROPER(TRIM(RawSalesTable6[[#This Row],[Channel_Raw]])),"Market Place","Marketplace")</f>
        <v>Retail Store</v>
      </c>
      <c r="P7" t="str">
        <f>TRIM(RawSalesTable6[[#This Row],[Product_ID]])</f>
        <v>P1015</v>
      </c>
      <c r="Q7" t="str">
        <f>TRIM(RawSalesTable6[[#This Row],[Customer_ID]])</f>
        <v>C0057</v>
      </c>
      <c r="R7" s="8" t="str">
        <f>PROPER(TRIM(RawSalesTable6[[#This Row],[Store_Raw]]))</f>
        <v>Toronto Downtown</v>
      </c>
      <c r="S7" s="8" t="str">
        <f>IF(TRIM(RawSalesTable6[[#This Row],[Payment_Method_Raw]])="","Non renseigné",SUBSTITUTE(PROPER(TRIM(RawSalesTable6[[#This Row],[Payment_Method_Raw]])),"Cc","Credit Card"))</f>
        <v>Credit Card</v>
      </c>
      <c r="T7" s="8">
        <f>COUNTIF(A:A,RawSalesTable6[[#This Row],[Order_ID]])</f>
        <v>1</v>
      </c>
      <c r="U7" s="8" t="str">
        <f>TRIM(LEFT(RawSalesTable6[[#This Row],[Customer_Info]],FIND(",",RawSalesTable6[[#This Row],[Customer_Info]])-1))</f>
        <v>Adam Khan</v>
      </c>
      <c r="V7" s="8" t="str">
        <f>TRIM(MID(RawSalesTable6[[#This Row],[Customer_Info]],FIND(",",RawSalesTable6[[#This Row],[Customer_Info]])+1,FIND(",",RawSalesTable6[[#This Row],[Customer_Info]],FIND(",",RawSalesTable6[[#This Row],[Customer_Info]])+1)-FIND(",",RawSalesTable6[[#This Row],[Customer_Info]])-1))</f>
        <v>Edmonton</v>
      </c>
      <c r="W7" s="8" t="str">
        <f>TRIM(RIGHT(RawSalesTable6[[#This Row],[Customer_Info]],LEN(RawSalesTable6[[#This Row],[Customer_Info]])-FIND(",",RawSalesTable6[[#This Row],[Customer_Info]],FIND(",",RawSalesTable6[[#This Row],[Customer_Info]])+1)))</f>
        <v>Small Business</v>
      </c>
      <c r="X7" s="8" t="str">
        <f>VLOOKUP(RawSalesTable6[[#This Row],[Product_ID_Clean]],ProductsTable[],2,FALSE)</f>
        <v>Desk Organizer</v>
      </c>
      <c r="Y7" s="8" t="str">
        <f>VLOOKUP(RawSalesTable6[[#This Row],[Product_ID_Clean]],ProductsTable[],3,FALSE)</f>
        <v>Office</v>
      </c>
      <c r="Z7" s="8">
        <f>VLOOKUP(RawSalesTable6[[#This Row],[Product_ID_Clean]],ProductsTable[],5,FALSE)</f>
        <v>235.76</v>
      </c>
      <c r="AA7" s="8">
        <f>RawSalesTable6[[#This Row],[Unit_Price]]*RawSalesTable6[[#This Row],[Quantity]]</f>
        <v>751.5</v>
      </c>
      <c r="AB7" s="8">
        <f>RawSalesTable6[[#This Row],[Gross_Sales]]*RawSalesTable6[[#This Row],[Discount_Pct]]</f>
        <v>0</v>
      </c>
      <c r="AC7" s="8">
        <f>RawSalesTable6[[#This Row],[Gross_Sales]]-RawSalesTable6[[#This Row],[Discount_Amount]]</f>
        <v>751.5</v>
      </c>
      <c r="AD7" s="8">
        <f>RawSalesTable6[[#This Row],[Unit_Cost]]*RawSalesTable6[[#This Row],[Quantity]]</f>
        <v>471.52</v>
      </c>
      <c r="AE7" s="8">
        <f>RawSalesTable6[[#This Row],[Net_Sales]]-RawSalesTable6[[#This Row],[Total_Cost]]</f>
        <v>279.98</v>
      </c>
      <c r="AF7" s="9">
        <f>RawSalesTable6[[#This Row],[Profit]]/RawSalesTable6[[#This Row],[Net_Sales]]</f>
        <v>0.37256154357950766</v>
      </c>
      <c r="AG7" s="8">
        <f>YEAR(RawSalesTable6[[#This Row],[Order_Date]])</f>
        <v>2025</v>
      </c>
      <c r="AH7" s="8">
        <f>MONTH(RawSalesTable6[[#This Row],[Order_Date]])</f>
        <v>1</v>
      </c>
      <c r="AI7" s="8" t="str">
        <f>TEXT(RawSalesTable6[[#This Row],[Order_Date]],"mmmm")</f>
        <v>janvier</v>
      </c>
      <c r="AJ7" s="8" t="str">
        <f>IF(RawSalesTable6[[#This Row],[Month_Number]]&lt;=3,"Q1",IF(RawSalesTable6[[#This Row],[Month_Number]]&lt;=6,"Q2",IF(RawSalesTable6[[#This Row],[Month_Number]]&lt;=9,"Q3","Q4")))</f>
        <v>Q1</v>
      </c>
      <c r="AK7" s="8" t="str">
        <f>VLOOKUP(RawSalesTable6[[#This Row],[Customer_ID_Clean]],CustomersTable[],4,FALSE)</f>
        <v>Alberta</v>
      </c>
      <c r="AL7" s="8">
        <f>IF(RawSalesTable6[[#This Row],[Return_Status]]="Yes",1,0)</f>
        <v>0</v>
      </c>
    </row>
    <row r="8" spans="1:38">
      <c r="A8" t="s">
        <v>123</v>
      </c>
      <c r="B8" s="3">
        <v>45830</v>
      </c>
      <c r="C8" t="s">
        <v>124</v>
      </c>
      <c r="D8" t="s">
        <v>125</v>
      </c>
      <c r="E8" t="s">
        <v>126</v>
      </c>
      <c r="F8" t="s">
        <v>111</v>
      </c>
      <c r="G8" t="s">
        <v>88</v>
      </c>
      <c r="H8" t="s">
        <v>97</v>
      </c>
      <c r="I8">
        <v>3</v>
      </c>
      <c r="J8" s="2">
        <v>55.05</v>
      </c>
      <c r="K8" s="4">
        <v>0.15</v>
      </c>
      <c r="L8" t="s">
        <v>98</v>
      </c>
      <c r="M8">
        <v>1</v>
      </c>
      <c r="N8" t="s">
        <v>91</v>
      </c>
      <c r="O8" t="str">
        <f>SUBSTITUTE(PROPER(TRIM(RawSalesTable6[[#This Row],[Channel_Raw]])),"Market Place","Marketplace")</f>
        <v>Retail Store</v>
      </c>
      <c r="P8" t="str">
        <f>TRIM(RawSalesTable6[[#This Row],[Product_ID]])</f>
        <v>P1027</v>
      </c>
      <c r="Q8" t="str">
        <f>TRIM(RawSalesTable6[[#This Row],[Customer_ID]])</f>
        <v>C0021</v>
      </c>
      <c r="R8" s="8" t="str">
        <f>PROPER(TRIM(RawSalesTable6[[#This Row],[Store_Raw]]))</f>
        <v>Montreal Central</v>
      </c>
      <c r="S8" s="8" t="str">
        <f>IF(TRIM(RawSalesTable6[[#This Row],[Payment_Method_Raw]])="","Non renseigné",SUBSTITUTE(PROPER(TRIM(RawSalesTable6[[#This Row],[Payment_Method_Raw]])),"Cc","Credit Card"))</f>
        <v>Debit Card</v>
      </c>
      <c r="T8" s="8">
        <f>COUNTIF(A:A,RawSalesTable6[[#This Row],[Order_ID]])</f>
        <v>1</v>
      </c>
      <c r="U8" s="8" t="str">
        <f>TRIM(LEFT(RawSalesTable6[[#This Row],[Customer_Info]],FIND(",",RawSalesTable6[[#This Row],[Customer_Info]])-1))</f>
        <v>Nora King</v>
      </c>
      <c r="V8" s="8" t="str">
        <f>TRIM(MID(RawSalesTable6[[#This Row],[Customer_Info]],FIND(",",RawSalesTable6[[#This Row],[Customer_Info]])+1,FIND(",",RawSalesTable6[[#This Row],[Customer_Info]],FIND(",",RawSalesTable6[[#This Row],[Customer_Info]])+1)-FIND(",",RawSalesTable6[[#This Row],[Customer_Info]])-1))</f>
        <v>Halifax</v>
      </c>
      <c r="W8" s="8" t="str">
        <f>TRIM(RIGHT(RawSalesTable6[[#This Row],[Customer_Info]],LEN(RawSalesTable6[[#This Row],[Customer_Info]])-FIND(",",RawSalesTable6[[#This Row],[Customer_Info]],FIND(",",RawSalesTable6[[#This Row],[Customer_Info]])+1)))</f>
        <v>Corporate</v>
      </c>
      <c r="X8" s="8" t="str">
        <f>VLOOKUP(RawSalesTable6[[#This Row],[Product_ID_Clean]],ProductsTable[],2,FALSE)</f>
        <v>Kettlebell</v>
      </c>
      <c r="Y8" s="8" t="str">
        <f>VLOOKUP(RawSalesTable6[[#This Row],[Product_ID_Clean]],ProductsTable[],3,FALSE)</f>
        <v>Fitness</v>
      </c>
      <c r="Z8" s="8">
        <f>VLOOKUP(RawSalesTable6[[#This Row],[Product_ID_Clean]],ProductsTable[],5,FALSE)</f>
        <v>25.97</v>
      </c>
      <c r="AA8" s="8">
        <f>RawSalesTable6[[#This Row],[Unit_Price]]*RawSalesTable6[[#This Row],[Quantity]]</f>
        <v>165.14999999999998</v>
      </c>
      <c r="AB8" s="8">
        <f>RawSalesTable6[[#This Row],[Gross_Sales]]*RawSalesTable6[[#This Row],[Discount_Pct]]</f>
        <v>24.772499999999997</v>
      </c>
      <c r="AC8" s="8">
        <f>RawSalesTable6[[#This Row],[Gross_Sales]]-RawSalesTable6[[#This Row],[Discount_Amount]]</f>
        <v>140.37749999999997</v>
      </c>
      <c r="AD8" s="8">
        <f>RawSalesTable6[[#This Row],[Unit_Cost]]*RawSalesTable6[[#This Row],[Quantity]]</f>
        <v>77.91</v>
      </c>
      <c r="AE8" s="8">
        <f>RawSalesTable6[[#This Row],[Net_Sales]]-RawSalesTable6[[#This Row],[Total_Cost]]</f>
        <v>62.467499999999973</v>
      </c>
      <c r="AF8" s="9">
        <f>RawSalesTable6[[#This Row],[Profit]]/RawSalesTable6[[#This Row],[Net_Sales]]</f>
        <v>0.44499652722124261</v>
      </c>
      <c r="AG8" s="8">
        <f>YEAR(RawSalesTable6[[#This Row],[Order_Date]])</f>
        <v>2025</v>
      </c>
      <c r="AH8" s="8">
        <f>MONTH(RawSalesTable6[[#This Row],[Order_Date]])</f>
        <v>6</v>
      </c>
      <c r="AI8" s="8" t="str">
        <f>TEXT(RawSalesTable6[[#This Row],[Order_Date]],"mmmm")</f>
        <v>juin</v>
      </c>
      <c r="AJ8" s="8" t="str">
        <f>IF(RawSalesTable6[[#This Row],[Month_Number]]&lt;=3,"Q1",IF(RawSalesTable6[[#This Row],[Month_Number]]&lt;=6,"Q2",IF(RawSalesTable6[[#This Row],[Month_Number]]&lt;=9,"Q3","Q4")))</f>
        <v>Q2</v>
      </c>
      <c r="AK8" s="8" t="str">
        <f>VLOOKUP(RawSalesTable6[[#This Row],[Customer_ID_Clean]],CustomersTable[],4,FALSE)</f>
        <v>Nova Scotia</v>
      </c>
      <c r="AL8" s="8">
        <f>IF(RawSalesTable6[[#This Row],[Return_Status]]="Yes",1,0)</f>
        <v>0</v>
      </c>
    </row>
    <row r="9" spans="1:38">
      <c r="A9" t="s">
        <v>127</v>
      </c>
      <c r="B9" s="3">
        <v>45711</v>
      </c>
      <c r="C9" t="s">
        <v>128</v>
      </c>
      <c r="D9" t="s">
        <v>94</v>
      </c>
      <c r="E9" t="s">
        <v>129</v>
      </c>
      <c r="F9" t="s">
        <v>116</v>
      </c>
      <c r="G9" t="s">
        <v>130</v>
      </c>
      <c r="H9" t="s">
        <v>89</v>
      </c>
      <c r="I9">
        <v>2</v>
      </c>
      <c r="J9" s="2">
        <v>304.06</v>
      </c>
      <c r="K9" s="4">
        <v>0</v>
      </c>
      <c r="L9" t="s">
        <v>90</v>
      </c>
      <c r="M9">
        <v>3</v>
      </c>
      <c r="N9" t="s">
        <v>91</v>
      </c>
      <c r="O9" t="str">
        <f>SUBSTITUTE(PROPER(TRIM(RawSalesTable6[[#This Row],[Channel_Raw]])),"Market Place","Marketplace")</f>
        <v>Online</v>
      </c>
      <c r="P9" t="str">
        <f>TRIM(RawSalesTable6[[#This Row],[Product_ID]])</f>
        <v>P1033</v>
      </c>
      <c r="Q9" t="str">
        <f>TRIM(RawSalesTable6[[#This Row],[Customer_ID]])</f>
        <v>C0015</v>
      </c>
      <c r="R9" s="8" t="str">
        <f>PROPER(TRIM(RawSalesTable6[[#This Row],[Store_Raw]]))</f>
        <v>Toronto Downtown</v>
      </c>
      <c r="S9" s="8" t="str">
        <f>IF(TRIM(RawSalesTable6[[#This Row],[Payment_Method_Raw]])="","Non renseigné",SUBSTITUTE(PROPER(TRIM(RawSalesTable6[[#This Row],[Payment_Method_Raw]])),"Cc","Credit Card"))</f>
        <v>Paypal</v>
      </c>
      <c r="T9" s="8">
        <f>COUNTIF(A:A,RawSalesTable6[[#This Row],[Order_ID]])</f>
        <v>1</v>
      </c>
      <c r="U9" s="8" t="str">
        <f>TRIM(LEFT(RawSalesTable6[[#This Row],[Customer_Info]],FIND(",",RawSalesTable6[[#This Row],[Customer_Info]])-1))</f>
        <v>Zoe Singh</v>
      </c>
      <c r="V9" s="8" t="str">
        <f>TRIM(MID(RawSalesTable6[[#This Row],[Customer_Info]],FIND(",",RawSalesTable6[[#This Row],[Customer_Info]])+1,FIND(",",RawSalesTable6[[#This Row],[Customer_Info]],FIND(",",RawSalesTable6[[#This Row],[Customer_Info]])+1)-FIND(",",RawSalesTable6[[#This Row],[Customer_Info]])-1))</f>
        <v>Halifax</v>
      </c>
      <c r="W9" s="8" t="str">
        <f>TRIM(RIGHT(RawSalesTable6[[#This Row],[Customer_Info]],LEN(RawSalesTable6[[#This Row],[Customer_Info]])-FIND(",",RawSalesTable6[[#This Row],[Customer_Info]],FIND(",",RawSalesTable6[[#This Row],[Customer_Info]])+1)))</f>
        <v>Consumer</v>
      </c>
      <c r="X9" s="8" t="str">
        <f>VLOOKUP(RawSalesTable6[[#This Row],[Product_ID_Clean]],ProductsTable[],2,FALSE)</f>
        <v>Backpack</v>
      </c>
      <c r="Y9" s="8" t="str">
        <f>VLOOKUP(RawSalesTable6[[#This Row],[Product_ID_Clean]],ProductsTable[],3,FALSE)</f>
        <v>Accessories</v>
      </c>
      <c r="Z9" s="8">
        <f>VLOOKUP(RawSalesTable6[[#This Row],[Product_ID_Clean]],ProductsTable[],5,FALSE)</f>
        <v>152.55000000000001</v>
      </c>
      <c r="AA9" s="8">
        <f>RawSalesTable6[[#This Row],[Unit_Price]]*RawSalesTable6[[#This Row],[Quantity]]</f>
        <v>608.12</v>
      </c>
      <c r="AB9" s="8">
        <f>RawSalesTable6[[#This Row],[Gross_Sales]]*RawSalesTable6[[#This Row],[Discount_Pct]]</f>
        <v>0</v>
      </c>
      <c r="AC9" s="8">
        <f>RawSalesTable6[[#This Row],[Gross_Sales]]-RawSalesTable6[[#This Row],[Discount_Amount]]</f>
        <v>608.12</v>
      </c>
      <c r="AD9" s="8">
        <f>RawSalesTable6[[#This Row],[Unit_Cost]]*RawSalesTable6[[#This Row],[Quantity]]</f>
        <v>305.10000000000002</v>
      </c>
      <c r="AE9" s="8">
        <f>RawSalesTable6[[#This Row],[Net_Sales]]-RawSalesTable6[[#This Row],[Total_Cost]]</f>
        <v>303.02</v>
      </c>
      <c r="AF9" s="9">
        <f>RawSalesTable6[[#This Row],[Profit]]/RawSalesTable6[[#This Row],[Net_Sales]]</f>
        <v>0.49828981122146943</v>
      </c>
      <c r="AG9" s="8">
        <f>YEAR(RawSalesTable6[[#This Row],[Order_Date]])</f>
        <v>2025</v>
      </c>
      <c r="AH9" s="8">
        <f>MONTH(RawSalesTable6[[#This Row],[Order_Date]])</f>
        <v>2</v>
      </c>
      <c r="AI9" s="8" t="str">
        <f>TEXT(RawSalesTable6[[#This Row],[Order_Date]],"mmmm")</f>
        <v>février</v>
      </c>
      <c r="AJ9" s="8" t="str">
        <f>IF(RawSalesTable6[[#This Row],[Month_Number]]&lt;=3,"Q1",IF(RawSalesTable6[[#This Row],[Month_Number]]&lt;=6,"Q2",IF(RawSalesTable6[[#This Row],[Month_Number]]&lt;=9,"Q3","Q4")))</f>
        <v>Q1</v>
      </c>
      <c r="AK9" s="8" t="str">
        <f>VLOOKUP(RawSalesTable6[[#This Row],[Customer_ID_Clean]],CustomersTable[],4,FALSE)</f>
        <v>Nova Scotia</v>
      </c>
      <c r="AL9" s="8">
        <f>IF(RawSalesTable6[[#This Row],[Return_Status]]="Yes",1,0)</f>
        <v>0</v>
      </c>
    </row>
    <row r="10" spans="1:38">
      <c r="A10" t="s">
        <v>131</v>
      </c>
      <c r="B10" s="3">
        <v>46014</v>
      </c>
      <c r="C10" t="s">
        <v>132</v>
      </c>
      <c r="D10" t="s">
        <v>133</v>
      </c>
      <c r="E10" t="s">
        <v>134</v>
      </c>
      <c r="F10" t="s">
        <v>111</v>
      </c>
      <c r="G10" t="s">
        <v>117</v>
      </c>
      <c r="H10" t="s">
        <v>97</v>
      </c>
      <c r="I10">
        <v>1</v>
      </c>
      <c r="J10" s="2">
        <v>333.75</v>
      </c>
      <c r="K10" s="4">
        <v>0.05</v>
      </c>
      <c r="L10" t="s">
        <v>90</v>
      </c>
      <c r="M10">
        <v>3</v>
      </c>
      <c r="N10" t="s">
        <v>91</v>
      </c>
      <c r="O10" t="str">
        <f>SUBSTITUTE(PROPER(TRIM(RawSalesTable6[[#This Row],[Channel_Raw]])),"Market Place","Marketplace")</f>
        <v>Retail Store</v>
      </c>
      <c r="P10" t="str">
        <f>TRIM(RawSalesTable6[[#This Row],[Product_ID]])</f>
        <v>P1039</v>
      </c>
      <c r="Q10" t="str">
        <f>TRIM(RawSalesTable6[[#This Row],[Customer_ID]])</f>
        <v>C0104</v>
      </c>
      <c r="R10" s="8" t="str">
        <f>PROPER(TRIM(RawSalesTable6[[#This Row],[Store_Raw]]))</f>
        <v>Montreal Central</v>
      </c>
      <c r="S10" s="8" t="str">
        <f>IF(TRIM(RawSalesTable6[[#This Row],[Payment_Method_Raw]])="","Non renseigné",SUBSTITUTE(PROPER(TRIM(RawSalesTable6[[#This Row],[Payment_Method_Raw]])),"Cc","Credit Card"))</f>
        <v>Paypal</v>
      </c>
      <c r="T10" s="8">
        <f>COUNTIF(A:A,RawSalesTable6[[#This Row],[Order_ID]])</f>
        <v>1</v>
      </c>
      <c r="U10" s="8" t="str">
        <f>TRIM(LEFT(RawSalesTable6[[#This Row],[Customer_Info]],FIND(",",RawSalesTable6[[#This Row],[Customer_Info]])-1))</f>
        <v>Ava Scott</v>
      </c>
      <c r="V10" s="8" t="str">
        <f>TRIM(MID(RawSalesTable6[[#This Row],[Customer_Info]],FIND(",",RawSalesTable6[[#This Row],[Customer_Info]])+1,FIND(",",RawSalesTable6[[#This Row],[Customer_Info]],FIND(",",RawSalesTable6[[#This Row],[Customer_Info]])+1)-FIND(",",RawSalesTable6[[#This Row],[Customer_Info]])-1))</f>
        <v>Edmonton</v>
      </c>
      <c r="W10" s="8" t="str">
        <f>TRIM(RIGHT(RawSalesTable6[[#This Row],[Customer_Info]],LEN(RawSalesTable6[[#This Row],[Customer_Info]])-FIND(",",RawSalesTable6[[#This Row],[Customer_Info]],FIND(",",RawSalesTable6[[#This Row],[Customer_Info]])+1)))</f>
        <v>Corporate</v>
      </c>
      <c r="X10" s="8" t="str">
        <f>VLOOKUP(RawSalesTable6[[#This Row],[Product_ID_Clean]],ProductsTable[],2,FALSE)</f>
        <v>Travel Adapter</v>
      </c>
      <c r="Y10" s="8" t="str">
        <f>VLOOKUP(RawSalesTable6[[#This Row],[Product_ID_Clean]],ProductsTable[],3,FALSE)</f>
        <v>Accessories</v>
      </c>
      <c r="Z10" s="8">
        <f>VLOOKUP(RawSalesTable6[[#This Row],[Product_ID_Clean]],ProductsTable[],5,FALSE)</f>
        <v>229.86</v>
      </c>
      <c r="AA10" s="8">
        <f>RawSalesTable6[[#This Row],[Unit_Price]]*RawSalesTable6[[#This Row],[Quantity]]</f>
        <v>333.75</v>
      </c>
      <c r="AB10" s="8">
        <f>RawSalesTable6[[#This Row],[Gross_Sales]]*RawSalesTable6[[#This Row],[Discount_Pct]]</f>
        <v>16.6875</v>
      </c>
      <c r="AC10" s="8">
        <f>RawSalesTable6[[#This Row],[Gross_Sales]]-RawSalesTable6[[#This Row],[Discount_Amount]]</f>
        <v>317.0625</v>
      </c>
      <c r="AD10" s="8">
        <f>RawSalesTable6[[#This Row],[Unit_Cost]]*RawSalesTable6[[#This Row],[Quantity]]</f>
        <v>229.86</v>
      </c>
      <c r="AE10" s="8">
        <f>RawSalesTable6[[#This Row],[Net_Sales]]-RawSalesTable6[[#This Row],[Total_Cost]]</f>
        <v>87.202499999999986</v>
      </c>
      <c r="AF10" s="9">
        <f>RawSalesTable6[[#This Row],[Profit]]/RawSalesTable6[[#This Row],[Net_Sales]]</f>
        <v>0.27503252513305732</v>
      </c>
      <c r="AG10" s="8">
        <f>YEAR(RawSalesTable6[[#This Row],[Order_Date]])</f>
        <v>2025</v>
      </c>
      <c r="AH10" s="8">
        <f>MONTH(RawSalesTable6[[#This Row],[Order_Date]])</f>
        <v>12</v>
      </c>
      <c r="AI10" s="8" t="str">
        <f>TEXT(RawSalesTable6[[#This Row],[Order_Date]],"mmmm")</f>
        <v>décembre</v>
      </c>
      <c r="AJ10" s="8" t="str">
        <f>IF(RawSalesTable6[[#This Row],[Month_Number]]&lt;=3,"Q1",IF(RawSalesTable6[[#This Row],[Month_Number]]&lt;=6,"Q2",IF(RawSalesTable6[[#This Row],[Month_Number]]&lt;=9,"Q3","Q4")))</f>
        <v>Q4</v>
      </c>
      <c r="AK10" s="8" t="str">
        <f>VLOOKUP(RawSalesTable6[[#This Row],[Customer_ID_Clean]],CustomersTable[],4,FALSE)</f>
        <v>Alberta</v>
      </c>
      <c r="AL10" s="8">
        <f>IF(RawSalesTable6[[#This Row],[Return_Status]]="Yes",1,0)</f>
        <v>0</v>
      </c>
    </row>
    <row r="11" spans="1:38">
      <c r="A11" t="s">
        <v>135</v>
      </c>
      <c r="B11" s="3">
        <v>45833</v>
      </c>
      <c r="C11" t="s">
        <v>132</v>
      </c>
      <c r="D11" t="s">
        <v>136</v>
      </c>
      <c r="E11" t="s">
        <v>134</v>
      </c>
      <c r="F11" t="s">
        <v>103</v>
      </c>
      <c r="G11" t="s">
        <v>122</v>
      </c>
      <c r="H11" t="s">
        <v>89</v>
      </c>
      <c r="I11">
        <v>1</v>
      </c>
      <c r="J11" s="2">
        <v>163.56</v>
      </c>
      <c r="K11" s="4">
        <v>0.05</v>
      </c>
      <c r="L11" t="s">
        <v>106</v>
      </c>
      <c r="M11">
        <v>7</v>
      </c>
      <c r="N11" t="s">
        <v>91</v>
      </c>
      <c r="O11" t="str">
        <f>SUBSTITUTE(PROPER(TRIM(RawSalesTable6[[#This Row],[Channel_Raw]])),"Market Place","Marketplace")</f>
        <v>Online</v>
      </c>
      <c r="P11" t="str">
        <f>TRIM(RawSalesTable6[[#This Row],[Product_ID]])</f>
        <v>P1003</v>
      </c>
      <c r="Q11" t="str">
        <f>TRIM(RawSalesTable6[[#This Row],[Customer_ID]])</f>
        <v>C0104</v>
      </c>
      <c r="R11" s="8" t="str">
        <f>PROPER(TRIM(RawSalesTable6[[#This Row],[Store_Raw]]))</f>
        <v>Vancouver West</v>
      </c>
      <c r="S11" s="8" t="str">
        <f>IF(TRIM(RawSalesTable6[[#This Row],[Payment_Method_Raw]])="","Non renseigné",SUBSTITUTE(PROPER(TRIM(RawSalesTable6[[#This Row],[Payment_Method_Raw]])),"Cc","Credit Card"))</f>
        <v>Credit Card</v>
      </c>
      <c r="T11" s="8">
        <f>COUNTIF(A:A,RawSalesTable6[[#This Row],[Order_ID]])</f>
        <v>1</v>
      </c>
      <c r="U11" s="8" t="str">
        <f>TRIM(LEFT(RawSalesTable6[[#This Row],[Customer_Info]],FIND(",",RawSalesTable6[[#This Row],[Customer_Info]])-1))</f>
        <v>Ava Scott</v>
      </c>
      <c r="V11" s="8" t="str">
        <f>TRIM(MID(RawSalesTable6[[#This Row],[Customer_Info]],FIND(",",RawSalesTable6[[#This Row],[Customer_Info]])+1,FIND(",",RawSalesTable6[[#This Row],[Customer_Info]],FIND(",",RawSalesTable6[[#This Row],[Customer_Info]])+1)-FIND(",",RawSalesTable6[[#This Row],[Customer_Info]])-1))</f>
        <v>Edmonton</v>
      </c>
      <c r="W11" s="8" t="str">
        <f>TRIM(RIGHT(RawSalesTable6[[#This Row],[Customer_Info]],LEN(RawSalesTable6[[#This Row],[Customer_Info]])-FIND(",",RawSalesTable6[[#This Row],[Customer_Info]],FIND(",",RawSalesTable6[[#This Row],[Customer_Info]])+1)))</f>
        <v>Corporate</v>
      </c>
      <c r="X11" s="8" t="str">
        <f>VLOOKUP(RawSalesTable6[[#This Row],[Product_ID_Clean]],ProductsTable[],2,FALSE)</f>
        <v>Mouse</v>
      </c>
      <c r="Y11" s="8" t="str">
        <f>VLOOKUP(RawSalesTable6[[#This Row],[Product_ID_Clean]],ProductsTable[],3,FALSE)</f>
        <v>Electronics</v>
      </c>
      <c r="Z11" s="8">
        <f>VLOOKUP(RawSalesTable6[[#This Row],[Product_ID_Clean]],ProductsTable[],5,FALSE)</f>
        <v>106.4</v>
      </c>
      <c r="AA11" s="8">
        <f>RawSalesTable6[[#This Row],[Unit_Price]]*RawSalesTable6[[#This Row],[Quantity]]</f>
        <v>163.56</v>
      </c>
      <c r="AB11" s="8">
        <f>RawSalesTable6[[#This Row],[Gross_Sales]]*RawSalesTable6[[#This Row],[Discount_Pct]]</f>
        <v>8.1780000000000008</v>
      </c>
      <c r="AC11" s="8">
        <f>RawSalesTable6[[#This Row],[Gross_Sales]]-RawSalesTable6[[#This Row],[Discount_Amount]]</f>
        <v>155.38200000000001</v>
      </c>
      <c r="AD11" s="8">
        <f>RawSalesTable6[[#This Row],[Unit_Cost]]*RawSalesTable6[[#This Row],[Quantity]]</f>
        <v>106.4</v>
      </c>
      <c r="AE11" s="8">
        <f>RawSalesTable6[[#This Row],[Net_Sales]]-RawSalesTable6[[#This Row],[Total_Cost]]</f>
        <v>48.981999999999999</v>
      </c>
      <c r="AF11" s="9">
        <f>RawSalesTable6[[#This Row],[Profit]]/RawSalesTable6[[#This Row],[Net_Sales]]</f>
        <v>0.31523599902176569</v>
      </c>
      <c r="AG11" s="8">
        <f>YEAR(RawSalesTable6[[#This Row],[Order_Date]])</f>
        <v>2025</v>
      </c>
      <c r="AH11" s="8">
        <f>MONTH(RawSalesTable6[[#This Row],[Order_Date]])</f>
        <v>6</v>
      </c>
      <c r="AI11" s="8" t="str">
        <f>TEXT(RawSalesTable6[[#This Row],[Order_Date]],"mmmm")</f>
        <v>juin</v>
      </c>
      <c r="AJ11" s="8" t="str">
        <f>IF(RawSalesTable6[[#This Row],[Month_Number]]&lt;=3,"Q1",IF(RawSalesTable6[[#This Row],[Month_Number]]&lt;=6,"Q2",IF(RawSalesTable6[[#This Row],[Month_Number]]&lt;=9,"Q3","Q4")))</f>
        <v>Q2</v>
      </c>
      <c r="AK11" s="8" t="str">
        <f>VLOOKUP(RawSalesTable6[[#This Row],[Customer_ID_Clean]],CustomersTable[],4,FALSE)</f>
        <v>Alberta</v>
      </c>
      <c r="AL11" s="8">
        <f>IF(RawSalesTable6[[#This Row],[Return_Status]]="Yes",1,0)</f>
        <v>0</v>
      </c>
    </row>
    <row r="12" spans="1:38">
      <c r="A12" t="s">
        <v>137</v>
      </c>
      <c r="B12" s="3">
        <v>46016</v>
      </c>
      <c r="C12" t="s">
        <v>138</v>
      </c>
      <c r="D12" t="s">
        <v>139</v>
      </c>
      <c r="E12" t="s">
        <v>140</v>
      </c>
      <c r="F12" t="s">
        <v>116</v>
      </c>
      <c r="G12" t="s">
        <v>88</v>
      </c>
      <c r="H12" t="s">
        <v>89</v>
      </c>
      <c r="I12">
        <v>3</v>
      </c>
      <c r="J12" s="2">
        <v>79.569999999999993</v>
      </c>
      <c r="K12" s="4">
        <v>0</v>
      </c>
      <c r="L12" t="s">
        <v>90</v>
      </c>
      <c r="M12">
        <v>3</v>
      </c>
      <c r="N12" t="s">
        <v>91</v>
      </c>
      <c r="O12" t="str">
        <f>SUBSTITUTE(PROPER(TRIM(RawSalesTable6[[#This Row],[Channel_Raw]])),"Market Place","Marketplace")</f>
        <v>Online</v>
      </c>
      <c r="P12" t="str">
        <f>TRIM(RawSalesTable6[[#This Row],[Product_ID]])</f>
        <v>P1012</v>
      </c>
      <c r="Q12" t="str">
        <f>TRIM(RawSalesTable6[[#This Row],[Customer_ID]])</f>
        <v>C0106</v>
      </c>
      <c r="R12" s="8" t="str">
        <f>PROPER(TRIM(RawSalesTable6[[#This Row],[Store_Raw]]))</f>
        <v>Toronto Downtown</v>
      </c>
      <c r="S12" s="8" t="str">
        <f>IF(TRIM(RawSalesTable6[[#This Row],[Payment_Method_Raw]])="","Non renseigné",SUBSTITUTE(PROPER(TRIM(RawSalesTable6[[#This Row],[Payment_Method_Raw]])),"Cc","Credit Card"))</f>
        <v>Paypal</v>
      </c>
      <c r="T12" s="8">
        <f>COUNTIF(A:A,RawSalesTable6[[#This Row],[Order_ID]])</f>
        <v>1</v>
      </c>
      <c r="U12" s="8" t="str">
        <f>TRIM(LEFT(RawSalesTable6[[#This Row],[Customer_Info]],FIND(",",RawSalesTable6[[#This Row],[Customer_Info]])-1))</f>
        <v>Liam Gagnon</v>
      </c>
      <c r="V12" s="8" t="str">
        <f>TRIM(MID(RawSalesTable6[[#This Row],[Customer_Info]],FIND(",",RawSalesTable6[[#This Row],[Customer_Info]])+1,FIND(",",RawSalesTable6[[#This Row],[Customer_Info]],FIND(",",RawSalesTable6[[#This Row],[Customer_Info]])+1)-FIND(",",RawSalesTable6[[#This Row],[Customer_Info]])-1))</f>
        <v>Ottawa</v>
      </c>
      <c r="W12" s="8" t="str">
        <f>TRIM(RIGHT(RawSalesTable6[[#This Row],[Customer_Info]],LEN(RawSalesTable6[[#This Row],[Customer_Info]])-FIND(",",RawSalesTable6[[#This Row],[Customer_Info]],FIND(",",RawSalesTable6[[#This Row],[Customer_Info]])+1)))</f>
        <v>Small Business</v>
      </c>
      <c r="X12" s="8" t="str">
        <f>VLOOKUP(RawSalesTable6[[#This Row],[Product_ID_Clean]],ProductsTable[],2,FALSE)</f>
        <v>Standing Desk</v>
      </c>
      <c r="Y12" s="8" t="str">
        <f>VLOOKUP(RawSalesTable6[[#This Row],[Product_ID_Clean]],ProductsTable[],3,FALSE)</f>
        <v>Office</v>
      </c>
      <c r="Z12" s="8">
        <f>VLOOKUP(RawSalesTable6[[#This Row],[Product_ID_Clean]],ProductsTable[],5,FALSE)</f>
        <v>45.17</v>
      </c>
      <c r="AA12" s="8">
        <f>RawSalesTable6[[#This Row],[Unit_Price]]*RawSalesTable6[[#This Row],[Quantity]]</f>
        <v>238.70999999999998</v>
      </c>
      <c r="AB12" s="8">
        <f>RawSalesTable6[[#This Row],[Gross_Sales]]*RawSalesTable6[[#This Row],[Discount_Pct]]</f>
        <v>0</v>
      </c>
      <c r="AC12" s="8">
        <f>RawSalesTable6[[#This Row],[Gross_Sales]]-RawSalesTable6[[#This Row],[Discount_Amount]]</f>
        <v>238.70999999999998</v>
      </c>
      <c r="AD12" s="8">
        <f>RawSalesTable6[[#This Row],[Unit_Cost]]*RawSalesTable6[[#This Row],[Quantity]]</f>
        <v>135.51</v>
      </c>
      <c r="AE12" s="8">
        <f>RawSalesTable6[[#This Row],[Net_Sales]]-RawSalesTable6[[#This Row],[Total_Cost]]</f>
        <v>103.19999999999999</v>
      </c>
      <c r="AF12" s="9">
        <f>RawSalesTable6[[#This Row],[Profit]]/RawSalesTable6[[#This Row],[Net_Sales]]</f>
        <v>0.43232374010305391</v>
      </c>
      <c r="AG12" s="8">
        <f>YEAR(RawSalesTable6[[#This Row],[Order_Date]])</f>
        <v>2025</v>
      </c>
      <c r="AH12" s="8">
        <f>MONTH(RawSalesTable6[[#This Row],[Order_Date]])</f>
        <v>12</v>
      </c>
      <c r="AI12" s="8" t="str">
        <f>TEXT(RawSalesTable6[[#This Row],[Order_Date]],"mmmm")</f>
        <v>décembre</v>
      </c>
      <c r="AJ12" s="8" t="str">
        <f>IF(RawSalesTable6[[#This Row],[Month_Number]]&lt;=3,"Q1",IF(RawSalesTable6[[#This Row],[Month_Number]]&lt;=6,"Q2",IF(RawSalesTable6[[#This Row],[Month_Number]]&lt;=9,"Q3","Q4")))</f>
        <v>Q4</v>
      </c>
      <c r="AK12" s="8" t="str">
        <f>VLOOKUP(RawSalesTable6[[#This Row],[Customer_ID_Clean]],CustomersTable[],4,FALSE)</f>
        <v>Ontario</v>
      </c>
      <c r="AL12" s="8">
        <f>IF(RawSalesTable6[[#This Row],[Return_Status]]="Yes",1,0)</f>
        <v>0</v>
      </c>
    </row>
    <row r="13" spans="1:38">
      <c r="A13" t="s">
        <v>141</v>
      </c>
      <c r="B13" s="3">
        <v>45816</v>
      </c>
      <c r="C13" t="s">
        <v>142</v>
      </c>
      <c r="D13" t="s">
        <v>143</v>
      </c>
      <c r="E13" t="s">
        <v>144</v>
      </c>
      <c r="F13" t="s">
        <v>145</v>
      </c>
      <c r="G13" t="s">
        <v>96</v>
      </c>
      <c r="H13" t="s">
        <v>89</v>
      </c>
      <c r="I13">
        <v>1</v>
      </c>
      <c r="J13" s="2">
        <v>265.64</v>
      </c>
      <c r="K13" s="4">
        <v>0.1</v>
      </c>
      <c r="L13" t="s">
        <v>146</v>
      </c>
      <c r="M13">
        <v>9</v>
      </c>
      <c r="N13" t="s">
        <v>147</v>
      </c>
      <c r="O13" t="str">
        <f>SUBSTITUTE(PROPER(TRIM(RawSalesTable6[[#This Row],[Channel_Raw]])),"Market Place","Marketplace")</f>
        <v>Online</v>
      </c>
      <c r="P13" t="str">
        <f>TRIM(RawSalesTable6[[#This Row],[Product_ID]])</f>
        <v>P1038</v>
      </c>
      <c r="Q13" t="str">
        <f>TRIM(RawSalesTable6[[#This Row],[Customer_ID]])</f>
        <v>C0002</v>
      </c>
      <c r="R13" s="8" t="str">
        <f>PROPER(TRIM(RawSalesTable6[[#This Row],[Store_Raw]]))</f>
        <v>Calgary North</v>
      </c>
      <c r="S13" s="8" t="str">
        <f>IF(TRIM(RawSalesTable6[[#This Row],[Payment_Method_Raw]])="","Non renseigné",SUBSTITUTE(PROPER(TRIM(RawSalesTable6[[#This Row],[Payment_Method_Raw]])),"Cc","Credit Card"))</f>
        <v>Gift Card</v>
      </c>
      <c r="T13" s="8">
        <f>COUNTIF(A:A,RawSalesTable6[[#This Row],[Order_ID]])</f>
        <v>1</v>
      </c>
      <c r="U13" s="8" t="str">
        <f>TRIM(LEFT(RawSalesTable6[[#This Row],[Customer_Info]],FIND(",",RawSalesTable6[[#This Row],[Customer_Info]])-1))</f>
        <v>Ryan Johnson</v>
      </c>
      <c r="V13" s="8" t="str">
        <f>TRIM(MID(RawSalesTable6[[#This Row],[Customer_Info]],FIND(",",RawSalesTable6[[#This Row],[Customer_Info]])+1,FIND(",",RawSalesTable6[[#This Row],[Customer_Info]],FIND(",",RawSalesTable6[[#This Row],[Customer_Info]])+1)-FIND(",",RawSalesTable6[[#This Row],[Customer_Info]])-1))</f>
        <v>Montreal</v>
      </c>
      <c r="W13" s="8" t="str">
        <f>TRIM(RIGHT(RawSalesTable6[[#This Row],[Customer_Info]],LEN(RawSalesTable6[[#This Row],[Customer_Info]])-FIND(",",RawSalesTable6[[#This Row],[Customer_Info]],FIND(",",RawSalesTable6[[#This Row],[Customer_Info]])+1)))</f>
        <v>Small Business</v>
      </c>
      <c r="X13" s="8" t="str">
        <f>VLOOKUP(RawSalesTable6[[#This Row],[Product_ID_Clean]],ProductsTable[],2,FALSE)</f>
        <v>Water Bottle</v>
      </c>
      <c r="Y13" s="8" t="str">
        <f>VLOOKUP(RawSalesTable6[[#This Row],[Product_ID_Clean]],ProductsTable[],3,FALSE)</f>
        <v>Accessories</v>
      </c>
      <c r="Z13" s="8">
        <f>VLOOKUP(RawSalesTable6[[#This Row],[Product_ID_Clean]],ProductsTable[],5,FALSE)</f>
        <v>119.16</v>
      </c>
      <c r="AA13" s="8">
        <f>RawSalesTable6[[#This Row],[Unit_Price]]*RawSalesTable6[[#This Row],[Quantity]]</f>
        <v>265.64</v>
      </c>
      <c r="AB13" s="8">
        <f>RawSalesTable6[[#This Row],[Gross_Sales]]*RawSalesTable6[[#This Row],[Discount_Pct]]</f>
        <v>26.564</v>
      </c>
      <c r="AC13" s="8">
        <f>RawSalesTable6[[#This Row],[Gross_Sales]]-RawSalesTable6[[#This Row],[Discount_Amount]]</f>
        <v>239.07599999999999</v>
      </c>
      <c r="AD13" s="8">
        <f>RawSalesTable6[[#This Row],[Unit_Cost]]*RawSalesTable6[[#This Row],[Quantity]]</f>
        <v>119.16</v>
      </c>
      <c r="AE13" s="8">
        <f>RawSalesTable6[[#This Row],[Net_Sales]]-RawSalesTable6[[#This Row],[Total_Cost]]</f>
        <v>119.916</v>
      </c>
      <c r="AF13" s="9">
        <f>RawSalesTable6[[#This Row],[Profit]]/RawSalesTable6[[#This Row],[Net_Sales]]</f>
        <v>0.50158108718566485</v>
      </c>
      <c r="AG13" s="8">
        <f>YEAR(RawSalesTable6[[#This Row],[Order_Date]])</f>
        <v>2025</v>
      </c>
      <c r="AH13" s="8">
        <f>MONTH(RawSalesTable6[[#This Row],[Order_Date]])</f>
        <v>6</v>
      </c>
      <c r="AI13" s="8" t="str">
        <f>TEXT(RawSalesTable6[[#This Row],[Order_Date]],"mmmm")</f>
        <v>juin</v>
      </c>
      <c r="AJ13" s="8" t="str">
        <f>IF(RawSalesTable6[[#This Row],[Month_Number]]&lt;=3,"Q1",IF(RawSalesTable6[[#This Row],[Month_Number]]&lt;=6,"Q2",IF(RawSalesTable6[[#This Row],[Month_Number]]&lt;=9,"Q3","Q4")))</f>
        <v>Q2</v>
      </c>
      <c r="AK13" s="8" t="str">
        <f>VLOOKUP(RawSalesTable6[[#This Row],[Customer_ID_Clean]],CustomersTable[],4,FALSE)</f>
        <v>Quebec</v>
      </c>
      <c r="AL13" s="8">
        <f>IF(RawSalesTable6[[#This Row],[Return_Status]]="Yes",1,0)</f>
        <v>1</v>
      </c>
    </row>
    <row r="14" spans="1:38">
      <c r="A14" t="s">
        <v>148</v>
      </c>
      <c r="B14" s="3">
        <v>45826</v>
      </c>
      <c r="C14" t="s">
        <v>108</v>
      </c>
      <c r="D14" t="s">
        <v>149</v>
      </c>
      <c r="E14" t="s">
        <v>110</v>
      </c>
      <c r="F14" t="s">
        <v>116</v>
      </c>
      <c r="G14" t="s">
        <v>96</v>
      </c>
      <c r="H14" t="s">
        <v>97</v>
      </c>
      <c r="I14">
        <v>1</v>
      </c>
      <c r="J14" s="2">
        <v>82.73</v>
      </c>
      <c r="K14" s="4">
        <v>0</v>
      </c>
      <c r="L14" t="s">
        <v>98</v>
      </c>
      <c r="M14">
        <v>3</v>
      </c>
      <c r="N14" t="s">
        <v>91</v>
      </c>
      <c r="O14" t="str">
        <f>SUBSTITUTE(PROPER(TRIM(RawSalesTable6[[#This Row],[Channel_Raw]])),"Market Place","Marketplace")</f>
        <v>Retail Store</v>
      </c>
      <c r="P14" t="str">
        <f>TRIM(RawSalesTable6[[#This Row],[Product_ID]])</f>
        <v>P1011</v>
      </c>
      <c r="Q14" t="str">
        <f>TRIM(RawSalesTable6[[#This Row],[Customer_ID]])</f>
        <v>C0071</v>
      </c>
      <c r="R14" s="8" t="str">
        <f>PROPER(TRIM(RawSalesTable6[[#This Row],[Store_Raw]]))</f>
        <v>Toronto Downtown</v>
      </c>
      <c r="S14" s="8" t="str">
        <f>IF(TRIM(RawSalesTable6[[#This Row],[Payment_Method_Raw]])="","Non renseigné",SUBSTITUTE(PROPER(TRIM(RawSalesTable6[[#This Row],[Payment_Method_Raw]])),"Cc","Credit Card"))</f>
        <v>Debit Card</v>
      </c>
      <c r="T14" s="8">
        <f>COUNTIF(A:A,RawSalesTable6[[#This Row],[Order_ID]])</f>
        <v>1</v>
      </c>
      <c r="U14" s="8" t="str">
        <f>TRIM(LEFT(RawSalesTable6[[#This Row],[Customer_Info]],FIND(",",RawSalesTable6[[#This Row],[Customer_Info]])-1))</f>
        <v>Ethan Lee</v>
      </c>
      <c r="V14" s="8" t="str">
        <f>TRIM(MID(RawSalesTable6[[#This Row],[Customer_Info]],FIND(",",RawSalesTable6[[#This Row],[Customer_Info]])+1,FIND(",",RawSalesTable6[[#This Row],[Customer_Info]],FIND(",",RawSalesTable6[[#This Row],[Customer_Info]])+1)-FIND(",",RawSalesTable6[[#This Row],[Customer_Info]])-1))</f>
        <v>Surrey</v>
      </c>
      <c r="W14" s="8" t="str">
        <f>TRIM(RIGHT(RawSalesTable6[[#This Row],[Customer_Info]],LEN(RawSalesTable6[[#This Row],[Customer_Info]])-FIND(",",RawSalesTable6[[#This Row],[Customer_Info]],FIND(",",RawSalesTable6[[#This Row],[Customer_Info]])+1)))</f>
        <v>Consumer</v>
      </c>
      <c r="X14" s="8" t="str">
        <f>VLOOKUP(RawSalesTable6[[#This Row],[Product_ID_Clean]],ProductsTable[],2,FALSE)</f>
        <v>Office Chair</v>
      </c>
      <c r="Y14" s="8" t="str">
        <f>VLOOKUP(RawSalesTable6[[#This Row],[Product_ID_Clean]],ProductsTable[],3,FALSE)</f>
        <v>Office</v>
      </c>
      <c r="Z14" s="8">
        <f>VLOOKUP(RawSalesTable6[[#This Row],[Product_ID_Clean]],ProductsTable[],5,FALSE)</f>
        <v>39.26</v>
      </c>
      <c r="AA14" s="8">
        <f>RawSalesTable6[[#This Row],[Unit_Price]]*RawSalesTable6[[#This Row],[Quantity]]</f>
        <v>82.73</v>
      </c>
      <c r="AB14" s="8">
        <f>RawSalesTable6[[#This Row],[Gross_Sales]]*RawSalesTable6[[#This Row],[Discount_Pct]]</f>
        <v>0</v>
      </c>
      <c r="AC14" s="8">
        <f>RawSalesTable6[[#This Row],[Gross_Sales]]-RawSalesTable6[[#This Row],[Discount_Amount]]</f>
        <v>82.73</v>
      </c>
      <c r="AD14" s="8">
        <f>RawSalesTable6[[#This Row],[Unit_Cost]]*RawSalesTable6[[#This Row],[Quantity]]</f>
        <v>39.26</v>
      </c>
      <c r="AE14" s="8">
        <f>RawSalesTable6[[#This Row],[Net_Sales]]-RawSalesTable6[[#This Row],[Total_Cost]]</f>
        <v>43.470000000000006</v>
      </c>
      <c r="AF14" s="9">
        <f>RawSalesTable6[[#This Row],[Profit]]/RawSalesTable6[[#This Row],[Net_Sales]]</f>
        <v>0.52544421612474324</v>
      </c>
      <c r="AG14" s="8">
        <f>YEAR(RawSalesTable6[[#This Row],[Order_Date]])</f>
        <v>2025</v>
      </c>
      <c r="AH14" s="8">
        <f>MONTH(RawSalesTable6[[#This Row],[Order_Date]])</f>
        <v>6</v>
      </c>
      <c r="AI14" s="8" t="str">
        <f>TEXT(RawSalesTable6[[#This Row],[Order_Date]],"mmmm")</f>
        <v>juin</v>
      </c>
      <c r="AJ14" s="8" t="str">
        <f>IF(RawSalesTable6[[#This Row],[Month_Number]]&lt;=3,"Q1",IF(RawSalesTable6[[#This Row],[Month_Number]]&lt;=6,"Q2",IF(RawSalesTable6[[#This Row],[Month_Number]]&lt;=9,"Q3","Q4")))</f>
        <v>Q2</v>
      </c>
      <c r="AK14" s="8" t="str">
        <f>VLOOKUP(RawSalesTable6[[#This Row],[Customer_ID_Clean]],CustomersTable[],4,FALSE)</f>
        <v>British Columbia</v>
      </c>
      <c r="AL14" s="8">
        <f>IF(RawSalesTable6[[#This Row],[Return_Status]]="Yes",1,0)</f>
        <v>0</v>
      </c>
    </row>
    <row r="15" spans="1:38">
      <c r="A15" t="s">
        <v>150</v>
      </c>
      <c r="B15" s="3">
        <v>45820</v>
      </c>
      <c r="C15" t="s">
        <v>151</v>
      </c>
      <c r="D15" t="s">
        <v>152</v>
      </c>
      <c r="E15" t="s">
        <v>153</v>
      </c>
      <c r="F15" t="s">
        <v>103</v>
      </c>
      <c r="G15" t="s">
        <v>96</v>
      </c>
      <c r="H15" t="s">
        <v>89</v>
      </c>
      <c r="I15">
        <v>2</v>
      </c>
      <c r="J15" s="2">
        <v>127.76</v>
      </c>
      <c r="K15" s="4">
        <v>0.1</v>
      </c>
      <c r="L15" t="s">
        <v>154</v>
      </c>
      <c r="M15">
        <v>8</v>
      </c>
      <c r="N15" t="s">
        <v>91</v>
      </c>
      <c r="O15" t="str">
        <f>SUBSTITUTE(PROPER(TRIM(RawSalesTable6[[#This Row],[Channel_Raw]])),"Market Place","Marketplace")</f>
        <v>Online</v>
      </c>
      <c r="P15" t="str">
        <f>TRIM(RawSalesTable6[[#This Row],[Product_ID]])</f>
        <v>P1008</v>
      </c>
      <c r="Q15" t="str">
        <f>TRIM(RawSalesTable6[[#This Row],[Customer_ID]])</f>
        <v>C0014</v>
      </c>
      <c r="R15" s="8" t="str">
        <f>PROPER(TRIM(RawSalesTable6[[#This Row],[Store_Raw]]))</f>
        <v>Vancouver West</v>
      </c>
      <c r="S15" s="8" t="str">
        <f>IF(TRIM(RawSalesTable6[[#This Row],[Payment_Method_Raw]])="","Non renseigné",SUBSTITUTE(PROPER(TRIM(RawSalesTable6[[#This Row],[Payment_Method_Raw]])),"Cc","Credit Card"))</f>
        <v>Gift Card</v>
      </c>
      <c r="T15" s="8">
        <f>COUNTIF(A:A,RawSalesTable6[[#This Row],[Order_ID]])</f>
        <v>1</v>
      </c>
      <c r="U15" s="8" t="str">
        <f>TRIM(LEFT(RawSalesTable6[[#This Row],[Customer_Info]],FIND(",",RawSalesTable6[[#This Row],[Customer_Info]])-1))</f>
        <v>Zoe Scott</v>
      </c>
      <c r="V15" s="8" t="str">
        <f>TRIM(MID(RawSalesTable6[[#This Row],[Customer_Info]],FIND(",",RawSalesTable6[[#This Row],[Customer_Info]])+1,FIND(",",RawSalesTable6[[#This Row],[Customer_Info]],FIND(",",RawSalesTable6[[#This Row],[Customer_Info]])+1)-FIND(",",RawSalesTable6[[#This Row],[Customer_Info]])-1))</f>
        <v>Montreal</v>
      </c>
      <c r="W15" s="8" t="str">
        <f>TRIM(RIGHT(RawSalesTable6[[#This Row],[Customer_Info]],LEN(RawSalesTable6[[#This Row],[Customer_Info]])-FIND(",",RawSalesTable6[[#This Row],[Customer_Info]],FIND(",",RawSalesTable6[[#This Row],[Customer_Info]])+1)))</f>
        <v>Small Business</v>
      </c>
      <c r="X15" s="8" t="str">
        <f>VLOOKUP(RawSalesTable6[[#This Row],[Product_ID_Clean]],ProductsTable[],2,FALSE)</f>
        <v>Smart Speaker</v>
      </c>
      <c r="Y15" s="8" t="str">
        <f>VLOOKUP(RawSalesTable6[[#This Row],[Product_ID_Clean]],ProductsTable[],3,FALSE)</f>
        <v>Electronics</v>
      </c>
      <c r="Z15" s="8">
        <f>VLOOKUP(RawSalesTable6[[#This Row],[Product_ID_Clean]],ProductsTable[],5,FALSE)</f>
        <v>69</v>
      </c>
      <c r="AA15" s="8">
        <f>RawSalesTable6[[#This Row],[Unit_Price]]*RawSalesTable6[[#This Row],[Quantity]]</f>
        <v>255.52</v>
      </c>
      <c r="AB15" s="8">
        <f>RawSalesTable6[[#This Row],[Gross_Sales]]*RawSalesTable6[[#This Row],[Discount_Pct]]</f>
        <v>25.552000000000003</v>
      </c>
      <c r="AC15" s="8">
        <f>RawSalesTable6[[#This Row],[Gross_Sales]]-RawSalesTable6[[#This Row],[Discount_Amount]]</f>
        <v>229.96800000000002</v>
      </c>
      <c r="AD15" s="8">
        <f>RawSalesTable6[[#This Row],[Unit_Cost]]*RawSalesTable6[[#This Row],[Quantity]]</f>
        <v>138</v>
      </c>
      <c r="AE15" s="8">
        <f>RawSalesTable6[[#This Row],[Net_Sales]]-RawSalesTable6[[#This Row],[Total_Cost]]</f>
        <v>91.968000000000018</v>
      </c>
      <c r="AF15" s="9">
        <f>RawSalesTable6[[#This Row],[Profit]]/RawSalesTable6[[#This Row],[Net_Sales]]</f>
        <v>0.39991651012314761</v>
      </c>
      <c r="AG15" s="8">
        <f>YEAR(RawSalesTable6[[#This Row],[Order_Date]])</f>
        <v>2025</v>
      </c>
      <c r="AH15" s="8">
        <f>MONTH(RawSalesTable6[[#This Row],[Order_Date]])</f>
        <v>6</v>
      </c>
      <c r="AI15" s="8" t="str">
        <f>TEXT(RawSalesTable6[[#This Row],[Order_Date]],"mmmm")</f>
        <v>juin</v>
      </c>
      <c r="AJ15" s="8" t="str">
        <f>IF(RawSalesTable6[[#This Row],[Month_Number]]&lt;=3,"Q1",IF(RawSalesTable6[[#This Row],[Month_Number]]&lt;=6,"Q2",IF(RawSalesTable6[[#This Row],[Month_Number]]&lt;=9,"Q3","Q4")))</f>
        <v>Q2</v>
      </c>
      <c r="AK15" s="8" t="str">
        <f>VLOOKUP(RawSalesTable6[[#This Row],[Customer_ID_Clean]],CustomersTable[],4,FALSE)</f>
        <v>Quebec</v>
      </c>
      <c r="AL15" s="8">
        <f>IF(RawSalesTable6[[#This Row],[Return_Status]]="Yes",1,0)</f>
        <v>0</v>
      </c>
    </row>
    <row r="16" spans="1:38">
      <c r="A16" t="s">
        <v>155</v>
      </c>
      <c r="B16" s="3">
        <v>45810</v>
      </c>
      <c r="C16" t="s">
        <v>156</v>
      </c>
      <c r="D16" t="s">
        <v>157</v>
      </c>
      <c r="E16" t="s">
        <v>158</v>
      </c>
      <c r="F16" t="s">
        <v>111</v>
      </c>
      <c r="G16" t="s">
        <v>96</v>
      </c>
      <c r="H16" t="s">
        <v>97</v>
      </c>
      <c r="I16">
        <v>4</v>
      </c>
      <c r="J16" s="2">
        <v>306.48</v>
      </c>
      <c r="K16" s="4">
        <v>0.1</v>
      </c>
      <c r="L16" t="s">
        <v>106</v>
      </c>
      <c r="M16">
        <v>2</v>
      </c>
      <c r="N16" t="s">
        <v>91</v>
      </c>
      <c r="O16" t="str">
        <f>SUBSTITUTE(PROPER(TRIM(RawSalesTable6[[#This Row],[Channel_Raw]])),"Market Place","Marketplace")</f>
        <v>Retail Store</v>
      </c>
      <c r="P16" t="str">
        <f>TRIM(RawSalesTable6[[#This Row],[Product_ID]])</f>
        <v>P1009</v>
      </c>
      <c r="Q16" t="str">
        <f>TRIM(RawSalesTable6[[#This Row],[Customer_ID]])</f>
        <v>C0112</v>
      </c>
      <c r="R16" s="8" t="str">
        <f>PROPER(TRIM(RawSalesTable6[[#This Row],[Store_Raw]]))</f>
        <v>Montreal Central</v>
      </c>
      <c r="S16" s="8" t="str">
        <f>IF(TRIM(RawSalesTable6[[#This Row],[Payment_Method_Raw]])="","Non renseigné",SUBSTITUTE(PROPER(TRIM(RawSalesTable6[[#This Row],[Payment_Method_Raw]])),"Cc","Credit Card"))</f>
        <v>Credit Card</v>
      </c>
      <c r="T16" s="8">
        <f>COUNTIF(A:A,RawSalesTable6[[#This Row],[Order_ID]])</f>
        <v>1</v>
      </c>
      <c r="U16" s="8" t="str">
        <f>TRIM(LEFT(RawSalesTable6[[#This Row],[Customer_Info]],FIND(",",RawSalesTable6[[#This Row],[Customer_Info]])-1))</f>
        <v>Ava Bennett</v>
      </c>
      <c r="V16" s="8" t="str">
        <f>TRIM(MID(RawSalesTable6[[#This Row],[Customer_Info]],FIND(",",RawSalesTable6[[#This Row],[Customer_Info]])+1,FIND(",",RawSalesTable6[[#This Row],[Customer_Info]],FIND(",",RawSalesTable6[[#This Row],[Customer_Info]])+1)-FIND(",",RawSalesTable6[[#This Row],[Customer_Info]])-1))</f>
        <v>Halifax</v>
      </c>
      <c r="W16" s="8" t="str">
        <f>TRIM(RIGHT(RawSalesTable6[[#This Row],[Customer_Info]],LEN(RawSalesTable6[[#This Row],[Customer_Info]])-FIND(",",RawSalesTable6[[#This Row],[Customer_Info]],FIND(",",RawSalesTable6[[#This Row],[Customer_Info]])+1)))</f>
        <v>Consumer</v>
      </c>
      <c r="X16" s="8" t="str">
        <f>VLOOKUP(RawSalesTable6[[#This Row],[Product_ID_Clean]],ProductsTable[],2,FALSE)</f>
        <v>Notebook</v>
      </c>
      <c r="Y16" s="8" t="str">
        <f>VLOOKUP(RawSalesTable6[[#This Row],[Product_ID_Clean]],ProductsTable[],3,FALSE)</f>
        <v>Office</v>
      </c>
      <c r="Z16" s="8">
        <f>VLOOKUP(RawSalesTable6[[#This Row],[Product_ID_Clean]],ProductsTable[],5,FALSE)</f>
        <v>176.13</v>
      </c>
      <c r="AA16" s="8">
        <f>RawSalesTable6[[#This Row],[Unit_Price]]*RawSalesTable6[[#This Row],[Quantity]]</f>
        <v>1225.92</v>
      </c>
      <c r="AB16" s="8">
        <f>RawSalesTable6[[#This Row],[Gross_Sales]]*RawSalesTable6[[#This Row],[Discount_Pct]]</f>
        <v>122.59200000000001</v>
      </c>
      <c r="AC16" s="8">
        <f>RawSalesTable6[[#This Row],[Gross_Sales]]-RawSalesTable6[[#This Row],[Discount_Amount]]</f>
        <v>1103.328</v>
      </c>
      <c r="AD16" s="8">
        <f>RawSalesTable6[[#This Row],[Unit_Cost]]*RawSalesTable6[[#This Row],[Quantity]]</f>
        <v>704.52</v>
      </c>
      <c r="AE16" s="8">
        <f>RawSalesTable6[[#This Row],[Net_Sales]]-RawSalesTable6[[#This Row],[Total_Cost]]</f>
        <v>398.80799999999999</v>
      </c>
      <c r="AF16" s="9">
        <f>RawSalesTable6[[#This Row],[Profit]]/RawSalesTable6[[#This Row],[Net_Sales]]</f>
        <v>0.36145914904724613</v>
      </c>
      <c r="AG16" s="8">
        <f>YEAR(RawSalesTable6[[#This Row],[Order_Date]])</f>
        <v>2025</v>
      </c>
      <c r="AH16" s="8">
        <f>MONTH(RawSalesTable6[[#This Row],[Order_Date]])</f>
        <v>6</v>
      </c>
      <c r="AI16" s="8" t="str">
        <f>TEXT(RawSalesTable6[[#This Row],[Order_Date]],"mmmm")</f>
        <v>juin</v>
      </c>
      <c r="AJ16" s="8" t="str">
        <f>IF(RawSalesTable6[[#This Row],[Month_Number]]&lt;=3,"Q1",IF(RawSalesTable6[[#This Row],[Month_Number]]&lt;=6,"Q2",IF(RawSalesTable6[[#This Row],[Month_Number]]&lt;=9,"Q3","Q4")))</f>
        <v>Q2</v>
      </c>
      <c r="AK16" s="8" t="str">
        <f>VLOOKUP(RawSalesTable6[[#This Row],[Customer_ID_Clean]],CustomersTable[],4,FALSE)</f>
        <v>Nova Scotia</v>
      </c>
      <c r="AL16" s="8">
        <f>IF(RawSalesTable6[[#This Row],[Return_Status]]="Yes",1,0)</f>
        <v>0</v>
      </c>
    </row>
    <row r="17" spans="1:38">
      <c r="A17" t="s">
        <v>159</v>
      </c>
      <c r="B17" s="3">
        <v>45834</v>
      </c>
      <c r="C17" t="s">
        <v>160</v>
      </c>
      <c r="D17" t="s">
        <v>120</v>
      </c>
      <c r="E17" t="s">
        <v>161</v>
      </c>
      <c r="F17" t="s">
        <v>116</v>
      </c>
      <c r="G17" t="s">
        <v>96</v>
      </c>
      <c r="H17" t="s">
        <v>105</v>
      </c>
      <c r="I17">
        <v>1</v>
      </c>
      <c r="J17" s="2">
        <v>361.37</v>
      </c>
      <c r="K17" s="4">
        <v>0</v>
      </c>
      <c r="L17" t="s">
        <v>154</v>
      </c>
      <c r="M17">
        <v>3</v>
      </c>
      <c r="N17" t="s">
        <v>147</v>
      </c>
      <c r="O17" t="str">
        <f>SUBSTITUTE(PROPER(TRIM(RawSalesTable6[[#This Row],[Channel_Raw]])),"Market Place","Marketplace")</f>
        <v>Marketplace</v>
      </c>
      <c r="P17" t="str">
        <f>TRIM(RawSalesTable6[[#This Row],[Product_ID]])</f>
        <v>P1015</v>
      </c>
      <c r="Q17" t="str">
        <f>TRIM(RawSalesTable6[[#This Row],[Customer_ID]])</f>
        <v>C0073</v>
      </c>
      <c r="R17" s="8" t="str">
        <f>PROPER(TRIM(RawSalesTable6[[#This Row],[Store_Raw]]))</f>
        <v>Toronto Downtown</v>
      </c>
      <c r="S17" s="8" t="str">
        <f>IF(TRIM(RawSalesTable6[[#This Row],[Payment_Method_Raw]])="","Non renseigné",SUBSTITUTE(PROPER(TRIM(RawSalesTable6[[#This Row],[Payment_Method_Raw]])),"Cc","Credit Card"))</f>
        <v>Gift Card</v>
      </c>
      <c r="T17" s="8">
        <f>COUNTIF(A:A,RawSalesTable6[[#This Row],[Order_ID]])</f>
        <v>1</v>
      </c>
      <c r="U17" s="8" t="str">
        <f>TRIM(LEFT(RawSalesTable6[[#This Row],[Customer_Info]],FIND(",",RawSalesTable6[[#This Row],[Customer_Info]])-1))</f>
        <v>Olivia Singh</v>
      </c>
      <c r="V17" s="8" t="str">
        <f>TRIM(MID(RawSalesTable6[[#This Row],[Customer_Info]],FIND(",",RawSalesTable6[[#This Row],[Customer_Info]])+1,FIND(",",RawSalesTable6[[#This Row],[Customer_Info]],FIND(",",RawSalesTable6[[#This Row],[Customer_Info]])+1)-FIND(",",RawSalesTable6[[#This Row],[Customer_Info]])-1))</f>
        <v>Mississauga</v>
      </c>
      <c r="W17" s="8" t="str">
        <f>TRIM(RIGHT(RawSalesTable6[[#This Row],[Customer_Info]],LEN(RawSalesTable6[[#This Row],[Customer_Info]])-FIND(",",RawSalesTable6[[#This Row],[Customer_Info]],FIND(",",RawSalesTable6[[#This Row],[Customer_Info]])+1)))</f>
        <v>Consumer</v>
      </c>
      <c r="X17" s="8" t="str">
        <f>VLOOKUP(RawSalesTable6[[#This Row],[Product_ID_Clean]],ProductsTable[],2,FALSE)</f>
        <v>Desk Organizer</v>
      </c>
      <c r="Y17" s="8" t="str">
        <f>VLOOKUP(RawSalesTable6[[#This Row],[Product_ID_Clean]],ProductsTable[],3,FALSE)</f>
        <v>Office</v>
      </c>
      <c r="Z17" s="8">
        <f>VLOOKUP(RawSalesTable6[[#This Row],[Product_ID_Clean]],ProductsTable[],5,FALSE)</f>
        <v>235.76</v>
      </c>
      <c r="AA17" s="8">
        <f>RawSalesTable6[[#This Row],[Unit_Price]]*RawSalesTable6[[#This Row],[Quantity]]</f>
        <v>361.37</v>
      </c>
      <c r="AB17" s="8">
        <f>RawSalesTable6[[#This Row],[Gross_Sales]]*RawSalesTable6[[#This Row],[Discount_Pct]]</f>
        <v>0</v>
      </c>
      <c r="AC17" s="8">
        <f>RawSalesTable6[[#This Row],[Gross_Sales]]-RawSalesTable6[[#This Row],[Discount_Amount]]</f>
        <v>361.37</v>
      </c>
      <c r="AD17" s="8">
        <f>RawSalesTable6[[#This Row],[Unit_Cost]]*RawSalesTable6[[#This Row],[Quantity]]</f>
        <v>235.76</v>
      </c>
      <c r="AE17" s="8">
        <f>RawSalesTable6[[#This Row],[Net_Sales]]-RawSalesTable6[[#This Row],[Total_Cost]]</f>
        <v>125.61000000000001</v>
      </c>
      <c r="AF17" s="9">
        <f>RawSalesTable6[[#This Row],[Profit]]/RawSalesTable6[[#This Row],[Net_Sales]]</f>
        <v>0.34759387884993226</v>
      </c>
      <c r="AG17" s="8">
        <f>YEAR(RawSalesTable6[[#This Row],[Order_Date]])</f>
        <v>2025</v>
      </c>
      <c r="AH17" s="8">
        <f>MONTH(RawSalesTable6[[#This Row],[Order_Date]])</f>
        <v>6</v>
      </c>
      <c r="AI17" s="8" t="str">
        <f>TEXT(RawSalesTable6[[#This Row],[Order_Date]],"mmmm")</f>
        <v>juin</v>
      </c>
      <c r="AJ17" s="8" t="str">
        <f>IF(RawSalesTable6[[#This Row],[Month_Number]]&lt;=3,"Q1",IF(RawSalesTable6[[#This Row],[Month_Number]]&lt;=6,"Q2",IF(RawSalesTable6[[#This Row],[Month_Number]]&lt;=9,"Q3","Q4")))</f>
        <v>Q2</v>
      </c>
      <c r="AK17" s="8" t="str">
        <f>VLOOKUP(RawSalesTable6[[#This Row],[Customer_ID_Clean]],CustomersTable[],4,FALSE)</f>
        <v>Ontario</v>
      </c>
      <c r="AL17" s="8">
        <f>IF(RawSalesTable6[[#This Row],[Return_Status]]="Yes",1,0)</f>
        <v>1</v>
      </c>
    </row>
    <row r="18" spans="1:38">
      <c r="A18" t="s">
        <v>162</v>
      </c>
      <c r="B18" s="3">
        <v>45676</v>
      </c>
      <c r="C18" t="s">
        <v>142</v>
      </c>
      <c r="D18" t="s">
        <v>139</v>
      </c>
      <c r="E18" t="s">
        <v>144</v>
      </c>
      <c r="F18" t="s">
        <v>103</v>
      </c>
      <c r="G18" t="s">
        <v>104</v>
      </c>
      <c r="H18" t="s">
        <v>89</v>
      </c>
      <c r="I18">
        <v>1</v>
      </c>
      <c r="J18" s="2">
        <v>77</v>
      </c>
      <c r="K18" s="4">
        <v>0.15</v>
      </c>
      <c r="L18" t="s">
        <v>90</v>
      </c>
      <c r="M18">
        <v>5</v>
      </c>
      <c r="N18" t="s">
        <v>91</v>
      </c>
      <c r="O18" t="str">
        <f>SUBSTITUTE(PROPER(TRIM(RawSalesTable6[[#This Row],[Channel_Raw]])),"Market Place","Marketplace")</f>
        <v>Online</v>
      </c>
      <c r="P18" t="str">
        <f>TRIM(RawSalesTable6[[#This Row],[Product_ID]])</f>
        <v>P1012</v>
      </c>
      <c r="Q18" t="str">
        <f>TRIM(RawSalesTable6[[#This Row],[Customer_ID]])</f>
        <v>C0002</v>
      </c>
      <c r="R18" s="8" t="str">
        <f>PROPER(TRIM(RawSalesTable6[[#This Row],[Store_Raw]]))</f>
        <v>Vancouver West</v>
      </c>
      <c r="S18" s="8" t="str">
        <f>IF(TRIM(RawSalesTable6[[#This Row],[Payment_Method_Raw]])="","Non renseigné",SUBSTITUTE(PROPER(TRIM(RawSalesTable6[[#This Row],[Payment_Method_Raw]])),"Cc","Credit Card"))</f>
        <v>Paypal</v>
      </c>
      <c r="T18" s="8">
        <f>COUNTIF(A:A,RawSalesTable6[[#This Row],[Order_ID]])</f>
        <v>1</v>
      </c>
      <c r="U18" s="8" t="str">
        <f>TRIM(LEFT(RawSalesTable6[[#This Row],[Customer_Info]],FIND(",",RawSalesTable6[[#This Row],[Customer_Info]])-1))</f>
        <v>Ryan Johnson</v>
      </c>
      <c r="V18" s="8" t="str">
        <f>TRIM(MID(RawSalesTable6[[#This Row],[Customer_Info]],FIND(",",RawSalesTable6[[#This Row],[Customer_Info]])+1,FIND(",",RawSalesTable6[[#This Row],[Customer_Info]],FIND(",",RawSalesTable6[[#This Row],[Customer_Info]])+1)-FIND(",",RawSalesTable6[[#This Row],[Customer_Info]])-1))</f>
        <v>Montreal</v>
      </c>
      <c r="W18" s="8" t="str">
        <f>TRIM(RIGHT(RawSalesTable6[[#This Row],[Customer_Info]],LEN(RawSalesTable6[[#This Row],[Customer_Info]])-FIND(",",RawSalesTable6[[#This Row],[Customer_Info]],FIND(",",RawSalesTable6[[#This Row],[Customer_Info]])+1)))</f>
        <v>Small Business</v>
      </c>
      <c r="X18" s="8" t="str">
        <f>VLOOKUP(RawSalesTable6[[#This Row],[Product_ID_Clean]],ProductsTable[],2,FALSE)</f>
        <v>Standing Desk</v>
      </c>
      <c r="Y18" s="8" t="str">
        <f>VLOOKUP(RawSalesTable6[[#This Row],[Product_ID_Clean]],ProductsTable[],3,FALSE)</f>
        <v>Office</v>
      </c>
      <c r="Z18" s="8">
        <f>VLOOKUP(RawSalesTable6[[#This Row],[Product_ID_Clean]],ProductsTable[],5,FALSE)</f>
        <v>45.17</v>
      </c>
      <c r="AA18" s="8">
        <f>RawSalesTable6[[#This Row],[Unit_Price]]*RawSalesTable6[[#This Row],[Quantity]]</f>
        <v>77</v>
      </c>
      <c r="AB18" s="8">
        <f>RawSalesTable6[[#This Row],[Gross_Sales]]*RawSalesTable6[[#This Row],[Discount_Pct]]</f>
        <v>11.549999999999999</v>
      </c>
      <c r="AC18" s="8">
        <f>RawSalesTable6[[#This Row],[Gross_Sales]]-RawSalesTable6[[#This Row],[Discount_Amount]]</f>
        <v>65.45</v>
      </c>
      <c r="AD18" s="8">
        <f>RawSalesTable6[[#This Row],[Unit_Cost]]*RawSalesTable6[[#This Row],[Quantity]]</f>
        <v>45.17</v>
      </c>
      <c r="AE18" s="8">
        <f>RawSalesTable6[[#This Row],[Net_Sales]]-RawSalesTable6[[#This Row],[Total_Cost]]</f>
        <v>20.28</v>
      </c>
      <c r="AF18" s="9">
        <f>RawSalesTable6[[#This Row],[Profit]]/RawSalesTable6[[#This Row],[Net_Sales]]</f>
        <v>0.3098548510313216</v>
      </c>
      <c r="AG18" s="8">
        <f>YEAR(RawSalesTable6[[#This Row],[Order_Date]])</f>
        <v>2025</v>
      </c>
      <c r="AH18" s="8">
        <f>MONTH(RawSalesTable6[[#This Row],[Order_Date]])</f>
        <v>1</v>
      </c>
      <c r="AI18" s="8" t="str">
        <f>TEXT(RawSalesTable6[[#This Row],[Order_Date]],"mmmm")</f>
        <v>janvier</v>
      </c>
      <c r="AJ18" s="8" t="str">
        <f>IF(RawSalesTable6[[#This Row],[Month_Number]]&lt;=3,"Q1",IF(RawSalesTable6[[#This Row],[Month_Number]]&lt;=6,"Q2",IF(RawSalesTable6[[#This Row],[Month_Number]]&lt;=9,"Q3","Q4")))</f>
        <v>Q1</v>
      </c>
      <c r="AK18" s="8" t="str">
        <f>VLOOKUP(RawSalesTable6[[#This Row],[Customer_ID_Clean]],CustomersTable[],4,FALSE)</f>
        <v>Quebec</v>
      </c>
      <c r="AL18" s="8">
        <f>IF(RawSalesTable6[[#This Row],[Return_Status]]="Yes",1,0)</f>
        <v>0</v>
      </c>
    </row>
    <row r="19" spans="1:38">
      <c r="A19" t="s">
        <v>163</v>
      </c>
      <c r="B19" s="3">
        <v>45683</v>
      </c>
      <c r="C19" t="s">
        <v>164</v>
      </c>
      <c r="D19" t="s">
        <v>165</v>
      </c>
      <c r="E19" t="s">
        <v>166</v>
      </c>
      <c r="F19" t="s">
        <v>116</v>
      </c>
      <c r="G19" t="s">
        <v>122</v>
      </c>
      <c r="H19" t="s">
        <v>167</v>
      </c>
      <c r="I19">
        <v>2</v>
      </c>
      <c r="J19" s="2">
        <v>107.26</v>
      </c>
      <c r="K19" s="4">
        <v>0</v>
      </c>
      <c r="L19" t="s">
        <v>90</v>
      </c>
      <c r="M19">
        <v>8</v>
      </c>
      <c r="N19" t="s">
        <v>91</v>
      </c>
      <c r="O19" t="str">
        <f>SUBSTITUTE(PROPER(TRIM(RawSalesTable6[[#This Row],[Channel_Raw]])),"Market Place","Marketplace")</f>
        <v>Marketplace</v>
      </c>
      <c r="P19" t="str">
        <f>TRIM(RawSalesTable6[[#This Row],[Product_ID]])</f>
        <v>P1024</v>
      </c>
      <c r="Q19" t="str">
        <f>TRIM(RawSalesTable6[[#This Row],[Customer_ID]])</f>
        <v>C0032</v>
      </c>
      <c r="R19" s="8" t="str">
        <f>PROPER(TRIM(RawSalesTable6[[#This Row],[Store_Raw]]))</f>
        <v>Toronto Downtown</v>
      </c>
      <c r="S19" s="8" t="str">
        <f>IF(TRIM(RawSalesTable6[[#This Row],[Payment_Method_Raw]])="","Non renseigné",SUBSTITUTE(PROPER(TRIM(RawSalesTable6[[#This Row],[Payment_Method_Raw]])),"Cc","Credit Card"))</f>
        <v>Paypal</v>
      </c>
      <c r="T19" s="8">
        <f>COUNTIF(A:A,RawSalesTable6[[#This Row],[Order_ID]])</f>
        <v>1</v>
      </c>
      <c r="U19" s="8" t="str">
        <f>TRIM(LEFT(RawSalesTable6[[#This Row],[Customer_Info]],FIND(",",RawSalesTable6[[#This Row],[Customer_Info]])-1))</f>
        <v>Nora Bennett</v>
      </c>
      <c r="V19" s="8" t="str">
        <f>TRIM(MID(RawSalesTable6[[#This Row],[Customer_Info]],FIND(",",RawSalesTable6[[#This Row],[Customer_Info]])+1,FIND(",",RawSalesTable6[[#This Row],[Customer_Info]],FIND(",",RawSalesTable6[[#This Row],[Customer_Info]])+1)-FIND(",",RawSalesTable6[[#This Row],[Customer_Info]])-1))</f>
        <v>Surrey</v>
      </c>
      <c r="W19" s="8" t="str">
        <f>TRIM(RIGHT(RawSalesTable6[[#This Row],[Customer_Info]],LEN(RawSalesTable6[[#This Row],[Customer_Info]])-FIND(",",RawSalesTable6[[#This Row],[Customer_Info]],FIND(",",RawSalesTable6[[#This Row],[Customer_Info]])+1)))</f>
        <v>Consumer</v>
      </c>
      <c r="X19" s="8" t="str">
        <f>VLOOKUP(RawSalesTable6[[#This Row],[Product_ID_Clean]],ProductsTable[],2,FALSE)</f>
        <v>Food Scale</v>
      </c>
      <c r="Y19" s="8" t="str">
        <f>VLOOKUP(RawSalesTable6[[#This Row],[Product_ID_Clean]],ProductsTable[],3,FALSE)</f>
        <v>Home</v>
      </c>
      <c r="Z19" s="8">
        <f>VLOOKUP(RawSalesTable6[[#This Row],[Product_ID_Clean]],ProductsTable[],5,FALSE)</f>
        <v>46.07</v>
      </c>
      <c r="AA19" s="8">
        <f>RawSalesTable6[[#This Row],[Unit_Price]]*RawSalesTable6[[#This Row],[Quantity]]</f>
        <v>214.52</v>
      </c>
      <c r="AB19" s="8">
        <f>RawSalesTable6[[#This Row],[Gross_Sales]]*RawSalesTable6[[#This Row],[Discount_Pct]]</f>
        <v>0</v>
      </c>
      <c r="AC19" s="8">
        <f>RawSalesTable6[[#This Row],[Gross_Sales]]-RawSalesTable6[[#This Row],[Discount_Amount]]</f>
        <v>214.52</v>
      </c>
      <c r="AD19" s="8">
        <f>RawSalesTable6[[#This Row],[Unit_Cost]]*RawSalesTable6[[#This Row],[Quantity]]</f>
        <v>92.14</v>
      </c>
      <c r="AE19" s="8">
        <f>RawSalesTable6[[#This Row],[Net_Sales]]-RawSalesTable6[[#This Row],[Total_Cost]]</f>
        <v>122.38000000000001</v>
      </c>
      <c r="AF19" s="9">
        <f>RawSalesTable6[[#This Row],[Profit]]/RawSalesTable6[[#This Row],[Net_Sales]]</f>
        <v>0.57048293865373856</v>
      </c>
      <c r="AG19" s="8">
        <f>YEAR(RawSalesTable6[[#This Row],[Order_Date]])</f>
        <v>2025</v>
      </c>
      <c r="AH19" s="8">
        <f>MONTH(RawSalesTable6[[#This Row],[Order_Date]])</f>
        <v>1</v>
      </c>
      <c r="AI19" s="8" t="str">
        <f>TEXT(RawSalesTable6[[#This Row],[Order_Date]],"mmmm")</f>
        <v>janvier</v>
      </c>
      <c r="AJ19" s="8" t="str">
        <f>IF(RawSalesTable6[[#This Row],[Month_Number]]&lt;=3,"Q1",IF(RawSalesTable6[[#This Row],[Month_Number]]&lt;=6,"Q2",IF(RawSalesTable6[[#This Row],[Month_Number]]&lt;=9,"Q3","Q4")))</f>
        <v>Q1</v>
      </c>
      <c r="AK19" s="8" t="str">
        <f>VLOOKUP(RawSalesTable6[[#This Row],[Customer_ID_Clean]],CustomersTable[],4,FALSE)</f>
        <v>British Columbia</v>
      </c>
      <c r="AL19" s="8">
        <f>IF(RawSalesTable6[[#This Row],[Return_Status]]="Yes",1,0)</f>
        <v>0</v>
      </c>
    </row>
    <row r="20" spans="1:38">
      <c r="A20" t="s">
        <v>168</v>
      </c>
      <c r="B20" s="3">
        <v>45878</v>
      </c>
      <c r="C20" t="s">
        <v>169</v>
      </c>
      <c r="D20" t="s">
        <v>133</v>
      </c>
      <c r="E20" t="s">
        <v>170</v>
      </c>
      <c r="F20" t="s">
        <v>111</v>
      </c>
      <c r="G20" t="s">
        <v>171</v>
      </c>
      <c r="H20" t="s">
        <v>89</v>
      </c>
      <c r="I20">
        <v>4</v>
      </c>
      <c r="J20" s="2">
        <v>357.37</v>
      </c>
      <c r="K20" s="4">
        <v>0.25</v>
      </c>
      <c r="L20" t="s">
        <v>106</v>
      </c>
      <c r="M20">
        <v>9</v>
      </c>
      <c r="N20" t="s">
        <v>91</v>
      </c>
      <c r="O20" t="str">
        <f>SUBSTITUTE(PROPER(TRIM(RawSalesTable6[[#This Row],[Channel_Raw]])),"Market Place","Marketplace")</f>
        <v>Online</v>
      </c>
      <c r="P20" t="str">
        <f>TRIM(RawSalesTable6[[#This Row],[Product_ID]])</f>
        <v>P1039</v>
      </c>
      <c r="Q20" t="str">
        <f>TRIM(RawSalesTable6[[#This Row],[Customer_ID]])</f>
        <v>C0064</v>
      </c>
      <c r="R20" s="8" t="str">
        <f>PROPER(TRIM(RawSalesTable6[[#This Row],[Store_Raw]]))</f>
        <v>Montreal Central</v>
      </c>
      <c r="S20" s="8" t="str">
        <f>IF(TRIM(RawSalesTable6[[#This Row],[Payment_Method_Raw]])="","Non renseigné",SUBSTITUTE(PROPER(TRIM(RawSalesTable6[[#This Row],[Payment_Method_Raw]])),"Cc","Credit Card"))</f>
        <v>Credit Card</v>
      </c>
      <c r="T20" s="8">
        <f>COUNTIF(A:A,RawSalesTable6[[#This Row],[Order_ID]])</f>
        <v>1</v>
      </c>
      <c r="U20" s="8" t="str">
        <f>TRIM(LEFT(RawSalesTable6[[#This Row],[Customer_Info]],FIND(",",RawSalesTable6[[#This Row],[Customer_Info]])-1))</f>
        <v>Amine Khan</v>
      </c>
      <c r="V20" s="8" t="str">
        <f>TRIM(MID(RawSalesTable6[[#This Row],[Customer_Info]],FIND(",",RawSalesTable6[[#This Row],[Customer_Info]])+1,FIND(",",RawSalesTable6[[#This Row],[Customer_Info]],FIND(",",RawSalesTable6[[#This Row],[Customer_Info]])+1)-FIND(",",RawSalesTable6[[#This Row],[Customer_Info]])-1))</f>
        <v>Edmonton</v>
      </c>
      <c r="W20" s="8" t="str">
        <f>TRIM(RIGHT(RawSalesTable6[[#This Row],[Customer_Info]],LEN(RawSalesTable6[[#This Row],[Customer_Info]])-FIND(",",RawSalesTable6[[#This Row],[Customer_Info]],FIND(",",RawSalesTable6[[#This Row],[Customer_Info]])+1)))</f>
        <v>Consumer</v>
      </c>
      <c r="X20" s="8" t="str">
        <f>VLOOKUP(RawSalesTable6[[#This Row],[Product_ID_Clean]],ProductsTable[],2,FALSE)</f>
        <v>Travel Adapter</v>
      </c>
      <c r="Y20" s="8" t="str">
        <f>VLOOKUP(RawSalesTable6[[#This Row],[Product_ID_Clean]],ProductsTable[],3,FALSE)</f>
        <v>Accessories</v>
      </c>
      <c r="Z20" s="8">
        <f>VLOOKUP(RawSalesTable6[[#This Row],[Product_ID_Clean]],ProductsTable[],5,FALSE)</f>
        <v>229.86</v>
      </c>
      <c r="AA20" s="8">
        <f>RawSalesTable6[[#This Row],[Unit_Price]]*RawSalesTable6[[#This Row],[Quantity]]</f>
        <v>1429.48</v>
      </c>
      <c r="AB20" s="8">
        <f>RawSalesTable6[[#This Row],[Gross_Sales]]*RawSalesTable6[[#This Row],[Discount_Pct]]</f>
        <v>357.37</v>
      </c>
      <c r="AC20" s="8">
        <f>RawSalesTable6[[#This Row],[Gross_Sales]]-RawSalesTable6[[#This Row],[Discount_Amount]]</f>
        <v>1072.1100000000001</v>
      </c>
      <c r="AD20" s="8">
        <f>RawSalesTable6[[#This Row],[Unit_Cost]]*RawSalesTable6[[#This Row],[Quantity]]</f>
        <v>919.44</v>
      </c>
      <c r="AE20" s="8">
        <f>RawSalesTable6[[#This Row],[Net_Sales]]-RawSalesTable6[[#This Row],[Total_Cost]]</f>
        <v>152.67000000000007</v>
      </c>
      <c r="AF20" s="9">
        <f>RawSalesTable6[[#This Row],[Profit]]/RawSalesTable6[[#This Row],[Net_Sales]]</f>
        <v>0.14240143268880998</v>
      </c>
      <c r="AG20" s="8">
        <f>YEAR(RawSalesTable6[[#This Row],[Order_Date]])</f>
        <v>2025</v>
      </c>
      <c r="AH20" s="8">
        <f>MONTH(RawSalesTable6[[#This Row],[Order_Date]])</f>
        <v>8</v>
      </c>
      <c r="AI20" s="8" t="str">
        <f>TEXT(RawSalesTable6[[#This Row],[Order_Date]],"mmmm")</f>
        <v>août</v>
      </c>
      <c r="AJ20" s="8" t="str">
        <f>IF(RawSalesTable6[[#This Row],[Month_Number]]&lt;=3,"Q1",IF(RawSalesTable6[[#This Row],[Month_Number]]&lt;=6,"Q2",IF(RawSalesTable6[[#This Row],[Month_Number]]&lt;=9,"Q3","Q4")))</f>
        <v>Q3</v>
      </c>
      <c r="AK20" s="8" t="str">
        <f>VLOOKUP(RawSalesTable6[[#This Row],[Customer_ID_Clean]],CustomersTable[],4,FALSE)</f>
        <v>Alberta</v>
      </c>
      <c r="AL20" s="8">
        <f>IF(RawSalesTable6[[#This Row],[Return_Status]]="Yes",1,0)</f>
        <v>0</v>
      </c>
    </row>
    <row r="21" spans="1:38">
      <c r="A21" t="s">
        <v>172</v>
      </c>
      <c r="B21" s="3">
        <v>45973</v>
      </c>
      <c r="C21" t="s">
        <v>173</v>
      </c>
      <c r="D21" t="s">
        <v>174</v>
      </c>
      <c r="E21" t="s">
        <v>175</v>
      </c>
      <c r="F21" t="s">
        <v>103</v>
      </c>
      <c r="G21" t="s">
        <v>96</v>
      </c>
      <c r="H21" t="s">
        <v>97</v>
      </c>
      <c r="I21">
        <v>2</v>
      </c>
      <c r="J21" s="2">
        <v>39.450000000000003</v>
      </c>
      <c r="K21" s="4">
        <v>0.05</v>
      </c>
      <c r="L21" t="s">
        <v>98</v>
      </c>
      <c r="M21">
        <v>2</v>
      </c>
      <c r="N21" t="s">
        <v>147</v>
      </c>
      <c r="O21" t="str">
        <f>SUBSTITUTE(PROPER(TRIM(RawSalesTable6[[#This Row],[Channel_Raw]])),"Market Place","Marketplace")</f>
        <v>Retail Store</v>
      </c>
      <c r="P21" t="str">
        <f>TRIM(RawSalesTable6[[#This Row],[Product_ID]])</f>
        <v>P1002</v>
      </c>
      <c r="Q21" t="str">
        <f>TRIM(RawSalesTable6[[#This Row],[Customer_ID]])</f>
        <v>C0077</v>
      </c>
      <c r="R21" s="8" t="str">
        <f>PROPER(TRIM(RawSalesTable6[[#This Row],[Store_Raw]]))</f>
        <v>Vancouver West</v>
      </c>
      <c r="S21" s="8" t="str">
        <f>IF(TRIM(RawSalesTable6[[#This Row],[Payment_Method_Raw]])="","Non renseigné",SUBSTITUTE(PROPER(TRIM(RawSalesTable6[[#This Row],[Payment_Method_Raw]])),"Cc","Credit Card"))</f>
        <v>Debit Card</v>
      </c>
      <c r="T21" s="8">
        <f>COUNTIF(A:A,RawSalesTable6[[#This Row],[Order_ID]])</f>
        <v>1</v>
      </c>
      <c r="U21" s="8" t="str">
        <f>TRIM(LEFT(RawSalesTable6[[#This Row],[Customer_Info]],FIND(",",RawSalesTable6[[#This Row],[Customer_Info]])-1))</f>
        <v>Amine Taylor</v>
      </c>
      <c r="V21" s="8" t="str">
        <f>TRIM(MID(RawSalesTable6[[#This Row],[Customer_Info]],FIND(",",RawSalesTable6[[#This Row],[Customer_Info]])+1,FIND(",",RawSalesTable6[[#This Row],[Customer_Info]],FIND(",",RawSalesTable6[[#This Row],[Customer_Info]])+1)-FIND(",",RawSalesTable6[[#This Row],[Customer_Info]])-1))</f>
        <v>Surrey</v>
      </c>
      <c r="W21" s="8" t="str">
        <f>TRIM(RIGHT(RawSalesTable6[[#This Row],[Customer_Info]],LEN(RawSalesTable6[[#This Row],[Customer_Info]])-FIND(",",RawSalesTable6[[#This Row],[Customer_Info]],FIND(",",RawSalesTable6[[#This Row],[Customer_Info]])+1)))</f>
        <v>Small Business</v>
      </c>
      <c r="X21" s="8" t="str">
        <f>VLOOKUP(RawSalesTable6[[#This Row],[Product_ID_Clean]],ProductsTable[],2,FALSE)</f>
        <v>Keyboard</v>
      </c>
      <c r="Y21" s="8" t="str">
        <f>VLOOKUP(RawSalesTable6[[#This Row],[Product_ID_Clean]],ProductsTable[],3,FALSE)</f>
        <v>Electronics</v>
      </c>
      <c r="Z21" s="8">
        <f>VLOOKUP(RawSalesTable6[[#This Row],[Product_ID_Clean]],ProductsTable[],5,FALSE)</f>
        <v>23.5</v>
      </c>
      <c r="AA21" s="8">
        <f>RawSalesTable6[[#This Row],[Unit_Price]]*RawSalesTable6[[#This Row],[Quantity]]</f>
        <v>78.900000000000006</v>
      </c>
      <c r="AB21" s="8">
        <f>RawSalesTable6[[#This Row],[Gross_Sales]]*RawSalesTable6[[#This Row],[Discount_Pct]]</f>
        <v>3.9450000000000003</v>
      </c>
      <c r="AC21" s="8">
        <f>RawSalesTable6[[#This Row],[Gross_Sales]]-RawSalesTable6[[#This Row],[Discount_Amount]]</f>
        <v>74.955000000000013</v>
      </c>
      <c r="AD21" s="8">
        <f>RawSalesTable6[[#This Row],[Unit_Cost]]*RawSalesTable6[[#This Row],[Quantity]]</f>
        <v>47</v>
      </c>
      <c r="AE21" s="8">
        <f>RawSalesTable6[[#This Row],[Net_Sales]]-RawSalesTable6[[#This Row],[Total_Cost]]</f>
        <v>27.955000000000013</v>
      </c>
      <c r="AF21" s="9">
        <f>RawSalesTable6[[#This Row],[Profit]]/RawSalesTable6[[#This Row],[Net_Sales]]</f>
        <v>0.37295710759789219</v>
      </c>
      <c r="AG21" s="8">
        <f>YEAR(RawSalesTable6[[#This Row],[Order_Date]])</f>
        <v>2025</v>
      </c>
      <c r="AH21" s="8">
        <f>MONTH(RawSalesTable6[[#This Row],[Order_Date]])</f>
        <v>11</v>
      </c>
      <c r="AI21" s="8" t="str">
        <f>TEXT(RawSalesTable6[[#This Row],[Order_Date]],"mmmm")</f>
        <v>novembre</v>
      </c>
      <c r="AJ21" s="8" t="str">
        <f>IF(RawSalesTable6[[#This Row],[Month_Number]]&lt;=3,"Q1",IF(RawSalesTable6[[#This Row],[Month_Number]]&lt;=6,"Q2",IF(RawSalesTable6[[#This Row],[Month_Number]]&lt;=9,"Q3","Q4")))</f>
        <v>Q4</v>
      </c>
      <c r="AK21" s="8" t="str">
        <f>VLOOKUP(RawSalesTable6[[#This Row],[Customer_ID_Clean]],CustomersTable[],4,FALSE)</f>
        <v>British Columbia</v>
      </c>
      <c r="AL21" s="8">
        <f>IF(RawSalesTable6[[#This Row],[Return_Status]]="Yes",1,0)</f>
        <v>1</v>
      </c>
    </row>
    <row r="22" spans="1:38">
      <c r="A22" t="s">
        <v>176</v>
      </c>
      <c r="B22" s="3">
        <v>45658</v>
      </c>
      <c r="C22" t="s">
        <v>177</v>
      </c>
      <c r="D22" t="s">
        <v>120</v>
      </c>
      <c r="E22" t="s">
        <v>178</v>
      </c>
      <c r="F22" t="s">
        <v>87</v>
      </c>
      <c r="G22" t="s">
        <v>171</v>
      </c>
      <c r="H22" t="s">
        <v>97</v>
      </c>
      <c r="I22">
        <v>2</v>
      </c>
      <c r="J22" s="2">
        <v>373.3</v>
      </c>
      <c r="K22" s="4">
        <v>0.05</v>
      </c>
      <c r="L22" t="s">
        <v>106</v>
      </c>
      <c r="M22">
        <v>1</v>
      </c>
      <c r="N22" t="s">
        <v>147</v>
      </c>
      <c r="O22" t="str">
        <f>SUBSTITUTE(PROPER(TRIM(RawSalesTable6[[#This Row],[Channel_Raw]])),"Market Place","Marketplace")</f>
        <v>Retail Store</v>
      </c>
      <c r="P22" t="str">
        <f>TRIM(RawSalesTable6[[#This Row],[Product_ID]])</f>
        <v>P1015</v>
      </c>
      <c r="Q22" t="str">
        <f>TRIM(RawSalesTable6[[#This Row],[Customer_ID]])</f>
        <v>C0041</v>
      </c>
      <c r="R22" s="8" t="str">
        <f>PROPER(TRIM(RawSalesTable6[[#This Row],[Store_Raw]]))</f>
        <v>Online Fulfillment</v>
      </c>
      <c r="S22" s="8" t="str">
        <f>IF(TRIM(RawSalesTable6[[#This Row],[Payment_Method_Raw]])="","Non renseigné",SUBSTITUTE(PROPER(TRIM(RawSalesTable6[[#This Row],[Payment_Method_Raw]])),"Cc","Credit Card"))</f>
        <v>Credit Card</v>
      </c>
      <c r="T22" s="8">
        <f>COUNTIF(A:A,RawSalesTable6[[#This Row],[Order_ID]])</f>
        <v>1</v>
      </c>
      <c r="U22" s="8" t="str">
        <f>TRIM(LEFT(RawSalesTable6[[#This Row],[Customer_Info]],FIND(",",RawSalesTable6[[#This Row],[Customer_Info]])-1))</f>
        <v>Amine Chen</v>
      </c>
      <c r="V22" s="8" t="str">
        <f>TRIM(MID(RawSalesTable6[[#This Row],[Customer_Info]],FIND(",",RawSalesTable6[[#This Row],[Customer_Info]])+1,FIND(",",RawSalesTable6[[#This Row],[Customer_Info]],FIND(",",RawSalesTable6[[#This Row],[Customer_Info]])+1)-FIND(",",RawSalesTable6[[#This Row],[Customer_Info]])-1))</f>
        <v>Halifax</v>
      </c>
      <c r="W22" s="8" t="str">
        <f>TRIM(RIGHT(RawSalesTable6[[#This Row],[Customer_Info]],LEN(RawSalesTable6[[#This Row],[Customer_Info]])-FIND(",",RawSalesTable6[[#This Row],[Customer_Info]],FIND(",",RawSalesTable6[[#This Row],[Customer_Info]])+1)))</f>
        <v>Small Business</v>
      </c>
      <c r="X22" s="8" t="str">
        <f>VLOOKUP(RawSalesTable6[[#This Row],[Product_ID_Clean]],ProductsTable[],2,FALSE)</f>
        <v>Desk Organizer</v>
      </c>
      <c r="Y22" s="8" t="str">
        <f>VLOOKUP(RawSalesTable6[[#This Row],[Product_ID_Clean]],ProductsTable[],3,FALSE)</f>
        <v>Office</v>
      </c>
      <c r="Z22" s="8">
        <f>VLOOKUP(RawSalesTable6[[#This Row],[Product_ID_Clean]],ProductsTable[],5,FALSE)</f>
        <v>235.76</v>
      </c>
      <c r="AA22" s="8">
        <f>RawSalesTable6[[#This Row],[Unit_Price]]*RawSalesTable6[[#This Row],[Quantity]]</f>
        <v>746.6</v>
      </c>
      <c r="AB22" s="8">
        <f>RawSalesTable6[[#This Row],[Gross_Sales]]*RawSalesTable6[[#This Row],[Discount_Pct]]</f>
        <v>37.330000000000005</v>
      </c>
      <c r="AC22" s="8">
        <f>RawSalesTable6[[#This Row],[Gross_Sales]]-RawSalesTable6[[#This Row],[Discount_Amount]]</f>
        <v>709.27</v>
      </c>
      <c r="AD22" s="8">
        <f>RawSalesTable6[[#This Row],[Unit_Cost]]*RawSalesTable6[[#This Row],[Quantity]]</f>
        <v>471.52</v>
      </c>
      <c r="AE22" s="8">
        <f>RawSalesTable6[[#This Row],[Net_Sales]]-RawSalesTable6[[#This Row],[Total_Cost]]</f>
        <v>237.75</v>
      </c>
      <c r="AF22" s="9">
        <f>RawSalesTable6[[#This Row],[Profit]]/RawSalesTable6[[#This Row],[Net_Sales]]</f>
        <v>0.33520380109126285</v>
      </c>
      <c r="AG22" s="8">
        <f>YEAR(RawSalesTable6[[#This Row],[Order_Date]])</f>
        <v>2025</v>
      </c>
      <c r="AH22" s="8">
        <f>MONTH(RawSalesTable6[[#This Row],[Order_Date]])</f>
        <v>1</v>
      </c>
      <c r="AI22" s="8" t="str">
        <f>TEXT(RawSalesTable6[[#This Row],[Order_Date]],"mmmm")</f>
        <v>janvier</v>
      </c>
      <c r="AJ22" s="8" t="str">
        <f>IF(RawSalesTable6[[#This Row],[Month_Number]]&lt;=3,"Q1",IF(RawSalesTable6[[#This Row],[Month_Number]]&lt;=6,"Q2",IF(RawSalesTable6[[#This Row],[Month_Number]]&lt;=9,"Q3","Q4")))</f>
        <v>Q1</v>
      </c>
      <c r="AK22" s="8" t="str">
        <f>VLOOKUP(RawSalesTable6[[#This Row],[Customer_ID_Clean]],CustomersTable[],4,FALSE)</f>
        <v>Nova Scotia</v>
      </c>
      <c r="AL22" s="8">
        <f>IF(RawSalesTable6[[#This Row],[Return_Status]]="Yes",1,0)</f>
        <v>1</v>
      </c>
    </row>
    <row r="23" spans="1:38">
      <c r="A23" t="s">
        <v>179</v>
      </c>
      <c r="B23" s="3">
        <v>45750</v>
      </c>
      <c r="C23" t="s">
        <v>180</v>
      </c>
      <c r="D23" t="s">
        <v>181</v>
      </c>
      <c r="E23" t="s">
        <v>182</v>
      </c>
      <c r="F23" t="s">
        <v>116</v>
      </c>
      <c r="G23" t="s">
        <v>183</v>
      </c>
      <c r="H23" t="s">
        <v>89</v>
      </c>
      <c r="I23">
        <v>1</v>
      </c>
      <c r="J23" s="2">
        <v>339.65</v>
      </c>
      <c r="K23" s="4">
        <v>0</v>
      </c>
      <c r="L23" t="s">
        <v>106</v>
      </c>
      <c r="M23">
        <v>3</v>
      </c>
      <c r="N23" t="s">
        <v>91</v>
      </c>
      <c r="O23" t="str">
        <f>SUBSTITUTE(PROPER(TRIM(RawSalesTable6[[#This Row],[Channel_Raw]])),"Market Place","Marketplace")</f>
        <v>Online</v>
      </c>
      <c r="P23" t="str">
        <f>TRIM(RawSalesTable6[[#This Row],[Product_ID]])</f>
        <v>P1007</v>
      </c>
      <c r="Q23" t="str">
        <f>TRIM(RawSalesTable6[[#This Row],[Customer_ID]])</f>
        <v>C0085</v>
      </c>
      <c r="R23" s="8" t="str">
        <f>PROPER(TRIM(RawSalesTable6[[#This Row],[Store_Raw]]))</f>
        <v>Toronto Downtown</v>
      </c>
      <c r="S23" s="8" t="str">
        <f>IF(TRIM(RawSalesTable6[[#This Row],[Payment_Method_Raw]])="","Non renseigné",SUBSTITUTE(PROPER(TRIM(RawSalesTable6[[#This Row],[Payment_Method_Raw]])),"Cc","Credit Card"))</f>
        <v>Credit Card</v>
      </c>
      <c r="T23" s="8">
        <f>COUNTIF(A:A,RawSalesTable6[[#This Row],[Order_ID]])</f>
        <v>1</v>
      </c>
      <c r="U23" s="8" t="str">
        <f>TRIM(LEFT(RawSalesTable6[[#This Row],[Customer_Info]],FIND(",",RawSalesTable6[[#This Row],[Customer_Info]])-1))</f>
        <v>Yasmine Clark</v>
      </c>
      <c r="V23" s="8" t="str">
        <f>TRIM(MID(RawSalesTable6[[#This Row],[Customer_Info]],FIND(",",RawSalesTable6[[#This Row],[Customer_Info]])+1,FIND(",",RawSalesTable6[[#This Row],[Customer_Info]],FIND(",",RawSalesTable6[[#This Row],[Customer_Info]])+1)-FIND(",",RawSalesTable6[[#This Row],[Customer_Info]])-1))</f>
        <v>Calgary</v>
      </c>
      <c r="W23" s="8" t="str">
        <f>TRIM(RIGHT(RawSalesTable6[[#This Row],[Customer_Info]],LEN(RawSalesTable6[[#This Row],[Customer_Info]])-FIND(",",RawSalesTable6[[#This Row],[Customer_Info]],FIND(",",RawSalesTable6[[#This Row],[Customer_Info]])+1)))</f>
        <v>Consumer</v>
      </c>
      <c r="X23" s="8" t="str">
        <f>VLOOKUP(RawSalesTable6[[#This Row],[Product_ID_Clean]],ProductsTable[],2,FALSE)</f>
        <v>Monitor</v>
      </c>
      <c r="Y23" s="8" t="str">
        <f>VLOOKUP(RawSalesTable6[[#This Row],[Product_ID_Clean]],ProductsTable[],3,FALSE)</f>
        <v>Electronics</v>
      </c>
      <c r="Z23" s="8">
        <f>VLOOKUP(RawSalesTable6[[#This Row],[Product_ID_Clean]],ProductsTable[],5,FALSE)</f>
        <v>224.47</v>
      </c>
      <c r="AA23" s="8">
        <f>RawSalesTable6[[#This Row],[Unit_Price]]*RawSalesTable6[[#This Row],[Quantity]]</f>
        <v>339.65</v>
      </c>
      <c r="AB23" s="8">
        <f>RawSalesTable6[[#This Row],[Gross_Sales]]*RawSalesTable6[[#This Row],[Discount_Pct]]</f>
        <v>0</v>
      </c>
      <c r="AC23" s="8">
        <f>RawSalesTable6[[#This Row],[Gross_Sales]]-RawSalesTable6[[#This Row],[Discount_Amount]]</f>
        <v>339.65</v>
      </c>
      <c r="AD23" s="8">
        <f>RawSalesTable6[[#This Row],[Unit_Cost]]*RawSalesTable6[[#This Row],[Quantity]]</f>
        <v>224.47</v>
      </c>
      <c r="AE23" s="8">
        <f>RawSalesTable6[[#This Row],[Net_Sales]]-RawSalesTable6[[#This Row],[Total_Cost]]</f>
        <v>115.17999999999998</v>
      </c>
      <c r="AF23" s="9">
        <f>RawSalesTable6[[#This Row],[Profit]]/RawSalesTable6[[#This Row],[Net_Sales]]</f>
        <v>0.33911379361107019</v>
      </c>
      <c r="AG23" s="8">
        <f>YEAR(RawSalesTable6[[#This Row],[Order_Date]])</f>
        <v>2025</v>
      </c>
      <c r="AH23" s="8">
        <f>MONTH(RawSalesTable6[[#This Row],[Order_Date]])</f>
        <v>4</v>
      </c>
      <c r="AI23" s="8" t="str">
        <f>TEXT(RawSalesTable6[[#This Row],[Order_Date]],"mmmm")</f>
        <v>avril</v>
      </c>
      <c r="AJ23" s="8" t="str">
        <f>IF(RawSalesTable6[[#This Row],[Month_Number]]&lt;=3,"Q1",IF(RawSalesTable6[[#This Row],[Month_Number]]&lt;=6,"Q2",IF(RawSalesTable6[[#This Row],[Month_Number]]&lt;=9,"Q3","Q4")))</f>
        <v>Q2</v>
      </c>
      <c r="AK23" s="8" t="str">
        <f>VLOOKUP(RawSalesTable6[[#This Row],[Customer_ID_Clean]],CustomersTable[],4,FALSE)</f>
        <v>Alberta</v>
      </c>
      <c r="AL23" s="8">
        <f>IF(RawSalesTable6[[#This Row],[Return_Status]]="Yes",1,0)</f>
        <v>0</v>
      </c>
    </row>
    <row r="24" spans="1:38">
      <c r="A24" t="s">
        <v>184</v>
      </c>
      <c r="B24" s="3">
        <v>45879</v>
      </c>
      <c r="C24" t="s">
        <v>185</v>
      </c>
      <c r="D24" t="s">
        <v>165</v>
      </c>
      <c r="E24" t="s">
        <v>186</v>
      </c>
      <c r="F24" t="s">
        <v>187</v>
      </c>
      <c r="G24" t="s">
        <v>117</v>
      </c>
      <c r="H24" t="s">
        <v>89</v>
      </c>
      <c r="I24">
        <v>2</v>
      </c>
      <c r="J24" s="2">
        <v>99.22</v>
      </c>
      <c r="K24" s="4">
        <v>0.05</v>
      </c>
      <c r="L24" t="s">
        <v>98</v>
      </c>
      <c r="M24">
        <v>8</v>
      </c>
      <c r="N24" t="s">
        <v>91</v>
      </c>
      <c r="O24" t="str">
        <f>SUBSTITUTE(PROPER(TRIM(RawSalesTable6[[#This Row],[Channel_Raw]])),"Market Place","Marketplace")</f>
        <v>Online</v>
      </c>
      <c r="P24" t="str">
        <f>TRIM(RawSalesTable6[[#This Row],[Product_ID]])</f>
        <v>P1024</v>
      </c>
      <c r="Q24" t="str">
        <f>TRIM(RawSalesTable6[[#This Row],[Customer_ID]])</f>
        <v>C0036</v>
      </c>
      <c r="R24" s="8" t="str">
        <f>PROPER(TRIM(RawSalesTable6[[#This Row],[Store_Raw]]))</f>
        <v>Vancouver West</v>
      </c>
      <c r="S24" s="8" t="str">
        <f>IF(TRIM(RawSalesTable6[[#This Row],[Payment_Method_Raw]])="","Non renseigné",SUBSTITUTE(PROPER(TRIM(RawSalesTable6[[#This Row],[Payment_Method_Raw]])),"Cc","Credit Card"))</f>
        <v>Debit Card</v>
      </c>
      <c r="T24" s="8">
        <f>COUNTIF(A:A,RawSalesTable6[[#This Row],[Order_ID]])</f>
        <v>1</v>
      </c>
      <c r="U24" s="8" t="str">
        <f>TRIM(LEFT(RawSalesTable6[[#This Row],[Customer_Info]],FIND(",",RawSalesTable6[[#This Row],[Customer_Info]])-1))</f>
        <v>Sarah Wilson</v>
      </c>
      <c r="V24" s="8" t="str">
        <f>TRIM(MID(RawSalesTable6[[#This Row],[Customer_Info]],FIND(",",RawSalesTable6[[#This Row],[Customer_Info]])+1,FIND(",",RawSalesTable6[[#This Row],[Customer_Info]],FIND(",",RawSalesTable6[[#This Row],[Customer_Info]])+1)-FIND(",",RawSalesTable6[[#This Row],[Customer_Info]])-1))</f>
        <v>Montreal</v>
      </c>
      <c r="W24" s="8" t="str">
        <f>TRIM(RIGHT(RawSalesTable6[[#This Row],[Customer_Info]],LEN(RawSalesTable6[[#This Row],[Customer_Info]])-FIND(",",RawSalesTable6[[#This Row],[Customer_Info]],FIND(",",RawSalesTable6[[#This Row],[Customer_Info]])+1)))</f>
        <v>Corporate</v>
      </c>
      <c r="X24" s="8" t="str">
        <f>VLOOKUP(RawSalesTable6[[#This Row],[Product_ID_Clean]],ProductsTable[],2,FALSE)</f>
        <v>Food Scale</v>
      </c>
      <c r="Y24" s="8" t="str">
        <f>VLOOKUP(RawSalesTable6[[#This Row],[Product_ID_Clean]],ProductsTable[],3,FALSE)</f>
        <v>Home</v>
      </c>
      <c r="Z24" s="8">
        <f>VLOOKUP(RawSalesTable6[[#This Row],[Product_ID_Clean]],ProductsTable[],5,FALSE)</f>
        <v>46.07</v>
      </c>
      <c r="AA24" s="8">
        <f>RawSalesTable6[[#This Row],[Unit_Price]]*RawSalesTable6[[#This Row],[Quantity]]</f>
        <v>198.44</v>
      </c>
      <c r="AB24" s="8">
        <f>RawSalesTable6[[#This Row],[Gross_Sales]]*RawSalesTable6[[#This Row],[Discount_Pct]]</f>
        <v>9.9220000000000006</v>
      </c>
      <c r="AC24" s="8">
        <f>RawSalesTable6[[#This Row],[Gross_Sales]]-RawSalesTable6[[#This Row],[Discount_Amount]]</f>
        <v>188.518</v>
      </c>
      <c r="AD24" s="8">
        <f>RawSalesTable6[[#This Row],[Unit_Cost]]*RawSalesTable6[[#This Row],[Quantity]]</f>
        <v>92.14</v>
      </c>
      <c r="AE24" s="8">
        <f>RawSalesTable6[[#This Row],[Net_Sales]]-RawSalesTable6[[#This Row],[Total_Cost]]</f>
        <v>96.378</v>
      </c>
      <c r="AF24" s="9">
        <f>RawSalesTable6[[#This Row],[Profit]]/RawSalesTable6[[#This Row],[Net_Sales]]</f>
        <v>0.51124030596547809</v>
      </c>
      <c r="AG24" s="8">
        <f>YEAR(RawSalesTable6[[#This Row],[Order_Date]])</f>
        <v>2025</v>
      </c>
      <c r="AH24" s="8">
        <f>MONTH(RawSalesTable6[[#This Row],[Order_Date]])</f>
        <v>8</v>
      </c>
      <c r="AI24" s="8" t="str">
        <f>TEXT(RawSalesTable6[[#This Row],[Order_Date]],"mmmm")</f>
        <v>août</v>
      </c>
      <c r="AJ24" s="8" t="str">
        <f>IF(RawSalesTable6[[#This Row],[Month_Number]]&lt;=3,"Q1",IF(RawSalesTable6[[#This Row],[Month_Number]]&lt;=6,"Q2",IF(RawSalesTable6[[#This Row],[Month_Number]]&lt;=9,"Q3","Q4")))</f>
        <v>Q3</v>
      </c>
      <c r="AK24" s="8" t="str">
        <f>VLOOKUP(RawSalesTable6[[#This Row],[Customer_ID_Clean]],CustomersTable[],4,FALSE)</f>
        <v>Quebec</v>
      </c>
      <c r="AL24" s="8">
        <f>IF(RawSalesTable6[[#This Row],[Return_Status]]="Yes",1,0)</f>
        <v>0</v>
      </c>
    </row>
    <row r="25" spans="1:38">
      <c r="A25" t="s">
        <v>188</v>
      </c>
      <c r="B25" s="3">
        <v>45963</v>
      </c>
      <c r="C25" t="s">
        <v>189</v>
      </c>
      <c r="D25" t="s">
        <v>190</v>
      </c>
      <c r="E25" t="s">
        <v>191</v>
      </c>
      <c r="F25" t="s">
        <v>145</v>
      </c>
      <c r="G25" t="s">
        <v>183</v>
      </c>
      <c r="H25" t="s">
        <v>89</v>
      </c>
      <c r="I25">
        <v>2</v>
      </c>
      <c r="J25" s="2">
        <v>277.39</v>
      </c>
      <c r="K25" s="4">
        <v>0</v>
      </c>
      <c r="L25" t="s">
        <v>98</v>
      </c>
      <c r="M25">
        <v>6</v>
      </c>
      <c r="N25" t="s">
        <v>91</v>
      </c>
      <c r="O25" t="str">
        <f>SUBSTITUTE(PROPER(TRIM(RawSalesTable6[[#This Row],[Channel_Raw]])),"Market Place","Marketplace")</f>
        <v>Online</v>
      </c>
      <c r="P25" t="str">
        <f>TRIM(RawSalesTable6[[#This Row],[Product_ID]])</f>
        <v>P1004</v>
      </c>
      <c r="Q25" t="str">
        <f>TRIM(RawSalesTable6[[#This Row],[Customer_ID]])</f>
        <v>C0054</v>
      </c>
      <c r="R25" s="8" t="str">
        <f>PROPER(TRIM(RawSalesTable6[[#This Row],[Store_Raw]]))</f>
        <v>Calgary North</v>
      </c>
      <c r="S25" s="8" t="str">
        <f>IF(TRIM(RawSalesTable6[[#This Row],[Payment_Method_Raw]])="","Non renseigné",SUBSTITUTE(PROPER(TRIM(RawSalesTable6[[#This Row],[Payment_Method_Raw]])),"Cc","Credit Card"))</f>
        <v>Debit Card</v>
      </c>
      <c r="T25" s="8">
        <f>COUNTIF(A:A,RawSalesTable6[[#This Row],[Order_ID]])</f>
        <v>1</v>
      </c>
      <c r="U25" s="8" t="str">
        <f>TRIM(LEFT(RawSalesTable6[[#This Row],[Customer_Info]],FIND(",",RawSalesTable6[[#This Row],[Customer_Info]])-1))</f>
        <v>Maya Hall</v>
      </c>
      <c r="V25" s="8" t="str">
        <f>TRIM(MID(RawSalesTable6[[#This Row],[Customer_Info]],FIND(",",RawSalesTable6[[#This Row],[Customer_Info]])+1,FIND(",",RawSalesTable6[[#This Row],[Customer_Info]],FIND(",",RawSalesTable6[[#This Row],[Customer_Info]])+1)-FIND(",",RawSalesTable6[[#This Row],[Customer_Info]])-1))</f>
        <v>Surrey</v>
      </c>
      <c r="W25" s="8" t="str">
        <f>TRIM(RIGHT(RawSalesTable6[[#This Row],[Customer_Info]],LEN(RawSalesTable6[[#This Row],[Customer_Info]])-FIND(",",RawSalesTable6[[#This Row],[Customer_Info]],FIND(",",RawSalesTable6[[#This Row],[Customer_Info]])+1)))</f>
        <v>Small Business</v>
      </c>
      <c r="X25" s="8" t="str">
        <f>VLOOKUP(RawSalesTable6[[#This Row],[Product_ID_Clean]],ProductsTable[],2,FALSE)</f>
        <v>Webcam</v>
      </c>
      <c r="Y25" s="8" t="str">
        <f>VLOOKUP(RawSalesTable6[[#This Row],[Product_ID_Clean]],ProductsTable[],3,FALSE)</f>
        <v>Electronics</v>
      </c>
      <c r="Z25" s="8">
        <f>VLOOKUP(RawSalesTable6[[#This Row],[Product_ID_Clean]],ProductsTable[],5,FALSE)</f>
        <v>154.72999999999999</v>
      </c>
      <c r="AA25" s="8">
        <f>RawSalesTable6[[#This Row],[Unit_Price]]*RawSalesTable6[[#This Row],[Quantity]]</f>
        <v>554.78</v>
      </c>
      <c r="AB25" s="8">
        <f>RawSalesTable6[[#This Row],[Gross_Sales]]*RawSalesTable6[[#This Row],[Discount_Pct]]</f>
        <v>0</v>
      </c>
      <c r="AC25" s="8">
        <f>RawSalesTable6[[#This Row],[Gross_Sales]]-RawSalesTable6[[#This Row],[Discount_Amount]]</f>
        <v>554.78</v>
      </c>
      <c r="AD25" s="8">
        <f>RawSalesTable6[[#This Row],[Unit_Cost]]*RawSalesTable6[[#This Row],[Quantity]]</f>
        <v>309.45999999999998</v>
      </c>
      <c r="AE25" s="8">
        <f>RawSalesTable6[[#This Row],[Net_Sales]]-RawSalesTable6[[#This Row],[Total_Cost]]</f>
        <v>245.32</v>
      </c>
      <c r="AF25" s="9">
        <f>RawSalesTable6[[#This Row],[Profit]]/RawSalesTable6[[#This Row],[Net_Sales]]</f>
        <v>0.44219330184938177</v>
      </c>
      <c r="AG25" s="8">
        <f>YEAR(RawSalesTable6[[#This Row],[Order_Date]])</f>
        <v>2025</v>
      </c>
      <c r="AH25" s="8">
        <f>MONTH(RawSalesTable6[[#This Row],[Order_Date]])</f>
        <v>11</v>
      </c>
      <c r="AI25" s="8" t="str">
        <f>TEXT(RawSalesTable6[[#This Row],[Order_Date]],"mmmm")</f>
        <v>novembre</v>
      </c>
      <c r="AJ25" s="8" t="str">
        <f>IF(RawSalesTable6[[#This Row],[Month_Number]]&lt;=3,"Q1",IF(RawSalesTable6[[#This Row],[Month_Number]]&lt;=6,"Q2",IF(RawSalesTable6[[#This Row],[Month_Number]]&lt;=9,"Q3","Q4")))</f>
        <v>Q4</v>
      </c>
      <c r="AK25" s="8" t="str">
        <f>VLOOKUP(RawSalesTable6[[#This Row],[Customer_ID_Clean]],CustomersTable[],4,FALSE)</f>
        <v>British Columbia</v>
      </c>
      <c r="AL25" s="8">
        <f>IF(RawSalesTable6[[#This Row],[Return_Status]]="Yes",1,0)</f>
        <v>0</v>
      </c>
    </row>
    <row r="26" spans="1:38">
      <c r="A26" t="s">
        <v>192</v>
      </c>
      <c r="B26" s="3">
        <v>45852</v>
      </c>
      <c r="C26" t="s">
        <v>193</v>
      </c>
      <c r="D26" t="s">
        <v>194</v>
      </c>
      <c r="E26" t="s">
        <v>195</v>
      </c>
      <c r="F26" t="s">
        <v>116</v>
      </c>
      <c r="G26" t="s">
        <v>117</v>
      </c>
      <c r="H26" t="s">
        <v>97</v>
      </c>
      <c r="I26">
        <v>2</v>
      </c>
      <c r="J26" s="2">
        <v>193.9</v>
      </c>
      <c r="K26" s="4">
        <v>0</v>
      </c>
      <c r="L26" t="s">
        <v>106</v>
      </c>
      <c r="M26">
        <v>4</v>
      </c>
      <c r="N26" t="s">
        <v>91</v>
      </c>
      <c r="O26" t="str">
        <f>SUBSTITUTE(PROPER(TRIM(RawSalesTable6[[#This Row],[Channel_Raw]])),"Market Place","Marketplace")</f>
        <v>Retail Store</v>
      </c>
      <c r="P26" t="str">
        <f>TRIM(RawSalesTable6[[#This Row],[Product_ID]])</f>
        <v>P1029</v>
      </c>
      <c r="Q26" t="str">
        <f>TRIM(RawSalesTable6[[#This Row],[Customer_ID]])</f>
        <v>C0023</v>
      </c>
      <c r="R26" s="8" t="str">
        <f>PROPER(TRIM(RawSalesTable6[[#This Row],[Store_Raw]]))</f>
        <v>Toronto Downtown</v>
      </c>
      <c r="S26" s="8" t="str">
        <f>IF(TRIM(RawSalesTable6[[#This Row],[Payment_Method_Raw]])="","Non renseigné",SUBSTITUTE(PROPER(TRIM(RawSalesTable6[[#This Row],[Payment_Method_Raw]])),"Cc","Credit Card"))</f>
        <v>Credit Card</v>
      </c>
      <c r="T26" s="8">
        <f>COUNTIF(A:A,RawSalesTable6[[#This Row],[Order_ID]])</f>
        <v>1</v>
      </c>
      <c r="U26" s="8" t="str">
        <f>TRIM(LEFT(RawSalesTable6[[#This Row],[Customer_Info]],FIND(",",RawSalesTable6[[#This Row],[Customer_Info]])-1))</f>
        <v>Ryan Gagnon</v>
      </c>
      <c r="V26" s="8" t="str">
        <f>TRIM(MID(RawSalesTable6[[#This Row],[Customer_Info]],FIND(",",RawSalesTable6[[#This Row],[Customer_Info]])+1,FIND(",",RawSalesTable6[[#This Row],[Customer_Info]],FIND(",",RawSalesTable6[[#This Row],[Customer_Info]])+1)-FIND(",",RawSalesTable6[[#This Row],[Customer_Info]])-1))</f>
        <v>Ottawa</v>
      </c>
      <c r="W26" s="8" t="str">
        <f>TRIM(RIGHT(RawSalesTable6[[#This Row],[Customer_Info]],LEN(RawSalesTable6[[#This Row],[Customer_Info]])-FIND(",",RawSalesTable6[[#This Row],[Customer_Info]],FIND(",",RawSalesTable6[[#This Row],[Customer_Info]])+1)))</f>
        <v>Small Business</v>
      </c>
      <c r="X26" s="8" t="str">
        <f>VLOOKUP(RawSalesTable6[[#This Row],[Product_ID_Clean]],ProductsTable[],2,FALSE)</f>
        <v>Jump Rope</v>
      </c>
      <c r="Y26" s="8" t="str">
        <f>VLOOKUP(RawSalesTable6[[#This Row],[Product_ID_Clean]],ProductsTable[],3,FALSE)</f>
        <v>Fitness</v>
      </c>
      <c r="Z26" s="8">
        <f>VLOOKUP(RawSalesTable6[[#This Row],[Product_ID_Clean]],ProductsTable[],5,FALSE)</f>
        <v>101</v>
      </c>
      <c r="AA26" s="8">
        <f>RawSalesTable6[[#This Row],[Unit_Price]]*RawSalesTable6[[#This Row],[Quantity]]</f>
        <v>387.8</v>
      </c>
      <c r="AB26" s="8">
        <f>RawSalesTable6[[#This Row],[Gross_Sales]]*RawSalesTable6[[#This Row],[Discount_Pct]]</f>
        <v>0</v>
      </c>
      <c r="AC26" s="8">
        <f>RawSalesTable6[[#This Row],[Gross_Sales]]-RawSalesTable6[[#This Row],[Discount_Amount]]</f>
        <v>387.8</v>
      </c>
      <c r="AD26" s="8">
        <f>RawSalesTable6[[#This Row],[Unit_Cost]]*RawSalesTable6[[#This Row],[Quantity]]</f>
        <v>202</v>
      </c>
      <c r="AE26" s="8">
        <f>RawSalesTable6[[#This Row],[Net_Sales]]-RawSalesTable6[[#This Row],[Total_Cost]]</f>
        <v>185.8</v>
      </c>
      <c r="AF26" s="9">
        <f>RawSalesTable6[[#This Row],[Profit]]/RawSalesTable6[[#This Row],[Net_Sales]]</f>
        <v>0.47911294481691596</v>
      </c>
      <c r="AG26" s="8">
        <f>YEAR(RawSalesTable6[[#This Row],[Order_Date]])</f>
        <v>2025</v>
      </c>
      <c r="AH26" s="8">
        <f>MONTH(RawSalesTable6[[#This Row],[Order_Date]])</f>
        <v>7</v>
      </c>
      <c r="AI26" s="8" t="str">
        <f>TEXT(RawSalesTable6[[#This Row],[Order_Date]],"mmmm")</f>
        <v>juillet</v>
      </c>
      <c r="AJ26" s="8" t="str">
        <f>IF(RawSalesTable6[[#This Row],[Month_Number]]&lt;=3,"Q1",IF(RawSalesTable6[[#This Row],[Month_Number]]&lt;=6,"Q2",IF(RawSalesTable6[[#This Row],[Month_Number]]&lt;=9,"Q3","Q4")))</f>
        <v>Q3</v>
      </c>
      <c r="AK26" s="8" t="str">
        <f>VLOOKUP(RawSalesTable6[[#This Row],[Customer_ID_Clean]],CustomersTable[],4,FALSE)</f>
        <v>Ontario</v>
      </c>
      <c r="AL26" s="8">
        <f>IF(RawSalesTable6[[#This Row],[Return_Status]]="Yes",1,0)</f>
        <v>0</v>
      </c>
    </row>
    <row r="27" spans="1:38">
      <c r="A27" t="s">
        <v>196</v>
      </c>
      <c r="B27" s="3">
        <v>45761</v>
      </c>
      <c r="C27" t="s">
        <v>197</v>
      </c>
      <c r="D27" t="s">
        <v>181</v>
      </c>
      <c r="E27" t="s">
        <v>198</v>
      </c>
      <c r="F27" t="s">
        <v>111</v>
      </c>
      <c r="G27" t="s">
        <v>104</v>
      </c>
      <c r="H27" t="s">
        <v>97</v>
      </c>
      <c r="I27">
        <v>3</v>
      </c>
      <c r="J27" s="2">
        <v>336.05</v>
      </c>
      <c r="K27" s="4">
        <v>0.25</v>
      </c>
      <c r="L27" t="s">
        <v>98</v>
      </c>
      <c r="M27">
        <v>3</v>
      </c>
      <c r="N27" t="s">
        <v>91</v>
      </c>
      <c r="O27" t="str">
        <f>SUBSTITUTE(PROPER(TRIM(RawSalesTable6[[#This Row],[Channel_Raw]])),"Market Place","Marketplace")</f>
        <v>Retail Store</v>
      </c>
      <c r="P27" t="str">
        <f>TRIM(RawSalesTable6[[#This Row],[Product_ID]])</f>
        <v>P1007</v>
      </c>
      <c r="Q27" t="str">
        <f>TRIM(RawSalesTable6[[#This Row],[Customer_ID]])</f>
        <v>C0091</v>
      </c>
      <c r="R27" s="8" t="str">
        <f>PROPER(TRIM(RawSalesTable6[[#This Row],[Store_Raw]]))</f>
        <v>Montreal Central</v>
      </c>
      <c r="S27" s="8" t="str">
        <f>IF(TRIM(RawSalesTable6[[#This Row],[Payment_Method_Raw]])="","Non renseigné",SUBSTITUTE(PROPER(TRIM(RawSalesTable6[[#This Row],[Payment_Method_Raw]])),"Cc","Credit Card"))</f>
        <v>Debit Card</v>
      </c>
      <c r="T27" s="8">
        <f>COUNTIF(A:A,RawSalesTable6[[#This Row],[Order_ID]])</f>
        <v>1</v>
      </c>
      <c r="U27" s="8" t="str">
        <f>TRIM(LEFT(RawSalesTable6[[#This Row],[Customer_Info]],FIND(",",RawSalesTable6[[#This Row],[Customer_Info]])-1))</f>
        <v>Leo Taylor</v>
      </c>
      <c r="V27" s="8" t="str">
        <f>TRIM(MID(RawSalesTable6[[#This Row],[Customer_Info]],FIND(",",RawSalesTable6[[#This Row],[Customer_Info]])+1,FIND(",",RawSalesTable6[[#This Row],[Customer_Info]],FIND(",",RawSalesTable6[[#This Row],[Customer_Info]])+1)-FIND(",",RawSalesTable6[[#This Row],[Customer_Info]])-1))</f>
        <v>Victoria</v>
      </c>
      <c r="W27" s="8" t="str">
        <f>TRIM(RIGHT(RawSalesTable6[[#This Row],[Customer_Info]],LEN(RawSalesTable6[[#This Row],[Customer_Info]])-FIND(",",RawSalesTable6[[#This Row],[Customer_Info]],FIND(",",RawSalesTable6[[#This Row],[Customer_Info]])+1)))</f>
        <v>Small Business</v>
      </c>
      <c r="X27" s="8" t="str">
        <f>VLOOKUP(RawSalesTable6[[#This Row],[Product_ID_Clean]],ProductsTable[],2,FALSE)</f>
        <v>Monitor</v>
      </c>
      <c r="Y27" s="8" t="str">
        <f>VLOOKUP(RawSalesTable6[[#This Row],[Product_ID_Clean]],ProductsTable[],3,FALSE)</f>
        <v>Electronics</v>
      </c>
      <c r="Z27" s="8">
        <f>VLOOKUP(RawSalesTable6[[#This Row],[Product_ID_Clean]],ProductsTable[],5,FALSE)</f>
        <v>224.47</v>
      </c>
      <c r="AA27" s="8">
        <f>RawSalesTable6[[#This Row],[Unit_Price]]*RawSalesTable6[[#This Row],[Quantity]]</f>
        <v>1008.1500000000001</v>
      </c>
      <c r="AB27" s="8">
        <f>RawSalesTable6[[#This Row],[Gross_Sales]]*RawSalesTable6[[#This Row],[Discount_Pct]]</f>
        <v>252.03750000000002</v>
      </c>
      <c r="AC27" s="8">
        <f>RawSalesTable6[[#This Row],[Gross_Sales]]-RawSalesTable6[[#This Row],[Discount_Amount]]</f>
        <v>756.11250000000007</v>
      </c>
      <c r="AD27" s="8">
        <f>RawSalesTable6[[#This Row],[Unit_Cost]]*RawSalesTable6[[#This Row],[Quantity]]</f>
        <v>673.41</v>
      </c>
      <c r="AE27" s="8">
        <f>RawSalesTable6[[#This Row],[Net_Sales]]-RawSalesTable6[[#This Row],[Total_Cost]]</f>
        <v>82.7025000000001</v>
      </c>
      <c r="AF27" s="9">
        <f>RawSalesTable6[[#This Row],[Profit]]/RawSalesTable6[[#This Row],[Net_Sales]]</f>
        <v>0.10937856469771376</v>
      </c>
      <c r="AG27" s="8">
        <f>YEAR(RawSalesTable6[[#This Row],[Order_Date]])</f>
        <v>2025</v>
      </c>
      <c r="AH27" s="8">
        <f>MONTH(RawSalesTable6[[#This Row],[Order_Date]])</f>
        <v>4</v>
      </c>
      <c r="AI27" s="8" t="str">
        <f>TEXT(RawSalesTable6[[#This Row],[Order_Date]],"mmmm")</f>
        <v>avril</v>
      </c>
      <c r="AJ27" s="8" t="str">
        <f>IF(RawSalesTable6[[#This Row],[Month_Number]]&lt;=3,"Q1",IF(RawSalesTable6[[#This Row],[Month_Number]]&lt;=6,"Q2",IF(RawSalesTable6[[#This Row],[Month_Number]]&lt;=9,"Q3","Q4")))</f>
        <v>Q2</v>
      </c>
      <c r="AK27" s="8" t="str">
        <f>VLOOKUP(RawSalesTable6[[#This Row],[Customer_ID_Clean]],CustomersTable[],4,FALSE)</f>
        <v>British Columbia</v>
      </c>
      <c r="AL27" s="8">
        <f>IF(RawSalesTable6[[#This Row],[Return_Status]]="Yes",1,0)</f>
        <v>0</v>
      </c>
    </row>
    <row r="28" spans="1:38">
      <c r="A28" t="s">
        <v>199</v>
      </c>
      <c r="B28" s="3">
        <v>45879</v>
      </c>
      <c r="C28" t="s">
        <v>200</v>
      </c>
      <c r="D28" t="s">
        <v>152</v>
      </c>
      <c r="E28" t="s">
        <v>201</v>
      </c>
      <c r="F28" t="s">
        <v>111</v>
      </c>
      <c r="G28" t="s">
        <v>122</v>
      </c>
      <c r="H28" t="s">
        <v>89</v>
      </c>
      <c r="I28">
        <v>1</v>
      </c>
      <c r="J28" s="2">
        <v>137.66999999999999</v>
      </c>
      <c r="K28" s="4">
        <v>0.05</v>
      </c>
      <c r="L28" t="s">
        <v>154</v>
      </c>
      <c r="M28">
        <v>2</v>
      </c>
      <c r="N28" t="s">
        <v>91</v>
      </c>
      <c r="O28" t="str">
        <f>SUBSTITUTE(PROPER(TRIM(RawSalesTable6[[#This Row],[Channel_Raw]])),"Market Place","Marketplace")</f>
        <v>Online</v>
      </c>
      <c r="P28" t="str">
        <f>TRIM(RawSalesTable6[[#This Row],[Product_ID]])</f>
        <v>P1008</v>
      </c>
      <c r="Q28" t="str">
        <f>TRIM(RawSalesTable6[[#This Row],[Customer_ID]])</f>
        <v>C0118</v>
      </c>
      <c r="R28" s="8" t="str">
        <f>PROPER(TRIM(RawSalesTable6[[#This Row],[Store_Raw]]))</f>
        <v>Montreal Central</v>
      </c>
      <c r="S28" s="8" t="str">
        <f>IF(TRIM(RawSalesTable6[[#This Row],[Payment_Method_Raw]])="","Non renseigné",SUBSTITUTE(PROPER(TRIM(RawSalesTable6[[#This Row],[Payment_Method_Raw]])),"Cc","Credit Card"))</f>
        <v>Gift Card</v>
      </c>
      <c r="T28" s="8">
        <f>COUNTIF(A:A,RawSalesTable6[[#This Row],[Order_ID]])</f>
        <v>1</v>
      </c>
      <c r="U28" s="8" t="str">
        <f>TRIM(LEFT(RawSalesTable6[[#This Row],[Customer_Info]],FIND(",",RawSalesTable6[[#This Row],[Customer_Info]])-1))</f>
        <v>Ryan Smith</v>
      </c>
      <c r="V28" s="8" t="str">
        <f>TRIM(MID(RawSalesTable6[[#This Row],[Customer_Info]],FIND(",",RawSalesTable6[[#This Row],[Customer_Info]])+1,FIND(",",RawSalesTable6[[#This Row],[Customer_Info]],FIND(",",RawSalesTable6[[#This Row],[Customer_Info]])+1)-FIND(",",RawSalesTable6[[#This Row],[Customer_Info]])-1))</f>
        <v>Victoria</v>
      </c>
      <c r="W28" s="8" t="str">
        <f>TRIM(RIGHT(RawSalesTable6[[#This Row],[Customer_Info]],LEN(RawSalesTable6[[#This Row],[Customer_Info]])-FIND(",",RawSalesTable6[[#This Row],[Customer_Info]],FIND(",",RawSalesTable6[[#This Row],[Customer_Info]])+1)))</f>
        <v>Small Business</v>
      </c>
      <c r="X28" s="8" t="str">
        <f>VLOOKUP(RawSalesTable6[[#This Row],[Product_ID_Clean]],ProductsTable[],2,FALSE)</f>
        <v>Smart Speaker</v>
      </c>
      <c r="Y28" s="8" t="str">
        <f>VLOOKUP(RawSalesTable6[[#This Row],[Product_ID_Clean]],ProductsTable[],3,FALSE)</f>
        <v>Electronics</v>
      </c>
      <c r="Z28" s="8">
        <f>VLOOKUP(RawSalesTable6[[#This Row],[Product_ID_Clean]],ProductsTable[],5,FALSE)</f>
        <v>69</v>
      </c>
      <c r="AA28" s="8">
        <f>RawSalesTable6[[#This Row],[Unit_Price]]*RawSalesTable6[[#This Row],[Quantity]]</f>
        <v>137.66999999999999</v>
      </c>
      <c r="AB28" s="8">
        <f>RawSalesTable6[[#This Row],[Gross_Sales]]*RawSalesTable6[[#This Row],[Discount_Pct]]</f>
        <v>6.8834999999999997</v>
      </c>
      <c r="AC28" s="8">
        <f>RawSalesTable6[[#This Row],[Gross_Sales]]-RawSalesTable6[[#This Row],[Discount_Amount]]</f>
        <v>130.78649999999999</v>
      </c>
      <c r="AD28" s="8">
        <f>RawSalesTable6[[#This Row],[Unit_Cost]]*RawSalesTable6[[#This Row],[Quantity]]</f>
        <v>69</v>
      </c>
      <c r="AE28" s="8">
        <f>RawSalesTable6[[#This Row],[Net_Sales]]-RawSalesTable6[[#This Row],[Total_Cost]]</f>
        <v>61.78649999999999</v>
      </c>
      <c r="AF28" s="9">
        <f>RawSalesTable6[[#This Row],[Profit]]/RawSalesTable6[[#This Row],[Net_Sales]]</f>
        <v>0.47242261242559436</v>
      </c>
      <c r="AG28" s="8">
        <f>YEAR(RawSalesTable6[[#This Row],[Order_Date]])</f>
        <v>2025</v>
      </c>
      <c r="AH28" s="8">
        <f>MONTH(RawSalesTable6[[#This Row],[Order_Date]])</f>
        <v>8</v>
      </c>
      <c r="AI28" s="8" t="str">
        <f>TEXT(RawSalesTable6[[#This Row],[Order_Date]],"mmmm")</f>
        <v>août</v>
      </c>
      <c r="AJ28" s="8" t="str">
        <f>IF(RawSalesTable6[[#This Row],[Month_Number]]&lt;=3,"Q1",IF(RawSalesTable6[[#This Row],[Month_Number]]&lt;=6,"Q2",IF(RawSalesTable6[[#This Row],[Month_Number]]&lt;=9,"Q3","Q4")))</f>
        <v>Q3</v>
      </c>
      <c r="AK28" s="8" t="str">
        <f>VLOOKUP(RawSalesTable6[[#This Row],[Customer_ID_Clean]],CustomersTable[],4,FALSE)</f>
        <v>British Columbia</v>
      </c>
      <c r="AL28" s="8">
        <f>IF(RawSalesTable6[[#This Row],[Return_Status]]="Yes",1,0)</f>
        <v>0</v>
      </c>
    </row>
    <row r="29" spans="1:38">
      <c r="A29" t="s">
        <v>202</v>
      </c>
      <c r="B29" s="3">
        <v>45770</v>
      </c>
      <c r="C29" t="s">
        <v>203</v>
      </c>
      <c r="D29" t="s">
        <v>174</v>
      </c>
      <c r="E29" t="s">
        <v>204</v>
      </c>
      <c r="F29" t="s">
        <v>103</v>
      </c>
      <c r="G29" t="s">
        <v>171</v>
      </c>
      <c r="H29" t="s">
        <v>89</v>
      </c>
      <c r="I29">
        <v>3</v>
      </c>
      <c r="J29" s="2">
        <v>38.96</v>
      </c>
      <c r="K29" s="4">
        <v>0.1</v>
      </c>
      <c r="L29" t="s">
        <v>98</v>
      </c>
      <c r="M29">
        <v>2</v>
      </c>
      <c r="N29" t="s">
        <v>91</v>
      </c>
      <c r="O29" t="str">
        <f>SUBSTITUTE(PROPER(TRIM(RawSalesTable6[[#This Row],[Channel_Raw]])),"Market Place","Marketplace")</f>
        <v>Online</v>
      </c>
      <c r="P29" t="str">
        <f>TRIM(RawSalesTable6[[#This Row],[Product_ID]])</f>
        <v>P1002</v>
      </c>
      <c r="Q29" t="str">
        <f>TRIM(RawSalesTable6[[#This Row],[Customer_ID]])</f>
        <v>C0029</v>
      </c>
      <c r="R29" s="8" t="str">
        <f>PROPER(TRIM(RawSalesTable6[[#This Row],[Store_Raw]]))</f>
        <v>Vancouver West</v>
      </c>
      <c r="S29" s="8" t="str">
        <f>IF(TRIM(RawSalesTable6[[#This Row],[Payment_Method_Raw]])="","Non renseigné",SUBSTITUTE(PROPER(TRIM(RawSalesTable6[[#This Row],[Payment_Method_Raw]])),"Cc","Credit Card"))</f>
        <v>Debit Card</v>
      </c>
      <c r="T29" s="8">
        <f>COUNTIF(A:A,RawSalesTable6[[#This Row],[Order_ID]])</f>
        <v>1</v>
      </c>
      <c r="U29" s="8" t="str">
        <f>TRIM(LEFT(RawSalesTable6[[#This Row],[Customer_Info]],FIND(",",RawSalesTable6[[#This Row],[Customer_Info]])-1))</f>
        <v>Olivia White</v>
      </c>
      <c r="V29" s="8" t="str">
        <f>TRIM(MID(RawSalesTable6[[#This Row],[Customer_Info]],FIND(",",RawSalesTable6[[#This Row],[Customer_Info]])+1,FIND(",",RawSalesTable6[[#This Row],[Customer_Info]],FIND(",",RawSalesTable6[[#This Row],[Customer_Info]])+1)-FIND(",",RawSalesTable6[[#This Row],[Customer_Info]])-1))</f>
        <v>Victoria</v>
      </c>
      <c r="W29" s="8" t="str">
        <f>TRIM(RIGHT(RawSalesTable6[[#This Row],[Customer_Info]],LEN(RawSalesTable6[[#This Row],[Customer_Info]])-FIND(",",RawSalesTable6[[#This Row],[Customer_Info]],FIND(",",RawSalesTable6[[#This Row],[Customer_Info]])+1)))</f>
        <v>Consumer</v>
      </c>
      <c r="X29" s="8" t="str">
        <f>VLOOKUP(RawSalesTable6[[#This Row],[Product_ID_Clean]],ProductsTable[],2,FALSE)</f>
        <v>Keyboard</v>
      </c>
      <c r="Y29" s="8" t="str">
        <f>VLOOKUP(RawSalesTable6[[#This Row],[Product_ID_Clean]],ProductsTable[],3,FALSE)</f>
        <v>Electronics</v>
      </c>
      <c r="Z29" s="8">
        <f>VLOOKUP(RawSalesTable6[[#This Row],[Product_ID_Clean]],ProductsTable[],5,FALSE)</f>
        <v>23.5</v>
      </c>
      <c r="AA29" s="8">
        <f>RawSalesTable6[[#This Row],[Unit_Price]]*RawSalesTable6[[#This Row],[Quantity]]</f>
        <v>116.88</v>
      </c>
      <c r="AB29" s="8">
        <f>RawSalesTable6[[#This Row],[Gross_Sales]]*RawSalesTable6[[#This Row],[Discount_Pct]]</f>
        <v>11.688000000000001</v>
      </c>
      <c r="AC29" s="8">
        <f>RawSalesTable6[[#This Row],[Gross_Sales]]-RawSalesTable6[[#This Row],[Discount_Amount]]</f>
        <v>105.19199999999999</v>
      </c>
      <c r="AD29" s="8">
        <f>RawSalesTable6[[#This Row],[Unit_Cost]]*RawSalesTable6[[#This Row],[Quantity]]</f>
        <v>70.5</v>
      </c>
      <c r="AE29" s="8">
        <f>RawSalesTable6[[#This Row],[Net_Sales]]-RawSalesTable6[[#This Row],[Total_Cost]]</f>
        <v>34.691999999999993</v>
      </c>
      <c r="AF29" s="9">
        <f>RawSalesTable6[[#This Row],[Profit]]/RawSalesTable6[[#This Row],[Net_Sales]]</f>
        <v>0.32979694273328763</v>
      </c>
      <c r="AG29" s="8">
        <f>YEAR(RawSalesTable6[[#This Row],[Order_Date]])</f>
        <v>2025</v>
      </c>
      <c r="AH29" s="8">
        <f>MONTH(RawSalesTable6[[#This Row],[Order_Date]])</f>
        <v>4</v>
      </c>
      <c r="AI29" s="8" t="str">
        <f>TEXT(RawSalesTable6[[#This Row],[Order_Date]],"mmmm")</f>
        <v>avril</v>
      </c>
      <c r="AJ29" s="8" t="str">
        <f>IF(RawSalesTable6[[#This Row],[Month_Number]]&lt;=3,"Q1",IF(RawSalesTable6[[#This Row],[Month_Number]]&lt;=6,"Q2",IF(RawSalesTable6[[#This Row],[Month_Number]]&lt;=9,"Q3","Q4")))</f>
        <v>Q2</v>
      </c>
      <c r="AK29" s="8" t="str">
        <f>VLOOKUP(RawSalesTable6[[#This Row],[Customer_ID_Clean]],CustomersTable[],4,FALSE)</f>
        <v>British Columbia</v>
      </c>
      <c r="AL29" s="8">
        <f>IF(RawSalesTable6[[#This Row],[Return_Status]]="Yes",1,0)</f>
        <v>0</v>
      </c>
    </row>
    <row r="30" spans="1:38">
      <c r="A30" t="s">
        <v>205</v>
      </c>
      <c r="B30" s="3">
        <v>45670</v>
      </c>
      <c r="C30" t="s">
        <v>206</v>
      </c>
      <c r="D30" t="s">
        <v>149</v>
      </c>
      <c r="E30" t="s">
        <v>207</v>
      </c>
      <c r="F30" t="s">
        <v>87</v>
      </c>
      <c r="G30" t="s">
        <v>130</v>
      </c>
      <c r="H30" t="s">
        <v>89</v>
      </c>
      <c r="I30">
        <v>3</v>
      </c>
      <c r="J30" s="2">
        <v>81.11</v>
      </c>
      <c r="K30" s="4">
        <v>0.1</v>
      </c>
      <c r="L30" t="s">
        <v>154</v>
      </c>
      <c r="M30">
        <v>1</v>
      </c>
      <c r="N30" t="s">
        <v>91</v>
      </c>
      <c r="O30" t="str">
        <f>SUBSTITUTE(PROPER(TRIM(RawSalesTable6[[#This Row],[Channel_Raw]])),"Market Place","Marketplace")</f>
        <v>Online</v>
      </c>
      <c r="P30" t="str">
        <f>TRIM(RawSalesTable6[[#This Row],[Product_ID]])</f>
        <v>P1011</v>
      </c>
      <c r="Q30" t="str">
        <f>TRIM(RawSalesTable6[[#This Row],[Customer_ID]])</f>
        <v>C0061</v>
      </c>
      <c r="R30" s="8" t="str">
        <f>PROPER(TRIM(RawSalesTable6[[#This Row],[Store_Raw]]))</f>
        <v>Online Fulfillment</v>
      </c>
      <c r="S30" s="8" t="str">
        <f>IF(TRIM(RawSalesTable6[[#This Row],[Payment_Method_Raw]])="","Non renseigné",SUBSTITUTE(PROPER(TRIM(RawSalesTable6[[#This Row],[Payment_Method_Raw]])),"Cc","Credit Card"))</f>
        <v>Gift Card</v>
      </c>
      <c r="T30" s="8">
        <f>COUNTIF(A:A,RawSalesTable6[[#This Row],[Order_ID]])</f>
        <v>1</v>
      </c>
      <c r="U30" s="8" t="str">
        <f>TRIM(LEFT(RawSalesTable6[[#This Row],[Customer_Info]],FIND(",",RawSalesTable6[[#This Row],[Customer_Info]])-1))</f>
        <v>Zoe Hall</v>
      </c>
      <c r="V30" s="8" t="str">
        <f>TRIM(MID(RawSalesTable6[[#This Row],[Customer_Info]],FIND(",",RawSalesTable6[[#This Row],[Customer_Info]])+1,FIND(",",RawSalesTable6[[#This Row],[Customer_Info]],FIND(",",RawSalesTable6[[#This Row],[Customer_Info]])+1)-FIND(",",RawSalesTable6[[#This Row],[Customer_Info]])-1))</f>
        <v>Vancouver</v>
      </c>
      <c r="W30" s="8" t="str">
        <f>TRIM(RIGHT(RawSalesTable6[[#This Row],[Customer_Info]],LEN(RawSalesTable6[[#This Row],[Customer_Info]])-FIND(",",RawSalesTable6[[#This Row],[Customer_Info]],FIND(",",RawSalesTable6[[#This Row],[Customer_Info]])+1)))</f>
        <v>Consumer</v>
      </c>
      <c r="X30" s="8" t="str">
        <f>VLOOKUP(RawSalesTable6[[#This Row],[Product_ID_Clean]],ProductsTable[],2,FALSE)</f>
        <v>Office Chair</v>
      </c>
      <c r="Y30" s="8" t="str">
        <f>VLOOKUP(RawSalesTable6[[#This Row],[Product_ID_Clean]],ProductsTable[],3,FALSE)</f>
        <v>Office</v>
      </c>
      <c r="Z30" s="8">
        <f>VLOOKUP(RawSalesTable6[[#This Row],[Product_ID_Clean]],ProductsTable[],5,FALSE)</f>
        <v>39.26</v>
      </c>
      <c r="AA30" s="8">
        <f>RawSalesTable6[[#This Row],[Unit_Price]]*RawSalesTable6[[#This Row],[Quantity]]</f>
        <v>243.32999999999998</v>
      </c>
      <c r="AB30" s="8">
        <f>RawSalesTable6[[#This Row],[Gross_Sales]]*RawSalesTable6[[#This Row],[Discount_Pct]]</f>
        <v>24.332999999999998</v>
      </c>
      <c r="AC30" s="8">
        <f>RawSalesTable6[[#This Row],[Gross_Sales]]-RawSalesTable6[[#This Row],[Discount_Amount]]</f>
        <v>218.99699999999999</v>
      </c>
      <c r="AD30" s="8">
        <f>RawSalesTable6[[#This Row],[Unit_Cost]]*RawSalesTable6[[#This Row],[Quantity]]</f>
        <v>117.78</v>
      </c>
      <c r="AE30" s="8">
        <f>RawSalesTable6[[#This Row],[Net_Sales]]-RawSalesTable6[[#This Row],[Total_Cost]]</f>
        <v>101.21699999999998</v>
      </c>
      <c r="AF30" s="9">
        <f>RawSalesTable6[[#This Row],[Profit]]/RawSalesTable6[[#This Row],[Net_Sales]]</f>
        <v>0.46218441348511619</v>
      </c>
      <c r="AG30" s="8">
        <f>YEAR(RawSalesTable6[[#This Row],[Order_Date]])</f>
        <v>2025</v>
      </c>
      <c r="AH30" s="8">
        <f>MONTH(RawSalesTable6[[#This Row],[Order_Date]])</f>
        <v>1</v>
      </c>
      <c r="AI30" s="8" t="str">
        <f>TEXT(RawSalesTable6[[#This Row],[Order_Date]],"mmmm")</f>
        <v>janvier</v>
      </c>
      <c r="AJ30" s="8" t="str">
        <f>IF(RawSalesTable6[[#This Row],[Month_Number]]&lt;=3,"Q1",IF(RawSalesTable6[[#This Row],[Month_Number]]&lt;=6,"Q2",IF(RawSalesTable6[[#This Row],[Month_Number]]&lt;=9,"Q3","Q4")))</f>
        <v>Q1</v>
      </c>
      <c r="AK30" s="8" t="str">
        <f>VLOOKUP(RawSalesTable6[[#This Row],[Customer_ID_Clean]],CustomersTable[],4,FALSE)</f>
        <v>British Columbia</v>
      </c>
      <c r="AL30" s="8">
        <f>IF(RawSalesTable6[[#This Row],[Return_Status]]="Yes",1,0)</f>
        <v>0</v>
      </c>
    </row>
    <row r="31" spans="1:38">
      <c r="A31" t="s">
        <v>208</v>
      </c>
      <c r="B31" s="3">
        <v>45940</v>
      </c>
      <c r="C31" t="s">
        <v>209</v>
      </c>
      <c r="D31" t="s">
        <v>210</v>
      </c>
      <c r="E31" t="s">
        <v>211</v>
      </c>
      <c r="F31" t="s">
        <v>116</v>
      </c>
      <c r="G31" t="s">
        <v>171</v>
      </c>
      <c r="H31" t="s">
        <v>89</v>
      </c>
      <c r="I31">
        <v>1</v>
      </c>
      <c r="J31" s="2">
        <v>322.58</v>
      </c>
      <c r="K31" s="4">
        <v>0.05</v>
      </c>
      <c r="L31" t="s">
        <v>106</v>
      </c>
      <c r="M31">
        <v>6</v>
      </c>
      <c r="N31" t="s">
        <v>91</v>
      </c>
      <c r="O31" t="str">
        <f>SUBSTITUTE(PROPER(TRIM(RawSalesTable6[[#This Row],[Channel_Raw]])),"Market Place","Marketplace")</f>
        <v>Online</v>
      </c>
      <c r="P31" t="str">
        <f>TRIM(RawSalesTable6[[#This Row],[Product_ID]])</f>
        <v>P1040</v>
      </c>
      <c r="Q31" t="str">
        <f>TRIM(RawSalesTable6[[#This Row],[Customer_ID]])</f>
        <v>C0005</v>
      </c>
      <c r="R31" s="8" t="str">
        <f>PROPER(TRIM(RawSalesTable6[[#This Row],[Store_Raw]]))</f>
        <v>Toronto Downtown</v>
      </c>
      <c r="S31" s="8" t="str">
        <f>IF(TRIM(RawSalesTable6[[#This Row],[Payment_Method_Raw]])="","Non renseigné",SUBSTITUTE(PROPER(TRIM(RawSalesTable6[[#This Row],[Payment_Method_Raw]])),"Cc","Credit Card"))</f>
        <v>Credit Card</v>
      </c>
      <c r="T31" s="8">
        <f>COUNTIF(A:A,RawSalesTable6[[#This Row],[Order_ID]])</f>
        <v>1</v>
      </c>
      <c r="U31" s="8" t="str">
        <f>TRIM(LEFT(RawSalesTable6[[#This Row],[Customer_Info]],FIND(",",RawSalesTable6[[#This Row],[Customer_Info]])-1))</f>
        <v>Yasmine Taylor</v>
      </c>
      <c r="V31" s="8" t="str">
        <f>TRIM(MID(RawSalesTable6[[#This Row],[Customer_Info]],FIND(",",RawSalesTable6[[#This Row],[Customer_Info]])+1,FIND(",",RawSalesTable6[[#This Row],[Customer_Info]],FIND(",",RawSalesTable6[[#This Row],[Customer_Info]])+1)-FIND(",",RawSalesTable6[[#This Row],[Customer_Info]])-1))</f>
        <v>Calgary</v>
      </c>
      <c r="W31" s="8" t="str">
        <f>TRIM(RIGHT(RawSalesTable6[[#This Row],[Customer_Info]],LEN(RawSalesTable6[[#This Row],[Customer_Info]])-FIND(",",RawSalesTable6[[#This Row],[Customer_Info]],FIND(",",RawSalesTable6[[#This Row],[Customer_Info]])+1)))</f>
        <v>Consumer</v>
      </c>
      <c r="X31" s="8" t="str">
        <f>VLOOKUP(RawSalesTable6[[#This Row],[Product_ID_Clean]],ProductsTable[],2,FALSE)</f>
        <v>Desk Pad</v>
      </c>
      <c r="Y31" s="8" t="str">
        <f>VLOOKUP(RawSalesTable6[[#This Row],[Product_ID_Clean]],ProductsTable[],3,FALSE)</f>
        <v>Accessories</v>
      </c>
      <c r="Z31" s="8">
        <f>VLOOKUP(RawSalesTable6[[#This Row],[Product_ID_Clean]],ProductsTable[],5,FALSE)</f>
        <v>177.57</v>
      </c>
      <c r="AA31" s="8">
        <f>RawSalesTable6[[#This Row],[Unit_Price]]*RawSalesTable6[[#This Row],[Quantity]]</f>
        <v>322.58</v>
      </c>
      <c r="AB31" s="8">
        <f>RawSalesTable6[[#This Row],[Gross_Sales]]*RawSalesTable6[[#This Row],[Discount_Pct]]</f>
        <v>16.129000000000001</v>
      </c>
      <c r="AC31" s="8">
        <f>RawSalesTable6[[#This Row],[Gross_Sales]]-RawSalesTable6[[#This Row],[Discount_Amount]]</f>
        <v>306.45099999999996</v>
      </c>
      <c r="AD31" s="8">
        <f>RawSalesTable6[[#This Row],[Unit_Cost]]*RawSalesTable6[[#This Row],[Quantity]]</f>
        <v>177.57</v>
      </c>
      <c r="AE31" s="8">
        <f>RawSalesTable6[[#This Row],[Net_Sales]]-RawSalesTable6[[#This Row],[Total_Cost]]</f>
        <v>128.88099999999997</v>
      </c>
      <c r="AF31" s="9">
        <f>RawSalesTable6[[#This Row],[Profit]]/RawSalesTable6[[#This Row],[Net_Sales]]</f>
        <v>0.42055989375136643</v>
      </c>
      <c r="AG31" s="8">
        <f>YEAR(RawSalesTable6[[#This Row],[Order_Date]])</f>
        <v>2025</v>
      </c>
      <c r="AH31" s="8">
        <f>MONTH(RawSalesTable6[[#This Row],[Order_Date]])</f>
        <v>10</v>
      </c>
      <c r="AI31" s="8" t="str">
        <f>TEXT(RawSalesTable6[[#This Row],[Order_Date]],"mmmm")</f>
        <v>octobre</v>
      </c>
      <c r="AJ31" s="8" t="str">
        <f>IF(RawSalesTable6[[#This Row],[Month_Number]]&lt;=3,"Q1",IF(RawSalesTable6[[#This Row],[Month_Number]]&lt;=6,"Q2",IF(RawSalesTable6[[#This Row],[Month_Number]]&lt;=9,"Q3","Q4")))</f>
        <v>Q4</v>
      </c>
      <c r="AK31" s="8" t="str">
        <f>VLOOKUP(RawSalesTable6[[#This Row],[Customer_ID_Clean]],CustomersTable[],4,FALSE)</f>
        <v>Alberta</v>
      </c>
      <c r="AL31" s="8">
        <f>IF(RawSalesTable6[[#This Row],[Return_Status]]="Yes",1,0)</f>
        <v>0</v>
      </c>
    </row>
    <row r="32" spans="1:38">
      <c r="A32" t="s">
        <v>212</v>
      </c>
      <c r="B32" s="3">
        <v>45730</v>
      </c>
      <c r="C32" t="s">
        <v>213</v>
      </c>
      <c r="D32" t="s">
        <v>133</v>
      </c>
      <c r="E32" t="s">
        <v>214</v>
      </c>
      <c r="F32" t="s">
        <v>187</v>
      </c>
      <c r="G32" t="s">
        <v>117</v>
      </c>
      <c r="H32" t="s">
        <v>89</v>
      </c>
      <c r="I32">
        <v>1</v>
      </c>
      <c r="J32" s="2">
        <v>359.52</v>
      </c>
      <c r="K32" s="4">
        <v>0.15</v>
      </c>
      <c r="L32" t="s">
        <v>154</v>
      </c>
      <c r="M32">
        <v>9</v>
      </c>
      <c r="N32" t="s">
        <v>91</v>
      </c>
      <c r="O32" t="str">
        <f>SUBSTITUTE(PROPER(TRIM(RawSalesTable6[[#This Row],[Channel_Raw]])),"Market Place","Marketplace")</f>
        <v>Online</v>
      </c>
      <c r="P32" t="str">
        <f>TRIM(RawSalesTable6[[#This Row],[Product_ID]])</f>
        <v>P1039</v>
      </c>
      <c r="Q32" t="str">
        <f>TRIM(RawSalesTable6[[#This Row],[Customer_ID]])</f>
        <v>C0001</v>
      </c>
      <c r="R32" s="8" t="str">
        <f>PROPER(TRIM(RawSalesTable6[[#This Row],[Store_Raw]]))</f>
        <v>Vancouver West</v>
      </c>
      <c r="S32" s="8" t="str">
        <f>IF(TRIM(RawSalesTable6[[#This Row],[Payment_Method_Raw]])="","Non renseigné",SUBSTITUTE(PROPER(TRIM(RawSalesTable6[[#This Row],[Payment_Method_Raw]])),"Cc","Credit Card"))</f>
        <v>Gift Card</v>
      </c>
      <c r="T32" s="8">
        <f>COUNTIF(A:A,RawSalesTable6[[#This Row],[Order_ID]])</f>
        <v>1</v>
      </c>
      <c r="U32" s="8" t="str">
        <f>TRIM(LEFT(RawSalesTable6[[#This Row],[Customer_Info]],FIND(",",RawSalesTable6[[#This Row],[Customer_Info]])-1))</f>
        <v>Ethan Roy</v>
      </c>
      <c r="V32" s="8" t="str">
        <f>TRIM(MID(RawSalesTable6[[#This Row],[Customer_Info]],FIND(",",RawSalesTable6[[#This Row],[Customer_Info]])+1,FIND(",",RawSalesTable6[[#This Row],[Customer_Info]],FIND(",",RawSalesTable6[[#This Row],[Customer_Info]])+1)-FIND(",",RawSalesTable6[[#This Row],[Customer_Info]])-1))</f>
        <v>Halifax</v>
      </c>
      <c r="W32" s="8" t="str">
        <f>TRIM(RIGHT(RawSalesTable6[[#This Row],[Customer_Info]],LEN(RawSalesTable6[[#This Row],[Customer_Info]])-FIND(",",RawSalesTable6[[#This Row],[Customer_Info]],FIND(",",RawSalesTable6[[#This Row],[Customer_Info]])+1)))</f>
        <v>Consumer</v>
      </c>
      <c r="X32" s="8" t="str">
        <f>VLOOKUP(RawSalesTable6[[#This Row],[Product_ID_Clean]],ProductsTable[],2,FALSE)</f>
        <v>Travel Adapter</v>
      </c>
      <c r="Y32" s="8" t="str">
        <f>VLOOKUP(RawSalesTable6[[#This Row],[Product_ID_Clean]],ProductsTable[],3,FALSE)</f>
        <v>Accessories</v>
      </c>
      <c r="Z32" s="8">
        <f>VLOOKUP(RawSalesTable6[[#This Row],[Product_ID_Clean]],ProductsTable[],5,FALSE)</f>
        <v>229.86</v>
      </c>
      <c r="AA32" s="8">
        <f>RawSalesTable6[[#This Row],[Unit_Price]]*RawSalesTable6[[#This Row],[Quantity]]</f>
        <v>359.52</v>
      </c>
      <c r="AB32" s="8">
        <f>RawSalesTable6[[#This Row],[Gross_Sales]]*RawSalesTable6[[#This Row],[Discount_Pct]]</f>
        <v>53.927999999999997</v>
      </c>
      <c r="AC32" s="8">
        <f>RawSalesTable6[[#This Row],[Gross_Sales]]-RawSalesTable6[[#This Row],[Discount_Amount]]</f>
        <v>305.59199999999998</v>
      </c>
      <c r="AD32" s="8">
        <f>RawSalesTable6[[#This Row],[Unit_Cost]]*RawSalesTable6[[#This Row],[Quantity]]</f>
        <v>229.86</v>
      </c>
      <c r="AE32" s="8">
        <f>RawSalesTable6[[#This Row],[Net_Sales]]-RawSalesTable6[[#This Row],[Total_Cost]]</f>
        <v>75.731999999999971</v>
      </c>
      <c r="AF32" s="9">
        <f>RawSalesTable6[[#This Row],[Profit]]/RawSalesTable6[[#This Row],[Net_Sales]]</f>
        <v>0.24782062357653334</v>
      </c>
      <c r="AG32" s="8">
        <f>YEAR(RawSalesTable6[[#This Row],[Order_Date]])</f>
        <v>2025</v>
      </c>
      <c r="AH32" s="8">
        <f>MONTH(RawSalesTable6[[#This Row],[Order_Date]])</f>
        <v>3</v>
      </c>
      <c r="AI32" s="8" t="str">
        <f>TEXT(RawSalesTable6[[#This Row],[Order_Date]],"mmmm")</f>
        <v>mars</v>
      </c>
      <c r="AJ32" s="8" t="str">
        <f>IF(RawSalesTable6[[#This Row],[Month_Number]]&lt;=3,"Q1",IF(RawSalesTable6[[#This Row],[Month_Number]]&lt;=6,"Q2",IF(RawSalesTable6[[#This Row],[Month_Number]]&lt;=9,"Q3","Q4")))</f>
        <v>Q1</v>
      </c>
      <c r="AK32" s="8" t="str">
        <f>VLOOKUP(RawSalesTable6[[#This Row],[Customer_ID_Clean]],CustomersTable[],4,FALSE)</f>
        <v>Nova Scotia</v>
      </c>
      <c r="AL32" s="8">
        <f>IF(RawSalesTable6[[#This Row],[Return_Status]]="Yes",1,0)</f>
        <v>0</v>
      </c>
    </row>
    <row r="33" spans="1:38">
      <c r="A33" t="s">
        <v>215</v>
      </c>
      <c r="B33" s="3">
        <v>45997</v>
      </c>
      <c r="C33" t="s">
        <v>216</v>
      </c>
      <c r="D33" t="s">
        <v>217</v>
      </c>
      <c r="E33" t="s">
        <v>218</v>
      </c>
      <c r="F33" t="s">
        <v>116</v>
      </c>
      <c r="G33" t="s">
        <v>171</v>
      </c>
      <c r="H33" t="s">
        <v>105</v>
      </c>
      <c r="I33">
        <v>1</v>
      </c>
      <c r="J33" s="2">
        <v>99.63</v>
      </c>
      <c r="K33" s="4">
        <v>0</v>
      </c>
      <c r="L33" t="s">
        <v>90</v>
      </c>
      <c r="M33">
        <v>8</v>
      </c>
      <c r="N33" t="s">
        <v>91</v>
      </c>
      <c r="O33" t="str">
        <f>SUBSTITUTE(PROPER(TRIM(RawSalesTable6[[#This Row],[Channel_Raw]])),"Market Place","Marketplace")</f>
        <v>Marketplace</v>
      </c>
      <c r="P33" t="str">
        <f>TRIM(RawSalesTable6[[#This Row],[Product_ID]])</f>
        <v>P1006</v>
      </c>
      <c r="Q33" t="str">
        <f>TRIM(RawSalesTable6[[#This Row],[Customer_ID]])</f>
        <v>C0065</v>
      </c>
      <c r="R33" s="8" t="str">
        <f>PROPER(TRIM(RawSalesTable6[[#This Row],[Store_Raw]]))</f>
        <v>Toronto Downtown</v>
      </c>
      <c r="S33" s="8" t="str">
        <f>IF(TRIM(RawSalesTable6[[#This Row],[Payment_Method_Raw]])="","Non renseigné",SUBSTITUTE(PROPER(TRIM(RawSalesTable6[[#This Row],[Payment_Method_Raw]])),"Cc","Credit Card"))</f>
        <v>Paypal</v>
      </c>
      <c r="T33" s="8">
        <f>COUNTIF(A:A,RawSalesTable6[[#This Row],[Order_ID]])</f>
        <v>1</v>
      </c>
      <c r="U33" s="8" t="str">
        <f>TRIM(LEFT(RawSalesTable6[[#This Row],[Customer_Info]],FIND(",",RawSalesTable6[[#This Row],[Customer_Info]])-1))</f>
        <v>Mia Wilson</v>
      </c>
      <c r="V33" s="8" t="str">
        <f>TRIM(MID(RawSalesTable6[[#This Row],[Customer_Info]],FIND(",",RawSalesTable6[[#This Row],[Customer_Info]])+1,FIND(",",RawSalesTable6[[#This Row],[Customer_Info]],FIND(",",RawSalesTable6[[#This Row],[Customer_Info]])+1)-FIND(",",RawSalesTable6[[#This Row],[Customer_Info]])-1))</f>
        <v>Quebec City</v>
      </c>
      <c r="W33" s="8" t="str">
        <f>TRIM(RIGHT(RawSalesTable6[[#This Row],[Customer_Info]],LEN(RawSalesTable6[[#This Row],[Customer_Info]])-FIND(",",RawSalesTable6[[#This Row],[Customer_Info]],FIND(",",RawSalesTable6[[#This Row],[Customer_Info]])+1)))</f>
        <v>Consumer</v>
      </c>
      <c r="X33" s="8" t="str">
        <f>VLOOKUP(RawSalesTable6[[#This Row],[Product_ID_Clean]],ProductsTable[],2,FALSE)</f>
        <v>USB-C Hub</v>
      </c>
      <c r="Y33" s="8" t="str">
        <f>VLOOKUP(RawSalesTable6[[#This Row],[Product_ID_Clean]],ProductsTable[],3,FALSE)</f>
        <v>Electronics</v>
      </c>
      <c r="Z33" s="8">
        <f>VLOOKUP(RawSalesTable6[[#This Row],[Product_ID_Clean]],ProductsTable[],5,FALSE)</f>
        <v>72</v>
      </c>
      <c r="AA33" s="8">
        <f>RawSalesTable6[[#This Row],[Unit_Price]]*RawSalesTable6[[#This Row],[Quantity]]</f>
        <v>99.63</v>
      </c>
      <c r="AB33" s="8">
        <f>RawSalesTable6[[#This Row],[Gross_Sales]]*RawSalesTable6[[#This Row],[Discount_Pct]]</f>
        <v>0</v>
      </c>
      <c r="AC33" s="8">
        <f>RawSalesTable6[[#This Row],[Gross_Sales]]-RawSalesTable6[[#This Row],[Discount_Amount]]</f>
        <v>99.63</v>
      </c>
      <c r="AD33" s="8">
        <f>RawSalesTable6[[#This Row],[Unit_Cost]]*RawSalesTable6[[#This Row],[Quantity]]</f>
        <v>72</v>
      </c>
      <c r="AE33" s="8">
        <f>RawSalesTable6[[#This Row],[Net_Sales]]-RawSalesTable6[[#This Row],[Total_Cost]]</f>
        <v>27.629999999999995</v>
      </c>
      <c r="AF33" s="9">
        <f>RawSalesTable6[[#This Row],[Profit]]/RawSalesTable6[[#This Row],[Net_Sales]]</f>
        <v>0.27732610659439927</v>
      </c>
      <c r="AG33" s="8">
        <f>YEAR(RawSalesTable6[[#This Row],[Order_Date]])</f>
        <v>2025</v>
      </c>
      <c r="AH33" s="8">
        <f>MONTH(RawSalesTable6[[#This Row],[Order_Date]])</f>
        <v>12</v>
      </c>
      <c r="AI33" s="8" t="str">
        <f>TEXT(RawSalesTable6[[#This Row],[Order_Date]],"mmmm")</f>
        <v>décembre</v>
      </c>
      <c r="AJ33" s="8" t="str">
        <f>IF(RawSalesTable6[[#This Row],[Month_Number]]&lt;=3,"Q1",IF(RawSalesTable6[[#This Row],[Month_Number]]&lt;=6,"Q2",IF(RawSalesTable6[[#This Row],[Month_Number]]&lt;=9,"Q3","Q4")))</f>
        <v>Q4</v>
      </c>
      <c r="AK33" s="8" t="str">
        <f>VLOOKUP(RawSalesTable6[[#This Row],[Customer_ID_Clean]],CustomersTable[],4,FALSE)</f>
        <v>Quebec</v>
      </c>
      <c r="AL33" s="8">
        <f>IF(RawSalesTable6[[#This Row],[Return_Status]]="Yes",1,0)</f>
        <v>0</v>
      </c>
    </row>
    <row r="34" spans="1:38">
      <c r="A34" t="s">
        <v>219</v>
      </c>
      <c r="B34" s="3">
        <v>45785</v>
      </c>
      <c r="C34" t="s">
        <v>220</v>
      </c>
      <c r="D34" t="s">
        <v>221</v>
      </c>
      <c r="E34" t="s">
        <v>222</v>
      </c>
      <c r="F34" t="s">
        <v>223</v>
      </c>
      <c r="G34" t="s">
        <v>104</v>
      </c>
      <c r="H34" t="s">
        <v>89</v>
      </c>
      <c r="I34">
        <v>1</v>
      </c>
      <c r="J34" s="2">
        <v>30.26</v>
      </c>
      <c r="K34" s="4">
        <v>0.2</v>
      </c>
      <c r="L34" t="s">
        <v>106</v>
      </c>
      <c r="M34">
        <v>5</v>
      </c>
      <c r="N34" t="s">
        <v>91</v>
      </c>
      <c r="O34" t="str">
        <f>SUBSTITUTE(PROPER(TRIM(RawSalesTable6[[#This Row],[Channel_Raw]])),"Market Place","Marketplace")</f>
        <v>Online</v>
      </c>
      <c r="P34" t="str">
        <f>TRIM(RawSalesTable6[[#This Row],[Product_ID]])</f>
        <v>P1018</v>
      </c>
      <c r="Q34" t="str">
        <f>TRIM(RawSalesTable6[[#This Row],[Customer_ID]])</f>
        <v>C0067</v>
      </c>
      <c r="R34" s="8" t="str">
        <f>PROPER(TRIM(RawSalesTable6[[#This Row],[Store_Raw]]))</f>
        <v>Montreal Central</v>
      </c>
      <c r="S34" s="8" t="str">
        <f>IF(TRIM(RawSalesTable6[[#This Row],[Payment_Method_Raw]])="","Non renseigné",SUBSTITUTE(PROPER(TRIM(RawSalesTable6[[#This Row],[Payment_Method_Raw]])),"Cc","Credit Card"))</f>
        <v>Credit Card</v>
      </c>
      <c r="T34" s="8">
        <f>COUNTIF(A:A,RawSalesTable6[[#This Row],[Order_ID]])</f>
        <v>1</v>
      </c>
      <c r="U34" s="8" t="str">
        <f>TRIM(LEFT(RawSalesTable6[[#This Row],[Customer_Info]],FIND(",",RawSalesTable6[[#This Row],[Customer_Info]])-1))</f>
        <v>Leo Bennett</v>
      </c>
      <c r="V34" s="8" t="str">
        <f>TRIM(MID(RawSalesTable6[[#This Row],[Customer_Info]],FIND(",",RawSalesTable6[[#This Row],[Customer_Info]])+1,FIND(",",RawSalesTable6[[#This Row],[Customer_Info]],FIND(",",RawSalesTable6[[#This Row],[Customer_Info]])+1)-FIND(",",RawSalesTable6[[#This Row],[Customer_Info]])-1))</f>
        <v>Mississauga</v>
      </c>
      <c r="W34" s="8" t="str">
        <f>TRIM(RIGHT(RawSalesTable6[[#This Row],[Customer_Info]],LEN(RawSalesTable6[[#This Row],[Customer_Info]])-FIND(",",RawSalesTable6[[#This Row],[Customer_Info]],FIND(",",RawSalesTable6[[#This Row],[Customer_Info]])+1)))</f>
        <v>Consumer</v>
      </c>
      <c r="X34" s="8" t="str">
        <f>VLOOKUP(RawSalesTable6[[#This Row],[Product_ID_Clean]],ProductsTable[],2,FALSE)</f>
        <v>Air Fryer</v>
      </c>
      <c r="Y34" s="8" t="str">
        <f>VLOOKUP(RawSalesTable6[[#This Row],[Product_ID_Clean]],ProductsTable[],3,FALSE)</f>
        <v>Home</v>
      </c>
      <c r="Z34" s="8">
        <f>VLOOKUP(RawSalesTable6[[#This Row],[Product_ID_Clean]],ProductsTable[],5,FALSE)</f>
        <v>14.58</v>
      </c>
      <c r="AA34" s="8">
        <f>RawSalesTable6[[#This Row],[Unit_Price]]*RawSalesTable6[[#This Row],[Quantity]]</f>
        <v>30.26</v>
      </c>
      <c r="AB34" s="8">
        <f>RawSalesTable6[[#This Row],[Gross_Sales]]*RawSalesTable6[[#This Row],[Discount_Pct]]</f>
        <v>6.0520000000000005</v>
      </c>
      <c r="AC34" s="8">
        <f>RawSalesTable6[[#This Row],[Gross_Sales]]-RawSalesTable6[[#This Row],[Discount_Amount]]</f>
        <v>24.208000000000002</v>
      </c>
      <c r="AD34" s="8">
        <f>RawSalesTable6[[#This Row],[Unit_Cost]]*RawSalesTable6[[#This Row],[Quantity]]</f>
        <v>14.58</v>
      </c>
      <c r="AE34" s="8">
        <f>RawSalesTable6[[#This Row],[Net_Sales]]-RawSalesTable6[[#This Row],[Total_Cost]]</f>
        <v>9.6280000000000019</v>
      </c>
      <c r="AF34" s="9">
        <f>RawSalesTable6[[#This Row],[Profit]]/RawSalesTable6[[#This Row],[Net_Sales]]</f>
        <v>0.39771976206212828</v>
      </c>
      <c r="AG34" s="8">
        <f>YEAR(RawSalesTable6[[#This Row],[Order_Date]])</f>
        <v>2025</v>
      </c>
      <c r="AH34" s="8">
        <f>MONTH(RawSalesTable6[[#This Row],[Order_Date]])</f>
        <v>5</v>
      </c>
      <c r="AI34" s="8" t="str">
        <f>TEXT(RawSalesTable6[[#This Row],[Order_Date]],"mmmm")</f>
        <v>mai</v>
      </c>
      <c r="AJ34" s="8" t="str">
        <f>IF(RawSalesTable6[[#This Row],[Month_Number]]&lt;=3,"Q1",IF(RawSalesTable6[[#This Row],[Month_Number]]&lt;=6,"Q2",IF(RawSalesTable6[[#This Row],[Month_Number]]&lt;=9,"Q3","Q4")))</f>
        <v>Q2</v>
      </c>
      <c r="AK34" s="8" t="str">
        <f>VLOOKUP(RawSalesTable6[[#This Row],[Customer_ID_Clean]],CustomersTable[],4,FALSE)</f>
        <v>Ontario</v>
      </c>
      <c r="AL34" s="8">
        <f>IF(RawSalesTable6[[#This Row],[Return_Status]]="Yes",1,0)</f>
        <v>0</v>
      </c>
    </row>
    <row r="35" spans="1:38">
      <c r="A35" t="s">
        <v>224</v>
      </c>
      <c r="B35" s="3">
        <v>45732</v>
      </c>
      <c r="C35" t="s">
        <v>225</v>
      </c>
      <c r="D35" t="s">
        <v>226</v>
      </c>
      <c r="E35" t="s">
        <v>227</v>
      </c>
      <c r="F35" t="s">
        <v>111</v>
      </c>
      <c r="G35" t="s">
        <v>130</v>
      </c>
      <c r="H35" t="s">
        <v>228</v>
      </c>
      <c r="I35">
        <v>1</v>
      </c>
      <c r="J35" s="2">
        <v>215.08</v>
      </c>
      <c r="K35" s="4">
        <v>0</v>
      </c>
      <c r="L35" t="s">
        <v>98</v>
      </c>
      <c r="M35">
        <v>9</v>
      </c>
      <c r="N35" t="s">
        <v>91</v>
      </c>
      <c r="O35" t="str">
        <f>SUBSTITUTE(PROPER(TRIM(RawSalesTable6[[#This Row],[Channel_Raw]])),"Market Place","Marketplace")</f>
        <v>Online</v>
      </c>
      <c r="P35" t="str">
        <f>TRIM(RawSalesTable6[[#This Row],[Product_ID]])</f>
        <v>P1010</v>
      </c>
      <c r="Q35" t="str">
        <f>TRIM(RawSalesTable6[[#This Row],[Customer_ID]])</f>
        <v>C0110</v>
      </c>
      <c r="R35" s="8" t="str">
        <f>PROPER(TRIM(RawSalesTable6[[#This Row],[Store_Raw]]))</f>
        <v>Montreal Central</v>
      </c>
      <c r="S35" s="8" t="str">
        <f>IF(TRIM(RawSalesTable6[[#This Row],[Payment_Method_Raw]])="","Non renseigné",SUBSTITUTE(PROPER(TRIM(RawSalesTable6[[#This Row],[Payment_Method_Raw]])),"Cc","Credit Card"))</f>
        <v>Debit Card</v>
      </c>
      <c r="T35" s="8">
        <f>COUNTIF(A:A,RawSalesTable6[[#This Row],[Order_ID]])</f>
        <v>1</v>
      </c>
      <c r="U35" s="8" t="str">
        <f>TRIM(LEFT(RawSalesTable6[[#This Row],[Customer_Info]],FIND(",",RawSalesTable6[[#This Row],[Customer_Info]])-1))</f>
        <v>Sarah Smith</v>
      </c>
      <c r="V35" s="8" t="str">
        <f>TRIM(MID(RawSalesTable6[[#This Row],[Customer_Info]],FIND(",",RawSalesTable6[[#This Row],[Customer_Info]])+1,FIND(",",RawSalesTable6[[#This Row],[Customer_Info]],FIND(",",RawSalesTable6[[#This Row],[Customer_Info]])+1)-FIND(",",RawSalesTable6[[#This Row],[Customer_Info]])-1))</f>
        <v>Laval</v>
      </c>
      <c r="W35" s="8" t="str">
        <f>TRIM(RIGHT(RawSalesTable6[[#This Row],[Customer_Info]],LEN(RawSalesTable6[[#This Row],[Customer_Info]])-FIND(",",RawSalesTable6[[#This Row],[Customer_Info]],FIND(",",RawSalesTable6[[#This Row],[Customer_Info]])+1)))</f>
        <v>Consumer</v>
      </c>
      <c r="X35" s="8" t="str">
        <f>VLOOKUP(RawSalesTable6[[#This Row],[Product_ID_Clean]],ProductsTable[],2,FALSE)</f>
        <v>Desk Lamp</v>
      </c>
      <c r="Y35" s="8" t="str">
        <f>VLOOKUP(RawSalesTable6[[#This Row],[Product_ID_Clean]],ProductsTable[],3,FALSE)</f>
        <v>Office</v>
      </c>
      <c r="Z35" s="8">
        <f>VLOOKUP(RawSalesTable6[[#This Row],[Product_ID_Clean]],ProductsTable[],5,FALSE)</f>
        <v>127.21</v>
      </c>
      <c r="AA35" s="8">
        <f>RawSalesTable6[[#This Row],[Unit_Price]]*RawSalesTable6[[#This Row],[Quantity]]</f>
        <v>215.08</v>
      </c>
      <c r="AB35" s="8">
        <f>RawSalesTable6[[#This Row],[Gross_Sales]]*RawSalesTable6[[#This Row],[Discount_Pct]]</f>
        <v>0</v>
      </c>
      <c r="AC35" s="8">
        <f>RawSalesTable6[[#This Row],[Gross_Sales]]-RawSalesTable6[[#This Row],[Discount_Amount]]</f>
        <v>215.08</v>
      </c>
      <c r="AD35" s="8">
        <f>RawSalesTable6[[#This Row],[Unit_Cost]]*RawSalesTable6[[#This Row],[Quantity]]</f>
        <v>127.21</v>
      </c>
      <c r="AE35" s="8">
        <f>RawSalesTable6[[#This Row],[Net_Sales]]-RawSalesTable6[[#This Row],[Total_Cost]]</f>
        <v>87.870000000000019</v>
      </c>
      <c r="AF35" s="9">
        <f>RawSalesTable6[[#This Row],[Profit]]/RawSalesTable6[[#This Row],[Net_Sales]]</f>
        <v>0.40854565742979365</v>
      </c>
      <c r="AG35" s="8">
        <f>YEAR(RawSalesTable6[[#This Row],[Order_Date]])</f>
        <v>2025</v>
      </c>
      <c r="AH35" s="8">
        <f>MONTH(RawSalesTable6[[#This Row],[Order_Date]])</f>
        <v>3</v>
      </c>
      <c r="AI35" s="8" t="str">
        <f>TEXT(RawSalesTable6[[#This Row],[Order_Date]],"mmmm")</f>
        <v>mars</v>
      </c>
      <c r="AJ35" s="8" t="str">
        <f>IF(RawSalesTable6[[#This Row],[Month_Number]]&lt;=3,"Q1",IF(RawSalesTable6[[#This Row],[Month_Number]]&lt;=6,"Q2",IF(RawSalesTable6[[#This Row],[Month_Number]]&lt;=9,"Q3","Q4")))</f>
        <v>Q1</v>
      </c>
      <c r="AK35" s="8" t="str">
        <f>VLOOKUP(RawSalesTable6[[#This Row],[Customer_ID_Clean]],CustomersTable[],4,FALSE)</f>
        <v>Quebec</v>
      </c>
      <c r="AL35" s="8">
        <f>IF(RawSalesTable6[[#This Row],[Return_Status]]="Yes",1,0)</f>
        <v>0</v>
      </c>
    </row>
    <row r="36" spans="1:38">
      <c r="A36" t="s">
        <v>229</v>
      </c>
      <c r="B36" s="3">
        <v>45961</v>
      </c>
      <c r="C36" t="s">
        <v>230</v>
      </c>
      <c r="D36" t="s">
        <v>231</v>
      </c>
      <c r="E36" t="s">
        <v>232</v>
      </c>
      <c r="F36" t="s">
        <v>116</v>
      </c>
      <c r="G36" t="s">
        <v>171</v>
      </c>
      <c r="H36" t="s">
        <v>233</v>
      </c>
      <c r="I36">
        <v>3</v>
      </c>
      <c r="J36" s="2">
        <v>370.4</v>
      </c>
      <c r="K36" s="4">
        <v>0.05</v>
      </c>
      <c r="L36" t="s">
        <v>106</v>
      </c>
      <c r="M36">
        <v>0</v>
      </c>
      <c r="N36" t="s">
        <v>91</v>
      </c>
      <c r="O36" t="str">
        <f>SUBSTITUTE(PROPER(TRIM(RawSalesTable6[[#This Row],[Channel_Raw]])),"Market Place","Marketplace")</f>
        <v>Retail Store</v>
      </c>
      <c r="P36" t="str">
        <f>TRIM(RawSalesTable6[[#This Row],[Product_ID]])</f>
        <v>P1037</v>
      </c>
      <c r="Q36" t="str">
        <f>TRIM(RawSalesTable6[[#This Row],[Customer_ID]])</f>
        <v>C0063</v>
      </c>
      <c r="R36" s="8" t="str">
        <f>PROPER(TRIM(RawSalesTable6[[#This Row],[Store_Raw]]))</f>
        <v>Toronto Downtown</v>
      </c>
      <c r="S36" s="8" t="str">
        <f>IF(TRIM(RawSalesTable6[[#This Row],[Payment_Method_Raw]])="","Non renseigné",SUBSTITUTE(PROPER(TRIM(RawSalesTable6[[#This Row],[Payment_Method_Raw]])),"Cc","Credit Card"))</f>
        <v>Credit Card</v>
      </c>
      <c r="T36" s="8">
        <f>COUNTIF(A:A,RawSalesTable6[[#This Row],[Order_ID]])</f>
        <v>1</v>
      </c>
      <c r="U36" s="8" t="str">
        <f>TRIM(LEFT(RawSalesTable6[[#This Row],[Customer_Info]],FIND(",",RawSalesTable6[[#This Row],[Customer_Info]])-1))</f>
        <v>Adam Singh</v>
      </c>
      <c r="V36" s="8" t="str">
        <f>TRIM(MID(RawSalesTable6[[#This Row],[Customer_Info]],FIND(",",RawSalesTable6[[#This Row],[Customer_Info]])+1,FIND(",",RawSalesTable6[[#This Row],[Customer_Info]],FIND(",",RawSalesTable6[[#This Row],[Customer_Info]])+1)-FIND(",",RawSalesTable6[[#This Row],[Customer_Info]])-1))</f>
        <v>Laval</v>
      </c>
      <c r="W36" s="8" t="str">
        <f>TRIM(RIGHT(RawSalesTable6[[#This Row],[Customer_Info]],LEN(RawSalesTable6[[#This Row],[Customer_Info]])-FIND(",",RawSalesTable6[[#This Row],[Customer_Info]],FIND(",",RawSalesTable6[[#This Row],[Customer_Info]])+1)))</f>
        <v>Small Business</v>
      </c>
      <c r="X36" s="8" t="str">
        <f>VLOOKUP(RawSalesTable6[[#This Row],[Product_ID_Clean]],ProductsTable[],2,FALSE)</f>
        <v>Cable Set</v>
      </c>
      <c r="Y36" s="8" t="str">
        <f>VLOOKUP(RawSalesTable6[[#This Row],[Product_ID_Clean]],ProductsTable[],3,FALSE)</f>
        <v>Accessories</v>
      </c>
      <c r="Z36" s="8">
        <f>VLOOKUP(RawSalesTable6[[#This Row],[Product_ID_Clean]],ProductsTable[],5,FALSE)</f>
        <v>200.16</v>
      </c>
      <c r="AA36" s="8">
        <f>RawSalesTable6[[#This Row],[Unit_Price]]*RawSalesTable6[[#This Row],[Quantity]]</f>
        <v>1111.1999999999998</v>
      </c>
      <c r="AB36" s="8">
        <f>RawSalesTable6[[#This Row],[Gross_Sales]]*RawSalesTable6[[#This Row],[Discount_Pct]]</f>
        <v>55.559999999999995</v>
      </c>
      <c r="AC36" s="8">
        <f>RawSalesTable6[[#This Row],[Gross_Sales]]-RawSalesTable6[[#This Row],[Discount_Amount]]</f>
        <v>1055.6399999999999</v>
      </c>
      <c r="AD36" s="8">
        <f>RawSalesTable6[[#This Row],[Unit_Cost]]*RawSalesTable6[[#This Row],[Quantity]]</f>
        <v>600.48</v>
      </c>
      <c r="AE36" s="8">
        <f>RawSalesTable6[[#This Row],[Net_Sales]]-RawSalesTable6[[#This Row],[Total_Cost]]</f>
        <v>455.15999999999985</v>
      </c>
      <c r="AF36" s="9">
        <f>RawSalesTable6[[#This Row],[Profit]]/RawSalesTable6[[#This Row],[Net_Sales]]</f>
        <v>0.43116971694895978</v>
      </c>
      <c r="AG36" s="8">
        <f>YEAR(RawSalesTable6[[#This Row],[Order_Date]])</f>
        <v>2025</v>
      </c>
      <c r="AH36" s="8">
        <f>MONTH(RawSalesTable6[[#This Row],[Order_Date]])</f>
        <v>10</v>
      </c>
      <c r="AI36" s="8" t="str">
        <f>TEXT(RawSalesTable6[[#This Row],[Order_Date]],"mmmm")</f>
        <v>octobre</v>
      </c>
      <c r="AJ36" s="8" t="str">
        <f>IF(RawSalesTable6[[#This Row],[Month_Number]]&lt;=3,"Q1",IF(RawSalesTable6[[#This Row],[Month_Number]]&lt;=6,"Q2",IF(RawSalesTable6[[#This Row],[Month_Number]]&lt;=9,"Q3","Q4")))</f>
        <v>Q4</v>
      </c>
      <c r="AK36" s="8" t="str">
        <f>VLOOKUP(RawSalesTable6[[#This Row],[Customer_ID_Clean]],CustomersTable[],4,FALSE)</f>
        <v>Quebec</v>
      </c>
      <c r="AL36" s="8">
        <f>IF(RawSalesTable6[[#This Row],[Return_Status]]="Yes",1,0)</f>
        <v>0</v>
      </c>
    </row>
    <row r="37" spans="1:38">
      <c r="A37" t="s">
        <v>234</v>
      </c>
      <c r="B37" s="3">
        <v>45861</v>
      </c>
      <c r="C37" t="s">
        <v>119</v>
      </c>
      <c r="D37" t="s">
        <v>139</v>
      </c>
      <c r="E37" t="s">
        <v>121</v>
      </c>
      <c r="F37" t="s">
        <v>103</v>
      </c>
      <c r="G37" t="s">
        <v>122</v>
      </c>
      <c r="H37" t="s">
        <v>97</v>
      </c>
      <c r="I37">
        <v>5</v>
      </c>
      <c r="J37" s="2">
        <v>82.85</v>
      </c>
      <c r="K37" s="4">
        <v>0.1</v>
      </c>
      <c r="L37" t="s">
        <v>106</v>
      </c>
      <c r="M37">
        <v>0</v>
      </c>
      <c r="N37" t="s">
        <v>91</v>
      </c>
      <c r="O37" t="str">
        <f>SUBSTITUTE(PROPER(TRIM(RawSalesTable6[[#This Row],[Channel_Raw]])),"Market Place","Marketplace")</f>
        <v>Retail Store</v>
      </c>
      <c r="P37" t="str">
        <f>TRIM(RawSalesTable6[[#This Row],[Product_ID]])</f>
        <v>P1012</v>
      </c>
      <c r="Q37" t="str">
        <f>TRIM(RawSalesTable6[[#This Row],[Customer_ID]])</f>
        <v>C0057</v>
      </c>
      <c r="R37" s="8" t="str">
        <f>PROPER(TRIM(RawSalesTable6[[#This Row],[Store_Raw]]))</f>
        <v>Vancouver West</v>
      </c>
      <c r="S37" s="8" t="str">
        <f>IF(TRIM(RawSalesTable6[[#This Row],[Payment_Method_Raw]])="","Non renseigné",SUBSTITUTE(PROPER(TRIM(RawSalesTable6[[#This Row],[Payment_Method_Raw]])),"Cc","Credit Card"))</f>
        <v>Credit Card</v>
      </c>
      <c r="T37" s="8">
        <f>COUNTIF(A:A,RawSalesTable6[[#This Row],[Order_ID]])</f>
        <v>1</v>
      </c>
      <c r="U37" s="8" t="str">
        <f>TRIM(LEFT(RawSalesTable6[[#This Row],[Customer_Info]],FIND(",",RawSalesTable6[[#This Row],[Customer_Info]])-1))</f>
        <v>Adam Khan</v>
      </c>
      <c r="V37" s="8" t="str">
        <f>TRIM(MID(RawSalesTable6[[#This Row],[Customer_Info]],FIND(",",RawSalesTable6[[#This Row],[Customer_Info]])+1,FIND(",",RawSalesTable6[[#This Row],[Customer_Info]],FIND(",",RawSalesTable6[[#This Row],[Customer_Info]])+1)-FIND(",",RawSalesTable6[[#This Row],[Customer_Info]])-1))</f>
        <v>Edmonton</v>
      </c>
      <c r="W37" s="8" t="str">
        <f>TRIM(RIGHT(RawSalesTable6[[#This Row],[Customer_Info]],LEN(RawSalesTable6[[#This Row],[Customer_Info]])-FIND(",",RawSalesTable6[[#This Row],[Customer_Info]],FIND(",",RawSalesTable6[[#This Row],[Customer_Info]])+1)))</f>
        <v>Small Business</v>
      </c>
      <c r="X37" s="8" t="str">
        <f>VLOOKUP(RawSalesTable6[[#This Row],[Product_ID_Clean]],ProductsTable[],2,FALSE)</f>
        <v>Standing Desk</v>
      </c>
      <c r="Y37" s="8" t="str">
        <f>VLOOKUP(RawSalesTable6[[#This Row],[Product_ID_Clean]],ProductsTable[],3,FALSE)</f>
        <v>Office</v>
      </c>
      <c r="Z37" s="8">
        <f>VLOOKUP(RawSalesTable6[[#This Row],[Product_ID_Clean]],ProductsTable[],5,FALSE)</f>
        <v>45.17</v>
      </c>
      <c r="AA37" s="8">
        <f>RawSalesTable6[[#This Row],[Unit_Price]]*RawSalesTable6[[#This Row],[Quantity]]</f>
        <v>414.25</v>
      </c>
      <c r="AB37" s="8">
        <f>RawSalesTable6[[#This Row],[Gross_Sales]]*RawSalesTable6[[#This Row],[Discount_Pct]]</f>
        <v>41.425000000000004</v>
      </c>
      <c r="AC37" s="8">
        <f>RawSalesTable6[[#This Row],[Gross_Sales]]-RawSalesTable6[[#This Row],[Discount_Amount]]</f>
        <v>372.82499999999999</v>
      </c>
      <c r="AD37" s="8">
        <f>RawSalesTable6[[#This Row],[Unit_Cost]]*RawSalesTable6[[#This Row],[Quantity]]</f>
        <v>225.85000000000002</v>
      </c>
      <c r="AE37" s="8">
        <f>RawSalesTable6[[#This Row],[Net_Sales]]-RawSalesTable6[[#This Row],[Total_Cost]]</f>
        <v>146.97499999999997</v>
      </c>
      <c r="AF37" s="9">
        <f>RawSalesTable6[[#This Row],[Profit]]/RawSalesTable6[[#This Row],[Net_Sales]]</f>
        <v>0.39421980822101516</v>
      </c>
      <c r="AG37" s="8">
        <f>YEAR(RawSalesTable6[[#This Row],[Order_Date]])</f>
        <v>2025</v>
      </c>
      <c r="AH37" s="8">
        <f>MONTH(RawSalesTable6[[#This Row],[Order_Date]])</f>
        <v>7</v>
      </c>
      <c r="AI37" s="8" t="str">
        <f>TEXT(RawSalesTable6[[#This Row],[Order_Date]],"mmmm")</f>
        <v>juillet</v>
      </c>
      <c r="AJ37" s="8" t="str">
        <f>IF(RawSalesTable6[[#This Row],[Month_Number]]&lt;=3,"Q1",IF(RawSalesTable6[[#This Row],[Month_Number]]&lt;=6,"Q2",IF(RawSalesTable6[[#This Row],[Month_Number]]&lt;=9,"Q3","Q4")))</f>
        <v>Q3</v>
      </c>
      <c r="AK37" s="8" t="str">
        <f>VLOOKUP(RawSalesTable6[[#This Row],[Customer_ID_Clean]],CustomersTable[],4,FALSE)</f>
        <v>Alberta</v>
      </c>
      <c r="AL37" s="8">
        <f>IF(RawSalesTable6[[#This Row],[Return_Status]]="Yes",1,0)</f>
        <v>0</v>
      </c>
    </row>
    <row r="38" spans="1:38">
      <c r="A38" t="s">
        <v>235</v>
      </c>
      <c r="B38" s="3">
        <v>45703</v>
      </c>
      <c r="C38" t="s">
        <v>236</v>
      </c>
      <c r="D38" t="s">
        <v>136</v>
      </c>
      <c r="E38" t="s">
        <v>237</v>
      </c>
      <c r="F38" t="s">
        <v>87</v>
      </c>
      <c r="G38" t="s">
        <v>96</v>
      </c>
      <c r="H38" t="s">
        <v>97</v>
      </c>
      <c r="I38">
        <v>1</v>
      </c>
      <c r="J38" s="2">
        <v>165.76</v>
      </c>
      <c r="K38" s="4">
        <v>0.2</v>
      </c>
      <c r="L38" t="s">
        <v>98</v>
      </c>
      <c r="M38">
        <v>3</v>
      </c>
      <c r="N38" t="s">
        <v>91</v>
      </c>
      <c r="O38" t="str">
        <f>SUBSTITUTE(PROPER(TRIM(RawSalesTable6[[#This Row],[Channel_Raw]])),"Market Place","Marketplace")</f>
        <v>Retail Store</v>
      </c>
      <c r="P38" t="str">
        <f>TRIM(RawSalesTable6[[#This Row],[Product_ID]])</f>
        <v>P1003</v>
      </c>
      <c r="Q38" t="str">
        <f>TRIM(RawSalesTable6[[#This Row],[Customer_ID]])</f>
        <v>C0102</v>
      </c>
      <c r="R38" s="8" t="str">
        <f>PROPER(TRIM(RawSalesTable6[[#This Row],[Store_Raw]]))</f>
        <v>Online Fulfillment</v>
      </c>
      <c r="S38" s="8" t="str">
        <f>IF(TRIM(RawSalesTable6[[#This Row],[Payment_Method_Raw]])="","Non renseigné",SUBSTITUTE(PROPER(TRIM(RawSalesTable6[[#This Row],[Payment_Method_Raw]])),"Cc","Credit Card"))</f>
        <v>Debit Card</v>
      </c>
      <c r="T38" s="8">
        <f>COUNTIF(A:A,RawSalesTable6[[#This Row],[Order_ID]])</f>
        <v>1</v>
      </c>
      <c r="U38" s="8" t="str">
        <f>TRIM(LEFT(RawSalesTable6[[#This Row],[Customer_Info]],FIND(",",RawSalesTable6[[#This Row],[Customer_Info]])-1))</f>
        <v>Adam Roy</v>
      </c>
      <c r="V38" s="8" t="str">
        <f>TRIM(MID(RawSalesTable6[[#This Row],[Customer_Info]],FIND(",",RawSalesTable6[[#This Row],[Customer_Info]])+1,FIND(",",RawSalesTable6[[#This Row],[Customer_Info]],FIND(",",RawSalesTable6[[#This Row],[Customer_Info]])+1)-FIND(",",RawSalesTable6[[#This Row],[Customer_Info]])-1))</f>
        <v>Edmonton</v>
      </c>
      <c r="W38" s="8" t="str">
        <f>TRIM(RIGHT(RawSalesTable6[[#This Row],[Customer_Info]],LEN(RawSalesTable6[[#This Row],[Customer_Info]])-FIND(",",RawSalesTable6[[#This Row],[Customer_Info]],FIND(",",RawSalesTable6[[#This Row],[Customer_Info]])+1)))</f>
        <v>Corporate</v>
      </c>
      <c r="X38" s="8" t="str">
        <f>VLOOKUP(RawSalesTable6[[#This Row],[Product_ID_Clean]],ProductsTable[],2,FALSE)</f>
        <v>Mouse</v>
      </c>
      <c r="Y38" s="8" t="str">
        <f>VLOOKUP(RawSalesTable6[[#This Row],[Product_ID_Clean]],ProductsTable[],3,FALSE)</f>
        <v>Electronics</v>
      </c>
      <c r="Z38" s="8">
        <f>VLOOKUP(RawSalesTable6[[#This Row],[Product_ID_Clean]],ProductsTable[],5,FALSE)</f>
        <v>106.4</v>
      </c>
      <c r="AA38" s="8">
        <f>RawSalesTable6[[#This Row],[Unit_Price]]*RawSalesTable6[[#This Row],[Quantity]]</f>
        <v>165.76</v>
      </c>
      <c r="AB38" s="8">
        <f>RawSalesTable6[[#This Row],[Gross_Sales]]*RawSalesTable6[[#This Row],[Discount_Pct]]</f>
        <v>33.152000000000001</v>
      </c>
      <c r="AC38" s="8">
        <f>RawSalesTable6[[#This Row],[Gross_Sales]]-RawSalesTable6[[#This Row],[Discount_Amount]]</f>
        <v>132.608</v>
      </c>
      <c r="AD38" s="8">
        <f>RawSalesTable6[[#This Row],[Unit_Cost]]*RawSalesTable6[[#This Row],[Quantity]]</f>
        <v>106.4</v>
      </c>
      <c r="AE38" s="8">
        <f>RawSalesTable6[[#This Row],[Net_Sales]]-RawSalesTable6[[#This Row],[Total_Cost]]</f>
        <v>26.207999999999998</v>
      </c>
      <c r="AF38" s="9">
        <f>RawSalesTable6[[#This Row],[Profit]]/RawSalesTable6[[#This Row],[Net_Sales]]</f>
        <v>0.19763513513513511</v>
      </c>
      <c r="AG38" s="8">
        <f>YEAR(RawSalesTable6[[#This Row],[Order_Date]])</f>
        <v>2025</v>
      </c>
      <c r="AH38" s="8">
        <f>MONTH(RawSalesTable6[[#This Row],[Order_Date]])</f>
        <v>2</v>
      </c>
      <c r="AI38" s="8" t="str">
        <f>TEXT(RawSalesTable6[[#This Row],[Order_Date]],"mmmm")</f>
        <v>février</v>
      </c>
      <c r="AJ38" s="8" t="str">
        <f>IF(RawSalesTable6[[#This Row],[Month_Number]]&lt;=3,"Q1",IF(RawSalesTable6[[#This Row],[Month_Number]]&lt;=6,"Q2",IF(RawSalesTable6[[#This Row],[Month_Number]]&lt;=9,"Q3","Q4")))</f>
        <v>Q1</v>
      </c>
      <c r="AK38" s="8" t="str">
        <f>VLOOKUP(RawSalesTable6[[#This Row],[Customer_ID_Clean]],CustomersTable[],4,FALSE)</f>
        <v>Alberta</v>
      </c>
      <c r="AL38" s="8">
        <f>IF(RawSalesTable6[[#This Row],[Return_Status]]="Yes",1,0)</f>
        <v>0</v>
      </c>
    </row>
    <row r="39" spans="1:38">
      <c r="A39" t="s">
        <v>238</v>
      </c>
      <c r="B39" s="3">
        <v>45778</v>
      </c>
      <c r="C39" t="s">
        <v>239</v>
      </c>
      <c r="D39" t="s">
        <v>136</v>
      </c>
      <c r="E39" t="s">
        <v>240</v>
      </c>
      <c r="F39" t="s">
        <v>145</v>
      </c>
      <c r="G39" t="s">
        <v>104</v>
      </c>
      <c r="H39" t="s">
        <v>97</v>
      </c>
      <c r="I39">
        <v>1</v>
      </c>
      <c r="J39" s="2">
        <v>168.75</v>
      </c>
      <c r="K39" s="4">
        <v>0</v>
      </c>
      <c r="L39" t="s">
        <v>98</v>
      </c>
      <c r="M39">
        <v>0</v>
      </c>
      <c r="N39" t="s">
        <v>147</v>
      </c>
      <c r="O39" t="str">
        <f>SUBSTITUTE(PROPER(TRIM(RawSalesTable6[[#This Row],[Channel_Raw]])),"Market Place","Marketplace")</f>
        <v>Retail Store</v>
      </c>
      <c r="P39" t="str">
        <f>TRIM(RawSalesTable6[[#This Row],[Product_ID]])</f>
        <v>P1003</v>
      </c>
      <c r="Q39" t="str">
        <f>TRIM(RawSalesTable6[[#This Row],[Customer_ID]])</f>
        <v>C0089</v>
      </c>
      <c r="R39" s="8" t="str">
        <f>PROPER(TRIM(RawSalesTable6[[#This Row],[Store_Raw]]))</f>
        <v>Calgary North</v>
      </c>
      <c r="S39" s="8" t="str">
        <f>IF(TRIM(RawSalesTable6[[#This Row],[Payment_Method_Raw]])="","Non renseigné",SUBSTITUTE(PROPER(TRIM(RawSalesTable6[[#This Row],[Payment_Method_Raw]])),"Cc","Credit Card"))</f>
        <v>Debit Card</v>
      </c>
      <c r="T39" s="8">
        <f>COUNTIF(A:A,RawSalesTable6[[#This Row],[Order_ID]])</f>
        <v>1</v>
      </c>
      <c r="U39" s="8" t="str">
        <f>TRIM(LEFT(RawSalesTable6[[#This Row],[Customer_Info]],FIND(",",RawSalesTable6[[#This Row],[Customer_Info]])-1))</f>
        <v>Lucas Martin</v>
      </c>
      <c r="V39" s="8" t="str">
        <f>TRIM(MID(RawSalesTable6[[#This Row],[Customer_Info]],FIND(",",RawSalesTable6[[#This Row],[Customer_Info]])+1,FIND(",",RawSalesTable6[[#This Row],[Customer_Info]],FIND(",",RawSalesTable6[[#This Row],[Customer_Info]])+1)-FIND(",",RawSalesTable6[[#This Row],[Customer_Info]])-1))</f>
        <v>Vancouver</v>
      </c>
      <c r="W39" s="8" t="str">
        <f>TRIM(RIGHT(RawSalesTable6[[#This Row],[Customer_Info]],LEN(RawSalesTable6[[#This Row],[Customer_Info]])-FIND(",",RawSalesTable6[[#This Row],[Customer_Info]],FIND(",",RawSalesTable6[[#This Row],[Customer_Info]])+1)))</f>
        <v>Consumer</v>
      </c>
      <c r="X39" s="8" t="str">
        <f>VLOOKUP(RawSalesTable6[[#This Row],[Product_ID_Clean]],ProductsTable[],2,FALSE)</f>
        <v>Mouse</v>
      </c>
      <c r="Y39" s="8" t="str">
        <f>VLOOKUP(RawSalesTable6[[#This Row],[Product_ID_Clean]],ProductsTable[],3,FALSE)</f>
        <v>Electronics</v>
      </c>
      <c r="Z39" s="8">
        <f>VLOOKUP(RawSalesTable6[[#This Row],[Product_ID_Clean]],ProductsTable[],5,FALSE)</f>
        <v>106.4</v>
      </c>
      <c r="AA39" s="8">
        <f>RawSalesTable6[[#This Row],[Unit_Price]]*RawSalesTable6[[#This Row],[Quantity]]</f>
        <v>168.75</v>
      </c>
      <c r="AB39" s="8">
        <f>RawSalesTable6[[#This Row],[Gross_Sales]]*RawSalesTable6[[#This Row],[Discount_Pct]]</f>
        <v>0</v>
      </c>
      <c r="AC39" s="8">
        <f>RawSalesTable6[[#This Row],[Gross_Sales]]-RawSalesTable6[[#This Row],[Discount_Amount]]</f>
        <v>168.75</v>
      </c>
      <c r="AD39" s="8">
        <f>RawSalesTable6[[#This Row],[Unit_Cost]]*RawSalesTable6[[#This Row],[Quantity]]</f>
        <v>106.4</v>
      </c>
      <c r="AE39" s="8">
        <f>RawSalesTable6[[#This Row],[Net_Sales]]-RawSalesTable6[[#This Row],[Total_Cost]]</f>
        <v>62.349999999999994</v>
      </c>
      <c r="AF39" s="9">
        <f>RawSalesTable6[[#This Row],[Profit]]/RawSalesTable6[[#This Row],[Net_Sales]]</f>
        <v>0.36948148148148147</v>
      </c>
      <c r="AG39" s="8">
        <f>YEAR(RawSalesTable6[[#This Row],[Order_Date]])</f>
        <v>2025</v>
      </c>
      <c r="AH39" s="8">
        <f>MONTH(RawSalesTable6[[#This Row],[Order_Date]])</f>
        <v>5</v>
      </c>
      <c r="AI39" s="8" t="str">
        <f>TEXT(RawSalesTable6[[#This Row],[Order_Date]],"mmmm")</f>
        <v>mai</v>
      </c>
      <c r="AJ39" s="8" t="str">
        <f>IF(RawSalesTable6[[#This Row],[Month_Number]]&lt;=3,"Q1",IF(RawSalesTable6[[#This Row],[Month_Number]]&lt;=6,"Q2",IF(RawSalesTable6[[#This Row],[Month_Number]]&lt;=9,"Q3","Q4")))</f>
        <v>Q2</v>
      </c>
      <c r="AK39" s="8" t="str">
        <f>VLOOKUP(RawSalesTable6[[#This Row],[Customer_ID_Clean]],CustomersTable[],4,FALSE)</f>
        <v>British Columbia</v>
      </c>
      <c r="AL39" s="8">
        <f>IF(RawSalesTable6[[#This Row],[Return_Status]]="Yes",1,0)</f>
        <v>1</v>
      </c>
    </row>
    <row r="40" spans="1:38">
      <c r="A40" t="s">
        <v>241</v>
      </c>
      <c r="B40" s="3">
        <v>46022</v>
      </c>
      <c r="C40" t="s">
        <v>169</v>
      </c>
      <c r="D40" t="s">
        <v>174</v>
      </c>
      <c r="E40" t="s">
        <v>170</v>
      </c>
      <c r="F40" t="s">
        <v>111</v>
      </c>
      <c r="G40" t="s">
        <v>104</v>
      </c>
      <c r="H40" t="s">
        <v>89</v>
      </c>
      <c r="I40">
        <v>3</v>
      </c>
      <c r="J40" s="2">
        <v>39.06</v>
      </c>
      <c r="K40" s="4">
        <v>0</v>
      </c>
      <c r="L40" t="s">
        <v>98</v>
      </c>
      <c r="M40">
        <v>5</v>
      </c>
      <c r="N40" t="s">
        <v>147</v>
      </c>
      <c r="O40" t="str">
        <f>SUBSTITUTE(PROPER(TRIM(RawSalesTable6[[#This Row],[Channel_Raw]])),"Market Place","Marketplace")</f>
        <v>Online</v>
      </c>
      <c r="P40" t="str">
        <f>TRIM(RawSalesTable6[[#This Row],[Product_ID]])</f>
        <v>P1002</v>
      </c>
      <c r="Q40" t="str">
        <f>TRIM(RawSalesTable6[[#This Row],[Customer_ID]])</f>
        <v>C0064</v>
      </c>
      <c r="R40" s="8" t="str">
        <f>PROPER(TRIM(RawSalesTable6[[#This Row],[Store_Raw]]))</f>
        <v>Montreal Central</v>
      </c>
      <c r="S40" s="8" t="str">
        <f>IF(TRIM(RawSalesTable6[[#This Row],[Payment_Method_Raw]])="","Non renseigné",SUBSTITUTE(PROPER(TRIM(RawSalesTable6[[#This Row],[Payment_Method_Raw]])),"Cc","Credit Card"))</f>
        <v>Debit Card</v>
      </c>
      <c r="T40" s="8">
        <f>COUNTIF(A:A,RawSalesTable6[[#This Row],[Order_ID]])</f>
        <v>1</v>
      </c>
      <c r="U40" s="8" t="str">
        <f>TRIM(LEFT(RawSalesTable6[[#This Row],[Customer_Info]],FIND(",",RawSalesTable6[[#This Row],[Customer_Info]])-1))</f>
        <v>Amine Khan</v>
      </c>
      <c r="V40" s="8" t="str">
        <f>TRIM(MID(RawSalesTable6[[#This Row],[Customer_Info]],FIND(",",RawSalesTable6[[#This Row],[Customer_Info]])+1,FIND(",",RawSalesTable6[[#This Row],[Customer_Info]],FIND(",",RawSalesTable6[[#This Row],[Customer_Info]])+1)-FIND(",",RawSalesTable6[[#This Row],[Customer_Info]])-1))</f>
        <v>Edmonton</v>
      </c>
      <c r="W40" s="8" t="str">
        <f>TRIM(RIGHT(RawSalesTable6[[#This Row],[Customer_Info]],LEN(RawSalesTable6[[#This Row],[Customer_Info]])-FIND(",",RawSalesTable6[[#This Row],[Customer_Info]],FIND(",",RawSalesTable6[[#This Row],[Customer_Info]])+1)))</f>
        <v>Consumer</v>
      </c>
      <c r="X40" s="8" t="str">
        <f>VLOOKUP(RawSalesTable6[[#This Row],[Product_ID_Clean]],ProductsTable[],2,FALSE)</f>
        <v>Keyboard</v>
      </c>
      <c r="Y40" s="8" t="str">
        <f>VLOOKUP(RawSalesTable6[[#This Row],[Product_ID_Clean]],ProductsTable[],3,FALSE)</f>
        <v>Electronics</v>
      </c>
      <c r="Z40" s="8">
        <f>VLOOKUP(RawSalesTable6[[#This Row],[Product_ID_Clean]],ProductsTable[],5,FALSE)</f>
        <v>23.5</v>
      </c>
      <c r="AA40" s="8">
        <f>RawSalesTable6[[#This Row],[Unit_Price]]*RawSalesTable6[[#This Row],[Quantity]]</f>
        <v>117.18</v>
      </c>
      <c r="AB40" s="8">
        <f>RawSalesTable6[[#This Row],[Gross_Sales]]*RawSalesTable6[[#This Row],[Discount_Pct]]</f>
        <v>0</v>
      </c>
      <c r="AC40" s="8">
        <f>RawSalesTable6[[#This Row],[Gross_Sales]]-RawSalesTable6[[#This Row],[Discount_Amount]]</f>
        <v>117.18</v>
      </c>
      <c r="AD40" s="8">
        <f>RawSalesTable6[[#This Row],[Unit_Cost]]*RawSalesTable6[[#This Row],[Quantity]]</f>
        <v>70.5</v>
      </c>
      <c r="AE40" s="8">
        <f>RawSalesTable6[[#This Row],[Net_Sales]]-RawSalesTable6[[#This Row],[Total_Cost]]</f>
        <v>46.680000000000007</v>
      </c>
      <c r="AF40" s="9">
        <f>RawSalesTable6[[#This Row],[Profit]]/RawSalesTable6[[#This Row],[Net_Sales]]</f>
        <v>0.39836149513568869</v>
      </c>
      <c r="AG40" s="8">
        <f>YEAR(RawSalesTable6[[#This Row],[Order_Date]])</f>
        <v>2025</v>
      </c>
      <c r="AH40" s="8">
        <f>MONTH(RawSalesTable6[[#This Row],[Order_Date]])</f>
        <v>12</v>
      </c>
      <c r="AI40" s="8" t="str">
        <f>TEXT(RawSalesTable6[[#This Row],[Order_Date]],"mmmm")</f>
        <v>décembre</v>
      </c>
      <c r="AJ40" s="8" t="str">
        <f>IF(RawSalesTable6[[#This Row],[Month_Number]]&lt;=3,"Q1",IF(RawSalesTable6[[#This Row],[Month_Number]]&lt;=6,"Q2",IF(RawSalesTable6[[#This Row],[Month_Number]]&lt;=9,"Q3","Q4")))</f>
        <v>Q4</v>
      </c>
      <c r="AK40" s="8" t="str">
        <f>VLOOKUP(RawSalesTable6[[#This Row],[Customer_ID_Clean]],CustomersTable[],4,FALSE)</f>
        <v>Alberta</v>
      </c>
      <c r="AL40" s="8">
        <f>IF(RawSalesTable6[[#This Row],[Return_Status]]="Yes",1,0)</f>
        <v>1</v>
      </c>
    </row>
    <row r="41" spans="1:38">
      <c r="A41" t="s">
        <v>242</v>
      </c>
      <c r="B41" s="3">
        <v>45920</v>
      </c>
      <c r="C41" t="s">
        <v>243</v>
      </c>
      <c r="D41" t="s">
        <v>244</v>
      </c>
      <c r="E41" t="s">
        <v>245</v>
      </c>
      <c r="F41" t="s">
        <v>103</v>
      </c>
      <c r="G41" t="s">
        <v>130</v>
      </c>
      <c r="H41" t="s">
        <v>246</v>
      </c>
      <c r="I41">
        <v>1</v>
      </c>
      <c r="J41" s="2">
        <v>241.49</v>
      </c>
      <c r="K41" s="4">
        <v>0.1</v>
      </c>
      <c r="L41" t="s">
        <v>106</v>
      </c>
      <c r="M41">
        <v>2</v>
      </c>
      <c r="N41" t="s">
        <v>91</v>
      </c>
      <c r="O41" t="str">
        <f>SUBSTITUTE(PROPER(TRIM(RawSalesTable6[[#This Row],[Channel_Raw]])),"Market Place","Marketplace")</f>
        <v>Retail Store</v>
      </c>
      <c r="P41" t="str">
        <f>TRIM(RawSalesTable6[[#This Row],[Product_ID]])</f>
        <v>P1005</v>
      </c>
      <c r="Q41" t="str">
        <f>TRIM(RawSalesTable6[[#This Row],[Customer_ID]])</f>
        <v>C0048</v>
      </c>
      <c r="R41" s="8" t="str">
        <f>PROPER(TRIM(RawSalesTable6[[#This Row],[Store_Raw]]))</f>
        <v>Vancouver West</v>
      </c>
      <c r="S41" s="8" t="str">
        <f>IF(TRIM(RawSalesTable6[[#This Row],[Payment_Method_Raw]])="","Non renseigné",SUBSTITUTE(PROPER(TRIM(RawSalesTable6[[#This Row],[Payment_Method_Raw]])),"Cc","Credit Card"))</f>
        <v>Credit Card</v>
      </c>
      <c r="T41" s="8">
        <f>COUNTIF(A:A,RawSalesTable6[[#This Row],[Order_ID]])</f>
        <v>1</v>
      </c>
      <c r="U41" s="8" t="str">
        <f>TRIM(LEFT(RawSalesTable6[[#This Row],[Customer_Info]],FIND(",",RawSalesTable6[[#This Row],[Customer_Info]])-1))</f>
        <v>Amelia Brown</v>
      </c>
      <c r="V41" s="8" t="str">
        <f>TRIM(MID(RawSalesTable6[[#This Row],[Customer_Info]],FIND(",",RawSalesTable6[[#This Row],[Customer_Info]])+1,FIND(",",RawSalesTable6[[#This Row],[Customer_Info]],FIND(",",RawSalesTable6[[#This Row],[Customer_Info]])+1)-FIND(",",RawSalesTable6[[#This Row],[Customer_Info]])-1))</f>
        <v>Quebec City</v>
      </c>
      <c r="W41" s="8" t="str">
        <f>TRIM(RIGHT(RawSalesTable6[[#This Row],[Customer_Info]],LEN(RawSalesTable6[[#This Row],[Customer_Info]])-FIND(",",RawSalesTable6[[#This Row],[Customer_Info]],FIND(",",RawSalesTable6[[#This Row],[Customer_Info]])+1)))</f>
        <v>Corporate</v>
      </c>
      <c r="X41" s="8" t="str">
        <f>VLOOKUP(RawSalesTable6[[#This Row],[Product_ID_Clean]],ProductsTable[],2,FALSE)</f>
        <v>Portable SSD</v>
      </c>
      <c r="Y41" s="8" t="str">
        <f>VLOOKUP(RawSalesTable6[[#This Row],[Product_ID_Clean]],ProductsTable[],3,FALSE)</f>
        <v>Electronics</v>
      </c>
      <c r="Z41" s="8">
        <f>VLOOKUP(RawSalesTable6[[#This Row],[Product_ID_Clean]],ProductsTable[],5,FALSE)</f>
        <v>131.19</v>
      </c>
      <c r="AA41" s="8">
        <f>RawSalesTable6[[#This Row],[Unit_Price]]*RawSalesTable6[[#This Row],[Quantity]]</f>
        <v>241.49</v>
      </c>
      <c r="AB41" s="8">
        <f>RawSalesTable6[[#This Row],[Gross_Sales]]*RawSalesTable6[[#This Row],[Discount_Pct]]</f>
        <v>24.149000000000001</v>
      </c>
      <c r="AC41" s="8">
        <f>RawSalesTable6[[#This Row],[Gross_Sales]]-RawSalesTable6[[#This Row],[Discount_Amount]]</f>
        <v>217.34100000000001</v>
      </c>
      <c r="AD41" s="8">
        <f>RawSalesTable6[[#This Row],[Unit_Cost]]*RawSalesTable6[[#This Row],[Quantity]]</f>
        <v>131.19</v>
      </c>
      <c r="AE41" s="8">
        <f>RawSalesTable6[[#This Row],[Net_Sales]]-RawSalesTable6[[#This Row],[Total_Cost]]</f>
        <v>86.15100000000001</v>
      </c>
      <c r="AF41" s="9">
        <f>RawSalesTable6[[#This Row],[Profit]]/RawSalesTable6[[#This Row],[Net_Sales]]</f>
        <v>0.39638632379532629</v>
      </c>
      <c r="AG41" s="8">
        <f>YEAR(RawSalesTable6[[#This Row],[Order_Date]])</f>
        <v>2025</v>
      </c>
      <c r="AH41" s="8">
        <f>MONTH(RawSalesTable6[[#This Row],[Order_Date]])</f>
        <v>9</v>
      </c>
      <c r="AI41" s="8" t="str">
        <f>TEXT(RawSalesTable6[[#This Row],[Order_Date]],"mmmm")</f>
        <v>septembre</v>
      </c>
      <c r="AJ41" s="8" t="str">
        <f>IF(RawSalesTable6[[#This Row],[Month_Number]]&lt;=3,"Q1",IF(RawSalesTable6[[#This Row],[Month_Number]]&lt;=6,"Q2",IF(RawSalesTable6[[#This Row],[Month_Number]]&lt;=9,"Q3","Q4")))</f>
        <v>Q3</v>
      </c>
      <c r="AK41" s="8" t="str">
        <f>VLOOKUP(RawSalesTable6[[#This Row],[Customer_ID_Clean]],CustomersTable[],4,FALSE)</f>
        <v>Quebec</v>
      </c>
      <c r="AL41" s="8">
        <f>IF(RawSalesTable6[[#This Row],[Return_Status]]="Yes",1,0)</f>
        <v>0</v>
      </c>
    </row>
    <row r="42" spans="1:38">
      <c r="A42" t="s">
        <v>247</v>
      </c>
      <c r="B42" s="3">
        <v>46015</v>
      </c>
      <c r="C42" t="s">
        <v>248</v>
      </c>
      <c r="D42" t="s">
        <v>249</v>
      </c>
      <c r="E42" t="s">
        <v>250</v>
      </c>
      <c r="F42" t="s">
        <v>116</v>
      </c>
      <c r="G42" t="s">
        <v>122</v>
      </c>
      <c r="H42" t="s">
        <v>89</v>
      </c>
      <c r="I42">
        <v>2</v>
      </c>
      <c r="J42" s="2">
        <v>434.43</v>
      </c>
      <c r="K42" s="4">
        <v>0.05</v>
      </c>
      <c r="L42" t="s">
        <v>98</v>
      </c>
      <c r="M42">
        <v>7</v>
      </c>
      <c r="N42" t="s">
        <v>91</v>
      </c>
      <c r="O42" t="str">
        <f>SUBSTITUTE(PROPER(TRIM(RawSalesTable6[[#This Row],[Channel_Raw]])),"Market Place","Marketplace")</f>
        <v>Online</v>
      </c>
      <c r="P42" t="str">
        <f>TRIM(RawSalesTable6[[#This Row],[Product_ID]])</f>
        <v>P1022</v>
      </c>
      <c r="Q42" t="str">
        <f>TRIM(RawSalesTable6[[#This Row],[Customer_ID]])</f>
        <v>C0012</v>
      </c>
      <c r="R42" s="8" t="str">
        <f>PROPER(TRIM(RawSalesTable6[[#This Row],[Store_Raw]]))</f>
        <v>Toronto Downtown</v>
      </c>
      <c r="S42" s="8" t="str">
        <f>IF(TRIM(RawSalesTable6[[#This Row],[Payment_Method_Raw]])="","Non renseigné",SUBSTITUTE(PROPER(TRIM(RawSalesTable6[[#This Row],[Payment_Method_Raw]])),"Cc","Credit Card"))</f>
        <v>Debit Card</v>
      </c>
      <c r="T42" s="8">
        <f>COUNTIF(A:A,RawSalesTable6[[#This Row],[Order_ID]])</f>
        <v>1</v>
      </c>
      <c r="U42" s="8" t="str">
        <f>TRIM(LEFT(RawSalesTable6[[#This Row],[Customer_Info]],FIND(",",RawSalesTable6[[#This Row],[Customer_Info]])-1))</f>
        <v>Daniel Taylor</v>
      </c>
      <c r="V42" s="8" t="str">
        <f>TRIM(MID(RawSalesTable6[[#This Row],[Customer_Info]],FIND(",",RawSalesTable6[[#This Row],[Customer_Info]])+1,FIND(",",RawSalesTable6[[#This Row],[Customer_Info]],FIND(",",RawSalesTable6[[#This Row],[Customer_Info]])+1)-FIND(",",RawSalesTable6[[#This Row],[Customer_Info]])-1))</f>
        <v>Victoria</v>
      </c>
      <c r="W42" s="8" t="str">
        <f>TRIM(RIGHT(RawSalesTable6[[#This Row],[Customer_Info]],LEN(RawSalesTable6[[#This Row],[Customer_Info]])-FIND(",",RawSalesTable6[[#This Row],[Customer_Info]],FIND(",",RawSalesTable6[[#This Row],[Customer_Info]])+1)))</f>
        <v>Corporate</v>
      </c>
      <c r="X42" s="8" t="str">
        <f>VLOOKUP(RawSalesTable6[[#This Row],[Product_ID_Clean]],ProductsTable[],2,FALSE)</f>
        <v>Humidifier</v>
      </c>
      <c r="Y42" s="8" t="str">
        <f>VLOOKUP(RawSalesTable6[[#This Row],[Product_ID_Clean]],ProductsTable[],3,FALSE)</f>
        <v>Home</v>
      </c>
      <c r="Z42" s="8">
        <f>VLOOKUP(RawSalesTable6[[#This Row],[Product_ID_Clean]],ProductsTable[],5,FALSE)</f>
        <v>239.67</v>
      </c>
      <c r="AA42" s="8">
        <f>RawSalesTable6[[#This Row],[Unit_Price]]*RawSalesTable6[[#This Row],[Quantity]]</f>
        <v>868.86</v>
      </c>
      <c r="AB42" s="8">
        <f>RawSalesTable6[[#This Row],[Gross_Sales]]*RawSalesTable6[[#This Row],[Discount_Pct]]</f>
        <v>43.443000000000005</v>
      </c>
      <c r="AC42" s="8">
        <f>RawSalesTable6[[#This Row],[Gross_Sales]]-RawSalesTable6[[#This Row],[Discount_Amount]]</f>
        <v>825.41700000000003</v>
      </c>
      <c r="AD42" s="8">
        <f>RawSalesTable6[[#This Row],[Unit_Cost]]*RawSalesTable6[[#This Row],[Quantity]]</f>
        <v>479.34</v>
      </c>
      <c r="AE42" s="8">
        <f>RawSalesTable6[[#This Row],[Net_Sales]]-RawSalesTable6[[#This Row],[Total_Cost]]</f>
        <v>346.07700000000006</v>
      </c>
      <c r="AF42" s="9">
        <f>RawSalesTable6[[#This Row],[Profit]]/RawSalesTable6[[#This Row],[Net_Sales]]</f>
        <v>0.41927534809678024</v>
      </c>
      <c r="AG42" s="8">
        <f>YEAR(RawSalesTable6[[#This Row],[Order_Date]])</f>
        <v>2025</v>
      </c>
      <c r="AH42" s="8">
        <f>MONTH(RawSalesTable6[[#This Row],[Order_Date]])</f>
        <v>12</v>
      </c>
      <c r="AI42" s="8" t="str">
        <f>TEXT(RawSalesTable6[[#This Row],[Order_Date]],"mmmm")</f>
        <v>décembre</v>
      </c>
      <c r="AJ42" s="8" t="str">
        <f>IF(RawSalesTable6[[#This Row],[Month_Number]]&lt;=3,"Q1",IF(RawSalesTable6[[#This Row],[Month_Number]]&lt;=6,"Q2",IF(RawSalesTable6[[#This Row],[Month_Number]]&lt;=9,"Q3","Q4")))</f>
        <v>Q4</v>
      </c>
      <c r="AK42" s="8" t="str">
        <f>VLOOKUP(RawSalesTable6[[#This Row],[Customer_ID_Clean]],CustomersTable[],4,FALSE)</f>
        <v>British Columbia</v>
      </c>
      <c r="AL42" s="8">
        <f>IF(RawSalesTable6[[#This Row],[Return_Status]]="Yes",1,0)</f>
        <v>0</v>
      </c>
    </row>
    <row r="43" spans="1:38">
      <c r="A43" t="s">
        <v>251</v>
      </c>
      <c r="B43" s="3">
        <v>45976</v>
      </c>
      <c r="C43" t="s">
        <v>197</v>
      </c>
      <c r="D43" t="s">
        <v>252</v>
      </c>
      <c r="E43" t="s">
        <v>198</v>
      </c>
      <c r="F43" t="s">
        <v>145</v>
      </c>
      <c r="G43" t="s">
        <v>88</v>
      </c>
      <c r="H43" t="s">
        <v>105</v>
      </c>
      <c r="I43">
        <v>2</v>
      </c>
      <c r="J43" s="2">
        <v>257.69</v>
      </c>
      <c r="K43" s="4">
        <v>0.05</v>
      </c>
      <c r="L43" t="s">
        <v>253</v>
      </c>
      <c r="M43">
        <v>7</v>
      </c>
      <c r="N43" t="s">
        <v>91</v>
      </c>
      <c r="O43" t="str">
        <f>SUBSTITUTE(PROPER(TRIM(RawSalesTable6[[#This Row],[Channel_Raw]])),"Market Place","Marketplace")</f>
        <v>Marketplace</v>
      </c>
      <c r="P43" t="str">
        <f>TRIM(RawSalesTable6[[#This Row],[Product_ID]])</f>
        <v>P1019</v>
      </c>
      <c r="Q43" t="str">
        <f>TRIM(RawSalesTable6[[#This Row],[Customer_ID]])</f>
        <v>C0091</v>
      </c>
      <c r="R43" s="8" t="str">
        <f>PROPER(TRIM(RawSalesTable6[[#This Row],[Store_Raw]]))</f>
        <v>Calgary North</v>
      </c>
      <c r="S43" s="8" t="str">
        <f>IF(TRIM(RawSalesTable6[[#This Row],[Payment_Method_Raw]])="","Non renseigné",SUBSTITUTE(PROPER(TRIM(RawSalesTable6[[#This Row],[Payment_Method_Raw]])),"Cc","Credit Card"))</f>
        <v>Credit Card</v>
      </c>
      <c r="T43" s="8">
        <f>COUNTIF(A:A,RawSalesTable6[[#This Row],[Order_ID]])</f>
        <v>1</v>
      </c>
      <c r="U43" s="8" t="str">
        <f>TRIM(LEFT(RawSalesTable6[[#This Row],[Customer_Info]],FIND(",",RawSalesTable6[[#This Row],[Customer_Info]])-1))</f>
        <v>Leo Taylor</v>
      </c>
      <c r="V43" s="8" t="str">
        <f>TRIM(MID(RawSalesTable6[[#This Row],[Customer_Info]],FIND(",",RawSalesTable6[[#This Row],[Customer_Info]])+1,FIND(",",RawSalesTable6[[#This Row],[Customer_Info]],FIND(",",RawSalesTable6[[#This Row],[Customer_Info]])+1)-FIND(",",RawSalesTable6[[#This Row],[Customer_Info]])-1))</f>
        <v>Victoria</v>
      </c>
      <c r="W43" s="8" t="str">
        <f>TRIM(RIGHT(RawSalesTable6[[#This Row],[Customer_Info]],LEN(RawSalesTable6[[#This Row],[Customer_Info]])-FIND(",",RawSalesTable6[[#This Row],[Customer_Info]],FIND(",",RawSalesTable6[[#This Row],[Customer_Info]])+1)))</f>
        <v>Small Business</v>
      </c>
      <c r="X43" s="8" t="str">
        <f>VLOOKUP(RawSalesTable6[[#This Row],[Product_ID_Clean]],ProductsTable[],2,FALSE)</f>
        <v>Vacuum</v>
      </c>
      <c r="Y43" s="8" t="str">
        <f>VLOOKUP(RawSalesTable6[[#This Row],[Product_ID_Clean]],ProductsTable[],3,FALSE)</f>
        <v>Home</v>
      </c>
      <c r="Z43" s="8">
        <f>VLOOKUP(RawSalesTable6[[#This Row],[Product_ID_Clean]],ProductsTable[],5,FALSE)</f>
        <v>186.94</v>
      </c>
      <c r="AA43" s="8">
        <f>RawSalesTable6[[#This Row],[Unit_Price]]*RawSalesTable6[[#This Row],[Quantity]]</f>
        <v>515.38</v>
      </c>
      <c r="AB43" s="8">
        <f>RawSalesTable6[[#This Row],[Gross_Sales]]*RawSalesTable6[[#This Row],[Discount_Pct]]</f>
        <v>25.769000000000002</v>
      </c>
      <c r="AC43" s="8">
        <f>RawSalesTable6[[#This Row],[Gross_Sales]]-RawSalesTable6[[#This Row],[Discount_Amount]]</f>
        <v>489.61099999999999</v>
      </c>
      <c r="AD43" s="8">
        <f>RawSalesTable6[[#This Row],[Unit_Cost]]*RawSalesTable6[[#This Row],[Quantity]]</f>
        <v>373.88</v>
      </c>
      <c r="AE43" s="8">
        <f>RawSalesTable6[[#This Row],[Net_Sales]]-RawSalesTable6[[#This Row],[Total_Cost]]</f>
        <v>115.73099999999999</v>
      </c>
      <c r="AF43" s="9">
        <f>RawSalesTable6[[#This Row],[Profit]]/RawSalesTable6[[#This Row],[Net_Sales]]</f>
        <v>0.23637336579447765</v>
      </c>
      <c r="AG43" s="8">
        <f>YEAR(RawSalesTable6[[#This Row],[Order_Date]])</f>
        <v>2025</v>
      </c>
      <c r="AH43" s="8">
        <f>MONTH(RawSalesTable6[[#This Row],[Order_Date]])</f>
        <v>11</v>
      </c>
      <c r="AI43" s="8" t="str">
        <f>TEXT(RawSalesTable6[[#This Row],[Order_Date]],"mmmm")</f>
        <v>novembre</v>
      </c>
      <c r="AJ43" s="8" t="str">
        <f>IF(RawSalesTable6[[#This Row],[Month_Number]]&lt;=3,"Q1",IF(RawSalesTable6[[#This Row],[Month_Number]]&lt;=6,"Q2",IF(RawSalesTable6[[#This Row],[Month_Number]]&lt;=9,"Q3","Q4")))</f>
        <v>Q4</v>
      </c>
      <c r="AK43" s="8" t="str">
        <f>VLOOKUP(RawSalesTable6[[#This Row],[Customer_ID_Clean]],CustomersTable[],4,FALSE)</f>
        <v>British Columbia</v>
      </c>
      <c r="AL43" s="8">
        <f>IF(RawSalesTable6[[#This Row],[Return_Status]]="Yes",1,0)</f>
        <v>0</v>
      </c>
    </row>
    <row r="44" spans="1:38">
      <c r="A44" t="s">
        <v>254</v>
      </c>
      <c r="B44" s="3">
        <v>45765</v>
      </c>
      <c r="C44" t="s">
        <v>84</v>
      </c>
      <c r="D44" t="s">
        <v>255</v>
      </c>
      <c r="E44" t="s">
        <v>86</v>
      </c>
      <c r="F44" t="s">
        <v>103</v>
      </c>
      <c r="G44" t="s">
        <v>88</v>
      </c>
      <c r="H44" t="s">
        <v>97</v>
      </c>
      <c r="I44">
        <v>5</v>
      </c>
      <c r="J44" s="2">
        <v>244.71</v>
      </c>
      <c r="K44" s="4">
        <v>0</v>
      </c>
      <c r="L44" t="s">
        <v>90</v>
      </c>
      <c r="M44">
        <v>2</v>
      </c>
      <c r="N44" t="s">
        <v>91</v>
      </c>
      <c r="O44" t="str">
        <f>SUBSTITUTE(PROPER(TRIM(RawSalesTable6[[#This Row],[Channel_Raw]])),"Market Place","Marketplace")</f>
        <v>Retail Store</v>
      </c>
      <c r="P44" t="str">
        <f>TRIM(RawSalesTable6[[#This Row],[Product_ID]])</f>
        <v>P1014</v>
      </c>
      <c r="Q44" t="str">
        <f>TRIM(RawSalesTable6[[#This Row],[Customer_ID]])</f>
        <v>C0113</v>
      </c>
      <c r="R44" s="8" t="str">
        <f>PROPER(TRIM(RawSalesTable6[[#This Row],[Store_Raw]]))</f>
        <v>Vancouver West</v>
      </c>
      <c r="S44" s="8" t="str">
        <f>IF(TRIM(RawSalesTable6[[#This Row],[Payment_Method_Raw]])="","Non renseigné",SUBSTITUTE(PROPER(TRIM(RawSalesTable6[[#This Row],[Payment_Method_Raw]])),"Cc","Credit Card"))</f>
        <v>Paypal</v>
      </c>
      <c r="T44" s="8">
        <f>COUNTIF(A:A,RawSalesTable6[[#This Row],[Order_ID]])</f>
        <v>1</v>
      </c>
      <c r="U44" s="8" t="str">
        <f>TRIM(LEFT(RawSalesTable6[[#This Row],[Customer_Info]],FIND(",",RawSalesTable6[[#This Row],[Customer_Info]])-1))</f>
        <v>Olivia Johnson</v>
      </c>
      <c r="V44" s="8" t="str">
        <f>TRIM(MID(RawSalesTable6[[#This Row],[Customer_Info]],FIND(",",RawSalesTable6[[#This Row],[Customer_Info]])+1,FIND(",",RawSalesTable6[[#This Row],[Customer_Info]],FIND(",",RawSalesTable6[[#This Row],[Customer_Info]])+1)-FIND(",",RawSalesTable6[[#This Row],[Customer_Info]])-1))</f>
        <v>Surrey</v>
      </c>
      <c r="W44" s="8" t="str">
        <f>TRIM(RIGHT(RawSalesTable6[[#This Row],[Customer_Info]],LEN(RawSalesTable6[[#This Row],[Customer_Info]])-FIND(",",RawSalesTable6[[#This Row],[Customer_Info]],FIND(",",RawSalesTable6[[#This Row],[Customer_Info]])+1)))</f>
        <v>Consumer</v>
      </c>
      <c r="X44" s="8" t="str">
        <f>VLOOKUP(RawSalesTable6[[#This Row],[Product_ID_Clean]],ProductsTable[],2,FALSE)</f>
        <v>Document Shredder</v>
      </c>
      <c r="Y44" s="8" t="str">
        <f>VLOOKUP(RawSalesTable6[[#This Row],[Product_ID_Clean]],ProductsTable[],3,FALSE)</f>
        <v>Office</v>
      </c>
      <c r="Z44" s="8">
        <f>VLOOKUP(RawSalesTable6[[#This Row],[Product_ID_Clean]],ProductsTable[],5,FALSE)</f>
        <v>117.65</v>
      </c>
      <c r="AA44" s="8">
        <f>RawSalesTable6[[#This Row],[Unit_Price]]*RawSalesTable6[[#This Row],[Quantity]]</f>
        <v>1223.55</v>
      </c>
      <c r="AB44" s="8">
        <f>RawSalesTable6[[#This Row],[Gross_Sales]]*RawSalesTable6[[#This Row],[Discount_Pct]]</f>
        <v>0</v>
      </c>
      <c r="AC44" s="8">
        <f>RawSalesTable6[[#This Row],[Gross_Sales]]-RawSalesTable6[[#This Row],[Discount_Amount]]</f>
        <v>1223.55</v>
      </c>
      <c r="AD44" s="8">
        <f>RawSalesTable6[[#This Row],[Unit_Cost]]*RawSalesTable6[[#This Row],[Quantity]]</f>
        <v>588.25</v>
      </c>
      <c r="AE44" s="8">
        <f>RawSalesTable6[[#This Row],[Net_Sales]]-RawSalesTable6[[#This Row],[Total_Cost]]</f>
        <v>635.29999999999995</v>
      </c>
      <c r="AF44" s="9">
        <f>RawSalesTable6[[#This Row],[Profit]]/RawSalesTable6[[#This Row],[Net_Sales]]</f>
        <v>0.51922683993298191</v>
      </c>
      <c r="AG44" s="8">
        <f>YEAR(RawSalesTable6[[#This Row],[Order_Date]])</f>
        <v>2025</v>
      </c>
      <c r="AH44" s="8">
        <f>MONTH(RawSalesTable6[[#This Row],[Order_Date]])</f>
        <v>4</v>
      </c>
      <c r="AI44" s="8" t="str">
        <f>TEXT(RawSalesTable6[[#This Row],[Order_Date]],"mmmm")</f>
        <v>avril</v>
      </c>
      <c r="AJ44" s="8" t="str">
        <f>IF(RawSalesTable6[[#This Row],[Month_Number]]&lt;=3,"Q1",IF(RawSalesTable6[[#This Row],[Month_Number]]&lt;=6,"Q2",IF(RawSalesTable6[[#This Row],[Month_Number]]&lt;=9,"Q3","Q4")))</f>
        <v>Q2</v>
      </c>
      <c r="AK44" s="8" t="str">
        <f>VLOOKUP(RawSalesTable6[[#This Row],[Customer_ID_Clean]],CustomersTable[],4,FALSE)</f>
        <v>British Columbia</v>
      </c>
      <c r="AL44" s="8">
        <f>IF(RawSalesTable6[[#This Row],[Return_Status]]="Yes",1,0)</f>
        <v>0</v>
      </c>
    </row>
    <row r="45" spans="1:38">
      <c r="A45" t="s">
        <v>256</v>
      </c>
      <c r="B45" s="3">
        <v>45731</v>
      </c>
      <c r="C45" t="s">
        <v>257</v>
      </c>
      <c r="D45" t="s">
        <v>139</v>
      </c>
      <c r="E45" t="s">
        <v>258</v>
      </c>
      <c r="F45" t="s">
        <v>103</v>
      </c>
      <c r="G45" t="s">
        <v>104</v>
      </c>
      <c r="H45" t="s">
        <v>89</v>
      </c>
      <c r="I45">
        <v>1</v>
      </c>
      <c r="J45" s="2">
        <v>83.33</v>
      </c>
      <c r="K45" s="4">
        <v>0</v>
      </c>
      <c r="L45" t="s">
        <v>98</v>
      </c>
      <c r="M45">
        <v>1</v>
      </c>
      <c r="N45" t="s">
        <v>147</v>
      </c>
      <c r="O45" t="str">
        <f>SUBSTITUTE(PROPER(TRIM(RawSalesTable6[[#This Row],[Channel_Raw]])),"Market Place","Marketplace")</f>
        <v>Online</v>
      </c>
      <c r="P45" t="str">
        <f>TRIM(RawSalesTable6[[#This Row],[Product_ID]])</f>
        <v>P1012</v>
      </c>
      <c r="Q45" t="str">
        <f>TRIM(RawSalesTable6[[#This Row],[Customer_ID]])</f>
        <v>C0068</v>
      </c>
      <c r="R45" s="8" t="str">
        <f>PROPER(TRIM(RawSalesTable6[[#This Row],[Store_Raw]]))</f>
        <v>Vancouver West</v>
      </c>
      <c r="S45" s="8" t="str">
        <f>IF(TRIM(RawSalesTable6[[#This Row],[Payment_Method_Raw]])="","Non renseigné",SUBSTITUTE(PROPER(TRIM(RawSalesTable6[[#This Row],[Payment_Method_Raw]])),"Cc","Credit Card"))</f>
        <v>Debit Card</v>
      </c>
      <c r="T45" s="8">
        <f>COUNTIF(A:A,RawSalesTable6[[#This Row],[Order_ID]])</f>
        <v>1</v>
      </c>
      <c r="U45" s="8" t="str">
        <f>TRIM(LEFT(RawSalesTable6[[#This Row],[Customer_Info]],FIND(",",RawSalesTable6[[#This Row],[Customer_Info]])-1))</f>
        <v>Yasmine Martin</v>
      </c>
      <c r="V45" s="8" t="str">
        <f>TRIM(MID(RawSalesTable6[[#This Row],[Customer_Info]],FIND(",",RawSalesTable6[[#This Row],[Customer_Info]])+1,FIND(",",RawSalesTable6[[#This Row],[Customer_Info]],FIND(",",RawSalesTable6[[#This Row],[Customer_Info]])+1)-FIND(",",RawSalesTable6[[#This Row],[Customer_Info]])-1))</f>
        <v>Calgary</v>
      </c>
      <c r="W45" s="8" t="str">
        <f>TRIM(RIGHT(RawSalesTable6[[#This Row],[Customer_Info]],LEN(RawSalesTable6[[#This Row],[Customer_Info]])-FIND(",",RawSalesTable6[[#This Row],[Customer_Info]],FIND(",",RawSalesTable6[[#This Row],[Customer_Info]])+1)))</f>
        <v>Consumer</v>
      </c>
      <c r="X45" s="8" t="str">
        <f>VLOOKUP(RawSalesTable6[[#This Row],[Product_ID_Clean]],ProductsTable[],2,FALSE)</f>
        <v>Standing Desk</v>
      </c>
      <c r="Y45" s="8" t="str">
        <f>VLOOKUP(RawSalesTable6[[#This Row],[Product_ID_Clean]],ProductsTable[],3,FALSE)</f>
        <v>Office</v>
      </c>
      <c r="Z45" s="8">
        <f>VLOOKUP(RawSalesTable6[[#This Row],[Product_ID_Clean]],ProductsTable[],5,FALSE)</f>
        <v>45.17</v>
      </c>
      <c r="AA45" s="8">
        <f>RawSalesTable6[[#This Row],[Unit_Price]]*RawSalesTable6[[#This Row],[Quantity]]</f>
        <v>83.33</v>
      </c>
      <c r="AB45" s="8">
        <f>RawSalesTable6[[#This Row],[Gross_Sales]]*RawSalesTable6[[#This Row],[Discount_Pct]]</f>
        <v>0</v>
      </c>
      <c r="AC45" s="8">
        <f>RawSalesTable6[[#This Row],[Gross_Sales]]-RawSalesTable6[[#This Row],[Discount_Amount]]</f>
        <v>83.33</v>
      </c>
      <c r="AD45" s="8">
        <f>RawSalesTable6[[#This Row],[Unit_Cost]]*RawSalesTable6[[#This Row],[Quantity]]</f>
        <v>45.17</v>
      </c>
      <c r="AE45" s="8">
        <f>RawSalesTable6[[#This Row],[Net_Sales]]-RawSalesTable6[[#This Row],[Total_Cost]]</f>
        <v>38.159999999999997</v>
      </c>
      <c r="AF45" s="9">
        <f>RawSalesTable6[[#This Row],[Profit]]/RawSalesTable6[[#This Row],[Net_Sales]]</f>
        <v>0.45793831753270126</v>
      </c>
      <c r="AG45" s="8">
        <f>YEAR(RawSalesTable6[[#This Row],[Order_Date]])</f>
        <v>2025</v>
      </c>
      <c r="AH45" s="8">
        <f>MONTH(RawSalesTable6[[#This Row],[Order_Date]])</f>
        <v>3</v>
      </c>
      <c r="AI45" s="8" t="str">
        <f>TEXT(RawSalesTable6[[#This Row],[Order_Date]],"mmmm")</f>
        <v>mars</v>
      </c>
      <c r="AJ45" s="8" t="str">
        <f>IF(RawSalesTable6[[#This Row],[Month_Number]]&lt;=3,"Q1",IF(RawSalesTable6[[#This Row],[Month_Number]]&lt;=6,"Q2",IF(RawSalesTable6[[#This Row],[Month_Number]]&lt;=9,"Q3","Q4")))</f>
        <v>Q1</v>
      </c>
      <c r="AK45" s="8" t="str">
        <f>VLOOKUP(RawSalesTable6[[#This Row],[Customer_ID_Clean]],CustomersTable[],4,FALSE)</f>
        <v>Alberta</v>
      </c>
      <c r="AL45" s="8">
        <f>IF(RawSalesTable6[[#This Row],[Return_Status]]="Yes",1,0)</f>
        <v>1</v>
      </c>
    </row>
    <row r="46" spans="1:38">
      <c r="A46" t="s">
        <v>259</v>
      </c>
      <c r="B46" s="3">
        <v>45714</v>
      </c>
      <c r="C46" t="s">
        <v>260</v>
      </c>
      <c r="D46" t="s">
        <v>261</v>
      </c>
      <c r="E46" t="s">
        <v>262</v>
      </c>
      <c r="F46" t="s">
        <v>87</v>
      </c>
      <c r="G46" t="s">
        <v>96</v>
      </c>
      <c r="H46" t="s">
        <v>89</v>
      </c>
      <c r="I46">
        <v>4</v>
      </c>
      <c r="J46" s="2">
        <v>247.77</v>
      </c>
      <c r="K46" s="4">
        <v>0.1</v>
      </c>
      <c r="L46" t="s">
        <v>106</v>
      </c>
      <c r="M46">
        <v>5</v>
      </c>
      <c r="N46" t="s">
        <v>147</v>
      </c>
      <c r="O46" t="str">
        <f>SUBSTITUTE(PROPER(TRIM(RawSalesTable6[[#This Row],[Channel_Raw]])),"Market Place","Marketplace")</f>
        <v>Online</v>
      </c>
      <c r="P46" t="str">
        <f>TRIM(RawSalesTable6[[#This Row],[Product_ID]])</f>
        <v>P1031</v>
      </c>
      <c r="Q46" t="str">
        <f>TRIM(RawSalesTable6[[#This Row],[Customer_ID]])</f>
        <v>C0076</v>
      </c>
      <c r="R46" s="8" t="str">
        <f>PROPER(TRIM(RawSalesTable6[[#This Row],[Store_Raw]]))</f>
        <v>Online Fulfillment</v>
      </c>
      <c r="S46" s="8" t="str">
        <f>IF(TRIM(RawSalesTable6[[#This Row],[Payment_Method_Raw]])="","Non renseigné",SUBSTITUTE(PROPER(TRIM(RawSalesTable6[[#This Row],[Payment_Method_Raw]])),"Cc","Credit Card"))</f>
        <v>Credit Card</v>
      </c>
      <c r="T46" s="8">
        <f>COUNTIF(A:A,RawSalesTable6[[#This Row],[Order_ID]])</f>
        <v>1</v>
      </c>
      <c r="U46" s="8" t="str">
        <f>TRIM(LEFT(RawSalesTable6[[#This Row],[Customer_Info]],FIND(",",RawSalesTable6[[#This Row],[Customer_Info]])-1))</f>
        <v>Maya Taylor</v>
      </c>
      <c r="V46" s="8" t="str">
        <f>TRIM(MID(RawSalesTable6[[#This Row],[Customer_Info]],FIND(",",RawSalesTable6[[#This Row],[Customer_Info]])+1,FIND(",",RawSalesTable6[[#This Row],[Customer_Info]],FIND(",",RawSalesTable6[[#This Row],[Customer_Info]])+1)-FIND(",",RawSalesTable6[[#This Row],[Customer_Info]])-1))</f>
        <v>Saskatoon</v>
      </c>
      <c r="W46" s="8" t="str">
        <f>TRIM(RIGHT(RawSalesTable6[[#This Row],[Customer_Info]],LEN(RawSalesTable6[[#This Row],[Customer_Info]])-FIND(",",RawSalesTable6[[#This Row],[Customer_Info]],FIND(",",RawSalesTable6[[#This Row],[Customer_Info]])+1)))</f>
        <v>Corporate</v>
      </c>
      <c r="X46" s="8" t="str">
        <f>VLOOKUP(RawSalesTable6[[#This Row],[Product_ID_Clean]],ProductsTable[],2,FALSE)</f>
        <v>Dumbbell Set</v>
      </c>
      <c r="Y46" s="8" t="str">
        <f>VLOOKUP(RawSalesTable6[[#This Row],[Product_ID_Clean]],ProductsTable[],3,FALSE)</f>
        <v>Fitness</v>
      </c>
      <c r="Z46" s="8">
        <f>VLOOKUP(RawSalesTable6[[#This Row],[Product_ID_Clean]],ProductsTable[],5,FALSE)</f>
        <v>131.72999999999999</v>
      </c>
      <c r="AA46" s="8">
        <f>RawSalesTable6[[#This Row],[Unit_Price]]*RawSalesTable6[[#This Row],[Quantity]]</f>
        <v>991.08</v>
      </c>
      <c r="AB46" s="8">
        <f>RawSalesTable6[[#This Row],[Gross_Sales]]*RawSalesTable6[[#This Row],[Discount_Pct]]</f>
        <v>99.108000000000004</v>
      </c>
      <c r="AC46" s="8">
        <f>RawSalesTable6[[#This Row],[Gross_Sales]]-RawSalesTable6[[#This Row],[Discount_Amount]]</f>
        <v>891.97199999999998</v>
      </c>
      <c r="AD46" s="8">
        <f>RawSalesTable6[[#This Row],[Unit_Cost]]*RawSalesTable6[[#This Row],[Quantity]]</f>
        <v>526.91999999999996</v>
      </c>
      <c r="AE46" s="8">
        <f>RawSalesTable6[[#This Row],[Net_Sales]]-RawSalesTable6[[#This Row],[Total_Cost]]</f>
        <v>365.05200000000002</v>
      </c>
      <c r="AF46" s="9">
        <f>RawSalesTable6[[#This Row],[Profit]]/RawSalesTable6[[#This Row],[Net_Sales]]</f>
        <v>0.4092639679272444</v>
      </c>
      <c r="AG46" s="8">
        <f>YEAR(RawSalesTable6[[#This Row],[Order_Date]])</f>
        <v>2025</v>
      </c>
      <c r="AH46" s="8">
        <f>MONTH(RawSalesTable6[[#This Row],[Order_Date]])</f>
        <v>2</v>
      </c>
      <c r="AI46" s="8" t="str">
        <f>TEXT(RawSalesTable6[[#This Row],[Order_Date]],"mmmm")</f>
        <v>février</v>
      </c>
      <c r="AJ46" s="8" t="str">
        <f>IF(RawSalesTable6[[#This Row],[Month_Number]]&lt;=3,"Q1",IF(RawSalesTable6[[#This Row],[Month_Number]]&lt;=6,"Q2",IF(RawSalesTable6[[#This Row],[Month_Number]]&lt;=9,"Q3","Q4")))</f>
        <v>Q1</v>
      </c>
      <c r="AK46" s="8" t="str">
        <f>VLOOKUP(RawSalesTable6[[#This Row],[Customer_ID_Clean]],CustomersTable[],4,FALSE)</f>
        <v>Saskatchewan</v>
      </c>
      <c r="AL46" s="8">
        <f>IF(RawSalesTable6[[#This Row],[Return_Status]]="Yes",1,0)</f>
        <v>1</v>
      </c>
    </row>
    <row r="47" spans="1:38">
      <c r="A47" t="s">
        <v>263</v>
      </c>
      <c r="B47" s="3">
        <v>45855</v>
      </c>
      <c r="C47" t="s">
        <v>128</v>
      </c>
      <c r="D47" t="s">
        <v>157</v>
      </c>
      <c r="E47" t="s">
        <v>129</v>
      </c>
      <c r="F47" t="s">
        <v>116</v>
      </c>
      <c r="G47" t="s">
        <v>96</v>
      </c>
      <c r="H47" t="s">
        <v>97</v>
      </c>
      <c r="I47">
        <v>1</v>
      </c>
      <c r="J47" s="2">
        <v>299.83</v>
      </c>
      <c r="K47" s="4">
        <v>0</v>
      </c>
      <c r="L47" t="s">
        <v>90</v>
      </c>
      <c r="M47">
        <v>3</v>
      </c>
      <c r="N47" t="s">
        <v>91</v>
      </c>
      <c r="O47" t="str">
        <f>SUBSTITUTE(PROPER(TRIM(RawSalesTable6[[#This Row],[Channel_Raw]])),"Market Place","Marketplace")</f>
        <v>Retail Store</v>
      </c>
      <c r="P47" t="str">
        <f>TRIM(RawSalesTable6[[#This Row],[Product_ID]])</f>
        <v>P1009</v>
      </c>
      <c r="Q47" t="str">
        <f>TRIM(RawSalesTable6[[#This Row],[Customer_ID]])</f>
        <v>C0015</v>
      </c>
      <c r="R47" s="8" t="str">
        <f>PROPER(TRIM(RawSalesTable6[[#This Row],[Store_Raw]]))</f>
        <v>Toronto Downtown</v>
      </c>
      <c r="S47" s="8" t="str">
        <f>IF(TRIM(RawSalesTable6[[#This Row],[Payment_Method_Raw]])="","Non renseigné",SUBSTITUTE(PROPER(TRIM(RawSalesTable6[[#This Row],[Payment_Method_Raw]])),"Cc","Credit Card"))</f>
        <v>Paypal</v>
      </c>
      <c r="T47" s="8">
        <f>COUNTIF(A:A,RawSalesTable6[[#This Row],[Order_ID]])</f>
        <v>1</v>
      </c>
      <c r="U47" s="8" t="str">
        <f>TRIM(LEFT(RawSalesTable6[[#This Row],[Customer_Info]],FIND(",",RawSalesTable6[[#This Row],[Customer_Info]])-1))</f>
        <v>Zoe Singh</v>
      </c>
      <c r="V47" s="8" t="str">
        <f>TRIM(MID(RawSalesTable6[[#This Row],[Customer_Info]],FIND(",",RawSalesTable6[[#This Row],[Customer_Info]])+1,FIND(",",RawSalesTable6[[#This Row],[Customer_Info]],FIND(",",RawSalesTable6[[#This Row],[Customer_Info]])+1)-FIND(",",RawSalesTable6[[#This Row],[Customer_Info]])-1))</f>
        <v>Halifax</v>
      </c>
      <c r="W47" s="8" t="str">
        <f>TRIM(RIGHT(RawSalesTable6[[#This Row],[Customer_Info]],LEN(RawSalesTable6[[#This Row],[Customer_Info]])-FIND(",",RawSalesTable6[[#This Row],[Customer_Info]],FIND(",",RawSalesTable6[[#This Row],[Customer_Info]])+1)))</f>
        <v>Consumer</v>
      </c>
      <c r="X47" s="8" t="str">
        <f>VLOOKUP(RawSalesTable6[[#This Row],[Product_ID_Clean]],ProductsTable[],2,FALSE)</f>
        <v>Notebook</v>
      </c>
      <c r="Y47" s="8" t="str">
        <f>VLOOKUP(RawSalesTable6[[#This Row],[Product_ID_Clean]],ProductsTable[],3,FALSE)</f>
        <v>Office</v>
      </c>
      <c r="Z47" s="8">
        <f>VLOOKUP(RawSalesTable6[[#This Row],[Product_ID_Clean]],ProductsTable[],5,FALSE)</f>
        <v>176.13</v>
      </c>
      <c r="AA47" s="8">
        <f>RawSalesTable6[[#This Row],[Unit_Price]]*RawSalesTable6[[#This Row],[Quantity]]</f>
        <v>299.83</v>
      </c>
      <c r="AB47" s="8">
        <f>RawSalesTable6[[#This Row],[Gross_Sales]]*RawSalesTable6[[#This Row],[Discount_Pct]]</f>
        <v>0</v>
      </c>
      <c r="AC47" s="8">
        <f>RawSalesTable6[[#This Row],[Gross_Sales]]-RawSalesTable6[[#This Row],[Discount_Amount]]</f>
        <v>299.83</v>
      </c>
      <c r="AD47" s="8">
        <f>RawSalesTable6[[#This Row],[Unit_Cost]]*RawSalesTable6[[#This Row],[Quantity]]</f>
        <v>176.13</v>
      </c>
      <c r="AE47" s="8">
        <f>RawSalesTable6[[#This Row],[Net_Sales]]-RawSalesTable6[[#This Row],[Total_Cost]]</f>
        <v>123.69999999999999</v>
      </c>
      <c r="AF47" s="9">
        <f>RawSalesTable6[[#This Row],[Profit]]/RawSalesTable6[[#This Row],[Net_Sales]]</f>
        <v>0.4125671213687756</v>
      </c>
      <c r="AG47" s="8">
        <f>YEAR(RawSalesTable6[[#This Row],[Order_Date]])</f>
        <v>2025</v>
      </c>
      <c r="AH47" s="8">
        <f>MONTH(RawSalesTable6[[#This Row],[Order_Date]])</f>
        <v>7</v>
      </c>
      <c r="AI47" s="8" t="str">
        <f>TEXT(RawSalesTable6[[#This Row],[Order_Date]],"mmmm")</f>
        <v>juillet</v>
      </c>
      <c r="AJ47" s="8" t="str">
        <f>IF(RawSalesTable6[[#This Row],[Month_Number]]&lt;=3,"Q1",IF(RawSalesTable6[[#This Row],[Month_Number]]&lt;=6,"Q2",IF(RawSalesTable6[[#This Row],[Month_Number]]&lt;=9,"Q3","Q4")))</f>
        <v>Q3</v>
      </c>
      <c r="AK47" s="8" t="str">
        <f>VLOOKUP(RawSalesTable6[[#This Row],[Customer_ID_Clean]],CustomersTable[],4,FALSE)</f>
        <v>Nova Scotia</v>
      </c>
      <c r="AL47" s="8">
        <f>IF(RawSalesTable6[[#This Row],[Return_Status]]="Yes",1,0)</f>
        <v>0</v>
      </c>
    </row>
    <row r="48" spans="1:38">
      <c r="A48" t="s">
        <v>264</v>
      </c>
      <c r="B48" s="3">
        <v>45933</v>
      </c>
      <c r="C48" t="s">
        <v>265</v>
      </c>
      <c r="D48" t="s">
        <v>244</v>
      </c>
      <c r="E48" t="s">
        <v>266</v>
      </c>
      <c r="F48" t="s">
        <v>145</v>
      </c>
      <c r="G48" t="s">
        <v>88</v>
      </c>
      <c r="H48" t="s">
        <v>89</v>
      </c>
      <c r="I48">
        <v>2</v>
      </c>
      <c r="J48" s="2">
        <v>242.3</v>
      </c>
      <c r="K48" s="4">
        <v>0.1</v>
      </c>
      <c r="L48" t="s">
        <v>98</v>
      </c>
      <c r="M48">
        <v>9</v>
      </c>
      <c r="N48" t="s">
        <v>91</v>
      </c>
      <c r="O48" t="str">
        <f>SUBSTITUTE(PROPER(TRIM(RawSalesTable6[[#This Row],[Channel_Raw]])),"Market Place","Marketplace")</f>
        <v>Online</v>
      </c>
      <c r="P48" t="str">
        <f>TRIM(RawSalesTable6[[#This Row],[Product_ID]])</f>
        <v>P1005</v>
      </c>
      <c r="Q48" t="str">
        <f>TRIM(RawSalesTable6[[#This Row],[Customer_ID]])</f>
        <v>C0020</v>
      </c>
      <c r="R48" s="8" t="str">
        <f>PROPER(TRIM(RawSalesTable6[[#This Row],[Store_Raw]]))</f>
        <v>Calgary North</v>
      </c>
      <c r="S48" s="8" t="str">
        <f>IF(TRIM(RawSalesTable6[[#This Row],[Payment_Method_Raw]])="","Non renseigné",SUBSTITUTE(PROPER(TRIM(RawSalesTable6[[#This Row],[Payment_Method_Raw]])),"Cc","Credit Card"))</f>
        <v>Debit Card</v>
      </c>
      <c r="T48" s="8">
        <f>COUNTIF(A:A,RawSalesTable6[[#This Row],[Order_ID]])</f>
        <v>1</v>
      </c>
      <c r="U48" s="8" t="str">
        <f>TRIM(LEFT(RawSalesTable6[[#This Row],[Customer_Info]],FIND(",",RawSalesTable6[[#This Row],[Customer_Info]])-1))</f>
        <v>Nora Khan</v>
      </c>
      <c r="V48" s="8" t="str">
        <f>TRIM(MID(RawSalesTable6[[#This Row],[Customer_Info]],FIND(",",RawSalesTable6[[#This Row],[Customer_Info]])+1,FIND(",",RawSalesTable6[[#This Row],[Customer_Info]],FIND(",",RawSalesTable6[[#This Row],[Customer_Info]])+1)-FIND(",",RawSalesTable6[[#This Row],[Customer_Info]])-1))</f>
        <v>Mississauga</v>
      </c>
      <c r="W48" s="8" t="str">
        <f>TRIM(RIGHT(RawSalesTable6[[#This Row],[Customer_Info]],LEN(RawSalesTable6[[#This Row],[Customer_Info]])-FIND(",",RawSalesTable6[[#This Row],[Customer_Info]],FIND(",",RawSalesTable6[[#This Row],[Customer_Info]])+1)))</f>
        <v>Consumer</v>
      </c>
      <c r="X48" s="8" t="str">
        <f>VLOOKUP(RawSalesTable6[[#This Row],[Product_ID_Clean]],ProductsTable[],2,FALSE)</f>
        <v>Portable SSD</v>
      </c>
      <c r="Y48" s="8" t="str">
        <f>VLOOKUP(RawSalesTable6[[#This Row],[Product_ID_Clean]],ProductsTable[],3,FALSE)</f>
        <v>Electronics</v>
      </c>
      <c r="Z48" s="8">
        <f>VLOOKUP(RawSalesTable6[[#This Row],[Product_ID_Clean]],ProductsTable[],5,FALSE)</f>
        <v>131.19</v>
      </c>
      <c r="AA48" s="8">
        <f>RawSalesTable6[[#This Row],[Unit_Price]]*RawSalesTable6[[#This Row],[Quantity]]</f>
        <v>484.6</v>
      </c>
      <c r="AB48" s="8">
        <f>RawSalesTable6[[#This Row],[Gross_Sales]]*RawSalesTable6[[#This Row],[Discount_Pct]]</f>
        <v>48.460000000000008</v>
      </c>
      <c r="AC48" s="8">
        <f>RawSalesTable6[[#This Row],[Gross_Sales]]-RawSalesTable6[[#This Row],[Discount_Amount]]</f>
        <v>436.14</v>
      </c>
      <c r="AD48" s="8">
        <f>RawSalesTable6[[#This Row],[Unit_Cost]]*RawSalesTable6[[#This Row],[Quantity]]</f>
        <v>262.38</v>
      </c>
      <c r="AE48" s="8">
        <f>RawSalesTable6[[#This Row],[Net_Sales]]-RawSalesTable6[[#This Row],[Total_Cost]]</f>
        <v>173.76</v>
      </c>
      <c r="AF48" s="9">
        <f>RawSalesTable6[[#This Row],[Profit]]/RawSalesTable6[[#This Row],[Net_Sales]]</f>
        <v>0.39840418214334844</v>
      </c>
      <c r="AG48" s="8">
        <f>YEAR(RawSalesTable6[[#This Row],[Order_Date]])</f>
        <v>2025</v>
      </c>
      <c r="AH48" s="8">
        <f>MONTH(RawSalesTable6[[#This Row],[Order_Date]])</f>
        <v>10</v>
      </c>
      <c r="AI48" s="8" t="str">
        <f>TEXT(RawSalesTable6[[#This Row],[Order_Date]],"mmmm")</f>
        <v>octobre</v>
      </c>
      <c r="AJ48" s="8" t="str">
        <f>IF(RawSalesTable6[[#This Row],[Month_Number]]&lt;=3,"Q1",IF(RawSalesTable6[[#This Row],[Month_Number]]&lt;=6,"Q2",IF(RawSalesTable6[[#This Row],[Month_Number]]&lt;=9,"Q3","Q4")))</f>
        <v>Q4</v>
      </c>
      <c r="AK48" s="8" t="str">
        <f>VLOOKUP(RawSalesTable6[[#This Row],[Customer_ID_Clean]],CustomersTable[],4,FALSE)</f>
        <v>Ontario</v>
      </c>
      <c r="AL48" s="8">
        <f>IF(RawSalesTable6[[#This Row],[Return_Status]]="Yes",1,0)</f>
        <v>0</v>
      </c>
    </row>
    <row r="49" spans="1:38">
      <c r="A49" t="s">
        <v>267</v>
      </c>
      <c r="B49" s="3">
        <v>45800</v>
      </c>
      <c r="C49" t="s">
        <v>268</v>
      </c>
      <c r="D49" t="s">
        <v>252</v>
      </c>
      <c r="E49" t="s">
        <v>269</v>
      </c>
      <c r="F49" t="s">
        <v>87</v>
      </c>
      <c r="G49" t="s">
        <v>117</v>
      </c>
      <c r="H49" t="s">
        <v>97</v>
      </c>
      <c r="I49">
        <v>1</v>
      </c>
      <c r="J49" s="2">
        <v>274.64999999999998</v>
      </c>
      <c r="K49" s="4">
        <v>0.2</v>
      </c>
      <c r="L49" t="s">
        <v>154</v>
      </c>
      <c r="M49">
        <v>2</v>
      </c>
      <c r="N49" t="s">
        <v>91</v>
      </c>
      <c r="O49" t="str">
        <f>SUBSTITUTE(PROPER(TRIM(RawSalesTable6[[#This Row],[Channel_Raw]])),"Market Place","Marketplace")</f>
        <v>Retail Store</v>
      </c>
      <c r="P49" t="str">
        <f>TRIM(RawSalesTable6[[#This Row],[Product_ID]])</f>
        <v>P1019</v>
      </c>
      <c r="Q49" t="str">
        <f>TRIM(RawSalesTable6[[#This Row],[Customer_ID]])</f>
        <v>C0043</v>
      </c>
      <c r="R49" s="8" t="str">
        <f>PROPER(TRIM(RawSalesTable6[[#This Row],[Store_Raw]]))</f>
        <v>Online Fulfillment</v>
      </c>
      <c r="S49" s="8" t="str">
        <f>IF(TRIM(RawSalesTable6[[#This Row],[Payment_Method_Raw]])="","Non renseigné",SUBSTITUTE(PROPER(TRIM(RawSalesTable6[[#This Row],[Payment_Method_Raw]])),"Cc","Credit Card"))</f>
        <v>Gift Card</v>
      </c>
      <c r="T49" s="8">
        <f>COUNTIF(A:A,RawSalesTable6[[#This Row],[Order_ID]])</f>
        <v>1</v>
      </c>
      <c r="U49" s="8" t="str">
        <f>TRIM(LEFT(RawSalesTable6[[#This Row],[Customer_Info]],FIND(",",RawSalesTable6[[#This Row],[Customer_Info]])-1))</f>
        <v>Ava Brown</v>
      </c>
      <c r="V49" s="8" t="str">
        <f>TRIM(MID(RawSalesTable6[[#This Row],[Customer_Info]],FIND(",",RawSalesTable6[[#This Row],[Customer_Info]])+1,FIND(",",RawSalesTable6[[#This Row],[Customer_Info]],FIND(",",RawSalesTable6[[#This Row],[Customer_Info]])+1)-FIND(",",RawSalesTable6[[#This Row],[Customer_Info]])-1))</f>
        <v>Ottawa</v>
      </c>
      <c r="W49" s="8" t="str">
        <f>TRIM(RIGHT(RawSalesTable6[[#This Row],[Customer_Info]],LEN(RawSalesTable6[[#This Row],[Customer_Info]])-FIND(",",RawSalesTable6[[#This Row],[Customer_Info]],FIND(",",RawSalesTable6[[#This Row],[Customer_Info]])+1)))</f>
        <v>Small Business</v>
      </c>
      <c r="X49" s="8" t="str">
        <f>VLOOKUP(RawSalesTable6[[#This Row],[Product_ID_Clean]],ProductsTable[],2,FALSE)</f>
        <v>Vacuum</v>
      </c>
      <c r="Y49" s="8" t="str">
        <f>VLOOKUP(RawSalesTable6[[#This Row],[Product_ID_Clean]],ProductsTable[],3,FALSE)</f>
        <v>Home</v>
      </c>
      <c r="Z49" s="8">
        <f>VLOOKUP(RawSalesTable6[[#This Row],[Product_ID_Clean]],ProductsTable[],5,FALSE)</f>
        <v>186.94</v>
      </c>
      <c r="AA49" s="8">
        <f>RawSalesTable6[[#This Row],[Unit_Price]]*RawSalesTable6[[#This Row],[Quantity]]</f>
        <v>274.64999999999998</v>
      </c>
      <c r="AB49" s="8">
        <f>RawSalesTable6[[#This Row],[Gross_Sales]]*RawSalesTable6[[#This Row],[Discount_Pct]]</f>
        <v>54.93</v>
      </c>
      <c r="AC49" s="8">
        <f>RawSalesTable6[[#This Row],[Gross_Sales]]-RawSalesTable6[[#This Row],[Discount_Amount]]</f>
        <v>219.71999999999997</v>
      </c>
      <c r="AD49" s="8">
        <f>RawSalesTable6[[#This Row],[Unit_Cost]]*RawSalesTable6[[#This Row],[Quantity]]</f>
        <v>186.94</v>
      </c>
      <c r="AE49" s="8">
        <f>RawSalesTable6[[#This Row],[Net_Sales]]-RawSalesTable6[[#This Row],[Total_Cost]]</f>
        <v>32.779999999999973</v>
      </c>
      <c r="AF49" s="9">
        <f>RawSalesTable6[[#This Row],[Profit]]/RawSalesTable6[[#This Row],[Net_Sales]]</f>
        <v>0.14918987802657918</v>
      </c>
      <c r="AG49" s="8">
        <f>YEAR(RawSalesTable6[[#This Row],[Order_Date]])</f>
        <v>2025</v>
      </c>
      <c r="AH49" s="8">
        <f>MONTH(RawSalesTable6[[#This Row],[Order_Date]])</f>
        <v>5</v>
      </c>
      <c r="AI49" s="8" t="str">
        <f>TEXT(RawSalesTable6[[#This Row],[Order_Date]],"mmmm")</f>
        <v>mai</v>
      </c>
      <c r="AJ49" s="8" t="str">
        <f>IF(RawSalesTable6[[#This Row],[Month_Number]]&lt;=3,"Q1",IF(RawSalesTable6[[#This Row],[Month_Number]]&lt;=6,"Q2",IF(RawSalesTable6[[#This Row],[Month_Number]]&lt;=9,"Q3","Q4")))</f>
        <v>Q2</v>
      </c>
      <c r="AK49" s="8" t="str">
        <f>VLOOKUP(RawSalesTable6[[#This Row],[Customer_ID_Clean]],CustomersTable[],4,FALSE)</f>
        <v>Ontario</v>
      </c>
      <c r="AL49" s="8">
        <f>IF(RawSalesTable6[[#This Row],[Return_Status]]="Yes",1,0)</f>
        <v>0</v>
      </c>
    </row>
    <row r="50" spans="1:38">
      <c r="A50" t="s">
        <v>270</v>
      </c>
      <c r="B50" s="3">
        <v>45861</v>
      </c>
      <c r="C50" t="s">
        <v>151</v>
      </c>
      <c r="D50" t="s">
        <v>271</v>
      </c>
      <c r="E50" t="s">
        <v>153</v>
      </c>
      <c r="F50" t="s">
        <v>116</v>
      </c>
      <c r="G50" t="s">
        <v>104</v>
      </c>
      <c r="H50" t="s">
        <v>228</v>
      </c>
      <c r="I50">
        <v>3</v>
      </c>
      <c r="J50" s="2">
        <v>212.19</v>
      </c>
      <c r="K50" s="4">
        <v>0.2</v>
      </c>
      <c r="L50" t="s">
        <v>106</v>
      </c>
      <c r="M50">
        <v>3</v>
      </c>
      <c r="N50" t="s">
        <v>91</v>
      </c>
      <c r="O50" t="str">
        <f>SUBSTITUTE(PROPER(TRIM(RawSalesTable6[[#This Row],[Channel_Raw]])),"Market Place","Marketplace")</f>
        <v>Online</v>
      </c>
      <c r="P50" t="str">
        <f>TRIM(RawSalesTable6[[#This Row],[Product_ID]])</f>
        <v>P1026</v>
      </c>
      <c r="Q50" t="str">
        <f>TRIM(RawSalesTable6[[#This Row],[Customer_ID]])</f>
        <v>C0014</v>
      </c>
      <c r="R50" s="8" t="str">
        <f>PROPER(TRIM(RawSalesTable6[[#This Row],[Store_Raw]]))</f>
        <v>Toronto Downtown</v>
      </c>
      <c r="S50" s="8" t="str">
        <f>IF(TRIM(RawSalesTable6[[#This Row],[Payment_Method_Raw]])="","Non renseigné",SUBSTITUTE(PROPER(TRIM(RawSalesTable6[[#This Row],[Payment_Method_Raw]])),"Cc","Credit Card"))</f>
        <v>Credit Card</v>
      </c>
      <c r="T50" s="8">
        <f>COUNTIF(A:A,RawSalesTable6[[#This Row],[Order_ID]])</f>
        <v>1</v>
      </c>
      <c r="U50" s="8" t="str">
        <f>TRIM(LEFT(RawSalesTable6[[#This Row],[Customer_Info]],FIND(",",RawSalesTable6[[#This Row],[Customer_Info]])-1))</f>
        <v>Zoe Scott</v>
      </c>
      <c r="V50" s="8" t="str">
        <f>TRIM(MID(RawSalesTable6[[#This Row],[Customer_Info]],FIND(",",RawSalesTable6[[#This Row],[Customer_Info]])+1,FIND(",",RawSalesTable6[[#This Row],[Customer_Info]],FIND(",",RawSalesTable6[[#This Row],[Customer_Info]])+1)-FIND(",",RawSalesTable6[[#This Row],[Customer_Info]])-1))</f>
        <v>Montreal</v>
      </c>
      <c r="W50" s="8" t="str">
        <f>TRIM(RIGHT(RawSalesTable6[[#This Row],[Customer_Info]],LEN(RawSalesTable6[[#This Row],[Customer_Info]])-FIND(",",RawSalesTable6[[#This Row],[Customer_Info]],FIND(",",RawSalesTable6[[#This Row],[Customer_Info]])+1)))</f>
        <v>Small Business</v>
      </c>
      <c r="X50" s="8" t="str">
        <f>VLOOKUP(RawSalesTable6[[#This Row],[Product_ID_Clean]],ProductsTable[],2,FALSE)</f>
        <v>Resistance Bands</v>
      </c>
      <c r="Y50" s="8" t="str">
        <f>VLOOKUP(RawSalesTable6[[#This Row],[Product_ID_Clean]],ProductsTable[],3,FALSE)</f>
        <v>Fitness</v>
      </c>
      <c r="Z50" s="8">
        <f>VLOOKUP(RawSalesTable6[[#This Row],[Product_ID_Clean]],ProductsTable[],5,FALSE)</f>
        <v>139.19999999999999</v>
      </c>
      <c r="AA50" s="8">
        <f>RawSalesTable6[[#This Row],[Unit_Price]]*RawSalesTable6[[#This Row],[Quantity]]</f>
        <v>636.56999999999994</v>
      </c>
      <c r="AB50" s="8">
        <f>RawSalesTable6[[#This Row],[Gross_Sales]]*RawSalesTable6[[#This Row],[Discount_Pct]]</f>
        <v>127.31399999999999</v>
      </c>
      <c r="AC50" s="8">
        <f>RawSalesTable6[[#This Row],[Gross_Sales]]-RawSalesTable6[[#This Row],[Discount_Amount]]</f>
        <v>509.25599999999997</v>
      </c>
      <c r="AD50" s="8">
        <f>RawSalesTable6[[#This Row],[Unit_Cost]]*RawSalesTable6[[#This Row],[Quantity]]</f>
        <v>417.59999999999997</v>
      </c>
      <c r="AE50" s="8">
        <f>RawSalesTable6[[#This Row],[Net_Sales]]-RawSalesTable6[[#This Row],[Total_Cost]]</f>
        <v>91.656000000000006</v>
      </c>
      <c r="AF50" s="9">
        <f>RawSalesTable6[[#This Row],[Profit]]/RawSalesTable6[[#This Row],[Net_Sales]]</f>
        <v>0.17998020641877566</v>
      </c>
      <c r="AG50" s="8">
        <f>YEAR(RawSalesTable6[[#This Row],[Order_Date]])</f>
        <v>2025</v>
      </c>
      <c r="AH50" s="8">
        <f>MONTH(RawSalesTable6[[#This Row],[Order_Date]])</f>
        <v>7</v>
      </c>
      <c r="AI50" s="8" t="str">
        <f>TEXT(RawSalesTable6[[#This Row],[Order_Date]],"mmmm")</f>
        <v>juillet</v>
      </c>
      <c r="AJ50" s="8" t="str">
        <f>IF(RawSalesTable6[[#This Row],[Month_Number]]&lt;=3,"Q1",IF(RawSalesTable6[[#This Row],[Month_Number]]&lt;=6,"Q2",IF(RawSalesTable6[[#This Row],[Month_Number]]&lt;=9,"Q3","Q4")))</f>
        <v>Q3</v>
      </c>
      <c r="AK50" s="8" t="str">
        <f>VLOOKUP(RawSalesTable6[[#This Row],[Customer_ID_Clean]],CustomersTable[],4,FALSE)</f>
        <v>Quebec</v>
      </c>
      <c r="AL50" s="8">
        <f>IF(RawSalesTable6[[#This Row],[Return_Status]]="Yes",1,0)</f>
        <v>0</v>
      </c>
    </row>
    <row r="51" spans="1:38">
      <c r="A51" t="s">
        <v>272</v>
      </c>
      <c r="B51" s="3">
        <v>45999</v>
      </c>
      <c r="C51" t="s">
        <v>273</v>
      </c>
      <c r="D51" t="s">
        <v>85</v>
      </c>
      <c r="E51" t="s">
        <v>274</v>
      </c>
      <c r="F51" t="s">
        <v>103</v>
      </c>
      <c r="G51" t="s">
        <v>104</v>
      </c>
      <c r="H51" t="s">
        <v>105</v>
      </c>
      <c r="I51">
        <v>1</v>
      </c>
      <c r="J51" s="2">
        <v>306.63</v>
      </c>
      <c r="K51" s="4">
        <v>0.1</v>
      </c>
      <c r="L51" t="s">
        <v>106</v>
      </c>
      <c r="M51">
        <v>2</v>
      </c>
      <c r="N51" t="s">
        <v>91</v>
      </c>
      <c r="O51" t="str">
        <f>SUBSTITUTE(PROPER(TRIM(RawSalesTable6[[#This Row],[Channel_Raw]])),"Market Place","Marketplace")</f>
        <v>Marketplace</v>
      </c>
      <c r="P51" t="str">
        <f>TRIM(RawSalesTable6[[#This Row],[Product_ID]])</f>
        <v>P1025</v>
      </c>
      <c r="Q51" t="str">
        <f>TRIM(RawSalesTable6[[#This Row],[Customer_ID]])</f>
        <v>C0066</v>
      </c>
      <c r="R51" s="8" t="str">
        <f>PROPER(TRIM(RawSalesTable6[[#This Row],[Store_Raw]]))</f>
        <v>Vancouver West</v>
      </c>
      <c r="S51" s="8" t="str">
        <f>IF(TRIM(RawSalesTable6[[#This Row],[Payment_Method_Raw]])="","Non renseigné",SUBSTITUTE(PROPER(TRIM(RawSalesTable6[[#This Row],[Payment_Method_Raw]])),"Cc","Credit Card"))</f>
        <v>Credit Card</v>
      </c>
      <c r="T51" s="8">
        <f>COUNTIF(A:A,RawSalesTable6[[#This Row],[Order_ID]])</f>
        <v>1</v>
      </c>
      <c r="U51" s="8" t="str">
        <f>TRIM(LEFT(RawSalesTable6[[#This Row],[Customer_Info]],FIND(",",RawSalesTable6[[#This Row],[Customer_Info]])-1))</f>
        <v>Noah Clark</v>
      </c>
      <c r="V51" s="8" t="str">
        <f>TRIM(MID(RawSalesTable6[[#This Row],[Customer_Info]],FIND(",",RawSalesTable6[[#This Row],[Customer_Info]])+1,FIND(",",RawSalesTable6[[#This Row],[Customer_Info]],FIND(",",RawSalesTable6[[#This Row],[Customer_Info]])+1)-FIND(",",RawSalesTable6[[#This Row],[Customer_Info]])-1))</f>
        <v>Laval</v>
      </c>
      <c r="W51" s="8" t="str">
        <f>TRIM(RIGHT(RawSalesTable6[[#This Row],[Customer_Info]],LEN(RawSalesTable6[[#This Row],[Customer_Info]])-FIND(",",RawSalesTable6[[#This Row],[Customer_Info]],FIND(",",RawSalesTable6[[#This Row],[Customer_Info]])+1)))</f>
        <v>Consumer</v>
      </c>
      <c r="X51" s="8" t="str">
        <f>VLOOKUP(RawSalesTable6[[#This Row],[Product_ID_Clean]],ProductsTable[],2,FALSE)</f>
        <v>Yoga Mat</v>
      </c>
      <c r="Y51" s="8" t="str">
        <f>VLOOKUP(RawSalesTable6[[#This Row],[Product_ID_Clean]],ProductsTable[],3,FALSE)</f>
        <v>Fitness</v>
      </c>
      <c r="Z51" s="8">
        <f>VLOOKUP(RawSalesTable6[[#This Row],[Product_ID_Clean]],ProductsTable[],5,FALSE)</f>
        <v>197.33</v>
      </c>
      <c r="AA51" s="8">
        <f>RawSalesTable6[[#This Row],[Unit_Price]]*RawSalesTable6[[#This Row],[Quantity]]</f>
        <v>306.63</v>
      </c>
      <c r="AB51" s="8">
        <f>RawSalesTable6[[#This Row],[Gross_Sales]]*RawSalesTable6[[#This Row],[Discount_Pct]]</f>
        <v>30.663</v>
      </c>
      <c r="AC51" s="8">
        <f>RawSalesTable6[[#This Row],[Gross_Sales]]-RawSalesTable6[[#This Row],[Discount_Amount]]</f>
        <v>275.96699999999998</v>
      </c>
      <c r="AD51" s="8">
        <f>RawSalesTable6[[#This Row],[Unit_Cost]]*RawSalesTable6[[#This Row],[Quantity]]</f>
        <v>197.33</v>
      </c>
      <c r="AE51" s="8">
        <f>RawSalesTable6[[#This Row],[Net_Sales]]-RawSalesTable6[[#This Row],[Total_Cost]]</f>
        <v>78.636999999999972</v>
      </c>
      <c r="AF51" s="9">
        <f>RawSalesTable6[[#This Row],[Profit]]/RawSalesTable6[[#This Row],[Net_Sales]]</f>
        <v>0.28495073686346545</v>
      </c>
      <c r="AG51" s="8">
        <f>YEAR(RawSalesTable6[[#This Row],[Order_Date]])</f>
        <v>2025</v>
      </c>
      <c r="AH51" s="8">
        <f>MONTH(RawSalesTable6[[#This Row],[Order_Date]])</f>
        <v>12</v>
      </c>
      <c r="AI51" s="8" t="str">
        <f>TEXT(RawSalesTable6[[#This Row],[Order_Date]],"mmmm")</f>
        <v>décembre</v>
      </c>
      <c r="AJ51" s="8" t="str">
        <f>IF(RawSalesTable6[[#This Row],[Month_Number]]&lt;=3,"Q1",IF(RawSalesTable6[[#This Row],[Month_Number]]&lt;=6,"Q2",IF(RawSalesTable6[[#This Row],[Month_Number]]&lt;=9,"Q3","Q4")))</f>
        <v>Q4</v>
      </c>
      <c r="AK51" s="8" t="str">
        <f>VLOOKUP(RawSalesTable6[[#This Row],[Customer_ID_Clean]],CustomersTable[],4,FALSE)</f>
        <v>Quebec</v>
      </c>
      <c r="AL51" s="8">
        <f>IF(RawSalesTable6[[#This Row],[Return_Status]]="Yes",1,0)</f>
        <v>0</v>
      </c>
    </row>
    <row r="52" spans="1:38">
      <c r="A52" t="s">
        <v>275</v>
      </c>
      <c r="B52" s="3">
        <v>45963</v>
      </c>
      <c r="C52" t="s">
        <v>248</v>
      </c>
      <c r="D52" t="s">
        <v>194</v>
      </c>
      <c r="E52" t="s">
        <v>250</v>
      </c>
      <c r="F52" t="s">
        <v>103</v>
      </c>
      <c r="G52" t="s">
        <v>183</v>
      </c>
      <c r="H52" t="s">
        <v>89</v>
      </c>
      <c r="I52">
        <v>3</v>
      </c>
      <c r="J52" s="2">
        <v>205.39</v>
      </c>
      <c r="K52" s="4">
        <v>0</v>
      </c>
      <c r="L52" t="s">
        <v>106</v>
      </c>
      <c r="M52">
        <v>6</v>
      </c>
      <c r="N52" t="s">
        <v>91</v>
      </c>
      <c r="O52" t="str">
        <f>SUBSTITUTE(PROPER(TRIM(RawSalesTable6[[#This Row],[Channel_Raw]])),"Market Place","Marketplace")</f>
        <v>Online</v>
      </c>
      <c r="P52" t="str">
        <f>TRIM(RawSalesTable6[[#This Row],[Product_ID]])</f>
        <v>P1029</v>
      </c>
      <c r="Q52" t="str">
        <f>TRIM(RawSalesTable6[[#This Row],[Customer_ID]])</f>
        <v>C0012</v>
      </c>
      <c r="R52" s="8" t="str">
        <f>PROPER(TRIM(RawSalesTable6[[#This Row],[Store_Raw]]))</f>
        <v>Vancouver West</v>
      </c>
      <c r="S52" s="8" t="str">
        <f>IF(TRIM(RawSalesTable6[[#This Row],[Payment_Method_Raw]])="","Non renseigné",SUBSTITUTE(PROPER(TRIM(RawSalesTable6[[#This Row],[Payment_Method_Raw]])),"Cc","Credit Card"))</f>
        <v>Credit Card</v>
      </c>
      <c r="T52" s="8">
        <f>COUNTIF(A:A,RawSalesTable6[[#This Row],[Order_ID]])</f>
        <v>1</v>
      </c>
      <c r="U52" s="8" t="str">
        <f>TRIM(LEFT(RawSalesTable6[[#This Row],[Customer_Info]],FIND(",",RawSalesTable6[[#This Row],[Customer_Info]])-1))</f>
        <v>Daniel Taylor</v>
      </c>
      <c r="V52" s="8" t="str">
        <f>TRIM(MID(RawSalesTable6[[#This Row],[Customer_Info]],FIND(",",RawSalesTable6[[#This Row],[Customer_Info]])+1,FIND(",",RawSalesTable6[[#This Row],[Customer_Info]],FIND(",",RawSalesTable6[[#This Row],[Customer_Info]])+1)-FIND(",",RawSalesTable6[[#This Row],[Customer_Info]])-1))</f>
        <v>Victoria</v>
      </c>
      <c r="W52" s="8" t="str">
        <f>TRIM(RIGHT(RawSalesTable6[[#This Row],[Customer_Info]],LEN(RawSalesTable6[[#This Row],[Customer_Info]])-FIND(",",RawSalesTable6[[#This Row],[Customer_Info]],FIND(",",RawSalesTable6[[#This Row],[Customer_Info]])+1)))</f>
        <v>Corporate</v>
      </c>
      <c r="X52" s="8" t="str">
        <f>VLOOKUP(RawSalesTable6[[#This Row],[Product_ID_Clean]],ProductsTable[],2,FALSE)</f>
        <v>Jump Rope</v>
      </c>
      <c r="Y52" s="8" t="str">
        <f>VLOOKUP(RawSalesTable6[[#This Row],[Product_ID_Clean]],ProductsTable[],3,FALSE)</f>
        <v>Fitness</v>
      </c>
      <c r="Z52" s="8">
        <f>VLOOKUP(RawSalesTable6[[#This Row],[Product_ID_Clean]],ProductsTable[],5,FALSE)</f>
        <v>101</v>
      </c>
      <c r="AA52" s="8">
        <f>RawSalesTable6[[#This Row],[Unit_Price]]*RawSalesTable6[[#This Row],[Quantity]]</f>
        <v>616.16999999999996</v>
      </c>
      <c r="AB52" s="8">
        <f>RawSalesTable6[[#This Row],[Gross_Sales]]*RawSalesTable6[[#This Row],[Discount_Pct]]</f>
        <v>0</v>
      </c>
      <c r="AC52" s="8">
        <f>RawSalesTable6[[#This Row],[Gross_Sales]]-RawSalesTable6[[#This Row],[Discount_Amount]]</f>
        <v>616.16999999999996</v>
      </c>
      <c r="AD52" s="8">
        <f>RawSalesTable6[[#This Row],[Unit_Cost]]*RawSalesTable6[[#This Row],[Quantity]]</f>
        <v>303</v>
      </c>
      <c r="AE52" s="8">
        <f>RawSalesTable6[[#This Row],[Net_Sales]]-RawSalesTable6[[#This Row],[Total_Cost]]</f>
        <v>313.16999999999996</v>
      </c>
      <c r="AF52" s="9">
        <f>RawSalesTable6[[#This Row],[Profit]]/RawSalesTable6[[#This Row],[Net_Sales]]</f>
        <v>0.50825259262865763</v>
      </c>
      <c r="AG52" s="8">
        <f>YEAR(RawSalesTable6[[#This Row],[Order_Date]])</f>
        <v>2025</v>
      </c>
      <c r="AH52" s="8">
        <f>MONTH(RawSalesTable6[[#This Row],[Order_Date]])</f>
        <v>11</v>
      </c>
      <c r="AI52" s="8" t="str">
        <f>TEXT(RawSalesTable6[[#This Row],[Order_Date]],"mmmm")</f>
        <v>novembre</v>
      </c>
      <c r="AJ52" s="8" t="str">
        <f>IF(RawSalesTable6[[#This Row],[Month_Number]]&lt;=3,"Q1",IF(RawSalesTable6[[#This Row],[Month_Number]]&lt;=6,"Q2",IF(RawSalesTable6[[#This Row],[Month_Number]]&lt;=9,"Q3","Q4")))</f>
        <v>Q4</v>
      </c>
      <c r="AK52" s="8" t="str">
        <f>VLOOKUP(RawSalesTable6[[#This Row],[Customer_ID_Clean]],CustomersTable[],4,FALSE)</f>
        <v>British Columbia</v>
      </c>
      <c r="AL52" s="8">
        <f>IF(RawSalesTable6[[#This Row],[Return_Status]]="Yes",1,0)</f>
        <v>0</v>
      </c>
    </row>
    <row r="53" spans="1:38">
      <c r="A53" t="s">
        <v>276</v>
      </c>
      <c r="B53" s="3">
        <v>45954</v>
      </c>
      <c r="C53" t="s">
        <v>225</v>
      </c>
      <c r="D53" t="s">
        <v>277</v>
      </c>
      <c r="E53" t="s">
        <v>227</v>
      </c>
      <c r="F53" t="s">
        <v>145</v>
      </c>
      <c r="G53" t="s">
        <v>130</v>
      </c>
      <c r="H53" t="s">
        <v>89</v>
      </c>
      <c r="I53">
        <v>1</v>
      </c>
      <c r="J53" s="2">
        <v>394.09</v>
      </c>
      <c r="K53" s="4">
        <v>0.2</v>
      </c>
      <c r="L53" t="s">
        <v>90</v>
      </c>
      <c r="M53">
        <v>6</v>
      </c>
      <c r="N53" t="s">
        <v>91</v>
      </c>
      <c r="O53" t="str">
        <f>SUBSTITUTE(PROPER(TRIM(RawSalesTable6[[#This Row],[Channel_Raw]])),"Market Place","Marketplace")</f>
        <v>Online</v>
      </c>
      <c r="P53" t="str">
        <f>TRIM(RawSalesTable6[[#This Row],[Product_ID]])</f>
        <v>P1001</v>
      </c>
      <c r="Q53" t="str">
        <f>TRIM(RawSalesTable6[[#This Row],[Customer_ID]])</f>
        <v>C0110</v>
      </c>
      <c r="R53" s="8" t="str">
        <f>PROPER(TRIM(RawSalesTable6[[#This Row],[Store_Raw]]))</f>
        <v>Calgary North</v>
      </c>
      <c r="S53" s="8" t="str">
        <f>IF(TRIM(RawSalesTable6[[#This Row],[Payment_Method_Raw]])="","Non renseigné",SUBSTITUTE(PROPER(TRIM(RawSalesTable6[[#This Row],[Payment_Method_Raw]])),"Cc","Credit Card"))</f>
        <v>Paypal</v>
      </c>
      <c r="T53" s="8">
        <f>COUNTIF(A:A,RawSalesTable6[[#This Row],[Order_ID]])</f>
        <v>1</v>
      </c>
      <c r="U53" s="8" t="str">
        <f>TRIM(LEFT(RawSalesTable6[[#This Row],[Customer_Info]],FIND(",",RawSalesTable6[[#This Row],[Customer_Info]])-1))</f>
        <v>Sarah Smith</v>
      </c>
      <c r="V53" s="8" t="str">
        <f>TRIM(MID(RawSalesTable6[[#This Row],[Customer_Info]],FIND(",",RawSalesTable6[[#This Row],[Customer_Info]])+1,FIND(",",RawSalesTable6[[#This Row],[Customer_Info]],FIND(",",RawSalesTable6[[#This Row],[Customer_Info]])+1)-FIND(",",RawSalesTable6[[#This Row],[Customer_Info]])-1))</f>
        <v>Laval</v>
      </c>
      <c r="W53" s="8" t="str">
        <f>TRIM(RIGHT(RawSalesTable6[[#This Row],[Customer_Info]],LEN(RawSalesTable6[[#This Row],[Customer_Info]])-FIND(",",RawSalesTable6[[#This Row],[Customer_Info]],FIND(",",RawSalesTable6[[#This Row],[Customer_Info]])+1)))</f>
        <v>Consumer</v>
      </c>
      <c r="X53" s="8" t="str">
        <f>VLOOKUP(RawSalesTable6[[#This Row],[Product_ID_Clean]],ProductsTable[],2,FALSE)</f>
        <v>Headphones</v>
      </c>
      <c r="Y53" s="8" t="str">
        <f>VLOOKUP(RawSalesTable6[[#This Row],[Product_ID_Clean]],ProductsTable[],3,FALSE)</f>
        <v>Electronics</v>
      </c>
      <c r="Z53" s="8">
        <f>VLOOKUP(RawSalesTable6[[#This Row],[Product_ID_Clean]],ProductsTable[],5,FALSE)</f>
        <v>254.6</v>
      </c>
      <c r="AA53" s="8">
        <f>RawSalesTable6[[#This Row],[Unit_Price]]*RawSalesTable6[[#This Row],[Quantity]]</f>
        <v>394.09</v>
      </c>
      <c r="AB53" s="8">
        <f>RawSalesTable6[[#This Row],[Gross_Sales]]*RawSalesTable6[[#This Row],[Discount_Pct]]</f>
        <v>78.817999999999998</v>
      </c>
      <c r="AC53" s="8">
        <f>RawSalesTable6[[#This Row],[Gross_Sales]]-RawSalesTable6[[#This Row],[Discount_Amount]]</f>
        <v>315.27199999999999</v>
      </c>
      <c r="AD53" s="8">
        <f>RawSalesTable6[[#This Row],[Unit_Cost]]*RawSalesTable6[[#This Row],[Quantity]]</f>
        <v>254.6</v>
      </c>
      <c r="AE53" s="8">
        <f>RawSalesTable6[[#This Row],[Net_Sales]]-RawSalesTable6[[#This Row],[Total_Cost]]</f>
        <v>60.671999999999997</v>
      </c>
      <c r="AF53" s="9">
        <f>RawSalesTable6[[#This Row],[Profit]]/RawSalesTable6[[#This Row],[Net_Sales]]</f>
        <v>0.19244335050369205</v>
      </c>
      <c r="AG53" s="8">
        <f>YEAR(RawSalesTable6[[#This Row],[Order_Date]])</f>
        <v>2025</v>
      </c>
      <c r="AH53" s="8">
        <f>MONTH(RawSalesTable6[[#This Row],[Order_Date]])</f>
        <v>10</v>
      </c>
      <c r="AI53" s="8" t="str">
        <f>TEXT(RawSalesTable6[[#This Row],[Order_Date]],"mmmm")</f>
        <v>octobre</v>
      </c>
      <c r="AJ53" s="8" t="str">
        <f>IF(RawSalesTable6[[#This Row],[Month_Number]]&lt;=3,"Q1",IF(RawSalesTable6[[#This Row],[Month_Number]]&lt;=6,"Q2",IF(RawSalesTable6[[#This Row],[Month_Number]]&lt;=9,"Q3","Q4")))</f>
        <v>Q4</v>
      </c>
      <c r="AK53" s="8" t="str">
        <f>VLOOKUP(RawSalesTable6[[#This Row],[Customer_ID_Clean]],CustomersTable[],4,FALSE)</f>
        <v>Quebec</v>
      </c>
      <c r="AL53" s="8">
        <f>IF(RawSalesTable6[[#This Row],[Return_Status]]="Yes",1,0)</f>
        <v>0</v>
      </c>
    </row>
    <row r="54" spans="1:38">
      <c r="A54" t="s">
        <v>278</v>
      </c>
      <c r="B54" s="3">
        <v>45862</v>
      </c>
      <c r="C54" t="s">
        <v>279</v>
      </c>
      <c r="D54" t="s">
        <v>101</v>
      </c>
      <c r="E54" t="s">
        <v>280</v>
      </c>
      <c r="F54" t="s">
        <v>145</v>
      </c>
      <c r="G54" t="s">
        <v>130</v>
      </c>
      <c r="H54" t="s">
        <v>89</v>
      </c>
      <c r="I54">
        <v>2</v>
      </c>
      <c r="J54" s="2">
        <v>309.14</v>
      </c>
      <c r="K54" s="4">
        <v>0.15</v>
      </c>
      <c r="L54" t="s">
        <v>106</v>
      </c>
      <c r="M54">
        <v>9</v>
      </c>
      <c r="N54" t="s">
        <v>91</v>
      </c>
      <c r="O54" t="str">
        <f>SUBSTITUTE(PROPER(TRIM(RawSalesTable6[[#This Row],[Channel_Raw]])),"Market Place","Marketplace")</f>
        <v>Online</v>
      </c>
      <c r="P54" t="str">
        <f>TRIM(RawSalesTable6[[#This Row],[Product_ID]])</f>
        <v>P1021</v>
      </c>
      <c r="Q54" t="str">
        <f>TRIM(RawSalesTable6[[#This Row],[Customer_ID]])</f>
        <v>C0069</v>
      </c>
      <c r="R54" s="8" t="str">
        <f>PROPER(TRIM(RawSalesTable6[[#This Row],[Store_Raw]]))</f>
        <v>Calgary North</v>
      </c>
      <c r="S54" s="8" t="str">
        <f>IF(TRIM(RawSalesTable6[[#This Row],[Payment_Method_Raw]])="","Non renseigné",SUBSTITUTE(PROPER(TRIM(RawSalesTable6[[#This Row],[Payment_Method_Raw]])),"Cc","Credit Card"))</f>
        <v>Credit Card</v>
      </c>
      <c r="T54" s="8">
        <f>COUNTIF(A:A,RawSalesTable6[[#This Row],[Order_ID]])</f>
        <v>1</v>
      </c>
      <c r="U54" s="8" t="str">
        <f>TRIM(LEFT(RawSalesTable6[[#This Row],[Customer_Info]],FIND(",",RawSalesTable6[[#This Row],[Customer_Info]])-1))</f>
        <v>Sarah White</v>
      </c>
      <c r="V54" s="8" t="str">
        <f>TRIM(MID(RawSalesTable6[[#This Row],[Customer_Info]],FIND(",",RawSalesTable6[[#This Row],[Customer_Info]])+1,FIND(",",RawSalesTable6[[#This Row],[Customer_Info]],FIND(",",RawSalesTable6[[#This Row],[Customer_Info]])+1)-FIND(",",RawSalesTable6[[#This Row],[Customer_Info]])-1))</f>
        <v>Ottawa</v>
      </c>
      <c r="W54" s="8" t="str">
        <f>TRIM(RIGHT(RawSalesTable6[[#This Row],[Customer_Info]],LEN(RawSalesTable6[[#This Row],[Customer_Info]])-FIND(",",RawSalesTable6[[#This Row],[Customer_Info]],FIND(",",RawSalesTable6[[#This Row],[Customer_Info]])+1)))</f>
        <v>Consumer</v>
      </c>
      <c r="X54" s="8" t="str">
        <f>VLOOKUP(RawSalesTable6[[#This Row],[Product_ID_Clean]],ProductsTable[],2,FALSE)</f>
        <v>Kettle</v>
      </c>
      <c r="Y54" s="8" t="str">
        <f>VLOOKUP(RawSalesTable6[[#This Row],[Product_ID_Clean]],ProductsTable[],3,FALSE)</f>
        <v>Home</v>
      </c>
      <c r="Z54" s="8">
        <f>VLOOKUP(RawSalesTable6[[#This Row],[Product_ID_Clean]],ProductsTable[],5,FALSE)</f>
        <v>139.86000000000001</v>
      </c>
      <c r="AA54" s="8">
        <f>RawSalesTable6[[#This Row],[Unit_Price]]*RawSalesTable6[[#This Row],[Quantity]]</f>
        <v>618.28</v>
      </c>
      <c r="AB54" s="8">
        <f>RawSalesTable6[[#This Row],[Gross_Sales]]*RawSalesTable6[[#This Row],[Discount_Pct]]</f>
        <v>92.74199999999999</v>
      </c>
      <c r="AC54" s="8">
        <f>RawSalesTable6[[#This Row],[Gross_Sales]]-RawSalesTable6[[#This Row],[Discount_Amount]]</f>
        <v>525.53800000000001</v>
      </c>
      <c r="AD54" s="8">
        <f>RawSalesTable6[[#This Row],[Unit_Cost]]*RawSalesTable6[[#This Row],[Quantity]]</f>
        <v>279.72000000000003</v>
      </c>
      <c r="AE54" s="8">
        <f>RawSalesTable6[[#This Row],[Net_Sales]]-RawSalesTable6[[#This Row],[Total_Cost]]</f>
        <v>245.81799999999998</v>
      </c>
      <c r="AF54" s="9">
        <f>RawSalesTable6[[#This Row],[Profit]]/RawSalesTable6[[#This Row],[Net_Sales]]</f>
        <v>0.46774543420266468</v>
      </c>
      <c r="AG54" s="8">
        <f>YEAR(RawSalesTable6[[#This Row],[Order_Date]])</f>
        <v>2025</v>
      </c>
      <c r="AH54" s="8">
        <f>MONTH(RawSalesTable6[[#This Row],[Order_Date]])</f>
        <v>7</v>
      </c>
      <c r="AI54" s="8" t="str">
        <f>TEXT(RawSalesTable6[[#This Row],[Order_Date]],"mmmm")</f>
        <v>juillet</v>
      </c>
      <c r="AJ54" s="8" t="str">
        <f>IF(RawSalesTable6[[#This Row],[Month_Number]]&lt;=3,"Q1",IF(RawSalesTable6[[#This Row],[Month_Number]]&lt;=6,"Q2",IF(RawSalesTable6[[#This Row],[Month_Number]]&lt;=9,"Q3","Q4")))</f>
        <v>Q3</v>
      </c>
      <c r="AK54" s="8" t="str">
        <f>VLOOKUP(RawSalesTable6[[#This Row],[Customer_ID_Clean]],CustomersTable[],4,FALSE)</f>
        <v>Ontario</v>
      </c>
      <c r="AL54" s="8">
        <f>IF(RawSalesTable6[[#This Row],[Return_Status]]="Yes",1,0)</f>
        <v>0</v>
      </c>
    </row>
    <row r="55" spans="1:38">
      <c r="A55" t="s">
        <v>281</v>
      </c>
      <c r="B55" s="3">
        <v>45722</v>
      </c>
      <c r="C55" t="s">
        <v>100</v>
      </c>
      <c r="D55" t="s">
        <v>136</v>
      </c>
      <c r="E55" t="s">
        <v>102</v>
      </c>
      <c r="F55" t="s">
        <v>87</v>
      </c>
      <c r="G55" t="s">
        <v>130</v>
      </c>
      <c r="H55" t="s">
        <v>228</v>
      </c>
      <c r="I55">
        <v>1</v>
      </c>
      <c r="J55" s="2">
        <v>155.66999999999999</v>
      </c>
      <c r="K55" s="4">
        <v>0</v>
      </c>
      <c r="L55" t="s">
        <v>106</v>
      </c>
      <c r="M55">
        <v>6</v>
      </c>
      <c r="N55" t="s">
        <v>91</v>
      </c>
      <c r="O55" t="str">
        <f>SUBSTITUTE(PROPER(TRIM(RawSalesTable6[[#This Row],[Channel_Raw]])),"Market Place","Marketplace")</f>
        <v>Online</v>
      </c>
      <c r="P55" t="str">
        <f>TRIM(RawSalesTable6[[#This Row],[Product_ID]])</f>
        <v>P1003</v>
      </c>
      <c r="Q55" t="str">
        <f>TRIM(RawSalesTable6[[#This Row],[Customer_ID]])</f>
        <v>C0003</v>
      </c>
      <c r="R55" s="8" t="str">
        <f>PROPER(TRIM(RawSalesTable6[[#This Row],[Store_Raw]]))</f>
        <v>Online Fulfillment</v>
      </c>
      <c r="S55" s="8" t="str">
        <f>IF(TRIM(RawSalesTable6[[#This Row],[Payment_Method_Raw]])="","Non renseigné",SUBSTITUTE(PROPER(TRIM(RawSalesTable6[[#This Row],[Payment_Method_Raw]])),"Cc","Credit Card"))</f>
        <v>Credit Card</v>
      </c>
      <c r="T55" s="8">
        <f>COUNTIF(A:A,RawSalesTable6[[#This Row],[Order_ID]])</f>
        <v>1</v>
      </c>
      <c r="U55" s="8" t="str">
        <f>TRIM(LEFT(RawSalesTable6[[#This Row],[Customer_Info]],FIND(",",RawSalesTable6[[#This Row],[Customer_Info]])-1))</f>
        <v>Amelia Young</v>
      </c>
      <c r="V55" s="8" t="str">
        <f>TRIM(MID(RawSalesTable6[[#This Row],[Customer_Info]],FIND(",",RawSalesTable6[[#This Row],[Customer_Info]])+1,FIND(",",RawSalesTable6[[#This Row],[Customer_Info]],FIND(",",RawSalesTable6[[#This Row],[Customer_Info]])+1)-FIND(",",RawSalesTable6[[#This Row],[Customer_Info]])-1))</f>
        <v>Ottawa</v>
      </c>
      <c r="W55" s="8" t="str">
        <f>TRIM(RIGHT(RawSalesTable6[[#This Row],[Customer_Info]],LEN(RawSalesTable6[[#This Row],[Customer_Info]])-FIND(",",RawSalesTable6[[#This Row],[Customer_Info]],FIND(",",RawSalesTable6[[#This Row],[Customer_Info]])+1)))</f>
        <v>Corporate</v>
      </c>
      <c r="X55" s="8" t="str">
        <f>VLOOKUP(RawSalesTable6[[#This Row],[Product_ID_Clean]],ProductsTable[],2,FALSE)</f>
        <v>Mouse</v>
      </c>
      <c r="Y55" s="8" t="str">
        <f>VLOOKUP(RawSalesTable6[[#This Row],[Product_ID_Clean]],ProductsTable[],3,FALSE)</f>
        <v>Electronics</v>
      </c>
      <c r="Z55" s="8">
        <f>VLOOKUP(RawSalesTable6[[#This Row],[Product_ID_Clean]],ProductsTable[],5,FALSE)</f>
        <v>106.4</v>
      </c>
      <c r="AA55" s="8">
        <f>RawSalesTable6[[#This Row],[Unit_Price]]*RawSalesTable6[[#This Row],[Quantity]]</f>
        <v>155.66999999999999</v>
      </c>
      <c r="AB55" s="8">
        <f>RawSalesTable6[[#This Row],[Gross_Sales]]*RawSalesTable6[[#This Row],[Discount_Pct]]</f>
        <v>0</v>
      </c>
      <c r="AC55" s="8">
        <f>RawSalesTable6[[#This Row],[Gross_Sales]]-RawSalesTable6[[#This Row],[Discount_Amount]]</f>
        <v>155.66999999999999</v>
      </c>
      <c r="AD55" s="8">
        <f>RawSalesTable6[[#This Row],[Unit_Cost]]*RawSalesTable6[[#This Row],[Quantity]]</f>
        <v>106.4</v>
      </c>
      <c r="AE55" s="8">
        <f>RawSalesTable6[[#This Row],[Net_Sales]]-RawSalesTable6[[#This Row],[Total_Cost]]</f>
        <v>49.269999999999982</v>
      </c>
      <c r="AF55" s="9">
        <f>RawSalesTable6[[#This Row],[Profit]]/RawSalesTable6[[#This Row],[Net_Sales]]</f>
        <v>0.31650285861116456</v>
      </c>
      <c r="AG55" s="8">
        <f>YEAR(RawSalesTable6[[#This Row],[Order_Date]])</f>
        <v>2025</v>
      </c>
      <c r="AH55" s="8">
        <f>MONTH(RawSalesTable6[[#This Row],[Order_Date]])</f>
        <v>3</v>
      </c>
      <c r="AI55" s="8" t="str">
        <f>TEXT(RawSalesTable6[[#This Row],[Order_Date]],"mmmm")</f>
        <v>mars</v>
      </c>
      <c r="AJ55" s="8" t="str">
        <f>IF(RawSalesTable6[[#This Row],[Month_Number]]&lt;=3,"Q1",IF(RawSalesTable6[[#This Row],[Month_Number]]&lt;=6,"Q2",IF(RawSalesTable6[[#This Row],[Month_Number]]&lt;=9,"Q3","Q4")))</f>
        <v>Q1</v>
      </c>
      <c r="AK55" s="8" t="str">
        <f>VLOOKUP(RawSalesTable6[[#This Row],[Customer_ID_Clean]],CustomersTable[],4,FALSE)</f>
        <v>Ontario</v>
      </c>
      <c r="AL55" s="8">
        <f>IF(RawSalesTable6[[#This Row],[Return_Status]]="Yes",1,0)</f>
        <v>0</v>
      </c>
    </row>
    <row r="56" spans="1:38">
      <c r="A56" t="s">
        <v>282</v>
      </c>
      <c r="B56" s="3">
        <v>45947</v>
      </c>
      <c r="C56" t="s">
        <v>283</v>
      </c>
      <c r="D56" t="s">
        <v>94</v>
      </c>
      <c r="E56" t="s">
        <v>284</v>
      </c>
      <c r="F56" t="s">
        <v>145</v>
      </c>
      <c r="G56" t="s">
        <v>130</v>
      </c>
      <c r="H56" t="s">
        <v>89</v>
      </c>
      <c r="I56">
        <v>1</v>
      </c>
      <c r="J56" s="2">
        <v>318.31</v>
      </c>
      <c r="K56" s="4">
        <v>0.1</v>
      </c>
      <c r="L56" t="s">
        <v>90</v>
      </c>
      <c r="M56">
        <v>6</v>
      </c>
      <c r="N56" t="s">
        <v>91</v>
      </c>
      <c r="O56" t="str">
        <f>SUBSTITUTE(PROPER(TRIM(RawSalesTable6[[#This Row],[Channel_Raw]])),"Market Place","Marketplace")</f>
        <v>Online</v>
      </c>
      <c r="P56" t="str">
        <f>TRIM(RawSalesTable6[[#This Row],[Product_ID]])</f>
        <v>P1033</v>
      </c>
      <c r="Q56" t="str">
        <f>TRIM(RawSalesTable6[[#This Row],[Customer_ID]])</f>
        <v>C0033</v>
      </c>
      <c r="R56" s="8" t="str">
        <f>PROPER(TRIM(RawSalesTable6[[#This Row],[Store_Raw]]))</f>
        <v>Calgary North</v>
      </c>
      <c r="S56" s="8" t="str">
        <f>IF(TRIM(RawSalesTable6[[#This Row],[Payment_Method_Raw]])="","Non renseigné",SUBSTITUTE(PROPER(TRIM(RawSalesTable6[[#This Row],[Payment_Method_Raw]])),"Cc","Credit Card"))</f>
        <v>Paypal</v>
      </c>
      <c r="T56" s="8">
        <f>COUNTIF(A:A,RawSalesTable6[[#This Row],[Order_ID]])</f>
        <v>1</v>
      </c>
      <c r="U56" s="8" t="str">
        <f>TRIM(LEFT(RawSalesTable6[[#This Row],[Customer_Info]],FIND(",",RawSalesTable6[[#This Row],[Customer_Info]])-1))</f>
        <v>Maya Hall</v>
      </c>
      <c r="V56" s="8" t="str">
        <f>TRIM(MID(RawSalesTable6[[#This Row],[Customer_Info]],FIND(",",RawSalesTable6[[#This Row],[Customer_Info]])+1,FIND(",",RawSalesTable6[[#This Row],[Customer_Info]],FIND(",",RawSalesTable6[[#This Row],[Customer_Info]])+1)-FIND(",",RawSalesTable6[[#This Row],[Customer_Info]])-1))</f>
        <v>Winnipeg</v>
      </c>
      <c r="W56" s="8" t="str">
        <f>TRIM(RIGHT(RawSalesTable6[[#This Row],[Customer_Info]],LEN(RawSalesTable6[[#This Row],[Customer_Info]])-FIND(",",RawSalesTable6[[#This Row],[Customer_Info]],FIND(",",RawSalesTable6[[#This Row],[Customer_Info]])+1)))</f>
        <v>Consumer</v>
      </c>
      <c r="X56" s="8" t="str">
        <f>VLOOKUP(RawSalesTable6[[#This Row],[Product_ID_Clean]],ProductsTable[],2,FALSE)</f>
        <v>Backpack</v>
      </c>
      <c r="Y56" s="8" t="str">
        <f>VLOOKUP(RawSalesTable6[[#This Row],[Product_ID_Clean]],ProductsTable[],3,FALSE)</f>
        <v>Accessories</v>
      </c>
      <c r="Z56" s="8">
        <f>VLOOKUP(RawSalesTable6[[#This Row],[Product_ID_Clean]],ProductsTable[],5,FALSE)</f>
        <v>152.55000000000001</v>
      </c>
      <c r="AA56" s="8">
        <f>RawSalesTable6[[#This Row],[Unit_Price]]*RawSalesTable6[[#This Row],[Quantity]]</f>
        <v>318.31</v>
      </c>
      <c r="AB56" s="8">
        <f>RawSalesTable6[[#This Row],[Gross_Sales]]*RawSalesTable6[[#This Row],[Discount_Pct]]</f>
        <v>31.831000000000003</v>
      </c>
      <c r="AC56" s="8">
        <f>RawSalesTable6[[#This Row],[Gross_Sales]]-RawSalesTable6[[#This Row],[Discount_Amount]]</f>
        <v>286.47899999999998</v>
      </c>
      <c r="AD56" s="8">
        <f>RawSalesTable6[[#This Row],[Unit_Cost]]*RawSalesTable6[[#This Row],[Quantity]]</f>
        <v>152.55000000000001</v>
      </c>
      <c r="AE56" s="8">
        <f>RawSalesTable6[[#This Row],[Net_Sales]]-RawSalesTable6[[#This Row],[Total_Cost]]</f>
        <v>133.92899999999997</v>
      </c>
      <c r="AF56" s="9">
        <f>RawSalesTable6[[#This Row],[Profit]]/RawSalesTable6[[#This Row],[Net_Sales]]</f>
        <v>0.46750023561936471</v>
      </c>
      <c r="AG56" s="8">
        <f>YEAR(RawSalesTable6[[#This Row],[Order_Date]])</f>
        <v>2025</v>
      </c>
      <c r="AH56" s="8">
        <f>MONTH(RawSalesTable6[[#This Row],[Order_Date]])</f>
        <v>10</v>
      </c>
      <c r="AI56" s="8" t="str">
        <f>TEXT(RawSalesTable6[[#This Row],[Order_Date]],"mmmm")</f>
        <v>octobre</v>
      </c>
      <c r="AJ56" s="8" t="str">
        <f>IF(RawSalesTable6[[#This Row],[Month_Number]]&lt;=3,"Q1",IF(RawSalesTable6[[#This Row],[Month_Number]]&lt;=6,"Q2",IF(RawSalesTable6[[#This Row],[Month_Number]]&lt;=9,"Q3","Q4")))</f>
        <v>Q4</v>
      </c>
      <c r="AK56" s="8" t="str">
        <f>VLOOKUP(RawSalesTable6[[#This Row],[Customer_ID_Clean]],CustomersTable[],4,FALSE)</f>
        <v>Manitoba</v>
      </c>
      <c r="AL56" s="8">
        <f>IF(RawSalesTable6[[#This Row],[Return_Status]]="Yes",1,0)</f>
        <v>0</v>
      </c>
    </row>
    <row r="57" spans="1:38">
      <c r="A57" t="s">
        <v>285</v>
      </c>
      <c r="B57" s="3">
        <v>45971</v>
      </c>
      <c r="C57" t="s">
        <v>286</v>
      </c>
      <c r="D57" t="s">
        <v>157</v>
      </c>
      <c r="E57" t="s">
        <v>287</v>
      </c>
      <c r="F57" t="s">
        <v>116</v>
      </c>
      <c r="G57" t="s">
        <v>117</v>
      </c>
      <c r="H57" t="s">
        <v>97</v>
      </c>
      <c r="I57">
        <v>1</v>
      </c>
      <c r="J57" s="2">
        <v>294.95</v>
      </c>
      <c r="K57" s="4">
        <v>0.05</v>
      </c>
      <c r="L57" t="s">
        <v>106</v>
      </c>
      <c r="M57">
        <v>2</v>
      </c>
      <c r="N57" t="s">
        <v>91</v>
      </c>
      <c r="O57" t="str">
        <f>SUBSTITUTE(PROPER(TRIM(RawSalesTable6[[#This Row],[Channel_Raw]])),"Market Place","Marketplace")</f>
        <v>Retail Store</v>
      </c>
      <c r="P57" t="str">
        <f>TRIM(RawSalesTable6[[#This Row],[Product_ID]])</f>
        <v>P1009</v>
      </c>
      <c r="Q57" t="str">
        <f>TRIM(RawSalesTable6[[#This Row],[Customer_ID]])</f>
        <v>C0098</v>
      </c>
      <c r="R57" s="8" t="str">
        <f>PROPER(TRIM(RawSalesTable6[[#This Row],[Store_Raw]]))</f>
        <v>Toronto Downtown</v>
      </c>
      <c r="S57" s="8" t="str">
        <f>IF(TRIM(RawSalesTable6[[#This Row],[Payment_Method_Raw]])="","Non renseigné",SUBSTITUTE(PROPER(TRIM(RawSalesTable6[[#This Row],[Payment_Method_Raw]])),"Cc","Credit Card"))</f>
        <v>Credit Card</v>
      </c>
      <c r="T57" s="8">
        <f>COUNTIF(A:A,RawSalesTable6[[#This Row],[Order_ID]])</f>
        <v>1</v>
      </c>
      <c r="U57" s="8" t="str">
        <f>TRIM(LEFT(RawSalesTable6[[#This Row],[Customer_Info]],FIND(",",RawSalesTable6[[#This Row],[Customer_Info]])-1))</f>
        <v>Nora Young</v>
      </c>
      <c r="V57" s="8" t="str">
        <f>TRIM(MID(RawSalesTable6[[#This Row],[Customer_Info]],FIND(",",RawSalesTable6[[#This Row],[Customer_Info]])+1,FIND(",",RawSalesTable6[[#This Row],[Customer_Info]],FIND(",",RawSalesTable6[[#This Row],[Customer_Info]])+1)-FIND(",",RawSalesTable6[[#This Row],[Customer_Info]])-1))</f>
        <v>Winnipeg</v>
      </c>
      <c r="W57" s="8" t="str">
        <f>TRIM(RIGHT(RawSalesTable6[[#This Row],[Customer_Info]],LEN(RawSalesTable6[[#This Row],[Customer_Info]])-FIND(",",RawSalesTable6[[#This Row],[Customer_Info]],FIND(",",RawSalesTable6[[#This Row],[Customer_Info]])+1)))</f>
        <v>Consumer</v>
      </c>
      <c r="X57" s="8" t="str">
        <f>VLOOKUP(RawSalesTable6[[#This Row],[Product_ID_Clean]],ProductsTable[],2,FALSE)</f>
        <v>Notebook</v>
      </c>
      <c r="Y57" s="8" t="str">
        <f>VLOOKUP(RawSalesTable6[[#This Row],[Product_ID_Clean]],ProductsTable[],3,FALSE)</f>
        <v>Office</v>
      </c>
      <c r="Z57" s="8">
        <f>VLOOKUP(RawSalesTable6[[#This Row],[Product_ID_Clean]],ProductsTable[],5,FALSE)</f>
        <v>176.13</v>
      </c>
      <c r="AA57" s="8">
        <f>RawSalesTable6[[#This Row],[Unit_Price]]*RawSalesTable6[[#This Row],[Quantity]]</f>
        <v>294.95</v>
      </c>
      <c r="AB57" s="8">
        <f>RawSalesTable6[[#This Row],[Gross_Sales]]*RawSalesTable6[[#This Row],[Discount_Pct]]</f>
        <v>14.7475</v>
      </c>
      <c r="AC57" s="8">
        <f>RawSalesTable6[[#This Row],[Gross_Sales]]-RawSalesTable6[[#This Row],[Discount_Amount]]</f>
        <v>280.20249999999999</v>
      </c>
      <c r="AD57" s="8">
        <f>RawSalesTable6[[#This Row],[Unit_Cost]]*RawSalesTable6[[#This Row],[Quantity]]</f>
        <v>176.13</v>
      </c>
      <c r="AE57" s="8">
        <f>RawSalesTable6[[#This Row],[Net_Sales]]-RawSalesTable6[[#This Row],[Total_Cost]]</f>
        <v>104.07249999999999</v>
      </c>
      <c r="AF57" s="9">
        <f>RawSalesTable6[[#This Row],[Profit]]/RawSalesTable6[[#This Row],[Net_Sales]]</f>
        <v>0.37141888455670452</v>
      </c>
      <c r="AG57" s="8">
        <f>YEAR(RawSalesTable6[[#This Row],[Order_Date]])</f>
        <v>2025</v>
      </c>
      <c r="AH57" s="8">
        <f>MONTH(RawSalesTable6[[#This Row],[Order_Date]])</f>
        <v>11</v>
      </c>
      <c r="AI57" s="8" t="str">
        <f>TEXT(RawSalesTable6[[#This Row],[Order_Date]],"mmmm")</f>
        <v>novembre</v>
      </c>
      <c r="AJ57" s="8" t="str">
        <f>IF(RawSalesTable6[[#This Row],[Month_Number]]&lt;=3,"Q1",IF(RawSalesTable6[[#This Row],[Month_Number]]&lt;=6,"Q2",IF(RawSalesTable6[[#This Row],[Month_Number]]&lt;=9,"Q3","Q4")))</f>
        <v>Q4</v>
      </c>
      <c r="AK57" s="8" t="str">
        <f>VLOOKUP(RawSalesTable6[[#This Row],[Customer_ID_Clean]],CustomersTable[],4,FALSE)</f>
        <v>Manitoba</v>
      </c>
      <c r="AL57" s="8">
        <f>IF(RawSalesTable6[[#This Row],[Return_Status]]="Yes",1,0)</f>
        <v>0</v>
      </c>
    </row>
    <row r="58" spans="1:38">
      <c r="A58" t="s">
        <v>288</v>
      </c>
      <c r="B58" s="3">
        <v>45931</v>
      </c>
      <c r="C58" t="s">
        <v>243</v>
      </c>
      <c r="D58" t="s">
        <v>244</v>
      </c>
      <c r="E58" t="s">
        <v>245</v>
      </c>
      <c r="F58" t="s">
        <v>111</v>
      </c>
      <c r="G58" t="s">
        <v>88</v>
      </c>
      <c r="H58" t="s">
        <v>89</v>
      </c>
      <c r="I58">
        <v>3</v>
      </c>
      <c r="J58" s="2">
        <v>229.15</v>
      </c>
      <c r="K58" s="4">
        <v>0</v>
      </c>
      <c r="L58" t="s">
        <v>98</v>
      </c>
      <c r="M58">
        <v>2</v>
      </c>
      <c r="N58" t="s">
        <v>91</v>
      </c>
      <c r="O58" t="str">
        <f>SUBSTITUTE(PROPER(TRIM(RawSalesTable6[[#This Row],[Channel_Raw]])),"Market Place","Marketplace")</f>
        <v>Online</v>
      </c>
      <c r="P58" t="str">
        <f>TRIM(RawSalesTable6[[#This Row],[Product_ID]])</f>
        <v>P1005</v>
      </c>
      <c r="Q58" t="str">
        <f>TRIM(RawSalesTable6[[#This Row],[Customer_ID]])</f>
        <v>C0048</v>
      </c>
      <c r="R58" s="8" t="str">
        <f>PROPER(TRIM(RawSalesTable6[[#This Row],[Store_Raw]]))</f>
        <v>Montreal Central</v>
      </c>
      <c r="S58" s="8" t="str">
        <f>IF(TRIM(RawSalesTable6[[#This Row],[Payment_Method_Raw]])="","Non renseigné",SUBSTITUTE(PROPER(TRIM(RawSalesTable6[[#This Row],[Payment_Method_Raw]])),"Cc","Credit Card"))</f>
        <v>Debit Card</v>
      </c>
      <c r="T58" s="8">
        <f>COUNTIF(A:A,RawSalesTable6[[#This Row],[Order_ID]])</f>
        <v>1</v>
      </c>
      <c r="U58" s="8" t="str">
        <f>TRIM(LEFT(RawSalesTable6[[#This Row],[Customer_Info]],FIND(",",RawSalesTable6[[#This Row],[Customer_Info]])-1))</f>
        <v>Amelia Brown</v>
      </c>
      <c r="V58" s="8" t="str">
        <f>TRIM(MID(RawSalesTable6[[#This Row],[Customer_Info]],FIND(",",RawSalesTable6[[#This Row],[Customer_Info]])+1,FIND(",",RawSalesTable6[[#This Row],[Customer_Info]],FIND(",",RawSalesTable6[[#This Row],[Customer_Info]])+1)-FIND(",",RawSalesTable6[[#This Row],[Customer_Info]])-1))</f>
        <v>Quebec City</v>
      </c>
      <c r="W58" s="8" t="str">
        <f>TRIM(RIGHT(RawSalesTable6[[#This Row],[Customer_Info]],LEN(RawSalesTable6[[#This Row],[Customer_Info]])-FIND(",",RawSalesTable6[[#This Row],[Customer_Info]],FIND(",",RawSalesTable6[[#This Row],[Customer_Info]])+1)))</f>
        <v>Corporate</v>
      </c>
      <c r="X58" s="8" t="str">
        <f>VLOOKUP(RawSalesTable6[[#This Row],[Product_ID_Clean]],ProductsTable[],2,FALSE)</f>
        <v>Portable SSD</v>
      </c>
      <c r="Y58" s="8" t="str">
        <f>VLOOKUP(RawSalesTable6[[#This Row],[Product_ID_Clean]],ProductsTable[],3,FALSE)</f>
        <v>Electronics</v>
      </c>
      <c r="Z58" s="8">
        <f>VLOOKUP(RawSalesTable6[[#This Row],[Product_ID_Clean]],ProductsTable[],5,FALSE)</f>
        <v>131.19</v>
      </c>
      <c r="AA58" s="8">
        <f>RawSalesTable6[[#This Row],[Unit_Price]]*RawSalesTable6[[#This Row],[Quantity]]</f>
        <v>687.45</v>
      </c>
      <c r="AB58" s="8">
        <f>RawSalesTable6[[#This Row],[Gross_Sales]]*RawSalesTable6[[#This Row],[Discount_Pct]]</f>
        <v>0</v>
      </c>
      <c r="AC58" s="8">
        <f>RawSalesTable6[[#This Row],[Gross_Sales]]-RawSalesTable6[[#This Row],[Discount_Amount]]</f>
        <v>687.45</v>
      </c>
      <c r="AD58" s="8">
        <f>RawSalesTable6[[#This Row],[Unit_Cost]]*RawSalesTable6[[#This Row],[Quantity]]</f>
        <v>393.57</v>
      </c>
      <c r="AE58" s="8">
        <f>RawSalesTable6[[#This Row],[Net_Sales]]-RawSalesTable6[[#This Row],[Total_Cost]]</f>
        <v>293.88000000000005</v>
      </c>
      <c r="AF58" s="9">
        <f>RawSalesTable6[[#This Row],[Profit]]/RawSalesTable6[[#This Row],[Net_Sales]]</f>
        <v>0.42749290857516914</v>
      </c>
      <c r="AG58" s="8">
        <f>YEAR(RawSalesTable6[[#This Row],[Order_Date]])</f>
        <v>2025</v>
      </c>
      <c r="AH58" s="8">
        <f>MONTH(RawSalesTable6[[#This Row],[Order_Date]])</f>
        <v>10</v>
      </c>
      <c r="AI58" s="8" t="str">
        <f>TEXT(RawSalesTable6[[#This Row],[Order_Date]],"mmmm")</f>
        <v>octobre</v>
      </c>
      <c r="AJ58" s="8" t="str">
        <f>IF(RawSalesTable6[[#This Row],[Month_Number]]&lt;=3,"Q1",IF(RawSalesTable6[[#This Row],[Month_Number]]&lt;=6,"Q2",IF(RawSalesTable6[[#This Row],[Month_Number]]&lt;=9,"Q3","Q4")))</f>
        <v>Q4</v>
      </c>
      <c r="AK58" s="8" t="str">
        <f>VLOOKUP(RawSalesTable6[[#This Row],[Customer_ID_Clean]],CustomersTable[],4,FALSE)</f>
        <v>Quebec</v>
      </c>
      <c r="AL58" s="8">
        <f>IF(RawSalesTable6[[#This Row],[Return_Status]]="Yes",1,0)</f>
        <v>0</v>
      </c>
    </row>
    <row r="59" spans="1:38">
      <c r="A59" t="s">
        <v>289</v>
      </c>
      <c r="B59" s="3">
        <v>45796</v>
      </c>
      <c r="C59" t="s">
        <v>290</v>
      </c>
      <c r="D59" t="s">
        <v>252</v>
      </c>
      <c r="E59" t="s">
        <v>291</v>
      </c>
      <c r="F59" t="s">
        <v>111</v>
      </c>
      <c r="G59" t="s">
        <v>122</v>
      </c>
      <c r="H59" t="s">
        <v>105</v>
      </c>
      <c r="I59">
        <v>2</v>
      </c>
      <c r="J59" s="2">
        <v>284.68</v>
      </c>
      <c r="K59" s="4">
        <v>0.2</v>
      </c>
      <c r="L59" t="s">
        <v>106</v>
      </c>
      <c r="M59">
        <v>3</v>
      </c>
      <c r="N59" t="s">
        <v>91</v>
      </c>
      <c r="O59" t="str">
        <f>SUBSTITUTE(PROPER(TRIM(RawSalesTable6[[#This Row],[Channel_Raw]])),"Market Place","Marketplace")</f>
        <v>Marketplace</v>
      </c>
      <c r="P59" t="str">
        <f>TRIM(RawSalesTable6[[#This Row],[Product_ID]])</f>
        <v>P1019</v>
      </c>
      <c r="Q59" t="str">
        <f>TRIM(RawSalesTable6[[#This Row],[Customer_ID]])</f>
        <v>C0116</v>
      </c>
      <c r="R59" s="8" t="str">
        <f>PROPER(TRIM(RawSalesTable6[[#This Row],[Store_Raw]]))</f>
        <v>Montreal Central</v>
      </c>
      <c r="S59" s="8" t="str">
        <f>IF(TRIM(RawSalesTable6[[#This Row],[Payment_Method_Raw]])="","Non renseigné",SUBSTITUTE(PROPER(TRIM(RawSalesTable6[[#This Row],[Payment_Method_Raw]])),"Cc","Credit Card"))</f>
        <v>Credit Card</v>
      </c>
      <c r="T59" s="8">
        <f>COUNTIF(A:A,RawSalesTable6[[#This Row],[Order_ID]])</f>
        <v>1</v>
      </c>
      <c r="U59" s="8" t="str">
        <f>TRIM(LEFT(RawSalesTable6[[#This Row],[Customer_Info]],FIND(",",RawSalesTable6[[#This Row],[Customer_Info]])-1))</f>
        <v>Lucas Brown</v>
      </c>
      <c r="V59" s="8" t="str">
        <f>TRIM(MID(RawSalesTable6[[#This Row],[Customer_Info]],FIND(",",RawSalesTable6[[#This Row],[Customer_Info]])+1,FIND(",",RawSalesTable6[[#This Row],[Customer_Info]],FIND(",",RawSalesTable6[[#This Row],[Customer_Info]])+1)-FIND(",",RawSalesTable6[[#This Row],[Customer_Info]])-1))</f>
        <v>Mississauga</v>
      </c>
      <c r="W59" s="8" t="str">
        <f>TRIM(RIGHT(RawSalesTable6[[#This Row],[Customer_Info]],LEN(RawSalesTable6[[#This Row],[Customer_Info]])-FIND(",",RawSalesTable6[[#This Row],[Customer_Info]],FIND(",",RawSalesTable6[[#This Row],[Customer_Info]])+1)))</f>
        <v>Corporate</v>
      </c>
      <c r="X59" s="8" t="str">
        <f>VLOOKUP(RawSalesTable6[[#This Row],[Product_ID_Clean]],ProductsTable[],2,FALSE)</f>
        <v>Vacuum</v>
      </c>
      <c r="Y59" s="8" t="str">
        <f>VLOOKUP(RawSalesTable6[[#This Row],[Product_ID_Clean]],ProductsTable[],3,FALSE)</f>
        <v>Home</v>
      </c>
      <c r="Z59" s="8">
        <f>VLOOKUP(RawSalesTable6[[#This Row],[Product_ID_Clean]],ProductsTable[],5,FALSE)</f>
        <v>186.94</v>
      </c>
      <c r="AA59" s="8">
        <f>RawSalesTable6[[#This Row],[Unit_Price]]*RawSalesTable6[[#This Row],[Quantity]]</f>
        <v>569.36</v>
      </c>
      <c r="AB59" s="8">
        <f>RawSalesTable6[[#This Row],[Gross_Sales]]*RawSalesTable6[[#This Row],[Discount_Pct]]</f>
        <v>113.87200000000001</v>
      </c>
      <c r="AC59" s="8">
        <f>RawSalesTable6[[#This Row],[Gross_Sales]]-RawSalesTable6[[#This Row],[Discount_Amount]]</f>
        <v>455.488</v>
      </c>
      <c r="AD59" s="8">
        <f>RawSalesTable6[[#This Row],[Unit_Cost]]*RawSalesTable6[[#This Row],[Quantity]]</f>
        <v>373.88</v>
      </c>
      <c r="AE59" s="8">
        <f>RawSalesTable6[[#This Row],[Net_Sales]]-RawSalesTable6[[#This Row],[Total_Cost]]</f>
        <v>81.608000000000004</v>
      </c>
      <c r="AF59" s="9">
        <f>RawSalesTable6[[#This Row],[Profit]]/RawSalesTable6[[#This Row],[Net_Sales]]</f>
        <v>0.17916608121399466</v>
      </c>
      <c r="AG59" s="8">
        <f>YEAR(RawSalesTable6[[#This Row],[Order_Date]])</f>
        <v>2025</v>
      </c>
      <c r="AH59" s="8">
        <f>MONTH(RawSalesTable6[[#This Row],[Order_Date]])</f>
        <v>5</v>
      </c>
      <c r="AI59" s="8" t="str">
        <f>TEXT(RawSalesTable6[[#This Row],[Order_Date]],"mmmm")</f>
        <v>mai</v>
      </c>
      <c r="AJ59" s="8" t="str">
        <f>IF(RawSalesTable6[[#This Row],[Month_Number]]&lt;=3,"Q1",IF(RawSalesTable6[[#This Row],[Month_Number]]&lt;=6,"Q2",IF(RawSalesTable6[[#This Row],[Month_Number]]&lt;=9,"Q3","Q4")))</f>
        <v>Q2</v>
      </c>
      <c r="AK59" s="8" t="str">
        <f>VLOOKUP(RawSalesTable6[[#This Row],[Customer_ID_Clean]],CustomersTable[],4,FALSE)</f>
        <v>Ontario</v>
      </c>
      <c r="AL59" s="8">
        <f>IF(RawSalesTable6[[#This Row],[Return_Status]]="Yes",1,0)</f>
        <v>0</v>
      </c>
    </row>
    <row r="60" spans="1:38">
      <c r="A60" t="s">
        <v>292</v>
      </c>
      <c r="B60" s="3">
        <v>45718</v>
      </c>
      <c r="C60" t="s">
        <v>293</v>
      </c>
      <c r="D60" t="s">
        <v>255</v>
      </c>
      <c r="E60" t="s">
        <v>294</v>
      </c>
      <c r="F60" t="s">
        <v>103</v>
      </c>
      <c r="G60" t="s">
        <v>117</v>
      </c>
      <c r="H60" t="s">
        <v>89</v>
      </c>
      <c r="I60">
        <v>1</v>
      </c>
      <c r="J60" s="2">
        <v>226.51</v>
      </c>
      <c r="K60" s="4">
        <v>0.15</v>
      </c>
      <c r="L60" t="s">
        <v>253</v>
      </c>
      <c r="M60">
        <v>8</v>
      </c>
      <c r="N60" t="s">
        <v>91</v>
      </c>
      <c r="O60" t="str">
        <f>SUBSTITUTE(PROPER(TRIM(RawSalesTable6[[#This Row],[Channel_Raw]])),"Market Place","Marketplace")</f>
        <v>Online</v>
      </c>
      <c r="P60" t="str">
        <f>TRIM(RawSalesTable6[[#This Row],[Product_ID]])</f>
        <v>P1014</v>
      </c>
      <c r="Q60" t="str">
        <f>TRIM(RawSalesTable6[[#This Row],[Customer_ID]])</f>
        <v>C0007</v>
      </c>
      <c r="R60" s="8" t="str">
        <f>PROPER(TRIM(RawSalesTable6[[#This Row],[Store_Raw]]))</f>
        <v>Vancouver West</v>
      </c>
      <c r="S60" s="8" t="str">
        <f>IF(TRIM(RawSalesTable6[[#This Row],[Payment_Method_Raw]])="","Non renseigné",SUBSTITUTE(PROPER(TRIM(RawSalesTable6[[#This Row],[Payment_Method_Raw]])),"Cc","Credit Card"))</f>
        <v>Credit Card</v>
      </c>
      <c r="T60" s="8">
        <f>COUNTIF(A:A,RawSalesTable6[[#This Row],[Order_ID]])</f>
        <v>1</v>
      </c>
      <c r="U60" s="8" t="str">
        <f>TRIM(LEFT(RawSalesTable6[[#This Row],[Customer_Info]],FIND(",",RawSalesTable6[[#This Row],[Customer_Info]])-1))</f>
        <v>Lucas Wilson</v>
      </c>
      <c r="V60" s="8" t="str">
        <f>TRIM(MID(RawSalesTable6[[#This Row],[Customer_Info]],FIND(",",RawSalesTable6[[#This Row],[Customer_Info]])+1,FIND(",",RawSalesTable6[[#This Row],[Customer_Info]],FIND(",",RawSalesTable6[[#This Row],[Customer_Info]])+1)-FIND(",",RawSalesTable6[[#This Row],[Customer_Info]])-1))</f>
        <v>Ottawa</v>
      </c>
      <c r="W60" s="8" t="str">
        <f>TRIM(RIGHT(RawSalesTable6[[#This Row],[Customer_Info]],LEN(RawSalesTable6[[#This Row],[Customer_Info]])-FIND(",",RawSalesTable6[[#This Row],[Customer_Info]],FIND(",",RawSalesTable6[[#This Row],[Customer_Info]])+1)))</f>
        <v>Consumer</v>
      </c>
      <c r="X60" s="8" t="str">
        <f>VLOOKUP(RawSalesTable6[[#This Row],[Product_ID_Clean]],ProductsTable[],2,FALSE)</f>
        <v>Document Shredder</v>
      </c>
      <c r="Y60" s="8" t="str">
        <f>VLOOKUP(RawSalesTable6[[#This Row],[Product_ID_Clean]],ProductsTable[],3,FALSE)</f>
        <v>Office</v>
      </c>
      <c r="Z60" s="8">
        <f>VLOOKUP(RawSalesTable6[[#This Row],[Product_ID_Clean]],ProductsTable[],5,FALSE)</f>
        <v>117.65</v>
      </c>
      <c r="AA60" s="8">
        <f>RawSalesTable6[[#This Row],[Unit_Price]]*RawSalesTable6[[#This Row],[Quantity]]</f>
        <v>226.51</v>
      </c>
      <c r="AB60" s="8">
        <f>RawSalesTable6[[#This Row],[Gross_Sales]]*RawSalesTable6[[#This Row],[Discount_Pct]]</f>
        <v>33.976499999999994</v>
      </c>
      <c r="AC60" s="8">
        <f>RawSalesTable6[[#This Row],[Gross_Sales]]-RawSalesTable6[[#This Row],[Discount_Amount]]</f>
        <v>192.5335</v>
      </c>
      <c r="AD60" s="8">
        <f>RawSalesTable6[[#This Row],[Unit_Cost]]*RawSalesTable6[[#This Row],[Quantity]]</f>
        <v>117.65</v>
      </c>
      <c r="AE60" s="8">
        <f>RawSalesTable6[[#This Row],[Net_Sales]]-RawSalesTable6[[#This Row],[Total_Cost]]</f>
        <v>74.883499999999998</v>
      </c>
      <c r="AF60" s="9">
        <f>RawSalesTable6[[#This Row],[Profit]]/RawSalesTable6[[#This Row],[Net_Sales]]</f>
        <v>0.38893750957625556</v>
      </c>
      <c r="AG60" s="8">
        <f>YEAR(RawSalesTable6[[#This Row],[Order_Date]])</f>
        <v>2025</v>
      </c>
      <c r="AH60" s="8">
        <f>MONTH(RawSalesTable6[[#This Row],[Order_Date]])</f>
        <v>3</v>
      </c>
      <c r="AI60" s="8" t="str">
        <f>TEXT(RawSalesTable6[[#This Row],[Order_Date]],"mmmm")</f>
        <v>mars</v>
      </c>
      <c r="AJ60" s="8" t="str">
        <f>IF(RawSalesTable6[[#This Row],[Month_Number]]&lt;=3,"Q1",IF(RawSalesTable6[[#This Row],[Month_Number]]&lt;=6,"Q2",IF(RawSalesTable6[[#This Row],[Month_Number]]&lt;=9,"Q3","Q4")))</f>
        <v>Q1</v>
      </c>
      <c r="AK60" s="8" t="str">
        <f>VLOOKUP(RawSalesTable6[[#This Row],[Customer_ID_Clean]],CustomersTable[],4,FALSE)</f>
        <v>Ontario</v>
      </c>
      <c r="AL60" s="8">
        <f>IF(RawSalesTable6[[#This Row],[Return_Status]]="Yes",1,0)</f>
        <v>0</v>
      </c>
    </row>
    <row r="61" spans="1:38">
      <c r="A61" t="s">
        <v>295</v>
      </c>
      <c r="B61" s="3">
        <v>45929</v>
      </c>
      <c r="C61" t="s">
        <v>296</v>
      </c>
      <c r="D61" t="s">
        <v>157</v>
      </c>
      <c r="E61" t="s">
        <v>297</v>
      </c>
      <c r="F61" t="s">
        <v>103</v>
      </c>
      <c r="G61" t="s">
        <v>122</v>
      </c>
      <c r="H61" t="s">
        <v>97</v>
      </c>
      <c r="I61">
        <v>3</v>
      </c>
      <c r="J61" s="2">
        <v>307.64999999999998</v>
      </c>
      <c r="K61" s="4">
        <v>0</v>
      </c>
      <c r="L61" t="s">
        <v>106</v>
      </c>
      <c r="M61">
        <v>4</v>
      </c>
      <c r="N61" t="s">
        <v>91</v>
      </c>
      <c r="O61" t="str">
        <f>SUBSTITUTE(PROPER(TRIM(RawSalesTable6[[#This Row],[Channel_Raw]])),"Market Place","Marketplace")</f>
        <v>Retail Store</v>
      </c>
      <c r="P61" t="str">
        <f>TRIM(RawSalesTable6[[#This Row],[Product_ID]])</f>
        <v>P1009</v>
      </c>
      <c r="Q61" t="str">
        <f>TRIM(RawSalesTable6[[#This Row],[Customer_ID]])</f>
        <v>C0040</v>
      </c>
      <c r="R61" s="8" t="str">
        <f>PROPER(TRIM(RawSalesTable6[[#This Row],[Store_Raw]]))</f>
        <v>Vancouver West</v>
      </c>
      <c r="S61" s="8" t="str">
        <f>IF(TRIM(RawSalesTable6[[#This Row],[Payment_Method_Raw]])="","Non renseigné",SUBSTITUTE(PROPER(TRIM(RawSalesTable6[[#This Row],[Payment_Method_Raw]])),"Cc","Credit Card"))</f>
        <v>Credit Card</v>
      </c>
      <c r="T61" s="8">
        <f>COUNTIF(A:A,RawSalesTable6[[#This Row],[Order_ID]])</f>
        <v>1</v>
      </c>
      <c r="U61" s="8" t="str">
        <f>TRIM(LEFT(RawSalesTable6[[#This Row],[Customer_Info]],FIND(",",RawSalesTable6[[#This Row],[Customer_Info]])-1))</f>
        <v>Ethan Young</v>
      </c>
      <c r="V61" s="8" t="str">
        <f>TRIM(MID(RawSalesTable6[[#This Row],[Customer_Info]],FIND(",",RawSalesTable6[[#This Row],[Customer_Info]])+1,FIND(",",RawSalesTable6[[#This Row],[Customer_Info]],FIND(",",RawSalesTable6[[#This Row],[Customer_Info]])+1)-FIND(",",RawSalesTable6[[#This Row],[Customer_Info]])-1))</f>
        <v>Surrey</v>
      </c>
      <c r="W61" s="8" t="str">
        <f>TRIM(RIGHT(RawSalesTable6[[#This Row],[Customer_Info]],LEN(RawSalesTable6[[#This Row],[Customer_Info]])-FIND(",",RawSalesTable6[[#This Row],[Customer_Info]],FIND(",",RawSalesTable6[[#This Row],[Customer_Info]])+1)))</f>
        <v>Consumer</v>
      </c>
      <c r="X61" s="8" t="str">
        <f>VLOOKUP(RawSalesTable6[[#This Row],[Product_ID_Clean]],ProductsTable[],2,FALSE)</f>
        <v>Notebook</v>
      </c>
      <c r="Y61" s="8" t="str">
        <f>VLOOKUP(RawSalesTable6[[#This Row],[Product_ID_Clean]],ProductsTable[],3,FALSE)</f>
        <v>Office</v>
      </c>
      <c r="Z61" s="8">
        <f>VLOOKUP(RawSalesTable6[[#This Row],[Product_ID_Clean]],ProductsTable[],5,FALSE)</f>
        <v>176.13</v>
      </c>
      <c r="AA61" s="8">
        <f>RawSalesTable6[[#This Row],[Unit_Price]]*RawSalesTable6[[#This Row],[Quantity]]</f>
        <v>922.94999999999993</v>
      </c>
      <c r="AB61" s="8">
        <f>RawSalesTable6[[#This Row],[Gross_Sales]]*RawSalesTable6[[#This Row],[Discount_Pct]]</f>
        <v>0</v>
      </c>
      <c r="AC61" s="8">
        <f>RawSalesTable6[[#This Row],[Gross_Sales]]-RawSalesTable6[[#This Row],[Discount_Amount]]</f>
        <v>922.94999999999993</v>
      </c>
      <c r="AD61" s="8">
        <f>RawSalesTable6[[#This Row],[Unit_Cost]]*RawSalesTable6[[#This Row],[Quantity]]</f>
        <v>528.39</v>
      </c>
      <c r="AE61" s="8">
        <f>RawSalesTable6[[#This Row],[Net_Sales]]-RawSalesTable6[[#This Row],[Total_Cost]]</f>
        <v>394.55999999999995</v>
      </c>
      <c r="AF61" s="9">
        <f>RawSalesTable6[[#This Row],[Profit]]/RawSalesTable6[[#This Row],[Net_Sales]]</f>
        <v>0.4274987810823988</v>
      </c>
      <c r="AG61" s="8">
        <f>YEAR(RawSalesTable6[[#This Row],[Order_Date]])</f>
        <v>2025</v>
      </c>
      <c r="AH61" s="8">
        <f>MONTH(RawSalesTable6[[#This Row],[Order_Date]])</f>
        <v>9</v>
      </c>
      <c r="AI61" s="8" t="str">
        <f>TEXT(RawSalesTable6[[#This Row],[Order_Date]],"mmmm")</f>
        <v>septembre</v>
      </c>
      <c r="AJ61" s="8" t="str">
        <f>IF(RawSalesTable6[[#This Row],[Month_Number]]&lt;=3,"Q1",IF(RawSalesTable6[[#This Row],[Month_Number]]&lt;=6,"Q2",IF(RawSalesTable6[[#This Row],[Month_Number]]&lt;=9,"Q3","Q4")))</f>
        <v>Q3</v>
      </c>
      <c r="AK61" s="8" t="str">
        <f>VLOOKUP(RawSalesTable6[[#This Row],[Customer_ID_Clean]],CustomersTable[],4,FALSE)</f>
        <v>British Columbia</v>
      </c>
      <c r="AL61" s="8">
        <f>IF(RawSalesTable6[[#This Row],[Return_Status]]="Yes",1,0)</f>
        <v>0</v>
      </c>
    </row>
    <row r="62" spans="1:38">
      <c r="A62" t="s">
        <v>298</v>
      </c>
      <c r="B62" s="3">
        <v>45730</v>
      </c>
      <c r="C62" t="s">
        <v>243</v>
      </c>
      <c r="D62" t="s">
        <v>244</v>
      </c>
      <c r="E62" t="s">
        <v>245</v>
      </c>
      <c r="F62" t="s">
        <v>145</v>
      </c>
      <c r="G62" t="s">
        <v>88</v>
      </c>
      <c r="H62" t="s">
        <v>97</v>
      </c>
      <c r="I62">
        <v>5</v>
      </c>
      <c r="J62" s="2">
        <v>234.75</v>
      </c>
      <c r="K62" s="4">
        <v>0.1</v>
      </c>
      <c r="L62" t="s">
        <v>106</v>
      </c>
      <c r="M62">
        <v>3</v>
      </c>
      <c r="N62" t="s">
        <v>91</v>
      </c>
      <c r="O62" t="str">
        <f>SUBSTITUTE(PROPER(TRIM(RawSalesTable6[[#This Row],[Channel_Raw]])),"Market Place","Marketplace")</f>
        <v>Retail Store</v>
      </c>
      <c r="P62" t="str">
        <f>TRIM(RawSalesTable6[[#This Row],[Product_ID]])</f>
        <v>P1005</v>
      </c>
      <c r="Q62" t="str">
        <f>TRIM(RawSalesTable6[[#This Row],[Customer_ID]])</f>
        <v>C0048</v>
      </c>
      <c r="R62" s="8" t="str">
        <f>PROPER(TRIM(RawSalesTable6[[#This Row],[Store_Raw]]))</f>
        <v>Calgary North</v>
      </c>
      <c r="S62" s="8" t="str">
        <f>IF(TRIM(RawSalesTable6[[#This Row],[Payment_Method_Raw]])="","Non renseigné",SUBSTITUTE(PROPER(TRIM(RawSalesTable6[[#This Row],[Payment_Method_Raw]])),"Cc","Credit Card"))</f>
        <v>Credit Card</v>
      </c>
      <c r="T62" s="8">
        <f>COUNTIF(A:A,RawSalesTable6[[#This Row],[Order_ID]])</f>
        <v>1</v>
      </c>
      <c r="U62" s="8" t="str">
        <f>TRIM(LEFT(RawSalesTable6[[#This Row],[Customer_Info]],FIND(",",RawSalesTable6[[#This Row],[Customer_Info]])-1))</f>
        <v>Amelia Brown</v>
      </c>
      <c r="V62" s="8" t="str">
        <f>TRIM(MID(RawSalesTable6[[#This Row],[Customer_Info]],FIND(",",RawSalesTable6[[#This Row],[Customer_Info]])+1,FIND(",",RawSalesTable6[[#This Row],[Customer_Info]],FIND(",",RawSalesTable6[[#This Row],[Customer_Info]])+1)-FIND(",",RawSalesTable6[[#This Row],[Customer_Info]])-1))</f>
        <v>Quebec City</v>
      </c>
      <c r="W62" s="8" t="str">
        <f>TRIM(RIGHT(RawSalesTable6[[#This Row],[Customer_Info]],LEN(RawSalesTable6[[#This Row],[Customer_Info]])-FIND(",",RawSalesTable6[[#This Row],[Customer_Info]],FIND(",",RawSalesTable6[[#This Row],[Customer_Info]])+1)))</f>
        <v>Corporate</v>
      </c>
      <c r="X62" s="8" t="str">
        <f>VLOOKUP(RawSalesTable6[[#This Row],[Product_ID_Clean]],ProductsTable[],2,FALSE)</f>
        <v>Portable SSD</v>
      </c>
      <c r="Y62" s="8" t="str">
        <f>VLOOKUP(RawSalesTable6[[#This Row],[Product_ID_Clean]],ProductsTable[],3,FALSE)</f>
        <v>Electronics</v>
      </c>
      <c r="Z62" s="8">
        <f>VLOOKUP(RawSalesTable6[[#This Row],[Product_ID_Clean]],ProductsTable[],5,FALSE)</f>
        <v>131.19</v>
      </c>
      <c r="AA62" s="8">
        <f>RawSalesTable6[[#This Row],[Unit_Price]]*RawSalesTable6[[#This Row],[Quantity]]</f>
        <v>1173.75</v>
      </c>
      <c r="AB62" s="8">
        <f>RawSalesTable6[[#This Row],[Gross_Sales]]*RawSalesTable6[[#This Row],[Discount_Pct]]</f>
        <v>117.375</v>
      </c>
      <c r="AC62" s="8">
        <f>RawSalesTable6[[#This Row],[Gross_Sales]]-RawSalesTable6[[#This Row],[Discount_Amount]]</f>
        <v>1056.375</v>
      </c>
      <c r="AD62" s="8">
        <f>RawSalesTable6[[#This Row],[Unit_Cost]]*RawSalesTable6[[#This Row],[Quantity]]</f>
        <v>655.95</v>
      </c>
      <c r="AE62" s="8">
        <f>RawSalesTable6[[#This Row],[Net_Sales]]-RawSalesTable6[[#This Row],[Total_Cost]]</f>
        <v>400.42499999999995</v>
      </c>
      <c r="AF62" s="9">
        <f>RawSalesTable6[[#This Row],[Profit]]/RawSalesTable6[[#This Row],[Net_Sales]]</f>
        <v>0.37905573304934326</v>
      </c>
      <c r="AG62" s="8">
        <f>YEAR(RawSalesTable6[[#This Row],[Order_Date]])</f>
        <v>2025</v>
      </c>
      <c r="AH62" s="8">
        <f>MONTH(RawSalesTable6[[#This Row],[Order_Date]])</f>
        <v>3</v>
      </c>
      <c r="AI62" s="8" t="str">
        <f>TEXT(RawSalesTable6[[#This Row],[Order_Date]],"mmmm")</f>
        <v>mars</v>
      </c>
      <c r="AJ62" s="8" t="str">
        <f>IF(RawSalesTable6[[#This Row],[Month_Number]]&lt;=3,"Q1",IF(RawSalesTable6[[#This Row],[Month_Number]]&lt;=6,"Q2",IF(RawSalesTable6[[#This Row],[Month_Number]]&lt;=9,"Q3","Q4")))</f>
        <v>Q1</v>
      </c>
      <c r="AK62" s="8" t="str">
        <f>VLOOKUP(RawSalesTable6[[#This Row],[Customer_ID_Clean]],CustomersTable[],4,FALSE)</f>
        <v>Quebec</v>
      </c>
      <c r="AL62" s="8">
        <f>IF(RawSalesTable6[[#This Row],[Return_Status]]="Yes",1,0)</f>
        <v>0</v>
      </c>
    </row>
    <row r="63" spans="1:38">
      <c r="A63" t="s">
        <v>299</v>
      </c>
      <c r="B63" s="3">
        <v>45718</v>
      </c>
      <c r="C63" t="s">
        <v>300</v>
      </c>
      <c r="D63" t="s">
        <v>101</v>
      </c>
      <c r="E63" t="s">
        <v>301</v>
      </c>
      <c r="F63" t="s">
        <v>87</v>
      </c>
      <c r="G63" t="s">
        <v>88</v>
      </c>
      <c r="H63" t="s">
        <v>97</v>
      </c>
      <c r="I63">
        <v>2</v>
      </c>
      <c r="J63" s="2">
        <v>314.29000000000002</v>
      </c>
      <c r="K63" s="4">
        <v>0.1</v>
      </c>
      <c r="L63" t="s">
        <v>98</v>
      </c>
      <c r="M63">
        <v>0</v>
      </c>
      <c r="N63" t="s">
        <v>91</v>
      </c>
      <c r="O63" t="str">
        <f>SUBSTITUTE(PROPER(TRIM(RawSalesTable6[[#This Row],[Channel_Raw]])),"Market Place","Marketplace")</f>
        <v>Retail Store</v>
      </c>
      <c r="P63" t="str">
        <f>TRIM(RawSalesTable6[[#This Row],[Product_ID]])</f>
        <v>P1021</v>
      </c>
      <c r="Q63" t="str">
        <f>TRIM(RawSalesTable6[[#This Row],[Customer_ID]])</f>
        <v>C0016</v>
      </c>
      <c r="R63" s="8" t="str">
        <f>PROPER(TRIM(RawSalesTable6[[#This Row],[Store_Raw]]))</f>
        <v>Online Fulfillment</v>
      </c>
      <c r="S63" s="8" t="str">
        <f>IF(TRIM(RawSalesTable6[[#This Row],[Payment_Method_Raw]])="","Non renseigné",SUBSTITUTE(PROPER(TRIM(RawSalesTable6[[#This Row],[Payment_Method_Raw]])),"Cc","Credit Card"))</f>
        <v>Debit Card</v>
      </c>
      <c r="T63" s="8">
        <f>COUNTIF(A:A,RawSalesTable6[[#This Row],[Order_ID]])</f>
        <v>1</v>
      </c>
      <c r="U63" s="8" t="str">
        <f>TRIM(LEFT(RawSalesTable6[[#This Row],[Customer_Info]],FIND(",",RawSalesTable6[[#This Row],[Customer_Info]])-1))</f>
        <v>Nora Singh</v>
      </c>
      <c r="V63" s="8" t="str">
        <f>TRIM(MID(RawSalesTable6[[#This Row],[Customer_Info]],FIND(",",RawSalesTable6[[#This Row],[Customer_Info]])+1,FIND(",",RawSalesTable6[[#This Row],[Customer_Info]],FIND(",",RawSalesTable6[[#This Row],[Customer_Info]])+1)-FIND(",",RawSalesTable6[[#This Row],[Customer_Info]])-1))</f>
        <v>Calgary</v>
      </c>
      <c r="W63" s="8" t="str">
        <f>TRIM(RIGHT(RawSalesTable6[[#This Row],[Customer_Info]],LEN(RawSalesTable6[[#This Row],[Customer_Info]])-FIND(",",RawSalesTable6[[#This Row],[Customer_Info]],FIND(",",RawSalesTable6[[#This Row],[Customer_Info]])+1)))</f>
        <v>Consumer</v>
      </c>
      <c r="X63" s="8" t="str">
        <f>VLOOKUP(RawSalesTable6[[#This Row],[Product_ID_Clean]],ProductsTable[],2,FALSE)</f>
        <v>Kettle</v>
      </c>
      <c r="Y63" s="8" t="str">
        <f>VLOOKUP(RawSalesTable6[[#This Row],[Product_ID_Clean]],ProductsTable[],3,FALSE)</f>
        <v>Home</v>
      </c>
      <c r="Z63" s="8">
        <f>VLOOKUP(RawSalesTable6[[#This Row],[Product_ID_Clean]],ProductsTable[],5,FALSE)</f>
        <v>139.86000000000001</v>
      </c>
      <c r="AA63" s="8">
        <f>RawSalesTable6[[#This Row],[Unit_Price]]*RawSalesTable6[[#This Row],[Quantity]]</f>
        <v>628.58000000000004</v>
      </c>
      <c r="AB63" s="8">
        <f>RawSalesTable6[[#This Row],[Gross_Sales]]*RawSalesTable6[[#This Row],[Discount_Pct]]</f>
        <v>62.858000000000004</v>
      </c>
      <c r="AC63" s="8">
        <f>RawSalesTable6[[#This Row],[Gross_Sales]]-RawSalesTable6[[#This Row],[Discount_Amount]]</f>
        <v>565.72199999999998</v>
      </c>
      <c r="AD63" s="8">
        <f>RawSalesTable6[[#This Row],[Unit_Cost]]*RawSalesTable6[[#This Row],[Quantity]]</f>
        <v>279.72000000000003</v>
      </c>
      <c r="AE63" s="8">
        <f>RawSalesTable6[[#This Row],[Net_Sales]]-RawSalesTable6[[#This Row],[Total_Cost]]</f>
        <v>286.00199999999995</v>
      </c>
      <c r="AF63" s="9">
        <f>RawSalesTable6[[#This Row],[Profit]]/RawSalesTable6[[#This Row],[Net_Sales]]</f>
        <v>0.50555219701549514</v>
      </c>
      <c r="AG63" s="8">
        <f>YEAR(RawSalesTable6[[#This Row],[Order_Date]])</f>
        <v>2025</v>
      </c>
      <c r="AH63" s="8">
        <f>MONTH(RawSalesTable6[[#This Row],[Order_Date]])</f>
        <v>3</v>
      </c>
      <c r="AI63" s="8" t="str">
        <f>TEXT(RawSalesTable6[[#This Row],[Order_Date]],"mmmm")</f>
        <v>mars</v>
      </c>
      <c r="AJ63" s="8" t="str">
        <f>IF(RawSalesTable6[[#This Row],[Month_Number]]&lt;=3,"Q1",IF(RawSalesTable6[[#This Row],[Month_Number]]&lt;=6,"Q2",IF(RawSalesTable6[[#This Row],[Month_Number]]&lt;=9,"Q3","Q4")))</f>
        <v>Q1</v>
      </c>
      <c r="AK63" s="8" t="str">
        <f>VLOOKUP(RawSalesTable6[[#This Row],[Customer_ID_Clean]],CustomersTable[],4,FALSE)</f>
        <v>Alberta</v>
      </c>
      <c r="AL63" s="8">
        <f>IF(RawSalesTable6[[#This Row],[Return_Status]]="Yes",1,0)</f>
        <v>0</v>
      </c>
    </row>
    <row r="64" spans="1:38">
      <c r="A64" t="s">
        <v>302</v>
      </c>
      <c r="B64" s="3">
        <v>46014</v>
      </c>
      <c r="C64" t="s">
        <v>84</v>
      </c>
      <c r="D64" t="s">
        <v>303</v>
      </c>
      <c r="E64" t="s">
        <v>86</v>
      </c>
      <c r="F64" t="s">
        <v>145</v>
      </c>
      <c r="G64" t="s">
        <v>88</v>
      </c>
      <c r="H64" t="s">
        <v>97</v>
      </c>
      <c r="I64">
        <v>2</v>
      </c>
      <c r="J64" s="2">
        <v>153.13</v>
      </c>
      <c r="K64" s="4">
        <v>0</v>
      </c>
      <c r="L64" t="s">
        <v>98</v>
      </c>
      <c r="M64">
        <v>0</v>
      </c>
      <c r="N64" t="s">
        <v>91</v>
      </c>
      <c r="O64" t="str">
        <f>SUBSTITUTE(PROPER(TRIM(RawSalesTable6[[#This Row],[Channel_Raw]])),"Market Place","Marketplace")</f>
        <v>Retail Store</v>
      </c>
      <c r="P64" t="str">
        <f>TRIM(RawSalesTable6[[#This Row],[Product_ID]])</f>
        <v>P1036</v>
      </c>
      <c r="Q64" t="str">
        <f>TRIM(RawSalesTable6[[#This Row],[Customer_ID]])</f>
        <v>C0113</v>
      </c>
      <c r="R64" s="8" t="str">
        <f>PROPER(TRIM(RawSalesTable6[[#This Row],[Store_Raw]]))</f>
        <v>Calgary North</v>
      </c>
      <c r="S64" s="8" t="str">
        <f>IF(TRIM(RawSalesTable6[[#This Row],[Payment_Method_Raw]])="","Non renseigné",SUBSTITUTE(PROPER(TRIM(RawSalesTable6[[#This Row],[Payment_Method_Raw]])),"Cc","Credit Card"))</f>
        <v>Debit Card</v>
      </c>
      <c r="T64" s="8">
        <f>COUNTIF(A:A,RawSalesTable6[[#This Row],[Order_ID]])</f>
        <v>1</v>
      </c>
      <c r="U64" s="8" t="str">
        <f>TRIM(LEFT(RawSalesTable6[[#This Row],[Customer_Info]],FIND(",",RawSalesTable6[[#This Row],[Customer_Info]])-1))</f>
        <v>Olivia Johnson</v>
      </c>
      <c r="V64" s="8" t="str">
        <f>TRIM(MID(RawSalesTable6[[#This Row],[Customer_Info]],FIND(",",RawSalesTable6[[#This Row],[Customer_Info]])+1,FIND(",",RawSalesTable6[[#This Row],[Customer_Info]],FIND(",",RawSalesTable6[[#This Row],[Customer_Info]])+1)-FIND(",",RawSalesTable6[[#This Row],[Customer_Info]])-1))</f>
        <v>Surrey</v>
      </c>
      <c r="W64" s="8" t="str">
        <f>TRIM(RIGHT(RawSalesTable6[[#This Row],[Customer_Info]],LEN(RawSalesTable6[[#This Row],[Customer_Info]])-FIND(",",RawSalesTable6[[#This Row],[Customer_Info]],FIND(",",RawSalesTable6[[#This Row],[Customer_Info]])+1)))</f>
        <v>Consumer</v>
      </c>
      <c r="X64" s="8" t="str">
        <f>VLOOKUP(RawSalesTable6[[#This Row],[Product_ID_Clean]],ProductsTable[],2,FALSE)</f>
        <v>Power Bank</v>
      </c>
      <c r="Y64" s="8" t="str">
        <f>VLOOKUP(RawSalesTable6[[#This Row],[Product_ID_Clean]],ProductsTable[],3,FALSE)</f>
        <v>Accessories</v>
      </c>
      <c r="Z64" s="8">
        <f>VLOOKUP(RawSalesTable6[[#This Row],[Product_ID_Clean]],ProductsTable[],5,FALSE)</f>
        <v>76.97</v>
      </c>
      <c r="AA64" s="8">
        <f>RawSalesTable6[[#This Row],[Unit_Price]]*RawSalesTable6[[#This Row],[Quantity]]</f>
        <v>306.26</v>
      </c>
      <c r="AB64" s="8">
        <f>RawSalesTable6[[#This Row],[Gross_Sales]]*RawSalesTable6[[#This Row],[Discount_Pct]]</f>
        <v>0</v>
      </c>
      <c r="AC64" s="8">
        <f>RawSalesTable6[[#This Row],[Gross_Sales]]-RawSalesTable6[[#This Row],[Discount_Amount]]</f>
        <v>306.26</v>
      </c>
      <c r="AD64" s="8">
        <f>RawSalesTable6[[#This Row],[Unit_Cost]]*RawSalesTable6[[#This Row],[Quantity]]</f>
        <v>153.94</v>
      </c>
      <c r="AE64" s="8">
        <f>RawSalesTable6[[#This Row],[Net_Sales]]-RawSalesTable6[[#This Row],[Total_Cost]]</f>
        <v>152.32</v>
      </c>
      <c r="AF64" s="9">
        <f>RawSalesTable6[[#This Row],[Profit]]/RawSalesTable6[[#This Row],[Net_Sales]]</f>
        <v>0.49735518840201137</v>
      </c>
      <c r="AG64" s="8">
        <f>YEAR(RawSalesTable6[[#This Row],[Order_Date]])</f>
        <v>2025</v>
      </c>
      <c r="AH64" s="8">
        <f>MONTH(RawSalesTable6[[#This Row],[Order_Date]])</f>
        <v>12</v>
      </c>
      <c r="AI64" s="8" t="str">
        <f>TEXT(RawSalesTable6[[#This Row],[Order_Date]],"mmmm")</f>
        <v>décembre</v>
      </c>
      <c r="AJ64" s="8" t="str">
        <f>IF(RawSalesTable6[[#This Row],[Month_Number]]&lt;=3,"Q1",IF(RawSalesTable6[[#This Row],[Month_Number]]&lt;=6,"Q2",IF(RawSalesTable6[[#This Row],[Month_Number]]&lt;=9,"Q3","Q4")))</f>
        <v>Q4</v>
      </c>
      <c r="AK64" s="8" t="str">
        <f>VLOOKUP(RawSalesTable6[[#This Row],[Customer_ID_Clean]],CustomersTable[],4,FALSE)</f>
        <v>British Columbia</v>
      </c>
      <c r="AL64" s="8">
        <f>IF(RawSalesTable6[[#This Row],[Return_Status]]="Yes",1,0)</f>
        <v>0</v>
      </c>
    </row>
    <row r="65" spans="1:38">
      <c r="A65" t="s">
        <v>304</v>
      </c>
      <c r="B65" s="3">
        <v>45910</v>
      </c>
      <c r="C65" t="s">
        <v>305</v>
      </c>
      <c r="D65" t="s">
        <v>226</v>
      </c>
      <c r="E65" t="s">
        <v>306</v>
      </c>
      <c r="F65" t="s">
        <v>87</v>
      </c>
      <c r="G65" t="s">
        <v>117</v>
      </c>
      <c r="H65" t="s">
        <v>89</v>
      </c>
      <c r="I65">
        <v>5</v>
      </c>
      <c r="J65" s="2">
        <v>216.55</v>
      </c>
      <c r="K65" s="4">
        <v>0.05</v>
      </c>
      <c r="L65" t="s">
        <v>90</v>
      </c>
      <c r="M65">
        <v>8</v>
      </c>
      <c r="N65" t="s">
        <v>91</v>
      </c>
      <c r="O65" t="str">
        <f>SUBSTITUTE(PROPER(TRIM(RawSalesTable6[[#This Row],[Channel_Raw]])),"Market Place","Marketplace")</f>
        <v>Online</v>
      </c>
      <c r="P65" t="str">
        <f>TRIM(RawSalesTable6[[#This Row],[Product_ID]])</f>
        <v>P1010</v>
      </c>
      <c r="Q65" t="str">
        <f>TRIM(RawSalesTable6[[#This Row],[Customer_ID]])</f>
        <v>C0055</v>
      </c>
      <c r="R65" s="8" t="str">
        <f>PROPER(TRIM(RawSalesTable6[[#This Row],[Store_Raw]]))</f>
        <v>Online Fulfillment</v>
      </c>
      <c r="S65" s="8" t="str">
        <f>IF(TRIM(RawSalesTable6[[#This Row],[Payment_Method_Raw]])="","Non renseigné",SUBSTITUTE(PROPER(TRIM(RawSalesTable6[[#This Row],[Payment_Method_Raw]])),"Cc","Credit Card"))</f>
        <v>Paypal</v>
      </c>
      <c r="T65" s="8">
        <f>COUNTIF(A:A,RawSalesTable6[[#This Row],[Order_ID]])</f>
        <v>1</v>
      </c>
      <c r="U65" s="8" t="str">
        <f>TRIM(LEFT(RawSalesTable6[[#This Row],[Customer_Info]],FIND(",",RawSalesTable6[[#This Row],[Customer_Info]])-1))</f>
        <v>Sarah Scott</v>
      </c>
      <c r="V65" s="8" t="str">
        <f>TRIM(MID(RawSalesTable6[[#This Row],[Customer_Info]],FIND(",",RawSalesTable6[[#This Row],[Customer_Info]])+1,FIND(",",RawSalesTable6[[#This Row],[Customer_Info]],FIND(",",RawSalesTable6[[#This Row],[Customer_Info]])+1)-FIND(",",RawSalesTable6[[#This Row],[Customer_Info]])-1))</f>
        <v>Surrey</v>
      </c>
      <c r="W65" s="8" t="str">
        <f>TRIM(RIGHT(RawSalesTable6[[#This Row],[Customer_Info]],LEN(RawSalesTable6[[#This Row],[Customer_Info]])-FIND(",",RawSalesTable6[[#This Row],[Customer_Info]],FIND(",",RawSalesTable6[[#This Row],[Customer_Info]])+1)))</f>
        <v>Consumer</v>
      </c>
      <c r="X65" s="8" t="str">
        <f>VLOOKUP(RawSalesTable6[[#This Row],[Product_ID_Clean]],ProductsTable[],2,FALSE)</f>
        <v>Desk Lamp</v>
      </c>
      <c r="Y65" s="8" t="str">
        <f>VLOOKUP(RawSalesTable6[[#This Row],[Product_ID_Clean]],ProductsTable[],3,FALSE)</f>
        <v>Office</v>
      </c>
      <c r="Z65" s="8">
        <f>VLOOKUP(RawSalesTable6[[#This Row],[Product_ID_Clean]],ProductsTable[],5,FALSE)</f>
        <v>127.21</v>
      </c>
      <c r="AA65" s="8">
        <f>RawSalesTable6[[#This Row],[Unit_Price]]*RawSalesTable6[[#This Row],[Quantity]]</f>
        <v>1082.75</v>
      </c>
      <c r="AB65" s="8">
        <f>RawSalesTable6[[#This Row],[Gross_Sales]]*RawSalesTable6[[#This Row],[Discount_Pct]]</f>
        <v>54.137500000000003</v>
      </c>
      <c r="AC65" s="8">
        <f>RawSalesTable6[[#This Row],[Gross_Sales]]-RawSalesTable6[[#This Row],[Discount_Amount]]</f>
        <v>1028.6125</v>
      </c>
      <c r="AD65" s="8">
        <f>RawSalesTable6[[#This Row],[Unit_Cost]]*RawSalesTable6[[#This Row],[Quantity]]</f>
        <v>636.04999999999995</v>
      </c>
      <c r="AE65" s="8">
        <f>RawSalesTable6[[#This Row],[Net_Sales]]-RawSalesTable6[[#This Row],[Total_Cost]]</f>
        <v>392.5625</v>
      </c>
      <c r="AF65" s="9">
        <f>RawSalesTable6[[#This Row],[Profit]]/RawSalesTable6[[#This Row],[Net_Sales]]</f>
        <v>0.38164274690420352</v>
      </c>
      <c r="AG65" s="8">
        <f>YEAR(RawSalesTable6[[#This Row],[Order_Date]])</f>
        <v>2025</v>
      </c>
      <c r="AH65" s="8">
        <f>MONTH(RawSalesTable6[[#This Row],[Order_Date]])</f>
        <v>9</v>
      </c>
      <c r="AI65" s="8" t="str">
        <f>TEXT(RawSalesTable6[[#This Row],[Order_Date]],"mmmm")</f>
        <v>septembre</v>
      </c>
      <c r="AJ65" s="8" t="str">
        <f>IF(RawSalesTable6[[#This Row],[Month_Number]]&lt;=3,"Q1",IF(RawSalesTable6[[#This Row],[Month_Number]]&lt;=6,"Q2",IF(RawSalesTable6[[#This Row],[Month_Number]]&lt;=9,"Q3","Q4")))</f>
        <v>Q3</v>
      </c>
      <c r="AK65" s="8" t="str">
        <f>VLOOKUP(RawSalesTable6[[#This Row],[Customer_ID_Clean]],CustomersTable[],4,FALSE)</f>
        <v>British Columbia</v>
      </c>
      <c r="AL65" s="8">
        <f>IF(RawSalesTable6[[#This Row],[Return_Status]]="Yes",1,0)</f>
        <v>0</v>
      </c>
    </row>
    <row r="66" spans="1:38">
      <c r="A66" t="s">
        <v>307</v>
      </c>
      <c r="B66" s="3">
        <v>45967</v>
      </c>
      <c r="C66" t="s">
        <v>239</v>
      </c>
      <c r="D66" t="s">
        <v>109</v>
      </c>
      <c r="E66" t="s">
        <v>240</v>
      </c>
      <c r="F66" t="s">
        <v>103</v>
      </c>
      <c r="G66" t="s">
        <v>104</v>
      </c>
      <c r="H66" t="s">
        <v>308</v>
      </c>
      <c r="I66">
        <v>3</v>
      </c>
      <c r="J66" s="2">
        <v>209.24</v>
      </c>
      <c r="K66" s="4">
        <v>0.2</v>
      </c>
      <c r="L66" t="s">
        <v>90</v>
      </c>
      <c r="M66">
        <v>6</v>
      </c>
      <c r="N66" t="s">
        <v>91</v>
      </c>
      <c r="O66" t="str">
        <f>SUBSTITUTE(PROPER(TRIM(RawSalesTable6[[#This Row],[Channel_Raw]])),"Market Place","Marketplace")</f>
        <v>Online</v>
      </c>
      <c r="P66" t="str">
        <f>TRIM(RawSalesTable6[[#This Row],[Product_ID]])</f>
        <v>P1032</v>
      </c>
      <c r="Q66" t="str">
        <f>TRIM(RawSalesTable6[[#This Row],[Customer_ID]])</f>
        <v>C0089</v>
      </c>
      <c r="R66" s="8" t="str">
        <f>PROPER(TRIM(RawSalesTable6[[#This Row],[Store_Raw]]))</f>
        <v>Vancouver West</v>
      </c>
      <c r="S66" s="8" t="str">
        <f>IF(TRIM(RawSalesTable6[[#This Row],[Payment_Method_Raw]])="","Non renseigné",SUBSTITUTE(PROPER(TRIM(RawSalesTable6[[#This Row],[Payment_Method_Raw]])),"Cc","Credit Card"))</f>
        <v>Paypal</v>
      </c>
      <c r="T66" s="8">
        <f>COUNTIF(A:A,RawSalesTable6[[#This Row],[Order_ID]])</f>
        <v>1</v>
      </c>
      <c r="U66" s="8" t="str">
        <f>TRIM(LEFT(RawSalesTable6[[#This Row],[Customer_Info]],FIND(",",RawSalesTable6[[#This Row],[Customer_Info]])-1))</f>
        <v>Lucas Martin</v>
      </c>
      <c r="V66" s="8" t="str">
        <f>TRIM(MID(RawSalesTable6[[#This Row],[Customer_Info]],FIND(",",RawSalesTable6[[#This Row],[Customer_Info]])+1,FIND(",",RawSalesTable6[[#This Row],[Customer_Info]],FIND(",",RawSalesTable6[[#This Row],[Customer_Info]])+1)-FIND(",",RawSalesTable6[[#This Row],[Customer_Info]])-1))</f>
        <v>Vancouver</v>
      </c>
      <c r="W66" s="8" t="str">
        <f>TRIM(RIGHT(RawSalesTable6[[#This Row],[Customer_Info]],LEN(RawSalesTable6[[#This Row],[Customer_Info]])-FIND(",",RawSalesTable6[[#This Row],[Customer_Info]],FIND(",",RawSalesTable6[[#This Row],[Customer_Info]])+1)))</f>
        <v>Consumer</v>
      </c>
      <c r="X66" s="8" t="str">
        <f>VLOOKUP(RawSalesTable6[[#This Row],[Product_ID_Clean]],ProductsTable[],2,FALSE)</f>
        <v>Gym Bag</v>
      </c>
      <c r="Y66" s="8" t="str">
        <f>VLOOKUP(RawSalesTable6[[#This Row],[Product_ID_Clean]],ProductsTable[],3,FALSE)</f>
        <v>Fitness</v>
      </c>
      <c r="Z66" s="8">
        <f>VLOOKUP(RawSalesTable6[[#This Row],[Product_ID_Clean]],ProductsTable[],5,FALSE)</f>
        <v>132.72</v>
      </c>
      <c r="AA66" s="8">
        <f>RawSalesTable6[[#This Row],[Unit_Price]]*RawSalesTable6[[#This Row],[Quantity]]</f>
        <v>627.72</v>
      </c>
      <c r="AB66" s="8">
        <f>RawSalesTable6[[#This Row],[Gross_Sales]]*RawSalesTable6[[#This Row],[Discount_Pct]]</f>
        <v>125.54400000000001</v>
      </c>
      <c r="AC66" s="8">
        <f>RawSalesTable6[[#This Row],[Gross_Sales]]-RawSalesTable6[[#This Row],[Discount_Amount]]</f>
        <v>502.17600000000004</v>
      </c>
      <c r="AD66" s="8">
        <f>RawSalesTable6[[#This Row],[Unit_Cost]]*RawSalesTable6[[#This Row],[Quantity]]</f>
        <v>398.15999999999997</v>
      </c>
      <c r="AE66" s="8">
        <f>RawSalesTable6[[#This Row],[Net_Sales]]-RawSalesTable6[[#This Row],[Total_Cost]]</f>
        <v>104.01600000000008</v>
      </c>
      <c r="AF66" s="9">
        <f>RawSalesTable6[[#This Row],[Profit]]/RawSalesTable6[[#This Row],[Net_Sales]]</f>
        <v>0.20713056776906916</v>
      </c>
      <c r="AG66" s="8">
        <f>YEAR(RawSalesTable6[[#This Row],[Order_Date]])</f>
        <v>2025</v>
      </c>
      <c r="AH66" s="8">
        <f>MONTH(RawSalesTable6[[#This Row],[Order_Date]])</f>
        <v>11</v>
      </c>
      <c r="AI66" s="8" t="str">
        <f>TEXT(RawSalesTable6[[#This Row],[Order_Date]],"mmmm")</f>
        <v>novembre</v>
      </c>
      <c r="AJ66" s="8" t="str">
        <f>IF(RawSalesTable6[[#This Row],[Month_Number]]&lt;=3,"Q1",IF(RawSalesTable6[[#This Row],[Month_Number]]&lt;=6,"Q2",IF(RawSalesTable6[[#This Row],[Month_Number]]&lt;=9,"Q3","Q4")))</f>
        <v>Q4</v>
      </c>
      <c r="AK66" s="8" t="str">
        <f>VLOOKUP(RawSalesTable6[[#This Row],[Customer_ID_Clean]],CustomersTable[],4,FALSE)</f>
        <v>British Columbia</v>
      </c>
      <c r="AL66" s="8">
        <f>IF(RawSalesTable6[[#This Row],[Return_Status]]="Yes",1,0)</f>
        <v>0</v>
      </c>
    </row>
    <row r="67" spans="1:38">
      <c r="A67" t="s">
        <v>309</v>
      </c>
      <c r="B67" s="3">
        <v>45706</v>
      </c>
      <c r="C67" t="s">
        <v>236</v>
      </c>
      <c r="D67" t="s">
        <v>94</v>
      </c>
      <c r="E67" t="s">
        <v>237</v>
      </c>
      <c r="F67" t="s">
        <v>310</v>
      </c>
      <c r="G67" t="s">
        <v>88</v>
      </c>
      <c r="H67" t="s">
        <v>89</v>
      </c>
      <c r="I67">
        <v>3</v>
      </c>
      <c r="J67" s="2">
        <v>302.63</v>
      </c>
      <c r="K67" s="4">
        <v>0</v>
      </c>
      <c r="L67" t="s">
        <v>253</v>
      </c>
      <c r="M67">
        <v>5</v>
      </c>
      <c r="N67" t="s">
        <v>91</v>
      </c>
      <c r="O67" t="str">
        <f>SUBSTITUTE(PROPER(TRIM(RawSalesTable6[[#This Row],[Channel_Raw]])),"Market Place","Marketplace")</f>
        <v>Online</v>
      </c>
      <c r="P67" t="str">
        <f>TRIM(RawSalesTable6[[#This Row],[Product_ID]])</f>
        <v>P1033</v>
      </c>
      <c r="Q67" t="str">
        <f>TRIM(RawSalesTable6[[#This Row],[Customer_ID]])</f>
        <v>C0102</v>
      </c>
      <c r="R67" s="8" t="str">
        <f>PROPER(TRIM(RawSalesTable6[[#This Row],[Store_Raw]]))</f>
        <v>Toronto Downtown</v>
      </c>
      <c r="S67" s="8" t="str">
        <f>IF(TRIM(RawSalesTable6[[#This Row],[Payment_Method_Raw]])="","Non renseigné",SUBSTITUTE(PROPER(TRIM(RawSalesTable6[[#This Row],[Payment_Method_Raw]])),"Cc","Credit Card"))</f>
        <v>Credit Card</v>
      </c>
      <c r="T67" s="8">
        <f>COUNTIF(A:A,RawSalesTable6[[#This Row],[Order_ID]])</f>
        <v>1</v>
      </c>
      <c r="U67" s="8" t="str">
        <f>TRIM(LEFT(RawSalesTable6[[#This Row],[Customer_Info]],FIND(",",RawSalesTable6[[#This Row],[Customer_Info]])-1))</f>
        <v>Adam Roy</v>
      </c>
      <c r="V67" s="8" t="str">
        <f>TRIM(MID(RawSalesTable6[[#This Row],[Customer_Info]],FIND(",",RawSalesTable6[[#This Row],[Customer_Info]])+1,FIND(",",RawSalesTable6[[#This Row],[Customer_Info]],FIND(",",RawSalesTable6[[#This Row],[Customer_Info]])+1)-FIND(",",RawSalesTable6[[#This Row],[Customer_Info]])-1))</f>
        <v>Edmonton</v>
      </c>
      <c r="W67" s="8" t="str">
        <f>TRIM(RIGHT(RawSalesTable6[[#This Row],[Customer_Info]],LEN(RawSalesTable6[[#This Row],[Customer_Info]])-FIND(",",RawSalesTable6[[#This Row],[Customer_Info]],FIND(",",RawSalesTable6[[#This Row],[Customer_Info]])+1)))</f>
        <v>Corporate</v>
      </c>
      <c r="X67" s="8" t="str">
        <f>VLOOKUP(RawSalesTable6[[#This Row],[Product_ID_Clean]],ProductsTable[],2,FALSE)</f>
        <v>Backpack</v>
      </c>
      <c r="Y67" s="8" t="str">
        <f>VLOOKUP(RawSalesTable6[[#This Row],[Product_ID_Clean]],ProductsTable[],3,FALSE)</f>
        <v>Accessories</v>
      </c>
      <c r="Z67" s="8">
        <f>VLOOKUP(RawSalesTable6[[#This Row],[Product_ID_Clean]],ProductsTable[],5,FALSE)</f>
        <v>152.55000000000001</v>
      </c>
      <c r="AA67" s="8">
        <f>RawSalesTable6[[#This Row],[Unit_Price]]*RawSalesTable6[[#This Row],[Quantity]]</f>
        <v>907.89</v>
      </c>
      <c r="AB67" s="8">
        <f>RawSalesTable6[[#This Row],[Gross_Sales]]*RawSalesTable6[[#This Row],[Discount_Pct]]</f>
        <v>0</v>
      </c>
      <c r="AC67" s="8">
        <f>RawSalesTable6[[#This Row],[Gross_Sales]]-RawSalesTable6[[#This Row],[Discount_Amount]]</f>
        <v>907.89</v>
      </c>
      <c r="AD67" s="8">
        <f>RawSalesTable6[[#This Row],[Unit_Cost]]*RawSalesTable6[[#This Row],[Quantity]]</f>
        <v>457.65000000000003</v>
      </c>
      <c r="AE67" s="8">
        <f>RawSalesTable6[[#This Row],[Net_Sales]]-RawSalesTable6[[#This Row],[Total_Cost]]</f>
        <v>450.23999999999995</v>
      </c>
      <c r="AF67" s="9">
        <f>RawSalesTable6[[#This Row],[Profit]]/RawSalesTable6[[#This Row],[Net_Sales]]</f>
        <v>0.49591910914317811</v>
      </c>
      <c r="AG67" s="8">
        <f>YEAR(RawSalesTable6[[#This Row],[Order_Date]])</f>
        <v>2025</v>
      </c>
      <c r="AH67" s="8">
        <f>MONTH(RawSalesTable6[[#This Row],[Order_Date]])</f>
        <v>2</v>
      </c>
      <c r="AI67" s="8" t="str">
        <f>TEXT(RawSalesTable6[[#This Row],[Order_Date]],"mmmm")</f>
        <v>février</v>
      </c>
      <c r="AJ67" s="8" t="str">
        <f>IF(RawSalesTable6[[#This Row],[Month_Number]]&lt;=3,"Q1",IF(RawSalesTable6[[#This Row],[Month_Number]]&lt;=6,"Q2",IF(RawSalesTable6[[#This Row],[Month_Number]]&lt;=9,"Q3","Q4")))</f>
        <v>Q1</v>
      </c>
      <c r="AK67" s="8" t="str">
        <f>VLOOKUP(RawSalesTable6[[#This Row],[Customer_ID_Clean]],CustomersTable[],4,FALSE)</f>
        <v>Alberta</v>
      </c>
      <c r="AL67" s="8">
        <f>IF(RawSalesTable6[[#This Row],[Return_Status]]="Yes",1,0)</f>
        <v>0</v>
      </c>
    </row>
    <row r="68" spans="1:38">
      <c r="A68" t="s">
        <v>311</v>
      </c>
      <c r="B68" s="3">
        <v>46005</v>
      </c>
      <c r="C68" t="s">
        <v>225</v>
      </c>
      <c r="D68" t="s">
        <v>143</v>
      </c>
      <c r="E68" t="s">
        <v>227</v>
      </c>
      <c r="F68" t="s">
        <v>116</v>
      </c>
      <c r="G68" t="s">
        <v>171</v>
      </c>
      <c r="H68" t="s">
        <v>97</v>
      </c>
      <c r="I68">
        <v>1</v>
      </c>
      <c r="J68" s="2">
        <v>254.95</v>
      </c>
      <c r="K68" s="4">
        <v>0.2</v>
      </c>
      <c r="L68" t="s">
        <v>106</v>
      </c>
      <c r="M68">
        <v>2</v>
      </c>
      <c r="N68" t="s">
        <v>91</v>
      </c>
      <c r="O68" t="str">
        <f>SUBSTITUTE(PROPER(TRIM(RawSalesTable6[[#This Row],[Channel_Raw]])),"Market Place","Marketplace")</f>
        <v>Retail Store</v>
      </c>
      <c r="P68" t="str">
        <f>TRIM(RawSalesTable6[[#This Row],[Product_ID]])</f>
        <v>P1038</v>
      </c>
      <c r="Q68" t="str">
        <f>TRIM(RawSalesTable6[[#This Row],[Customer_ID]])</f>
        <v>C0110</v>
      </c>
      <c r="R68" s="8" t="str">
        <f>PROPER(TRIM(RawSalesTable6[[#This Row],[Store_Raw]]))</f>
        <v>Toronto Downtown</v>
      </c>
      <c r="S68" s="8" t="str">
        <f>IF(TRIM(RawSalesTable6[[#This Row],[Payment_Method_Raw]])="","Non renseigné",SUBSTITUTE(PROPER(TRIM(RawSalesTable6[[#This Row],[Payment_Method_Raw]])),"Cc","Credit Card"))</f>
        <v>Credit Card</v>
      </c>
      <c r="T68" s="8">
        <f>COUNTIF(A:A,RawSalesTable6[[#This Row],[Order_ID]])</f>
        <v>1</v>
      </c>
      <c r="U68" s="8" t="str">
        <f>TRIM(LEFT(RawSalesTable6[[#This Row],[Customer_Info]],FIND(",",RawSalesTable6[[#This Row],[Customer_Info]])-1))</f>
        <v>Sarah Smith</v>
      </c>
      <c r="V68" s="8" t="str">
        <f>TRIM(MID(RawSalesTable6[[#This Row],[Customer_Info]],FIND(",",RawSalesTable6[[#This Row],[Customer_Info]])+1,FIND(",",RawSalesTable6[[#This Row],[Customer_Info]],FIND(",",RawSalesTable6[[#This Row],[Customer_Info]])+1)-FIND(",",RawSalesTable6[[#This Row],[Customer_Info]])-1))</f>
        <v>Laval</v>
      </c>
      <c r="W68" s="8" t="str">
        <f>TRIM(RIGHT(RawSalesTable6[[#This Row],[Customer_Info]],LEN(RawSalesTable6[[#This Row],[Customer_Info]])-FIND(",",RawSalesTable6[[#This Row],[Customer_Info]],FIND(",",RawSalesTable6[[#This Row],[Customer_Info]])+1)))</f>
        <v>Consumer</v>
      </c>
      <c r="X68" s="8" t="str">
        <f>VLOOKUP(RawSalesTable6[[#This Row],[Product_ID_Clean]],ProductsTable[],2,FALSE)</f>
        <v>Water Bottle</v>
      </c>
      <c r="Y68" s="8" t="str">
        <f>VLOOKUP(RawSalesTable6[[#This Row],[Product_ID_Clean]],ProductsTable[],3,FALSE)</f>
        <v>Accessories</v>
      </c>
      <c r="Z68" s="8">
        <f>VLOOKUP(RawSalesTable6[[#This Row],[Product_ID_Clean]],ProductsTable[],5,FALSE)</f>
        <v>119.16</v>
      </c>
      <c r="AA68" s="8">
        <f>RawSalesTable6[[#This Row],[Unit_Price]]*RawSalesTable6[[#This Row],[Quantity]]</f>
        <v>254.95</v>
      </c>
      <c r="AB68" s="8">
        <f>RawSalesTable6[[#This Row],[Gross_Sales]]*RawSalesTable6[[#This Row],[Discount_Pct]]</f>
        <v>50.99</v>
      </c>
      <c r="AC68" s="8">
        <f>RawSalesTable6[[#This Row],[Gross_Sales]]-RawSalesTable6[[#This Row],[Discount_Amount]]</f>
        <v>203.95999999999998</v>
      </c>
      <c r="AD68" s="8">
        <f>RawSalesTable6[[#This Row],[Unit_Cost]]*RawSalesTable6[[#This Row],[Quantity]]</f>
        <v>119.16</v>
      </c>
      <c r="AE68" s="8">
        <f>RawSalesTable6[[#This Row],[Net_Sales]]-RawSalesTable6[[#This Row],[Total_Cost]]</f>
        <v>84.799999999999983</v>
      </c>
      <c r="AF68" s="9">
        <f>RawSalesTable6[[#This Row],[Profit]]/RawSalesTable6[[#This Row],[Net_Sales]]</f>
        <v>0.41576779760737398</v>
      </c>
      <c r="AG68" s="8">
        <f>YEAR(RawSalesTable6[[#This Row],[Order_Date]])</f>
        <v>2025</v>
      </c>
      <c r="AH68" s="8">
        <f>MONTH(RawSalesTable6[[#This Row],[Order_Date]])</f>
        <v>12</v>
      </c>
      <c r="AI68" s="8" t="str">
        <f>TEXT(RawSalesTable6[[#This Row],[Order_Date]],"mmmm")</f>
        <v>décembre</v>
      </c>
      <c r="AJ68" s="8" t="str">
        <f>IF(RawSalesTable6[[#This Row],[Month_Number]]&lt;=3,"Q1",IF(RawSalesTable6[[#This Row],[Month_Number]]&lt;=6,"Q2",IF(RawSalesTable6[[#This Row],[Month_Number]]&lt;=9,"Q3","Q4")))</f>
        <v>Q4</v>
      </c>
      <c r="AK68" s="8" t="str">
        <f>VLOOKUP(RawSalesTable6[[#This Row],[Customer_ID_Clean]],CustomersTable[],4,FALSE)</f>
        <v>Quebec</v>
      </c>
      <c r="AL68" s="8">
        <f>IF(RawSalesTable6[[#This Row],[Return_Status]]="Yes",1,0)</f>
        <v>0</v>
      </c>
    </row>
    <row r="69" spans="1:38">
      <c r="A69" t="s">
        <v>312</v>
      </c>
      <c r="B69" s="3">
        <v>45968</v>
      </c>
      <c r="C69" t="s">
        <v>313</v>
      </c>
      <c r="D69" t="s">
        <v>244</v>
      </c>
      <c r="E69" t="s">
        <v>314</v>
      </c>
      <c r="F69" t="s">
        <v>116</v>
      </c>
      <c r="G69" t="s">
        <v>96</v>
      </c>
      <c r="H69" t="s">
        <v>97</v>
      </c>
      <c r="I69">
        <v>2</v>
      </c>
      <c r="J69" s="2">
        <v>251.66</v>
      </c>
      <c r="K69" s="4">
        <v>0.15</v>
      </c>
      <c r="L69" t="s">
        <v>106</v>
      </c>
      <c r="M69">
        <v>3</v>
      </c>
      <c r="N69" t="s">
        <v>91</v>
      </c>
      <c r="O69" t="str">
        <f>SUBSTITUTE(PROPER(TRIM(RawSalesTable6[[#This Row],[Channel_Raw]])),"Market Place","Marketplace")</f>
        <v>Retail Store</v>
      </c>
      <c r="P69" t="str">
        <f>TRIM(RawSalesTable6[[#This Row],[Product_ID]])</f>
        <v>P1005</v>
      </c>
      <c r="Q69" t="str">
        <f>TRIM(RawSalesTable6[[#This Row],[Customer_ID]])</f>
        <v>C0080</v>
      </c>
      <c r="R69" s="8" t="str">
        <f>PROPER(TRIM(RawSalesTable6[[#This Row],[Store_Raw]]))</f>
        <v>Toronto Downtown</v>
      </c>
      <c r="S69" s="8" t="str">
        <f>IF(TRIM(RawSalesTable6[[#This Row],[Payment_Method_Raw]])="","Non renseigné",SUBSTITUTE(PROPER(TRIM(RawSalesTable6[[#This Row],[Payment_Method_Raw]])),"Cc","Credit Card"))</f>
        <v>Credit Card</v>
      </c>
      <c r="T69" s="8">
        <f>COUNTIF(A:A,RawSalesTable6[[#This Row],[Order_ID]])</f>
        <v>1</v>
      </c>
      <c r="U69" s="8" t="str">
        <f>TRIM(LEFT(RawSalesTable6[[#This Row],[Customer_Info]],FIND(",",RawSalesTable6[[#This Row],[Customer_Info]])-1))</f>
        <v>Sarah Smith</v>
      </c>
      <c r="V69" s="8" t="str">
        <f>TRIM(MID(RawSalesTable6[[#This Row],[Customer_Info]],FIND(",",RawSalesTable6[[#This Row],[Customer_Info]])+1,FIND(",",RawSalesTable6[[#This Row],[Customer_Info]],FIND(",",RawSalesTable6[[#This Row],[Customer_Info]])+1)-FIND(",",RawSalesTable6[[#This Row],[Customer_Info]])-1))</f>
        <v>Mississauga</v>
      </c>
      <c r="W69" s="8" t="str">
        <f>TRIM(RIGHT(RawSalesTable6[[#This Row],[Customer_Info]],LEN(RawSalesTable6[[#This Row],[Customer_Info]])-FIND(",",RawSalesTable6[[#This Row],[Customer_Info]],FIND(",",RawSalesTable6[[#This Row],[Customer_Info]])+1)))</f>
        <v>Corporate</v>
      </c>
      <c r="X69" s="8" t="str">
        <f>VLOOKUP(RawSalesTable6[[#This Row],[Product_ID_Clean]],ProductsTable[],2,FALSE)</f>
        <v>Portable SSD</v>
      </c>
      <c r="Y69" s="8" t="str">
        <f>VLOOKUP(RawSalesTable6[[#This Row],[Product_ID_Clean]],ProductsTable[],3,FALSE)</f>
        <v>Electronics</v>
      </c>
      <c r="Z69" s="8">
        <f>VLOOKUP(RawSalesTable6[[#This Row],[Product_ID_Clean]],ProductsTable[],5,FALSE)</f>
        <v>131.19</v>
      </c>
      <c r="AA69" s="8">
        <f>RawSalesTable6[[#This Row],[Unit_Price]]*RawSalesTable6[[#This Row],[Quantity]]</f>
        <v>503.32</v>
      </c>
      <c r="AB69" s="8">
        <f>RawSalesTable6[[#This Row],[Gross_Sales]]*RawSalesTable6[[#This Row],[Discount_Pct]]</f>
        <v>75.49799999999999</v>
      </c>
      <c r="AC69" s="8">
        <f>RawSalesTable6[[#This Row],[Gross_Sales]]-RawSalesTable6[[#This Row],[Discount_Amount]]</f>
        <v>427.822</v>
      </c>
      <c r="AD69" s="8">
        <f>RawSalesTable6[[#This Row],[Unit_Cost]]*RawSalesTable6[[#This Row],[Quantity]]</f>
        <v>262.38</v>
      </c>
      <c r="AE69" s="8">
        <f>RawSalesTable6[[#This Row],[Net_Sales]]-RawSalesTable6[[#This Row],[Total_Cost]]</f>
        <v>165.44200000000001</v>
      </c>
      <c r="AF69" s="9">
        <f>RawSalesTable6[[#This Row],[Profit]]/RawSalesTable6[[#This Row],[Net_Sales]]</f>
        <v>0.38670755594616452</v>
      </c>
      <c r="AG69" s="8">
        <f>YEAR(RawSalesTable6[[#This Row],[Order_Date]])</f>
        <v>2025</v>
      </c>
      <c r="AH69" s="8">
        <f>MONTH(RawSalesTable6[[#This Row],[Order_Date]])</f>
        <v>11</v>
      </c>
      <c r="AI69" s="8" t="str">
        <f>TEXT(RawSalesTable6[[#This Row],[Order_Date]],"mmmm")</f>
        <v>novembre</v>
      </c>
      <c r="AJ69" s="8" t="str">
        <f>IF(RawSalesTable6[[#This Row],[Month_Number]]&lt;=3,"Q1",IF(RawSalesTable6[[#This Row],[Month_Number]]&lt;=6,"Q2",IF(RawSalesTable6[[#This Row],[Month_Number]]&lt;=9,"Q3","Q4")))</f>
        <v>Q4</v>
      </c>
      <c r="AK69" s="8" t="str">
        <f>VLOOKUP(RawSalesTable6[[#This Row],[Customer_ID_Clean]],CustomersTable[],4,FALSE)</f>
        <v>Ontario</v>
      </c>
      <c r="AL69" s="8">
        <f>IF(RawSalesTable6[[#This Row],[Return_Status]]="Yes",1,0)</f>
        <v>0</v>
      </c>
    </row>
    <row r="70" spans="1:38">
      <c r="A70" t="s">
        <v>315</v>
      </c>
      <c r="B70" s="3">
        <v>45999</v>
      </c>
      <c r="C70" t="s">
        <v>316</v>
      </c>
      <c r="D70" t="s">
        <v>139</v>
      </c>
      <c r="E70" t="s">
        <v>317</v>
      </c>
      <c r="F70" t="s">
        <v>103</v>
      </c>
      <c r="G70" t="s">
        <v>122</v>
      </c>
      <c r="H70" t="s">
        <v>97</v>
      </c>
      <c r="I70">
        <v>2</v>
      </c>
      <c r="J70" s="2">
        <v>84.65</v>
      </c>
      <c r="K70" s="4">
        <v>0</v>
      </c>
      <c r="M70">
        <v>1</v>
      </c>
      <c r="N70" t="s">
        <v>91</v>
      </c>
      <c r="O70" t="str">
        <f>SUBSTITUTE(PROPER(TRIM(RawSalesTable6[[#This Row],[Channel_Raw]])),"Market Place","Marketplace")</f>
        <v>Retail Store</v>
      </c>
      <c r="P70" t="str">
        <f>TRIM(RawSalesTable6[[#This Row],[Product_ID]])</f>
        <v>P1012</v>
      </c>
      <c r="Q70" t="str">
        <f>TRIM(RawSalesTable6[[#This Row],[Customer_ID]])</f>
        <v>C0075</v>
      </c>
      <c r="R70" s="8" t="str">
        <f>PROPER(TRIM(RawSalesTable6[[#This Row],[Store_Raw]]))</f>
        <v>Vancouver West</v>
      </c>
      <c r="S70" s="8" t="str">
        <f>IF(TRIM(RawSalesTable6[[#This Row],[Payment_Method_Raw]])="","Non renseigné",SUBSTITUTE(PROPER(TRIM(RawSalesTable6[[#This Row],[Payment_Method_Raw]])),"Cc","Credit Card"))</f>
        <v>Non renseigné</v>
      </c>
      <c r="T70" s="8">
        <f>COUNTIF(A:A,RawSalesTable6[[#This Row],[Order_ID]])</f>
        <v>1</v>
      </c>
      <c r="U70" s="8" t="str">
        <f>TRIM(LEFT(RawSalesTable6[[#This Row],[Customer_Info]],FIND(",",RawSalesTable6[[#This Row],[Customer_Info]])-1))</f>
        <v>Amelia Wilson</v>
      </c>
      <c r="V70" s="8" t="str">
        <f>TRIM(MID(RawSalesTable6[[#This Row],[Customer_Info]],FIND(",",RawSalesTable6[[#This Row],[Customer_Info]])+1,FIND(",",RawSalesTable6[[#This Row],[Customer_Info]],FIND(",",RawSalesTable6[[#This Row],[Customer_Info]])+1)-FIND(",",RawSalesTable6[[#This Row],[Customer_Info]])-1))</f>
        <v>Vancouver</v>
      </c>
      <c r="W70" s="8" t="str">
        <f>TRIM(RIGHT(RawSalesTable6[[#This Row],[Customer_Info]],LEN(RawSalesTable6[[#This Row],[Customer_Info]])-FIND(",",RawSalesTable6[[#This Row],[Customer_Info]],FIND(",",RawSalesTable6[[#This Row],[Customer_Info]])+1)))</f>
        <v>Consumer</v>
      </c>
      <c r="X70" s="8" t="str">
        <f>VLOOKUP(RawSalesTable6[[#This Row],[Product_ID_Clean]],ProductsTable[],2,FALSE)</f>
        <v>Standing Desk</v>
      </c>
      <c r="Y70" s="8" t="str">
        <f>VLOOKUP(RawSalesTable6[[#This Row],[Product_ID_Clean]],ProductsTable[],3,FALSE)</f>
        <v>Office</v>
      </c>
      <c r="Z70" s="8">
        <f>VLOOKUP(RawSalesTable6[[#This Row],[Product_ID_Clean]],ProductsTable[],5,FALSE)</f>
        <v>45.17</v>
      </c>
      <c r="AA70" s="8">
        <f>RawSalesTable6[[#This Row],[Unit_Price]]*RawSalesTable6[[#This Row],[Quantity]]</f>
        <v>169.3</v>
      </c>
      <c r="AB70" s="8">
        <f>RawSalesTable6[[#This Row],[Gross_Sales]]*RawSalesTable6[[#This Row],[Discount_Pct]]</f>
        <v>0</v>
      </c>
      <c r="AC70" s="8">
        <f>RawSalesTable6[[#This Row],[Gross_Sales]]-RawSalesTable6[[#This Row],[Discount_Amount]]</f>
        <v>169.3</v>
      </c>
      <c r="AD70" s="8">
        <f>RawSalesTable6[[#This Row],[Unit_Cost]]*RawSalesTable6[[#This Row],[Quantity]]</f>
        <v>90.34</v>
      </c>
      <c r="AE70" s="8">
        <f>RawSalesTable6[[#This Row],[Net_Sales]]-RawSalesTable6[[#This Row],[Total_Cost]]</f>
        <v>78.960000000000008</v>
      </c>
      <c r="AF70" s="9">
        <f>RawSalesTable6[[#This Row],[Profit]]/RawSalesTable6[[#This Row],[Net_Sales]]</f>
        <v>0.46639102185469583</v>
      </c>
      <c r="AG70" s="8">
        <f>YEAR(RawSalesTable6[[#This Row],[Order_Date]])</f>
        <v>2025</v>
      </c>
      <c r="AH70" s="8">
        <f>MONTH(RawSalesTable6[[#This Row],[Order_Date]])</f>
        <v>12</v>
      </c>
      <c r="AI70" s="8" t="str">
        <f>TEXT(RawSalesTable6[[#This Row],[Order_Date]],"mmmm")</f>
        <v>décembre</v>
      </c>
      <c r="AJ70" s="8" t="str">
        <f>IF(RawSalesTable6[[#This Row],[Month_Number]]&lt;=3,"Q1",IF(RawSalesTable6[[#This Row],[Month_Number]]&lt;=6,"Q2",IF(RawSalesTable6[[#This Row],[Month_Number]]&lt;=9,"Q3","Q4")))</f>
        <v>Q4</v>
      </c>
      <c r="AK70" s="8" t="str">
        <f>VLOOKUP(RawSalesTable6[[#This Row],[Customer_ID_Clean]],CustomersTable[],4,FALSE)</f>
        <v>British Columbia</v>
      </c>
      <c r="AL70" s="8">
        <f>IF(RawSalesTable6[[#This Row],[Return_Status]]="Yes",1,0)</f>
        <v>0</v>
      </c>
    </row>
    <row r="71" spans="1:38">
      <c r="A71" t="s">
        <v>318</v>
      </c>
      <c r="B71" s="3">
        <v>45688</v>
      </c>
      <c r="C71" t="s">
        <v>319</v>
      </c>
      <c r="D71" t="s">
        <v>249</v>
      </c>
      <c r="E71" t="s">
        <v>320</v>
      </c>
      <c r="F71" t="s">
        <v>116</v>
      </c>
      <c r="G71" t="s">
        <v>171</v>
      </c>
      <c r="H71" t="s">
        <v>97</v>
      </c>
      <c r="I71">
        <v>1</v>
      </c>
      <c r="J71" s="2">
        <v>434.51</v>
      </c>
      <c r="K71" s="4">
        <v>0.1</v>
      </c>
      <c r="L71" t="s">
        <v>98</v>
      </c>
      <c r="M71">
        <v>3</v>
      </c>
      <c r="N71" t="s">
        <v>91</v>
      </c>
      <c r="O71" t="str">
        <f>SUBSTITUTE(PROPER(TRIM(RawSalesTable6[[#This Row],[Channel_Raw]])),"Market Place","Marketplace")</f>
        <v>Retail Store</v>
      </c>
      <c r="P71" t="str">
        <f>TRIM(RawSalesTable6[[#This Row],[Product_ID]])</f>
        <v>P1022</v>
      </c>
      <c r="Q71" t="str">
        <f>TRIM(RawSalesTable6[[#This Row],[Customer_ID]])</f>
        <v>C0013</v>
      </c>
      <c r="R71" s="8" t="str">
        <f>PROPER(TRIM(RawSalesTable6[[#This Row],[Store_Raw]]))</f>
        <v>Toronto Downtown</v>
      </c>
      <c r="S71" s="8" t="str">
        <f>IF(TRIM(RawSalesTable6[[#This Row],[Payment_Method_Raw]])="","Non renseigné",SUBSTITUTE(PROPER(TRIM(RawSalesTable6[[#This Row],[Payment_Method_Raw]])),"Cc","Credit Card"))</f>
        <v>Debit Card</v>
      </c>
      <c r="T71" s="8">
        <f>COUNTIF(A:A,RawSalesTable6[[#This Row],[Order_ID]])</f>
        <v>1</v>
      </c>
      <c r="U71" s="8" t="str">
        <f>TRIM(LEFT(RawSalesTable6[[#This Row],[Customer_Info]],FIND(",",RawSalesTable6[[#This Row],[Customer_Info]])-1))</f>
        <v>Amelia Martin</v>
      </c>
      <c r="V71" s="8" t="str">
        <f>TRIM(MID(RawSalesTable6[[#This Row],[Customer_Info]],FIND(",",RawSalesTable6[[#This Row],[Customer_Info]])+1,FIND(",",RawSalesTable6[[#This Row],[Customer_Info]],FIND(",",RawSalesTable6[[#This Row],[Customer_Info]])+1)-FIND(",",RawSalesTable6[[#This Row],[Customer_Info]])-1))</f>
        <v>Quebec City</v>
      </c>
      <c r="W71" s="8" t="str">
        <f>TRIM(RIGHT(RawSalesTable6[[#This Row],[Customer_Info]],LEN(RawSalesTable6[[#This Row],[Customer_Info]])-FIND(",",RawSalesTable6[[#This Row],[Customer_Info]],FIND(",",RawSalesTable6[[#This Row],[Customer_Info]])+1)))</f>
        <v>Small Business</v>
      </c>
      <c r="X71" s="8" t="str">
        <f>VLOOKUP(RawSalesTable6[[#This Row],[Product_ID_Clean]],ProductsTable[],2,FALSE)</f>
        <v>Humidifier</v>
      </c>
      <c r="Y71" s="8" t="str">
        <f>VLOOKUP(RawSalesTable6[[#This Row],[Product_ID_Clean]],ProductsTable[],3,FALSE)</f>
        <v>Home</v>
      </c>
      <c r="Z71" s="8">
        <f>VLOOKUP(RawSalesTable6[[#This Row],[Product_ID_Clean]],ProductsTable[],5,FALSE)</f>
        <v>239.67</v>
      </c>
      <c r="AA71" s="8">
        <f>RawSalesTable6[[#This Row],[Unit_Price]]*RawSalesTable6[[#This Row],[Quantity]]</f>
        <v>434.51</v>
      </c>
      <c r="AB71" s="8">
        <f>RawSalesTable6[[#This Row],[Gross_Sales]]*RawSalesTable6[[#This Row],[Discount_Pct]]</f>
        <v>43.451000000000001</v>
      </c>
      <c r="AC71" s="8">
        <f>RawSalesTable6[[#This Row],[Gross_Sales]]-RawSalesTable6[[#This Row],[Discount_Amount]]</f>
        <v>391.05899999999997</v>
      </c>
      <c r="AD71" s="8">
        <f>RawSalesTable6[[#This Row],[Unit_Cost]]*RawSalesTable6[[#This Row],[Quantity]]</f>
        <v>239.67</v>
      </c>
      <c r="AE71" s="8">
        <f>RawSalesTable6[[#This Row],[Net_Sales]]-RawSalesTable6[[#This Row],[Total_Cost]]</f>
        <v>151.38899999999998</v>
      </c>
      <c r="AF71" s="9">
        <f>RawSalesTable6[[#This Row],[Profit]]/RawSalesTable6[[#This Row],[Net_Sales]]</f>
        <v>0.38712572783135024</v>
      </c>
      <c r="AG71" s="8">
        <f>YEAR(RawSalesTable6[[#This Row],[Order_Date]])</f>
        <v>2025</v>
      </c>
      <c r="AH71" s="8">
        <f>MONTH(RawSalesTable6[[#This Row],[Order_Date]])</f>
        <v>1</v>
      </c>
      <c r="AI71" s="8" t="str">
        <f>TEXT(RawSalesTable6[[#This Row],[Order_Date]],"mmmm")</f>
        <v>janvier</v>
      </c>
      <c r="AJ71" s="8" t="str">
        <f>IF(RawSalesTable6[[#This Row],[Month_Number]]&lt;=3,"Q1",IF(RawSalesTable6[[#This Row],[Month_Number]]&lt;=6,"Q2",IF(RawSalesTable6[[#This Row],[Month_Number]]&lt;=9,"Q3","Q4")))</f>
        <v>Q1</v>
      </c>
      <c r="AK71" s="8" t="str">
        <f>VLOOKUP(RawSalesTable6[[#This Row],[Customer_ID_Clean]],CustomersTable[],4,FALSE)</f>
        <v>Quebec</v>
      </c>
      <c r="AL71" s="8">
        <f>IF(RawSalesTable6[[#This Row],[Return_Status]]="Yes",1,0)</f>
        <v>0</v>
      </c>
    </row>
    <row r="72" spans="1:38">
      <c r="A72" t="s">
        <v>321</v>
      </c>
      <c r="B72" s="3">
        <v>45963</v>
      </c>
      <c r="C72" t="s">
        <v>322</v>
      </c>
      <c r="D72" t="s">
        <v>323</v>
      </c>
      <c r="E72" t="s">
        <v>324</v>
      </c>
      <c r="F72" t="s">
        <v>111</v>
      </c>
      <c r="G72" t="s">
        <v>117</v>
      </c>
      <c r="H72" t="s">
        <v>97</v>
      </c>
      <c r="I72">
        <v>1</v>
      </c>
      <c r="J72" s="2">
        <v>351.6</v>
      </c>
      <c r="K72" s="4">
        <v>0</v>
      </c>
      <c r="L72" t="s">
        <v>106</v>
      </c>
      <c r="M72">
        <v>2</v>
      </c>
      <c r="N72" t="s">
        <v>91</v>
      </c>
      <c r="O72" t="str">
        <f>SUBSTITUTE(PROPER(TRIM(RawSalesTable6[[#This Row],[Channel_Raw]])),"Market Place","Marketplace")</f>
        <v>Retail Store</v>
      </c>
      <c r="P72" t="str">
        <f>TRIM(RawSalesTable6[[#This Row],[Product_ID]])</f>
        <v>P1023</v>
      </c>
      <c r="Q72" t="str">
        <f>TRIM(RawSalesTable6[[#This Row],[Customer_ID]])</f>
        <v>C0119</v>
      </c>
      <c r="R72" s="8" t="str">
        <f>PROPER(TRIM(RawSalesTable6[[#This Row],[Store_Raw]]))</f>
        <v>Montreal Central</v>
      </c>
      <c r="S72" s="8" t="str">
        <f>IF(TRIM(RawSalesTable6[[#This Row],[Payment_Method_Raw]])="","Non renseigné",SUBSTITUTE(PROPER(TRIM(RawSalesTable6[[#This Row],[Payment_Method_Raw]])),"Cc","Credit Card"))</f>
        <v>Credit Card</v>
      </c>
      <c r="T72" s="8">
        <f>COUNTIF(A:A,RawSalesTable6[[#This Row],[Order_ID]])</f>
        <v>1</v>
      </c>
      <c r="U72" s="8" t="str">
        <f>TRIM(LEFT(RawSalesTable6[[#This Row],[Customer_Info]],FIND(",",RawSalesTable6[[#This Row],[Customer_Info]])-1))</f>
        <v>Liam Chen</v>
      </c>
      <c r="V72" s="8" t="str">
        <f>TRIM(MID(RawSalesTable6[[#This Row],[Customer_Info]],FIND(",",RawSalesTable6[[#This Row],[Customer_Info]])+1,FIND(",",RawSalesTable6[[#This Row],[Customer_Info]],FIND(",",RawSalesTable6[[#This Row],[Customer_Info]])+1)-FIND(",",RawSalesTable6[[#This Row],[Customer_Info]])-1))</f>
        <v>Winnipeg</v>
      </c>
      <c r="W72" s="8" t="str">
        <f>TRIM(RIGHT(RawSalesTable6[[#This Row],[Customer_Info]],LEN(RawSalesTable6[[#This Row],[Customer_Info]])-FIND(",",RawSalesTable6[[#This Row],[Customer_Info]],FIND(",",RawSalesTable6[[#This Row],[Customer_Info]])+1)))</f>
        <v>Consumer</v>
      </c>
      <c r="X72" s="8" t="str">
        <f>VLOOKUP(RawSalesTable6[[#This Row],[Product_ID_Clean]],ProductsTable[],2,FALSE)</f>
        <v>Toaster</v>
      </c>
      <c r="Y72" s="8" t="str">
        <f>VLOOKUP(RawSalesTable6[[#This Row],[Product_ID_Clean]],ProductsTable[],3,FALSE)</f>
        <v>Home</v>
      </c>
      <c r="Z72" s="8">
        <f>VLOOKUP(RawSalesTable6[[#This Row],[Product_ID_Clean]],ProductsTable[],5,FALSE)</f>
        <v>152.88</v>
      </c>
      <c r="AA72" s="8">
        <f>RawSalesTable6[[#This Row],[Unit_Price]]*RawSalesTable6[[#This Row],[Quantity]]</f>
        <v>351.6</v>
      </c>
      <c r="AB72" s="8">
        <f>RawSalesTable6[[#This Row],[Gross_Sales]]*RawSalesTable6[[#This Row],[Discount_Pct]]</f>
        <v>0</v>
      </c>
      <c r="AC72" s="8">
        <f>RawSalesTable6[[#This Row],[Gross_Sales]]-RawSalesTable6[[#This Row],[Discount_Amount]]</f>
        <v>351.6</v>
      </c>
      <c r="AD72" s="8">
        <f>RawSalesTable6[[#This Row],[Unit_Cost]]*RawSalesTable6[[#This Row],[Quantity]]</f>
        <v>152.88</v>
      </c>
      <c r="AE72" s="8">
        <f>RawSalesTable6[[#This Row],[Net_Sales]]-RawSalesTable6[[#This Row],[Total_Cost]]</f>
        <v>198.72000000000003</v>
      </c>
      <c r="AF72" s="9">
        <f>RawSalesTable6[[#This Row],[Profit]]/RawSalesTable6[[#This Row],[Net_Sales]]</f>
        <v>0.56518771331058026</v>
      </c>
      <c r="AG72" s="8">
        <f>YEAR(RawSalesTable6[[#This Row],[Order_Date]])</f>
        <v>2025</v>
      </c>
      <c r="AH72" s="8">
        <f>MONTH(RawSalesTable6[[#This Row],[Order_Date]])</f>
        <v>11</v>
      </c>
      <c r="AI72" s="8" t="str">
        <f>TEXT(RawSalesTable6[[#This Row],[Order_Date]],"mmmm")</f>
        <v>novembre</v>
      </c>
      <c r="AJ72" s="8" t="str">
        <f>IF(RawSalesTable6[[#This Row],[Month_Number]]&lt;=3,"Q1",IF(RawSalesTable6[[#This Row],[Month_Number]]&lt;=6,"Q2",IF(RawSalesTable6[[#This Row],[Month_Number]]&lt;=9,"Q3","Q4")))</f>
        <v>Q4</v>
      </c>
      <c r="AK72" s="8" t="str">
        <f>VLOOKUP(RawSalesTable6[[#This Row],[Customer_ID_Clean]],CustomersTable[],4,FALSE)</f>
        <v>Manitoba</v>
      </c>
      <c r="AL72" s="8">
        <f>IF(RawSalesTable6[[#This Row],[Return_Status]]="Yes",1,0)</f>
        <v>0</v>
      </c>
    </row>
    <row r="73" spans="1:38">
      <c r="A73" t="s">
        <v>325</v>
      </c>
      <c r="B73" s="3">
        <v>45712</v>
      </c>
      <c r="C73" t="s">
        <v>326</v>
      </c>
      <c r="D73" t="s">
        <v>221</v>
      </c>
      <c r="E73" t="s">
        <v>327</v>
      </c>
      <c r="F73" t="s">
        <v>103</v>
      </c>
      <c r="G73" t="s">
        <v>171</v>
      </c>
      <c r="H73" t="s">
        <v>89</v>
      </c>
      <c r="I73">
        <v>1</v>
      </c>
      <c r="J73" s="2">
        <v>31.95</v>
      </c>
      <c r="K73" s="4">
        <v>0</v>
      </c>
      <c r="L73" t="s">
        <v>106</v>
      </c>
      <c r="M73">
        <v>9</v>
      </c>
      <c r="N73" t="s">
        <v>91</v>
      </c>
      <c r="O73" t="str">
        <f>SUBSTITUTE(PROPER(TRIM(RawSalesTable6[[#This Row],[Channel_Raw]])),"Market Place","Marketplace")</f>
        <v>Online</v>
      </c>
      <c r="P73" t="str">
        <f>TRIM(RawSalesTable6[[#This Row],[Product_ID]])</f>
        <v>P1018</v>
      </c>
      <c r="Q73" t="str">
        <f>TRIM(RawSalesTable6[[#This Row],[Customer_ID]])</f>
        <v>C0092</v>
      </c>
      <c r="R73" s="8" t="str">
        <f>PROPER(TRIM(RawSalesTable6[[#This Row],[Store_Raw]]))</f>
        <v>Vancouver West</v>
      </c>
      <c r="S73" s="8" t="str">
        <f>IF(TRIM(RawSalesTable6[[#This Row],[Payment_Method_Raw]])="","Non renseigné",SUBSTITUTE(PROPER(TRIM(RawSalesTable6[[#This Row],[Payment_Method_Raw]])),"Cc","Credit Card"))</f>
        <v>Credit Card</v>
      </c>
      <c r="T73" s="8">
        <f>COUNTIF(A:A,RawSalesTable6[[#This Row],[Order_ID]])</f>
        <v>1</v>
      </c>
      <c r="U73" s="8" t="str">
        <f>TRIM(LEFT(RawSalesTable6[[#This Row],[Customer_Info]],FIND(",",RawSalesTable6[[#This Row],[Customer_Info]])-1))</f>
        <v>Lucas Tremblay</v>
      </c>
      <c r="V73" s="8" t="str">
        <f>TRIM(MID(RawSalesTable6[[#This Row],[Customer_Info]],FIND(",",RawSalesTable6[[#This Row],[Customer_Info]])+1,FIND(",",RawSalesTable6[[#This Row],[Customer_Info]],FIND(",",RawSalesTable6[[#This Row],[Customer_Info]])+1)-FIND(",",RawSalesTable6[[#This Row],[Customer_Info]])-1))</f>
        <v>Saskatoon</v>
      </c>
      <c r="W73" s="8" t="str">
        <f>TRIM(RIGHT(RawSalesTable6[[#This Row],[Customer_Info]],LEN(RawSalesTable6[[#This Row],[Customer_Info]])-FIND(",",RawSalesTable6[[#This Row],[Customer_Info]],FIND(",",RawSalesTable6[[#This Row],[Customer_Info]])+1)))</f>
        <v>Consumer</v>
      </c>
      <c r="X73" s="8" t="str">
        <f>VLOOKUP(RawSalesTable6[[#This Row],[Product_ID_Clean]],ProductsTable[],2,FALSE)</f>
        <v>Air Fryer</v>
      </c>
      <c r="Y73" s="8" t="str">
        <f>VLOOKUP(RawSalesTable6[[#This Row],[Product_ID_Clean]],ProductsTable[],3,FALSE)</f>
        <v>Home</v>
      </c>
      <c r="Z73" s="8">
        <f>VLOOKUP(RawSalesTable6[[#This Row],[Product_ID_Clean]],ProductsTable[],5,FALSE)</f>
        <v>14.58</v>
      </c>
      <c r="AA73" s="8">
        <f>RawSalesTable6[[#This Row],[Unit_Price]]*RawSalesTable6[[#This Row],[Quantity]]</f>
        <v>31.95</v>
      </c>
      <c r="AB73" s="8">
        <f>RawSalesTable6[[#This Row],[Gross_Sales]]*RawSalesTable6[[#This Row],[Discount_Pct]]</f>
        <v>0</v>
      </c>
      <c r="AC73" s="8">
        <f>RawSalesTable6[[#This Row],[Gross_Sales]]-RawSalesTable6[[#This Row],[Discount_Amount]]</f>
        <v>31.95</v>
      </c>
      <c r="AD73" s="8">
        <f>RawSalesTable6[[#This Row],[Unit_Cost]]*RawSalesTable6[[#This Row],[Quantity]]</f>
        <v>14.58</v>
      </c>
      <c r="AE73" s="8">
        <f>RawSalesTable6[[#This Row],[Net_Sales]]-RawSalesTable6[[#This Row],[Total_Cost]]</f>
        <v>17.369999999999997</v>
      </c>
      <c r="AF73" s="9">
        <f>RawSalesTable6[[#This Row],[Profit]]/RawSalesTable6[[#This Row],[Net_Sales]]</f>
        <v>0.54366197183098586</v>
      </c>
      <c r="AG73" s="8">
        <f>YEAR(RawSalesTable6[[#This Row],[Order_Date]])</f>
        <v>2025</v>
      </c>
      <c r="AH73" s="8">
        <f>MONTH(RawSalesTable6[[#This Row],[Order_Date]])</f>
        <v>2</v>
      </c>
      <c r="AI73" s="8" t="str">
        <f>TEXT(RawSalesTable6[[#This Row],[Order_Date]],"mmmm")</f>
        <v>février</v>
      </c>
      <c r="AJ73" s="8" t="str">
        <f>IF(RawSalesTable6[[#This Row],[Month_Number]]&lt;=3,"Q1",IF(RawSalesTable6[[#This Row],[Month_Number]]&lt;=6,"Q2",IF(RawSalesTable6[[#This Row],[Month_Number]]&lt;=9,"Q3","Q4")))</f>
        <v>Q1</v>
      </c>
      <c r="AK73" s="8" t="str">
        <f>VLOOKUP(RawSalesTable6[[#This Row],[Customer_ID_Clean]],CustomersTable[],4,FALSE)</f>
        <v>Saskatchewan</v>
      </c>
      <c r="AL73" s="8">
        <f>IF(RawSalesTable6[[#This Row],[Return_Status]]="Yes",1,0)</f>
        <v>0</v>
      </c>
    </row>
    <row r="74" spans="1:38">
      <c r="A74" t="s">
        <v>328</v>
      </c>
      <c r="B74" s="3">
        <v>45672</v>
      </c>
      <c r="C74" t="s">
        <v>230</v>
      </c>
      <c r="D74" t="s">
        <v>136</v>
      </c>
      <c r="E74" t="s">
        <v>232</v>
      </c>
      <c r="F74" t="s">
        <v>116</v>
      </c>
      <c r="G74" t="s">
        <v>88</v>
      </c>
      <c r="H74" t="s">
        <v>89</v>
      </c>
      <c r="I74">
        <v>1</v>
      </c>
      <c r="J74" s="2">
        <v>152.32</v>
      </c>
      <c r="K74" s="4">
        <v>0.1</v>
      </c>
      <c r="L74" t="s">
        <v>90</v>
      </c>
      <c r="M74">
        <v>5</v>
      </c>
      <c r="N74" t="s">
        <v>91</v>
      </c>
      <c r="O74" t="str">
        <f>SUBSTITUTE(PROPER(TRIM(RawSalesTable6[[#This Row],[Channel_Raw]])),"Market Place","Marketplace")</f>
        <v>Online</v>
      </c>
      <c r="P74" t="str">
        <f>TRIM(RawSalesTable6[[#This Row],[Product_ID]])</f>
        <v>P1003</v>
      </c>
      <c r="Q74" t="str">
        <f>TRIM(RawSalesTable6[[#This Row],[Customer_ID]])</f>
        <v>C0063</v>
      </c>
      <c r="R74" s="8" t="str">
        <f>PROPER(TRIM(RawSalesTable6[[#This Row],[Store_Raw]]))</f>
        <v>Toronto Downtown</v>
      </c>
      <c r="S74" s="8" t="str">
        <f>IF(TRIM(RawSalesTable6[[#This Row],[Payment_Method_Raw]])="","Non renseigné",SUBSTITUTE(PROPER(TRIM(RawSalesTable6[[#This Row],[Payment_Method_Raw]])),"Cc","Credit Card"))</f>
        <v>Paypal</v>
      </c>
      <c r="T74" s="8">
        <f>COUNTIF(A:A,RawSalesTable6[[#This Row],[Order_ID]])</f>
        <v>1</v>
      </c>
      <c r="U74" s="8" t="str">
        <f>TRIM(LEFT(RawSalesTable6[[#This Row],[Customer_Info]],FIND(",",RawSalesTable6[[#This Row],[Customer_Info]])-1))</f>
        <v>Adam Singh</v>
      </c>
      <c r="V74" s="8" t="str">
        <f>TRIM(MID(RawSalesTable6[[#This Row],[Customer_Info]],FIND(",",RawSalesTable6[[#This Row],[Customer_Info]])+1,FIND(",",RawSalesTable6[[#This Row],[Customer_Info]],FIND(",",RawSalesTable6[[#This Row],[Customer_Info]])+1)-FIND(",",RawSalesTable6[[#This Row],[Customer_Info]])-1))</f>
        <v>Laval</v>
      </c>
      <c r="W74" s="8" t="str">
        <f>TRIM(RIGHT(RawSalesTable6[[#This Row],[Customer_Info]],LEN(RawSalesTable6[[#This Row],[Customer_Info]])-FIND(",",RawSalesTable6[[#This Row],[Customer_Info]],FIND(",",RawSalesTable6[[#This Row],[Customer_Info]])+1)))</f>
        <v>Small Business</v>
      </c>
      <c r="X74" s="8" t="str">
        <f>VLOOKUP(RawSalesTable6[[#This Row],[Product_ID_Clean]],ProductsTable[],2,FALSE)</f>
        <v>Mouse</v>
      </c>
      <c r="Y74" s="8" t="str">
        <f>VLOOKUP(RawSalesTable6[[#This Row],[Product_ID_Clean]],ProductsTable[],3,FALSE)</f>
        <v>Electronics</v>
      </c>
      <c r="Z74" s="8">
        <f>VLOOKUP(RawSalesTable6[[#This Row],[Product_ID_Clean]],ProductsTable[],5,FALSE)</f>
        <v>106.4</v>
      </c>
      <c r="AA74" s="8">
        <f>RawSalesTable6[[#This Row],[Unit_Price]]*RawSalesTable6[[#This Row],[Quantity]]</f>
        <v>152.32</v>
      </c>
      <c r="AB74" s="8">
        <f>RawSalesTable6[[#This Row],[Gross_Sales]]*RawSalesTable6[[#This Row],[Discount_Pct]]</f>
        <v>15.231999999999999</v>
      </c>
      <c r="AC74" s="8">
        <f>RawSalesTable6[[#This Row],[Gross_Sales]]-RawSalesTable6[[#This Row],[Discount_Amount]]</f>
        <v>137.08799999999999</v>
      </c>
      <c r="AD74" s="8">
        <f>RawSalesTable6[[#This Row],[Unit_Cost]]*RawSalesTable6[[#This Row],[Quantity]]</f>
        <v>106.4</v>
      </c>
      <c r="AE74" s="8">
        <f>RawSalesTable6[[#This Row],[Net_Sales]]-RawSalesTable6[[#This Row],[Total_Cost]]</f>
        <v>30.687999999999988</v>
      </c>
      <c r="AF74" s="9">
        <f>RawSalesTable6[[#This Row],[Profit]]/RawSalesTable6[[#This Row],[Net_Sales]]</f>
        <v>0.22385620915032672</v>
      </c>
      <c r="AG74" s="8">
        <f>YEAR(RawSalesTable6[[#This Row],[Order_Date]])</f>
        <v>2025</v>
      </c>
      <c r="AH74" s="8">
        <f>MONTH(RawSalesTable6[[#This Row],[Order_Date]])</f>
        <v>1</v>
      </c>
      <c r="AI74" s="8" t="str">
        <f>TEXT(RawSalesTable6[[#This Row],[Order_Date]],"mmmm")</f>
        <v>janvier</v>
      </c>
      <c r="AJ74" s="8" t="str">
        <f>IF(RawSalesTable6[[#This Row],[Month_Number]]&lt;=3,"Q1",IF(RawSalesTable6[[#This Row],[Month_Number]]&lt;=6,"Q2",IF(RawSalesTable6[[#This Row],[Month_Number]]&lt;=9,"Q3","Q4")))</f>
        <v>Q1</v>
      </c>
      <c r="AK74" s="8" t="str">
        <f>VLOOKUP(RawSalesTable6[[#This Row],[Customer_ID_Clean]],CustomersTable[],4,FALSE)</f>
        <v>Quebec</v>
      </c>
      <c r="AL74" s="8">
        <f>IF(RawSalesTable6[[#This Row],[Return_Status]]="Yes",1,0)</f>
        <v>0</v>
      </c>
    </row>
    <row r="75" spans="1:38">
      <c r="A75" t="s">
        <v>329</v>
      </c>
      <c r="B75" s="3">
        <v>45692</v>
      </c>
      <c r="C75" t="s">
        <v>330</v>
      </c>
      <c r="D75" t="s">
        <v>231</v>
      </c>
      <c r="E75" t="s">
        <v>331</v>
      </c>
      <c r="F75" t="s">
        <v>187</v>
      </c>
      <c r="G75" t="s">
        <v>104</v>
      </c>
      <c r="H75" t="s">
        <v>97</v>
      </c>
      <c r="I75">
        <v>2</v>
      </c>
      <c r="J75" s="2">
        <v>367.26</v>
      </c>
      <c r="K75" s="4">
        <v>0.2</v>
      </c>
      <c r="L75" t="s">
        <v>106</v>
      </c>
      <c r="M75">
        <v>0</v>
      </c>
      <c r="N75" t="s">
        <v>91</v>
      </c>
      <c r="O75" t="str">
        <f>SUBSTITUTE(PROPER(TRIM(RawSalesTable6[[#This Row],[Channel_Raw]])),"Market Place","Marketplace")</f>
        <v>Retail Store</v>
      </c>
      <c r="P75" t="str">
        <f>TRIM(RawSalesTable6[[#This Row],[Product_ID]])</f>
        <v>P1037</v>
      </c>
      <c r="Q75" t="str">
        <f>TRIM(RawSalesTable6[[#This Row],[Customer_ID]])</f>
        <v>C0108</v>
      </c>
      <c r="R75" s="8" t="str">
        <f>PROPER(TRIM(RawSalesTable6[[#This Row],[Store_Raw]]))</f>
        <v>Vancouver West</v>
      </c>
      <c r="S75" s="8" t="str">
        <f>IF(TRIM(RawSalesTable6[[#This Row],[Payment_Method_Raw]])="","Non renseigné",SUBSTITUTE(PROPER(TRIM(RawSalesTable6[[#This Row],[Payment_Method_Raw]])),"Cc","Credit Card"))</f>
        <v>Credit Card</v>
      </c>
      <c r="T75" s="8">
        <f>COUNTIF(A:A,RawSalesTable6[[#This Row],[Order_ID]])</f>
        <v>1</v>
      </c>
      <c r="U75" s="8" t="str">
        <f>TRIM(LEFT(RawSalesTable6[[#This Row],[Customer_Info]],FIND(",",RawSalesTable6[[#This Row],[Customer_Info]])-1))</f>
        <v>Noah Lee</v>
      </c>
      <c r="V75" s="8" t="str">
        <f>TRIM(MID(RawSalesTable6[[#This Row],[Customer_Info]],FIND(",",RawSalesTable6[[#This Row],[Customer_Info]])+1,FIND(",",RawSalesTable6[[#This Row],[Customer_Info]],FIND(",",RawSalesTable6[[#This Row],[Customer_Info]])+1)-FIND(",",RawSalesTable6[[#This Row],[Customer_Info]])-1))</f>
        <v>Surrey</v>
      </c>
      <c r="W75" s="8" t="str">
        <f>TRIM(RIGHT(RawSalesTable6[[#This Row],[Customer_Info]],LEN(RawSalesTable6[[#This Row],[Customer_Info]])-FIND(",",RawSalesTable6[[#This Row],[Customer_Info]],FIND(",",RawSalesTable6[[#This Row],[Customer_Info]])+1)))</f>
        <v>Consumer</v>
      </c>
      <c r="X75" s="8" t="str">
        <f>VLOOKUP(RawSalesTable6[[#This Row],[Product_ID_Clean]],ProductsTable[],2,FALSE)</f>
        <v>Cable Set</v>
      </c>
      <c r="Y75" s="8" t="str">
        <f>VLOOKUP(RawSalesTable6[[#This Row],[Product_ID_Clean]],ProductsTable[],3,FALSE)</f>
        <v>Accessories</v>
      </c>
      <c r="Z75" s="8">
        <f>VLOOKUP(RawSalesTable6[[#This Row],[Product_ID_Clean]],ProductsTable[],5,FALSE)</f>
        <v>200.16</v>
      </c>
      <c r="AA75" s="8">
        <f>RawSalesTable6[[#This Row],[Unit_Price]]*RawSalesTable6[[#This Row],[Quantity]]</f>
        <v>734.52</v>
      </c>
      <c r="AB75" s="8">
        <f>RawSalesTable6[[#This Row],[Gross_Sales]]*RawSalesTable6[[#This Row],[Discount_Pct]]</f>
        <v>146.904</v>
      </c>
      <c r="AC75" s="8">
        <f>RawSalesTable6[[#This Row],[Gross_Sales]]-RawSalesTable6[[#This Row],[Discount_Amount]]</f>
        <v>587.61599999999999</v>
      </c>
      <c r="AD75" s="8">
        <f>RawSalesTable6[[#This Row],[Unit_Cost]]*RawSalesTable6[[#This Row],[Quantity]]</f>
        <v>400.32</v>
      </c>
      <c r="AE75" s="8">
        <f>RawSalesTable6[[#This Row],[Net_Sales]]-RawSalesTable6[[#This Row],[Total_Cost]]</f>
        <v>187.29599999999999</v>
      </c>
      <c r="AF75" s="9">
        <f>RawSalesTable6[[#This Row],[Profit]]/RawSalesTable6[[#This Row],[Net_Sales]]</f>
        <v>0.3187387681751348</v>
      </c>
      <c r="AG75" s="8">
        <f>YEAR(RawSalesTable6[[#This Row],[Order_Date]])</f>
        <v>2025</v>
      </c>
      <c r="AH75" s="8">
        <f>MONTH(RawSalesTable6[[#This Row],[Order_Date]])</f>
        <v>2</v>
      </c>
      <c r="AI75" s="8" t="str">
        <f>TEXT(RawSalesTable6[[#This Row],[Order_Date]],"mmmm")</f>
        <v>février</v>
      </c>
      <c r="AJ75" s="8" t="str">
        <f>IF(RawSalesTable6[[#This Row],[Month_Number]]&lt;=3,"Q1",IF(RawSalesTable6[[#This Row],[Month_Number]]&lt;=6,"Q2",IF(RawSalesTable6[[#This Row],[Month_Number]]&lt;=9,"Q3","Q4")))</f>
        <v>Q1</v>
      </c>
      <c r="AK75" s="8" t="str">
        <f>VLOOKUP(RawSalesTable6[[#This Row],[Customer_ID_Clean]],CustomersTable[],4,FALSE)</f>
        <v>British Columbia</v>
      </c>
      <c r="AL75" s="8">
        <f>IF(RawSalesTable6[[#This Row],[Return_Status]]="Yes",1,0)</f>
        <v>0</v>
      </c>
    </row>
    <row r="76" spans="1:38">
      <c r="A76" t="s">
        <v>332</v>
      </c>
      <c r="B76" s="3">
        <v>45706</v>
      </c>
      <c r="C76" t="s">
        <v>160</v>
      </c>
      <c r="D76" t="s">
        <v>226</v>
      </c>
      <c r="E76" t="s">
        <v>161</v>
      </c>
      <c r="F76" t="s">
        <v>116</v>
      </c>
      <c r="G76" t="s">
        <v>96</v>
      </c>
      <c r="H76" t="s">
        <v>89</v>
      </c>
      <c r="I76">
        <v>2</v>
      </c>
      <c r="J76" s="2">
        <v>221.42</v>
      </c>
      <c r="K76" s="4">
        <v>0</v>
      </c>
      <c r="L76" t="s">
        <v>106</v>
      </c>
      <c r="M76">
        <v>8</v>
      </c>
      <c r="N76" t="s">
        <v>147</v>
      </c>
      <c r="O76" t="str">
        <f>SUBSTITUTE(PROPER(TRIM(RawSalesTable6[[#This Row],[Channel_Raw]])),"Market Place","Marketplace")</f>
        <v>Online</v>
      </c>
      <c r="P76" t="str">
        <f>TRIM(RawSalesTable6[[#This Row],[Product_ID]])</f>
        <v>P1010</v>
      </c>
      <c r="Q76" t="str">
        <f>TRIM(RawSalesTable6[[#This Row],[Customer_ID]])</f>
        <v>C0073</v>
      </c>
      <c r="R76" s="8" t="str">
        <f>PROPER(TRIM(RawSalesTable6[[#This Row],[Store_Raw]]))</f>
        <v>Toronto Downtown</v>
      </c>
      <c r="S76" s="8" t="str">
        <f>IF(TRIM(RawSalesTable6[[#This Row],[Payment_Method_Raw]])="","Non renseigné",SUBSTITUTE(PROPER(TRIM(RawSalesTable6[[#This Row],[Payment_Method_Raw]])),"Cc","Credit Card"))</f>
        <v>Credit Card</v>
      </c>
      <c r="T76" s="8">
        <f>COUNTIF(A:A,RawSalesTable6[[#This Row],[Order_ID]])</f>
        <v>1</v>
      </c>
      <c r="U76" s="8" t="str">
        <f>TRIM(LEFT(RawSalesTable6[[#This Row],[Customer_Info]],FIND(",",RawSalesTable6[[#This Row],[Customer_Info]])-1))</f>
        <v>Olivia Singh</v>
      </c>
      <c r="V76" s="8" t="str">
        <f>TRIM(MID(RawSalesTable6[[#This Row],[Customer_Info]],FIND(",",RawSalesTable6[[#This Row],[Customer_Info]])+1,FIND(",",RawSalesTable6[[#This Row],[Customer_Info]],FIND(",",RawSalesTable6[[#This Row],[Customer_Info]])+1)-FIND(",",RawSalesTable6[[#This Row],[Customer_Info]])-1))</f>
        <v>Mississauga</v>
      </c>
      <c r="W76" s="8" t="str">
        <f>TRIM(RIGHT(RawSalesTable6[[#This Row],[Customer_Info]],LEN(RawSalesTable6[[#This Row],[Customer_Info]])-FIND(",",RawSalesTable6[[#This Row],[Customer_Info]],FIND(",",RawSalesTable6[[#This Row],[Customer_Info]])+1)))</f>
        <v>Consumer</v>
      </c>
      <c r="X76" s="8" t="str">
        <f>VLOOKUP(RawSalesTable6[[#This Row],[Product_ID_Clean]],ProductsTable[],2,FALSE)</f>
        <v>Desk Lamp</v>
      </c>
      <c r="Y76" s="8" t="str">
        <f>VLOOKUP(RawSalesTable6[[#This Row],[Product_ID_Clean]],ProductsTable[],3,FALSE)</f>
        <v>Office</v>
      </c>
      <c r="Z76" s="8">
        <f>VLOOKUP(RawSalesTable6[[#This Row],[Product_ID_Clean]],ProductsTable[],5,FALSE)</f>
        <v>127.21</v>
      </c>
      <c r="AA76" s="8">
        <f>RawSalesTable6[[#This Row],[Unit_Price]]*RawSalesTable6[[#This Row],[Quantity]]</f>
        <v>442.84</v>
      </c>
      <c r="AB76" s="8">
        <f>RawSalesTable6[[#This Row],[Gross_Sales]]*RawSalesTable6[[#This Row],[Discount_Pct]]</f>
        <v>0</v>
      </c>
      <c r="AC76" s="8">
        <f>RawSalesTable6[[#This Row],[Gross_Sales]]-RawSalesTable6[[#This Row],[Discount_Amount]]</f>
        <v>442.84</v>
      </c>
      <c r="AD76" s="8">
        <f>RawSalesTable6[[#This Row],[Unit_Cost]]*RawSalesTable6[[#This Row],[Quantity]]</f>
        <v>254.42</v>
      </c>
      <c r="AE76" s="8">
        <f>RawSalesTable6[[#This Row],[Net_Sales]]-RawSalesTable6[[#This Row],[Total_Cost]]</f>
        <v>188.42</v>
      </c>
      <c r="AF76" s="9">
        <f>RawSalesTable6[[#This Row],[Profit]]/RawSalesTable6[[#This Row],[Net_Sales]]</f>
        <v>0.42548098636076237</v>
      </c>
      <c r="AG76" s="8">
        <f>YEAR(RawSalesTable6[[#This Row],[Order_Date]])</f>
        <v>2025</v>
      </c>
      <c r="AH76" s="8">
        <f>MONTH(RawSalesTable6[[#This Row],[Order_Date]])</f>
        <v>2</v>
      </c>
      <c r="AI76" s="8" t="str">
        <f>TEXT(RawSalesTable6[[#This Row],[Order_Date]],"mmmm")</f>
        <v>février</v>
      </c>
      <c r="AJ76" s="8" t="str">
        <f>IF(RawSalesTable6[[#This Row],[Month_Number]]&lt;=3,"Q1",IF(RawSalesTable6[[#This Row],[Month_Number]]&lt;=6,"Q2",IF(RawSalesTable6[[#This Row],[Month_Number]]&lt;=9,"Q3","Q4")))</f>
        <v>Q1</v>
      </c>
      <c r="AK76" s="8" t="str">
        <f>VLOOKUP(RawSalesTable6[[#This Row],[Customer_ID_Clean]],CustomersTable[],4,FALSE)</f>
        <v>Ontario</v>
      </c>
      <c r="AL76" s="8">
        <f>IF(RawSalesTable6[[#This Row],[Return_Status]]="Yes",1,0)</f>
        <v>1</v>
      </c>
    </row>
    <row r="77" spans="1:38">
      <c r="A77" t="s">
        <v>333</v>
      </c>
      <c r="B77" s="3">
        <v>45963</v>
      </c>
      <c r="C77" t="s">
        <v>180</v>
      </c>
      <c r="D77" t="s">
        <v>125</v>
      </c>
      <c r="E77" t="s">
        <v>182</v>
      </c>
      <c r="F77" t="s">
        <v>145</v>
      </c>
      <c r="G77" t="s">
        <v>104</v>
      </c>
      <c r="H77" t="s">
        <v>89</v>
      </c>
      <c r="I77">
        <v>1</v>
      </c>
      <c r="J77" s="2">
        <v>58.78</v>
      </c>
      <c r="K77" s="4">
        <v>0.05</v>
      </c>
      <c r="L77" t="s">
        <v>106</v>
      </c>
      <c r="M77">
        <v>3</v>
      </c>
      <c r="N77" t="s">
        <v>147</v>
      </c>
      <c r="O77" t="str">
        <f>SUBSTITUTE(PROPER(TRIM(RawSalesTable6[[#This Row],[Channel_Raw]])),"Market Place","Marketplace")</f>
        <v>Online</v>
      </c>
      <c r="P77" t="str">
        <f>TRIM(RawSalesTable6[[#This Row],[Product_ID]])</f>
        <v>P1027</v>
      </c>
      <c r="Q77" t="str">
        <f>TRIM(RawSalesTable6[[#This Row],[Customer_ID]])</f>
        <v>C0085</v>
      </c>
      <c r="R77" s="8" t="str">
        <f>PROPER(TRIM(RawSalesTable6[[#This Row],[Store_Raw]]))</f>
        <v>Calgary North</v>
      </c>
      <c r="S77" s="8" t="str">
        <f>IF(TRIM(RawSalesTable6[[#This Row],[Payment_Method_Raw]])="","Non renseigné",SUBSTITUTE(PROPER(TRIM(RawSalesTable6[[#This Row],[Payment_Method_Raw]])),"Cc","Credit Card"))</f>
        <v>Credit Card</v>
      </c>
      <c r="T77" s="8">
        <f>COUNTIF(A:A,RawSalesTable6[[#This Row],[Order_ID]])</f>
        <v>1</v>
      </c>
      <c r="U77" s="8" t="str">
        <f>TRIM(LEFT(RawSalesTable6[[#This Row],[Customer_Info]],FIND(",",RawSalesTable6[[#This Row],[Customer_Info]])-1))</f>
        <v>Yasmine Clark</v>
      </c>
      <c r="V77" s="8" t="str">
        <f>TRIM(MID(RawSalesTable6[[#This Row],[Customer_Info]],FIND(",",RawSalesTable6[[#This Row],[Customer_Info]])+1,FIND(",",RawSalesTable6[[#This Row],[Customer_Info]],FIND(",",RawSalesTable6[[#This Row],[Customer_Info]])+1)-FIND(",",RawSalesTable6[[#This Row],[Customer_Info]])-1))</f>
        <v>Calgary</v>
      </c>
      <c r="W77" s="8" t="str">
        <f>TRIM(RIGHT(RawSalesTable6[[#This Row],[Customer_Info]],LEN(RawSalesTable6[[#This Row],[Customer_Info]])-FIND(",",RawSalesTable6[[#This Row],[Customer_Info]],FIND(",",RawSalesTable6[[#This Row],[Customer_Info]])+1)))</f>
        <v>Consumer</v>
      </c>
      <c r="X77" s="8" t="str">
        <f>VLOOKUP(RawSalesTable6[[#This Row],[Product_ID_Clean]],ProductsTable[],2,FALSE)</f>
        <v>Kettlebell</v>
      </c>
      <c r="Y77" s="8" t="str">
        <f>VLOOKUP(RawSalesTable6[[#This Row],[Product_ID_Clean]],ProductsTable[],3,FALSE)</f>
        <v>Fitness</v>
      </c>
      <c r="Z77" s="8">
        <f>VLOOKUP(RawSalesTable6[[#This Row],[Product_ID_Clean]],ProductsTable[],5,FALSE)</f>
        <v>25.97</v>
      </c>
      <c r="AA77" s="8">
        <f>RawSalesTable6[[#This Row],[Unit_Price]]*RawSalesTable6[[#This Row],[Quantity]]</f>
        <v>58.78</v>
      </c>
      <c r="AB77" s="8">
        <f>RawSalesTable6[[#This Row],[Gross_Sales]]*RawSalesTable6[[#This Row],[Discount_Pct]]</f>
        <v>2.9390000000000001</v>
      </c>
      <c r="AC77" s="8">
        <f>RawSalesTable6[[#This Row],[Gross_Sales]]-RawSalesTable6[[#This Row],[Discount_Amount]]</f>
        <v>55.841000000000001</v>
      </c>
      <c r="AD77" s="8">
        <f>RawSalesTable6[[#This Row],[Unit_Cost]]*RawSalesTable6[[#This Row],[Quantity]]</f>
        <v>25.97</v>
      </c>
      <c r="AE77" s="8">
        <f>RawSalesTable6[[#This Row],[Net_Sales]]-RawSalesTable6[[#This Row],[Total_Cost]]</f>
        <v>29.871000000000002</v>
      </c>
      <c r="AF77" s="9">
        <f>RawSalesTable6[[#This Row],[Profit]]/RawSalesTable6[[#This Row],[Net_Sales]]</f>
        <v>0.53492953206425387</v>
      </c>
      <c r="AG77" s="8">
        <f>YEAR(RawSalesTable6[[#This Row],[Order_Date]])</f>
        <v>2025</v>
      </c>
      <c r="AH77" s="8">
        <f>MONTH(RawSalesTable6[[#This Row],[Order_Date]])</f>
        <v>11</v>
      </c>
      <c r="AI77" s="8" t="str">
        <f>TEXT(RawSalesTable6[[#This Row],[Order_Date]],"mmmm")</f>
        <v>novembre</v>
      </c>
      <c r="AJ77" s="8" t="str">
        <f>IF(RawSalesTable6[[#This Row],[Month_Number]]&lt;=3,"Q1",IF(RawSalesTable6[[#This Row],[Month_Number]]&lt;=6,"Q2",IF(RawSalesTable6[[#This Row],[Month_Number]]&lt;=9,"Q3","Q4")))</f>
        <v>Q4</v>
      </c>
      <c r="AK77" s="8" t="str">
        <f>VLOOKUP(RawSalesTable6[[#This Row],[Customer_ID_Clean]],CustomersTable[],4,FALSE)</f>
        <v>Alberta</v>
      </c>
      <c r="AL77" s="8">
        <f>IF(RawSalesTable6[[#This Row],[Return_Status]]="Yes",1,0)</f>
        <v>1</v>
      </c>
    </row>
    <row r="78" spans="1:38">
      <c r="A78" t="s">
        <v>334</v>
      </c>
      <c r="B78" s="3">
        <v>45671</v>
      </c>
      <c r="C78" t="s">
        <v>335</v>
      </c>
      <c r="D78" t="s">
        <v>94</v>
      </c>
      <c r="E78" t="s">
        <v>336</v>
      </c>
      <c r="F78" t="s">
        <v>111</v>
      </c>
      <c r="G78" t="s">
        <v>96</v>
      </c>
      <c r="H78" t="s">
        <v>89</v>
      </c>
      <c r="I78">
        <v>2</v>
      </c>
      <c r="J78" s="2">
        <v>297</v>
      </c>
      <c r="K78" s="4">
        <v>0.05</v>
      </c>
      <c r="L78" t="s">
        <v>90</v>
      </c>
      <c r="M78">
        <v>3</v>
      </c>
      <c r="N78" t="s">
        <v>91</v>
      </c>
      <c r="O78" t="str">
        <f>SUBSTITUTE(PROPER(TRIM(RawSalesTable6[[#This Row],[Channel_Raw]])),"Market Place","Marketplace")</f>
        <v>Online</v>
      </c>
      <c r="P78" t="str">
        <f>TRIM(RawSalesTable6[[#This Row],[Product_ID]])</f>
        <v>P1033</v>
      </c>
      <c r="Q78" t="str">
        <f>TRIM(RawSalesTable6[[#This Row],[Customer_ID]])</f>
        <v>C0037</v>
      </c>
      <c r="R78" s="8" t="str">
        <f>PROPER(TRIM(RawSalesTable6[[#This Row],[Store_Raw]]))</f>
        <v>Montreal Central</v>
      </c>
      <c r="S78" s="8" t="str">
        <f>IF(TRIM(RawSalesTable6[[#This Row],[Payment_Method_Raw]])="","Non renseigné",SUBSTITUTE(PROPER(TRIM(RawSalesTable6[[#This Row],[Payment_Method_Raw]])),"Cc","Credit Card"))</f>
        <v>Paypal</v>
      </c>
      <c r="T78" s="8">
        <f>COUNTIF(A:A,RawSalesTable6[[#This Row],[Order_ID]])</f>
        <v>1</v>
      </c>
      <c r="U78" s="8" t="str">
        <f>TRIM(LEFT(RawSalesTable6[[#This Row],[Customer_Info]],FIND(",",RawSalesTable6[[#This Row],[Customer_Info]])-1))</f>
        <v>Lucas Scott</v>
      </c>
      <c r="V78" s="8" t="str">
        <f>TRIM(MID(RawSalesTable6[[#This Row],[Customer_Info]],FIND(",",RawSalesTable6[[#This Row],[Customer_Info]])+1,FIND(",",RawSalesTable6[[#This Row],[Customer_Info]],FIND(",",RawSalesTable6[[#This Row],[Customer_Info]])+1)-FIND(",",RawSalesTable6[[#This Row],[Customer_Info]])-1))</f>
        <v>Victoria</v>
      </c>
      <c r="W78" s="8" t="str">
        <f>TRIM(RIGHT(RawSalesTable6[[#This Row],[Customer_Info]],LEN(RawSalesTable6[[#This Row],[Customer_Info]])-FIND(",",RawSalesTable6[[#This Row],[Customer_Info]],FIND(",",RawSalesTable6[[#This Row],[Customer_Info]])+1)))</f>
        <v>Small Business</v>
      </c>
      <c r="X78" s="8" t="str">
        <f>VLOOKUP(RawSalesTable6[[#This Row],[Product_ID_Clean]],ProductsTable[],2,FALSE)</f>
        <v>Backpack</v>
      </c>
      <c r="Y78" s="8" t="str">
        <f>VLOOKUP(RawSalesTable6[[#This Row],[Product_ID_Clean]],ProductsTable[],3,FALSE)</f>
        <v>Accessories</v>
      </c>
      <c r="Z78" s="8">
        <f>VLOOKUP(RawSalesTable6[[#This Row],[Product_ID_Clean]],ProductsTable[],5,FALSE)</f>
        <v>152.55000000000001</v>
      </c>
      <c r="AA78" s="8">
        <f>RawSalesTable6[[#This Row],[Unit_Price]]*RawSalesTable6[[#This Row],[Quantity]]</f>
        <v>594</v>
      </c>
      <c r="AB78" s="8">
        <f>RawSalesTable6[[#This Row],[Gross_Sales]]*RawSalesTable6[[#This Row],[Discount_Pct]]</f>
        <v>29.700000000000003</v>
      </c>
      <c r="AC78" s="8">
        <f>RawSalesTable6[[#This Row],[Gross_Sales]]-RawSalesTable6[[#This Row],[Discount_Amount]]</f>
        <v>564.29999999999995</v>
      </c>
      <c r="AD78" s="8">
        <f>RawSalesTable6[[#This Row],[Unit_Cost]]*RawSalesTable6[[#This Row],[Quantity]]</f>
        <v>305.10000000000002</v>
      </c>
      <c r="AE78" s="8">
        <f>RawSalesTable6[[#This Row],[Net_Sales]]-RawSalesTable6[[#This Row],[Total_Cost]]</f>
        <v>259.19999999999993</v>
      </c>
      <c r="AF78" s="9">
        <f>RawSalesTable6[[#This Row],[Profit]]/RawSalesTable6[[#This Row],[Net_Sales]]</f>
        <v>0.45933014354066976</v>
      </c>
      <c r="AG78" s="8">
        <f>YEAR(RawSalesTable6[[#This Row],[Order_Date]])</f>
        <v>2025</v>
      </c>
      <c r="AH78" s="8">
        <f>MONTH(RawSalesTable6[[#This Row],[Order_Date]])</f>
        <v>1</v>
      </c>
      <c r="AI78" s="8" t="str">
        <f>TEXT(RawSalesTable6[[#This Row],[Order_Date]],"mmmm")</f>
        <v>janvier</v>
      </c>
      <c r="AJ78" s="8" t="str">
        <f>IF(RawSalesTable6[[#This Row],[Month_Number]]&lt;=3,"Q1",IF(RawSalesTable6[[#This Row],[Month_Number]]&lt;=6,"Q2",IF(RawSalesTable6[[#This Row],[Month_Number]]&lt;=9,"Q3","Q4")))</f>
        <v>Q1</v>
      </c>
      <c r="AK78" s="8" t="str">
        <f>VLOOKUP(RawSalesTable6[[#This Row],[Customer_ID_Clean]],CustomersTable[],4,FALSE)</f>
        <v>British Columbia</v>
      </c>
      <c r="AL78" s="8">
        <f>IF(RawSalesTable6[[#This Row],[Return_Status]]="Yes",1,0)</f>
        <v>0</v>
      </c>
    </row>
    <row r="79" spans="1:38">
      <c r="A79" t="s">
        <v>337</v>
      </c>
      <c r="B79" s="3">
        <v>45929</v>
      </c>
      <c r="C79" t="s">
        <v>338</v>
      </c>
      <c r="D79" t="s">
        <v>217</v>
      </c>
      <c r="E79" t="s">
        <v>339</v>
      </c>
      <c r="F79" t="s">
        <v>111</v>
      </c>
      <c r="G79" t="s">
        <v>130</v>
      </c>
      <c r="H79" t="s">
        <v>233</v>
      </c>
      <c r="I79">
        <v>2</v>
      </c>
      <c r="J79" s="2">
        <v>101.43</v>
      </c>
      <c r="K79" s="4">
        <v>0.15</v>
      </c>
      <c r="L79" t="s">
        <v>98</v>
      </c>
      <c r="M79">
        <v>4</v>
      </c>
      <c r="N79" t="s">
        <v>91</v>
      </c>
      <c r="O79" t="str">
        <f>SUBSTITUTE(PROPER(TRIM(RawSalesTable6[[#This Row],[Channel_Raw]])),"Market Place","Marketplace")</f>
        <v>Retail Store</v>
      </c>
      <c r="P79" t="str">
        <f>TRIM(RawSalesTable6[[#This Row],[Product_ID]])</f>
        <v>P1006</v>
      </c>
      <c r="Q79" t="str">
        <f>TRIM(RawSalesTable6[[#This Row],[Customer_ID]])</f>
        <v>C0047</v>
      </c>
      <c r="R79" s="8" t="str">
        <f>PROPER(TRIM(RawSalesTable6[[#This Row],[Store_Raw]]))</f>
        <v>Montreal Central</v>
      </c>
      <c r="S79" s="8" t="str">
        <f>IF(TRIM(RawSalesTable6[[#This Row],[Payment_Method_Raw]])="","Non renseigné",SUBSTITUTE(PROPER(TRIM(RawSalesTable6[[#This Row],[Payment_Method_Raw]])),"Cc","Credit Card"))</f>
        <v>Debit Card</v>
      </c>
      <c r="T79" s="8">
        <f>COUNTIF(A:A,RawSalesTable6[[#This Row],[Order_ID]])</f>
        <v>1</v>
      </c>
      <c r="U79" s="8" t="str">
        <f>TRIM(LEFT(RawSalesTable6[[#This Row],[Customer_Info]],FIND(",",RawSalesTable6[[#This Row],[Customer_Info]])-1))</f>
        <v>Amine King</v>
      </c>
      <c r="V79" s="8" t="str">
        <f>TRIM(MID(RawSalesTable6[[#This Row],[Customer_Info]],FIND(",",RawSalesTable6[[#This Row],[Customer_Info]])+1,FIND(",",RawSalesTable6[[#This Row],[Customer_Info]],FIND(",",RawSalesTable6[[#This Row],[Customer_Info]])+1)-FIND(",",RawSalesTable6[[#This Row],[Customer_Info]])-1))</f>
        <v>Victoria</v>
      </c>
      <c r="W79" s="8" t="str">
        <f>TRIM(RIGHT(RawSalesTable6[[#This Row],[Customer_Info]],LEN(RawSalesTable6[[#This Row],[Customer_Info]])-FIND(",",RawSalesTable6[[#This Row],[Customer_Info]],FIND(",",RawSalesTable6[[#This Row],[Customer_Info]])+1)))</f>
        <v>Consumer</v>
      </c>
      <c r="X79" s="8" t="str">
        <f>VLOOKUP(RawSalesTable6[[#This Row],[Product_ID_Clean]],ProductsTable[],2,FALSE)</f>
        <v>USB-C Hub</v>
      </c>
      <c r="Y79" s="8" t="str">
        <f>VLOOKUP(RawSalesTable6[[#This Row],[Product_ID_Clean]],ProductsTable[],3,FALSE)</f>
        <v>Electronics</v>
      </c>
      <c r="Z79" s="8">
        <f>VLOOKUP(RawSalesTable6[[#This Row],[Product_ID_Clean]],ProductsTable[],5,FALSE)</f>
        <v>72</v>
      </c>
      <c r="AA79" s="8">
        <f>RawSalesTable6[[#This Row],[Unit_Price]]*RawSalesTable6[[#This Row],[Quantity]]</f>
        <v>202.86</v>
      </c>
      <c r="AB79" s="8">
        <f>RawSalesTable6[[#This Row],[Gross_Sales]]*RawSalesTable6[[#This Row],[Discount_Pct]]</f>
        <v>30.429000000000002</v>
      </c>
      <c r="AC79" s="8">
        <f>RawSalesTable6[[#This Row],[Gross_Sales]]-RawSalesTable6[[#This Row],[Discount_Amount]]</f>
        <v>172.43100000000001</v>
      </c>
      <c r="AD79" s="8">
        <f>RawSalesTable6[[#This Row],[Unit_Cost]]*RawSalesTable6[[#This Row],[Quantity]]</f>
        <v>144</v>
      </c>
      <c r="AE79" s="8">
        <f>RawSalesTable6[[#This Row],[Net_Sales]]-RawSalesTable6[[#This Row],[Total_Cost]]</f>
        <v>28.431000000000012</v>
      </c>
      <c r="AF79" s="9">
        <f>RawSalesTable6[[#This Row],[Profit]]/RawSalesTable6[[#This Row],[Net_Sales]]</f>
        <v>0.16488334464220478</v>
      </c>
      <c r="AG79" s="8">
        <f>YEAR(RawSalesTable6[[#This Row],[Order_Date]])</f>
        <v>2025</v>
      </c>
      <c r="AH79" s="8">
        <f>MONTH(RawSalesTable6[[#This Row],[Order_Date]])</f>
        <v>9</v>
      </c>
      <c r="AI79" s="8" t="str">
        <f>TEXT(RawSalesTable6[[#This Row],[Order_Date]],"mmmm")</f>
        <v>septembre</v>
      </c>
      <c r="AJ79" s="8" t="str">
        <f>IF(RawSalesTable6[[#This Row],[Month_Number]]&lt;=3,"Q1",IF(RawSalesTable6[[#This Row],[Month_Number]]&lt;=6,"Q2",IF(RawSalesTable6[[#This Row],[Month_Number]]&lt;=9,"Q3","Q4")))</f>
        <v>Q3</v>
      </c>
      <c r="AK79" s="8" t="str">
        <f>VLOOKUP(RawSalesTable6[[#This Row],[Customer_ID_Clean]],CustomersTable[],4,FALSE)</f>
        <v>British Columbia</v>
      </c>
      <c r="AL79" s="8">
        <f>IF(RawSalesTable6[[#This Row],[Return_Status]]="Yes",1,0)</f>
        <v>0</v>
      </c>
    </row>
    <row r="80" spans="1:38">
      <c r="A80" t="s">
        <v>340</v>
      </c>
      <c r="B80" s="3">
        <v>46001</v>
      </c>
      <c r="C80" t="s">
        <v>100</v>
      </c>
      <c r="D80" t="s">
        <v>255</v>
      </c>
      <c r="E80" t="s">
        <v>102</v>
      </c>
      <c r="F80" t="s">
        <v>103</v>
      </c>
      <c r="G80" t="s">
        <v>122</v>
      </c>
      <c r="H80" t="s">
        <v>89</v>
      </c>
      <c r="I80">
        <v>1</v>
      </c>
      <c r="J80" s="2">
        <v>235.55</v>
      </c>
      <c r="K80" s="4">
        <v>0</v>
      </c>
      <c r="L80" t="s">
        <v>98</v>
      </c>
      <c r="M80">
        <v>5</v>
      </c>
      <c r="N80" t="s">
        <v>91</v>
      </c>
      <c r="O80" t="str">
        <f>SUBSTITUTE(PROPER(TRIM(RawSalesTable6[[#This Row],[Channel_Raw]])),"Market Place","Marketplace")</f>
        <v>Online</v>
      </c>
      <c r="P80" t="str">
        <f>TRIM(RawSalesTable6[[#This Row],[Product_ID]])</f>
        <v>P1014</v>
      </c>
      <c r="Q80" t="str">
        <f>TRIM(RawSalesTable6[[#This Row],[Customer_ID]])</f>
        <v>C0003</v>
      </c>
      <c r="R80" s="8" t="str">
        <f>PROPER(TRIM(RawSalesTable6[[#This Row],[Store_Raw]]))</f>
        <v>Vancouver West</v>
      </c>
      <c r="S80" s="8" t="str">
        <f>IF(TRIM(RawSalesTable6[[#This Row],[Payment_Method_Raw]])="","Non renseigné",SUBSTITUTE(PROPER(TRIM(RawSalesTable6[[#This Row],[Payment_Method_Raw]])),"Cc","Credit Card"))</f>
        <v>Debit Card</v>
      </c>
      <c r="T80" s="8">
        <f>COUNTIF(A:A,RawSalesTable6[[#This Row],[Order_ID]])</f>
        <v>1</v>
      </c>
      <c r="U80" s="8" t="str">
        <f>TRIM(LEFT(RawSalesTable6[[#This Row],[Customer_Info]],FIND(",",RawSalesTable6[[#This Row],[Customer_Info]])-1))</f>
        <v>Amelia Young</v>
      </c>
      <c r="V80" s="8" t="str">
        <f>TRIM(MID(RawSalesTable6[[#This Row],[Customer_Info]],FIND(",",RawSalesTable6[[#This Row],[Customer_Info]])+1,FIND(",",RawSalesTable6[[#This Row],[Customer_Info]],FIND(",",RawSalesTable6[[#This Row],[Customer_Info]])+1)-FIND(",",RawSalesTable6[[#This Row],[Customer_Info]])-1))</f>
        <v>Ottawa</v>
      </c>
      <c r="W80" s="8" t="str">
        <f>TRIM(RIGHT(RawSalesTable6[[#This Row],[Customer_Info]],LEN(RawSalesTable6[[#This Row],[Customer_Info]])-FIND(",",RawSalesTable6[[#This Row],[Customer_Info]],FIND(",",RawSalesTable6[[#This Row],[Customer_Info]])+1)))</f>
        <v>Corporate</v>
      </c>
      <c r="X80" s="8" t="str">
        <f>VLOOKUP(RawSalesTable6[[#This Row],[Product_ID_Clean]],ProductsTable[],2,FALSE)</f>
        <v>Document Shredder</v>
      </c>
      <c r="Y80" s="8" t="str">
        <f>VLOOKUP(RawSalesTable6[[#This Row],[Product_ID_Clean]],ProductsTable[],3,FALSE)</f>
        <v>Office</v>
      </c>
      <c r="Z80" s="8">
        <f>VLOOKUP(RawSalesTable6[[#This Row],[Product_ID_Clean]],ProductsTable[],5,FALSE)</f>
        <v>117.65</v>
      </c>
      <c r="AA80" s="8">
        <f>RawSalesTable6[[#This Row],[Unit_Price]]*RawSalesTable6[[#This Row],[Quantity]]</f>
        <v>235.55</v>
      </c>
      <c r="AB80" s="8">
        <f>RawSalesTable6[[#This Row],[Gross_Sales]]*RawSalesTable6[[#This Row],[Discount_Pct]]</f>
        <v>0</v>
      </c>
      <c r="AC80" s="8">
        <f>RawSalesTable6[[#This Row],[Gross_Sales]]-RawSalesTable6[[#This Row],[Discount_Amount]]</f>
        <v>235.55</v>
      </c>
      <c r="AD80" s="8">
        <f>RawSalesTable6[[#This Row],[Unit_Cost]]*RawSalesTable6[[#This Row],[Quantity]]</f>
        <v>117.65</v>
      </c>
      <c r="AE80" s="8">
        <f>RawSalesTable6[[#This Row],[Net_Sales]]-RawSalesTable6[[#This Row],[Total_Cost]]</f>
        <v>117.9</v>
      </c>
      <c r="AF80" s="9">
        <f>RawSalesTable6[[#This Row],[Profit]]/RawSalesTable6[[#This Row],[Net_Sales]]</f>
        <v>0.50053067289322861</v>
      </c>
      <c r="AG80" s="8">
        <f>YEAR(RawSalesTable6[[#This Row],[Order_Date]])</f>
        <v>2025</v>
      </c>
      <c r="AH80" s="8">
        <f>MONTH(RawSalesTable6[[#This Row],[Order_Date]])</f>
        <v>12</v>
      </c>
      <c r="AI80" s="8" t="str">
        <f>TEXT(RawSalesTable6[[#This Row],[Order_Date]],"mmmm")</f>
        <v>décembre</v>
      </c>
      <c r="AJ80" s="8" t="str">
        <f>IF(RawSalesTable6[[#This Row],[Month_Number]]&lt;=3,"Q1",IF(RawSalesTable6[[#This Row],[Month_Number]]&lt;=6,"Q2",IF(RawSalesTable6[[#This Row],[Month_Number]]&lt;=9,"Q3","Q4")))</f>
        <v>Q4</v>
      </c>
      <c r="AK80" s="8" t="str">
        <f>VLOOKUP(RawSalesTable6[[#This Row],[Customer_ID_Clean]],CustomersTable[],4,FALSE)</f>
        <v>Ontario</v>
      </c>
      <c r="AL80" s="8">
        <f>IF(RawSalesTable6[[#This Row],[Return_Status]]="Yes",1,0)</f>
        <v>0</v>
      </c>
    </row>
    <row r="81" spans="1:38">
      <c r="A81" t="s">
        <v>341</v>
      </c>
      <c r="B81" s="3">
        <v>45685</v>
      </c>
      <c r="C81" t="s">
        <v>151</v>
      </c>
      <c r="D81" t="s">
        <v>181</v>
      </c>
      <c r="E81" t="s">
        <v>153</v>
      </c>
      <c r="F81" t="s">
        <v>87</v>
      </c>
      <c r="G81" t="s">
        <v>104</v>
      </c>
      <c r="H81" t="s">
        <v>89</v>
      </c>
      <c r="I81">
        <v>2</v>
      </c>
      <c r="J81" s="2">
        <v>341.19</v>
      </c>
      <c r="K81" s="4">
        <v>0.1</v>
      </c>
      <c r="L81" t="s">
        <v>106</v>
      </c>
      <c r="M81">
        <v>1</v>
      </c>
      <c r="N81" t="s">
        <v>91</v>
      </c>
      <c r="O81" t="str">
        <f>SUBSTITUTE(PROPER(TRIM(RawSalesTable6[[#This Row],[Channel_Raw]])),"Market Place","Marketplace")</f>
        <v>Online</v>
      </c>
      <c r="P81" t="str">
        <f>TRIM(RawSalesTable6[[#This Row],[Product_ID]])</f>
        <v>P1007</v>
      </c>
      <c r="Q81" t="str">
        <f>TRIM(RawSalesTable6[[#This Row],[Customer_ID]])</f>
        <v>C0014</v>
      </c>
      <c r="R81" s="8" t="str">
        <f>PROPER(TRIM(RawSalesTable6[[#This Row],[Store_Raw]]))</f>
        <v>Online Fulfillment</v>
      </c>
      <c r="S81" s="8" t="str">
        <f>IF(TRIM(RawSalesTable6[[#This Row],[Payment_Method_Raw]])="","Non renseigné",SUBSTITUTE(PROPER(TRIM(RawSalesTable6[[#This Row],[Payment_Method_Raw]])),"Cc","Credit Card"))</f>
        <v>Credit Card</v>
      </c>
      <c r="T81" s="8">
        <f>COUNTIF(A:A,RawSalesTable6[[#This Row],[Order_ID]])</f>
        <v>1</v>
      </c>
      <c r="U81" s="8" t="str">
        <f>TRIM(LEFT(RawSalesTable6[[#This Row],[Customer_Info]],FIND(",",RawSalesTable6[[#This Row],[Customer_Info]])-1))</f>
        <v>Zoe Scott</v>
      </c>
      <c r="V81" s="8" t="str">
        <f>TRIM(MID(RawSalesTable6[[#This Row],[Customer_Info]],FIND(",",RawSalesTable6[[#This Row],[Customer_Info]])+1,FIND(",",RawSalesTable6[[#This Row],[Customer_Info]],FIND(",",RawSalesTable6[[#This Row],[Customer_Info]])+1)-FIND(",",RawSalesTable6[[#This Row],[Customer_Info]])-1))</f>
        <v>Montreal</v>
      </c>
      <c r="W81" s="8" t="str">
        <f>TRIM(RIGHT(RawSalesTable6[[#This Row],[Customer_Info]],LEN(RawSalesTable6[[#This Row],[Customer_Info]])-FIND(",",RawSalesTable6[[#This Row],[Customer_Info]],FIND(",",RawSalesTable6[[#This Row],[Customer_Info]])+1)))</f>
        <v>Small Business</v>
      </c>
      <c r="X81" s="8" t="str">
        <f>VLOOKUP(RawSalesTable6[[#This Row],[Product_ID_Clean]],ProductsTable[],2,FALSE)</f>
        <v>Monitor</v>
      </c>
      <c r="Y81" s="8" t="str">
        <f>VLOOKUP(RawSalesTable6[[#This Row],[Product_ID_Clean]],ProductsTable[],3,FALSE)</f>
        <v>Electronics</v>
      </c>
      <c r="Z81" s="8">
        <f>VLOOKUP(RawSalesTable6[[#This Row],[Product_ID_Clean]],ProductsTable[],5,FALSE)</f>
        <v>224.47</v>
      </c>
      <c r="AA81" s="8">
        <f>RawSalesTable6[[#This Row],[Unit_Price]]*RawSalesTable6[[#This Row],[Quantity]]</f>
        <v>682.38</v>
      </c>
      <c r="AB81" s="8">
        <f>RawSalesTable6[[#This Row],[Gross_Sales]]*RawSalesTable6[[#This Row],[Discount_Pct]]</f>
        <v>68.238</v>
      </c>
      <c r="AC81" s="8">
        <f>RawSalesTable6[[#This Row],[Gross_Sales]]-RawSalesTable6[[#This Row],[Discount_Amount]]</f>
        <v>614.14200000000005</v>
      </c>
      <c r="AD81" s="8">
        <f>RawSalesTable6[[#This Row],[Unit_Cost]]*RawSalesTable6[[#This Row],[Quantity]]</f>
        <v>448.94</v>
      </c>
      <c r="AE81" s="8">
        <f>RawSalesTable6[[#This Row],[Net_Sales]]-RawSalesTable6[[#This Row],[Total_Cost]]</f>
        <v>165.20200000000006</v>
      </c>
      <c r="AF81" s="9">
        <f>RawSalesTable6[[#This Row],[Profit]]/RawSalesTable6[[#This Row],[Net_Sales]]</f>
        <v>0.26899642102315108</v>
      </c>
      <c r="AG81" s="8">
        <f>YEAR(RawSalesTable6[[#This Row],[Order_Date]])</f>
        <v>2025</v>
      </c>
      <c r="AH81" s="8">
        <f>MONTH(RawSalesTable6[[#This Row],[Order_Date]])</f>
        <v>1</v>
      </c>
      <c r="AI81" s="8" t="str">
        <f>TEXT(RawSalesTable6[[#This Row],[Order_Date]],"mmmm")</f>
        <v>janvier</v>
      </c>
      <c r="AJ81" s="8" t="str">
        <f>IF(RawSalesTable6[[#This Row],[Month_Number]]&lt;=3,"Q1",IF(RawSalesTable6[[#This Row],[Month_Number]]&lt;=6,"Q2",IF(RawSalesTable6[[#This Row],[Month_Number]]&lt;=9,"Q3","Q4")))</f>
        <v>Q1</v>
      </c>
      <c r="AK81" s="8" t="str">
        <f>VLOOKUP(RawSalesTable6[[#This Row],[Customer_ID_Clean]],CustomersTable[],4,FALSE)</f>
        <v>Quebec</v>
      </c>
      <c r="AL81" s="8">
        <f>IF(RawSalesTable6[[#This Row],[Return_Status]]="Yes",1,0)</f>
        <v>0</v>
      </c>
    </row>
    <row r="82" spans="1:38">
      <c r="A82" t="s">
        <v>342</v>
      </c>
      <c r="B82" s="3">
        <v>45867</v>
      </c>
      <c r="C82" t="s">
        <v>343</v>
      </c>
      <c r="D82" t="s">
        <v>303</v>
      </c>
      <c r="E82" t="s">
        <v>344</v>
      </c>
      <c r="F82" t="s">
        <v>145</v>
      </c>
      <c r="G82" t="s">
        <v>88</v>
      </c>
      <c r="H82" t="s">
        <v>97</v>
      </c>
      <c r="I82">
        <v>1</v>
      </c>
      <c r="J82" s="2">
        <v>160.72</v>
      </c>
      <c r="K82" s="4">
        <v>0.2</v>
      </c>
      <c r="L82" t="s">
        <v>98</v>
      </c>
      <c r="M82">
        <v>4</v>
      </c>
      <c r="N82" t="s">
        <v>91</v>
      </c>
      <c r="O82" t="str">
        <f>SUBSTITUTE(PROPER(TRIM(RawSalesTable6[[#This Row],[Channel_Raw]])),"Market Place","Marketplace")</f>
        <v>Retail Store</v>
      </c>
      <c r="P82" t="str">
        <f>TRIM(RawSalesTable6[[#This Row],[Product_ID]])</f>
        <v>P1036</v>
      </c>
      <c r="Q82" t="str">
        <f>TRIM(RawSalesTable6[[#This Row],[Customer_ID]])</f>
        <v>C0114</v>
      </c>
      <c r="R82" s="8" t="str">
        <f>PROPER(TRIM(RawSalesTable6[[#This Row],[Store_Raw]]))</f>
        <v>Calgary North</v>
      </c>
      <c r="S82" s="8" t="str">
        <f>IF(TRIM(RawSalesTable6[[#This Row],[Payment_Method_Raw]])="","Non renseigné",SUBSTITUTE(PROPER(TRIM(RawSalesTable6[[#This Row],[Payment_Method_Raw]])),"Cc","Credit Card"))</f>
        <v>Debit Card</v>
      </c>
      <c r="T82" s="8">
        <f>COUNTIF(A:A,RawSalesTable6[[#This Row],[Order_ID]])</f>
        <v>1</v>
      </c>
      <c r="U82" s="8" t="str">
        <f>TRIM(LEFT(RawSalesTable6[[#This Row],[Customer_Info]],FIND(",",RawSalesTable6[[#This Row],[Customer_Info]])-1))</f>
        <v>Olivia Johnson</v>
      </c>
      <c r="V82" s="8" t="str">
        <f>TRIM(MID(RawSalesTable6[[#This Row],[Customer_Info]],FIND(",",RawSalesTable6[[#This Row],[Customer_Info]])+1,FIND(",",RawSalesTable6[[#This Row],[Customer_Info]],FIND(",",RawSalesTable6[[#This Row],[Customer_Info]])+1)-FIND(",",RawSalesTable6[[#This Row],[Customer_Info]])-1))</f>
        <v>Ottawa</v>
      </c>
      <c r="W82" s="8" t="str">
        <f>TRIM(RIGHT(RawSalesTable6[[#This Row],[Customer_Info]],LEN(RawSalesTable6[[#This Row],[Customer_Info]])-FIND(",",RawSalesTable6[[#This Row],[Customer_Info]],FIND(",",RawSalesTable6[[#This Row],[Customer_Info]])+1)))</f>
        <v>Consumer</v>
      </c>
      <c r="X82" s="8" t="str">
        <f>VLOOKUP(RawSalesTable6[[#This Row],[Product_ID_Clean]],ProductsTable[],2,FALSE)</f>
        <v>Power Bank</v>
      </c>
      <c r="Y82" s="8" t="str">
        <f>VLOOKUP(RawSalesTable6[[#This Row],[Product_ID_Clean]],ProductsTable[],3,FALSE)</f>
        <v>Accessories</v>
      </c>
      <c r="Z82" s="8">
        <f>VLOOKUP(RawSalesTable6[[#This Row],[Product_ID_Clean]],ProductsTable[],5,FALSE)</f>
        <v>76.97</v>
      </c>
      <c r="AA82" s="8">
        <f>RawSalesTable6[[#This Row],[Unit_Price]]*RawSalesTable6[[#This Row],[Quantity]]</f>
        <v>160.72</v>
      </c>
      <c r="AB82" s="8">
        <f>RawSalesTable6[[#This Row],[Gross_Sales]]*RawSalesTable6[[#This Row],[Discount_Pct]]</f>
        <v>32.143999999999998</v>
      </c>
      <c r="AC82" s="8">
        <f>RawSalesTable6[[#This Row],[Gross_Sales]]-RawSalesTable6[[#This Row],[Discount_Amount]]</f>
        <v>128.57599999999999</v>
      </c>
      <c r="AD82" s="8">
        <f>RawSalesTable6[[#This Row],[Unit_Cost]]*RawSalesTable6[[#This Row],[Quantity]]</f>
        <v>76.97</v>
      </c>
      <c r="AE82" s="8">
        <f>RawSalesTable6[[#This Row],[Net_Sales]]-RawSalesTable6[[#This Row],[Total_Cost]]</f>
        <v>51.605999999999995</v>
      </c>
      <c r="AF82" s="9">
        <f>RawSalesTable6[[#This Row],[Profit]]/RawSalesTable6[[#This Row],[Net_Sales]]</f>
        <v>0.40136572921851665</v>
      </c>
      <c r="AG82" s="8">
        <f>YEAR(RawSalesTable6[[#This Row],[Order_Date]])</f>
        <v>2025</v>
      </c>
      <c r="AH82" s="8">
        <f>MONTH(RawSalesTable6[[#This Row],[Order_Date]])</f>
        <v>7</v>
      </c>
      <c r="AI82" s="8" t="str">
        <f>TEXT(RawSalesTable6[[#This Row],[Order_Date]],"mmmm")</f>
        <v>juillet</v>
      </c>
      <c r="AJ82" s="8" t="str">
        <f>IF(RawSalesTable6[[#This Row],[Month_Number]]&lt;=3,"Q1",IF(RawSalesTable6[[#This Row],[Month_Number]]&lt;=6,"Q2",IF(RawSalesTable6[[#This Row],[Month_Number]]&lt;=9,"Q3","Q4")))</f>
        <v>Q3</v>
      </c>
      <c r="AK82" s="8" t="str">
        <f>VLOOKUP(RawSalesTable6[[#This Row],[Customer_ID_Clean]],CustomersTable[],4,FALSE)</f>
        <v>Ontario</v>
      </c>
      <c r="AL82" s="8">
        <f>IF(RawSalesTable6[[#This Row],[Return_Status]]="Yes",1,0)</f>
        <v>0</v>
      </c>
    </row>
    <row r="83" spans="1:38">
      <c r="A83" t="s">
        <v>345</v>
      </c>
      <c r="B83" s="3">
        <v>45737</v>
      </c>
      <c r="C83" t="s">
        <v>100</v>
      </c>
      <c r="D83" t="s">
        <v>346</v>
      </c>
      <c r="E83" t="s">
        <v>102</v>
      </c>
      <c r="F83" t="s">
        <v>145</v>
      </c>
      <c r="G83" t="s">
        <v>96</v>
      </c>
      <c r="H83" t="s">
        <v>97</v>
      </c>
      <c r="I83">
        <v>5</v>
      </c>
      <c r="J83" s="2">
        <v>248.14</v>
      </c>
      <c r="K83" s="4">
        <v>0.05</v>
      </c>
      <c r="L83" t="s">
        <v>106</v>
      </c>
      <c r="M83">
        <v>3</v>
      </c>
      <c r="N83" t="s">
        <v>91</v>
      </c>
      <c r="O83" t="str">
        <f>SUBSTITUTE(PROPER(TRIM(RawSalesTable6[[#This Row],[Channel_Raw]])),"Market Place","Marketplace")</f>
        <v>Retail Store</v>
      </c>
      <c r="P83" t="str">
        <f>TRIM(RawSalesTable6[[#This Row],[Product_ID]])</f>
        <v>P1030</v>
      </c>
      <c r="Q83" t="str">
        <f>TRIM(RawSalesTable6[[#This Row],[Customer_ID]])</f>
        <v>C0003</v>
      </c>
      <c r="R83" s="8" t="str">
        <f>PROPER(TRIM(RawSalesTable6[[#This Row],[Store_Raw]]))</f>
        <v>Calgary North</v>
      </c>
      <c r="S83" s="8" t="str">
        <f>IF(TRIM(RawSalesTable6[[#This Row],[Payment_Method_Raw]])="","Non renseigné",SUBSTITUTE(PROPER(TRIM(RawSalesTable6[[#This Row],[Payment_Method_Raw]])),"Cc","Credit Card"))</f>
        <v>Credit Card</v>
      </c>
      <c r="T83" s="8">
        <f>COUNTIF(A:A,RawSalesTable6[[#This Row],[Order_ID]])</f>
        <v>1</v>
      </c>
      <c r="U83" s="8" t="str">
        <f>TRIM(LEFT(RawSalesTable6[[#This Row],[Customer_Info]],FIND(",",RawSalesTable6[[#This Row],[Customer_Info]])-1))</f>
        <v>Amelia Young</v>
      </c>
      <c r="V83" s="8" t="str">
        <f>TRIM(MID(RawSalesTable6[[#This Row],[Customer_Info]],FIND(",",RawSalesTable6[[#This Row],[Customer_Info]])+1,FIND(",",RawSalesTable6[[#This Row],[Customer_Info]],FIND(",",RawSalesTable6[[#This Row],[Customer_Info]])+1)-FIND(",",RawSalesTable6[[#This Row],[Customer_Info]])-1))</f>
        <v>Ottawa</v>
      </c>
      <c r="W83" s="8" t="str">
        <f>TRIM(RIGHT(RawSalesTable6[[#This Row],[Customer_Info]],LEN(RawSalesTable6[[#This Row],[Customer_Info]])-FIND(",",RawSalesTable6[[#This Row],[Customer_Info]],FIND(",",RawSalesTable6[[#This Row],[Customer_Info]])+1)))</f>
        <v>Corporate</v>
      </c>
      <c r="X83" s="8" t="str">
        <f>VLOOKUP(RawSalesTable6[[#This Row],[Product_ID_Clean]],ProductsTable[],2,FALSE)</f>
        <v>Pull-up Bar</v>
      </c>
      <c r="Y83" s="8" t="str">
        <f>VLOOKUP(RawSalesTable6[[#This Row],[Product_ID_Clean]],ProductsTable[],3,FALSE)</f>
        <v>Fitness</v>
      </c>
      <c r="Z83" s="8">
        <f>VLOOKUP(RawSalesTable6[[#This Row],[Product_ID_Clean]],ProductsTable[],5,FALSE)</f>
        <v>125.4</v>
      </c>
      <c r="AA83" s="8">
        <f>RawSalesTable6[[#This Row],[Unit_Price]]*RawSalesTable6[[#This Row],[Quantity]]</f>
        <v>1240.6999999999998</v>
      </c>
      <c r="AB83" s="8">
        <f>RawSalesTable6[[#This Row],[Gross_Sales]]*RawSalesTable6[[#This Row],[Discount_Pct]]</f>
        <v>62.034999999999997</v>
      </c>
      <c r="AC83" s="8">
        <f>RawSalesTable6[[#This Row],[Gross_Sales]]-RawSalesTable6[[#This Row],[Discount_Amount]]</f>
        <v>1178.6649999999997</v>
      </c>
      <c r="AD83" s="8">
        <f>RawSalesTable6[[#This Row],[Unit_Cost]]*RawSalesTable6[[#This Row],[Quantity]]</f>
        <v>627</v>
      </c>
      <c r="AE83" s="8">
        <f>RawSalesTable6[[#This Row],[Net_Sales]]-RawSalesTable6[[#This Row],[Total_Cost]]</f>
        <v>551.66499999999974</v>
      </c>
      <c r="AF83" s="9">
        <f>RawSalesTable6[[#This Row],[Profit]]/RawSalesTable6[[#This Row],[Net_Sales]]</f>
        <v>0.46804223422261615</v>
      </c>
      <c r="AG83" s="8">
        <f>YEAR(RawSalesTable6[[#This Row],[Order_Date]])</f>
        <v>2025</v>
      </c>
      <c r="AH83" s="8">
        <f>MONTH(RawSalesTable6[[#This Row],[Order_Date]])</f>
        <v>3</v>
      </c>
      <c r="AI83" s="8" t="str">
        <f>TEXT(RawSalesTable6[[#This Row],[Order_Date]],"mmmm")</f>
        <v>mars</v>
      </c>
      <c r="AJ83" s="8" t="str">
        <f>IF(RawSalesTable6[[#This Row],[Month_Number]]&lt;=3,"Q1",IF(RawSalesTable6[[#This Row],[Month_Number]]&lt;=6,"Q2",IF(RawSalesTable6[[#This Row],[Month_Number]]&lt;=9,"Q3","Q4")))</f>
        <v>Q1</v>
      </c>
      <c r="AK83" s="8" t="str">
        <f>VLOOKUP(RawSalesTable6[[#This Row],[Customer_ID_Clean]],CustomersTable[],4,FALSE)</f>
        <v>Ontario</v>
      </c>
      <c r="AL83" s="8">
        <f>IF(RawSalesTable6[[#This Row],[Return_Status]]="Yes",1,0)</f>
        <v>0</v>
      </c>
    </row>
    <row r="84" spans="1:38">
      <c r="A84" t="s">
        <v>347</v>
      </c>
      <c r="B84" s="3">
        <v>45863</v>
      </c>
      <c r="C84" t="s">
        <v>206</v>
      </c>
      <c r="D84" t="s">
        <v>226</v>
      </c>
      <c r="E84" t="s">
        <v>207</v>
      </c>
      <c r="F84" t="s">
        <v>111</v>
      </c>
      <c r="G84" t="s">
        <v>104</v>
      </c>
      <c r="H84" t="s">
        <v>97</v>
      </c>
      <c r="I84">
        <v>1</v>
      </c>
      <c r="J84" s="2">
        <v>203.94</v>
      </c>
      <c r="K84" s="4">
        <v>0</v>
      </c>
      <c r="L84" t="s">
        <v>98</v>
      </c>
      <c r="M84">
        <v>2</v>
      </c>
      <c r="N84" t="s">
        <v>91</v>
      </c>
      <c r="O84" t="str">
        <f>SUBSTITUTE(PROPER(TRIM(RawSalesTable6[[#This Row],[Channel_Raw]])),"Market Place","Marketplace")</f>
        <v>Retail Store</v>
      </c>
      <c r="P84" t="str">
        <f>TRIM(RawSalesTable6[[#This Row],[Product_ID]])</f>
        <v>P1010</v>
      </c>
      <c r="Q84" t="str">
        <f>TRIM(RawSalesTable6[[#This Row],[Customer_ID]])</f>
        <v>C0061</v>
      </c>
      <c r="R84" s="8" t="str">
        <f>PROPER(TRIM(RawSalesTable6[[#This Row],[Store_Raw]]))</f>
        <v>Montreal Central</v>
      </c>
      <c r="S84" s="8" t="str">
        <f>IF(TRIM(RawSalesTable6[[#This Row],[Payment_Method_Raw]])="","Non renseigné",SUBSTITUTE(PROPER(TRIM(RawSalesTable6[[#This Row],[Payment_Method_Raw]])),"Cc","Credit Card"))</f>
        <v>Debit Card</v>
      </c>
      <c r="T84" s="8">
        <f>COUNTIF(A:A,RawSalesTable6[[#This Row],[Order_ID]])</f>
        <v>1</v>
      </c>
      <c r="U84" s="8" t="str">
        <f>TRIM(LEFT(RawSalesTable6[[#This Row],[Customer_Info]],FIND(",",RawSalesTable6[[#This Row],[Customer_Info]])-1))</f>
        <v>Zoe Hall</v>
      </c>
      <c r="V84" s="8" t="str">
        <f>TRIM(MID(RawSalesTable6[[#This Row],[Customer_Info]],FIND(",",RawSalesTable6[[#This Row],[Customer_Info]])+1,FIND(",",RawSalesTable6[[#This Row],[Customer_Info]],FIND(",",RawSalesTable6[[#This Row],[Customer_Info]])+1)-FIND(",",RawSalesTable6[[#This Row],[Customer_Info]])-1))</f>
        <v>Vancouver</v>
      </c>
      <c r="W84" s="8" t="str">
        <f>TRIM(RIGHT(RawSalesTable6[[#This Row],[Customer_Info]],LEN(RawSalesTable6[[#This Row],[Customer_Info]])-FIND(",",RawSalesTable6[[#This Row],[Customer_Info]],FIND(",",RawSalesTable6[[#This Row],[Customer_Info]])+1)))</f>
        <v>Consumer</v>
      </c>
      <c r="X84" s="8" t="str">
        <f>VLOOKUP(RawSalesTable6[[#This Row],[Product_ID_Clean]],ProductsTable[],2,FALSE)</f>
        <v>Desk Lamp</v>
      </c>
      <c r="Y84" s="8" t="str">
        <f>VLOOKUP(RawSalesTable6[[#This Row],[Product_ID_Clean]],ProductsTable[],3,FALSE)</f>
        <v>Office</v>
      </c>
      <c r="Z84" s="8">
        <f>VLOOKUP(RawSalesTable6[[#This Row],[Product_ID_Clean]],ProductsTable[],5,FALSE)</f>
        <v>127.21</v>
      </c>
      <c r="AA84" s="8">
        <f>RawSalesTable6[[#This Row],[Unit_Price]]*RawSalesTable6[[#This Row],[Quantity]]</f>
        <v>203.94</v>
      </c>
      <c r="AB84" s="8">
        <f>RawSalesTable6[[#This Row],[Gross_Sales]]*RawSalesTable6[[#This Row],[Discount_Pct]]</f>
        <v>0</v>
      </c>
      <c r="AC84" s="8">
        <f>RawSalesTable6[[#This Row],[Gross_Sales]]-RawSalesTable6[[#This Row],[Discount_Amount]]</f>
        <v>203.94</v>
      </c>
      <c r="AD84" s="8">
        <f>RawSalesTable6[[#This Row],[Unit_Cost]]*RawSalesTable6[[#This Row],[Quantity]]</f>
        <v>127.21</v>
      </c>
      <c r="AE84" s="8">
        <f>RawSalesTable6[[#This Row],[Net_Sales]]-RawSalesTable6[[#This Row],[Total_Cost]]</f>
        <v>76.73</v>
      </c>
      <c r="AF84" s="9">
        <f>RawSalesTable6[[#This Row],[Profit]]/RawSalesTable6[[#This Row],[Net_Sales]]</f>
        <v>0.37623810924781803</v>
      </c>
      <c r="AG84" s="8">
        <f>YEAR(RawSalesTable6[[#This Row],[Order_Date]])</f>
        <v>2025</v>
      </c>
      <c r="AH84" s="8">
        <f>MONTH(RawSalesTable6[[#This Row],[Order_Date]])</f>
        <v>7</v>
      </c>
      <c r="AI84" s="8" t="str">
        <f>TEXT(RawSalesTable6[[#This Row],[Order_Date]],"mmmm")</f>
        <v>juillet</v>
      </c>
      <c r="AJ84" s="8" t="str">
        <f>IF(RawSalesTable6[[#This Row],[Month_Number]]&lt;=3,"Q1",IF(RawSalesTable6[[#This Row],[Month_Number]]&lt;=6,"Q2",IF(RawSalesTable6[[#This Row],[Month_Number]]&lt;=9,"Q3","Q4")))</f>
        <v>Q3</v>
      </c>
      <c r="AK84" s="8" t="str">
        <f>VLOOKUP(RawSalesTable6[[#This Row],[Customer_ID_Clean]],CustomersTable[],4,FALSE)</f>
        <v>British Columbia</v>
      </c>
      <c r="AL84" s="8">
        <f>IF(RawSalesTable6[[#This Row],[Return_Status]]="Yes",1,0)</f>
        <v>0</v>
      </c>
    </row>
    <row r="85" spans="1:38">
      <c r="A85" t="s">
        <v>348</v>
      </c>
      <c r="B85" s="3">
        <v>45727</v>
      </c>
      <c r="C85" t="s">
        <v>349</v>
      </c>
      <c r="D85" t="s">
        <v>323</v>
      </c>
      <c r="E85" t="s">
        <v>350</v>
      </c>
      <c r="F85" t="s">
        <v>111</v>
      </c>
      <c r="G85" t="s">
        <v>122</v>
      </c>
      <c r="H85" t="s">
        <v>97</v>
      </c>
      <c r="I85">
        <v>1</v>
      </c>
      <c r="J85" s="2">
        <v>342.73</v>
      </c>
      <c r="K85" s="4">
        <v>0</v>
      </c>
      <c r="L85" t="s">
        <v>90</v>
      </c>
      <c r="M85">
        <v>0</v>
      </c>
      <c r="N85" t="s">
        <v>91</v>
      </c>
      <c r="O85" t="str">
        <f>SUBSTITUTE(PROPER(TRIM(RawSalesTable6[[#This Row],[Channel_Raw]])),"Market Place","Marketplace")</f>
        <v>Retail Store</v>
      </c>
      <c r="P85" t="str">
        <f>TRIM(RawSalesTable6[[#This Row],[Product_ID]])</f>
        <v>P1023</v>
      </c>
      <c r="Q85" t="str">
        <f>TRIM(RawSalesTable6[[#This Row],[Customer_ID]])</f>
        <v>C0088</v>
      </c>
      <c r="R85" s="8" t="str">
        <f>PROPER(TRIM(RawSalesTable6[[#This Row],[Store_Raw]]))</f>
        <v>Montreal Central</v>
      </c>
      <c r="S85" s="8" t="str">
        <f>IF(TRIM(RawSalesTable6[[#This Row],[Payment_Method_Raw]])="","Non renseigné",SUBSTITUTE(PROPER(TRIM(RawSalesTable6[[#This Row],[Payment_Method_Raw]])),"Cc","Credit Card"))</f>
        <v>Paypal</v>
      </c>
      <c r="T85" s="8">
        <f>COUNTIF(A:A,RawSalesTable6[[#This Row],[Order_ID]])</f>
        <v>1</v>
      </c>
      <c r="U85" s="8" t="str">
        <f>TRIM(LEFT(RawSalesTable6[[#This Row],[Customer_Info]],FIND(",",RawSalesTable6[[#This Row],[Customer_Info]])-1))</f>
        <v>Olivia Bennett</v>
      </c>
      <c r="V85" s="8" t="str">
        <f>TRIM(MID(RawSalesTable6[[#This Row],[Customer_Info]],FIND(",",RawSalesTable6[[#This Row],[Customer_Info]])+1,FIND(",",RawSalesTable6[[#This Row],[Customer_Info]],FIND(",",RawSalesTable6[[#This Row],[Customer_Info]])+1)-FIND(",",RawSalesTable6[[#This Row],[Customer_Info]])-1))</f>
        <v>Vancouver</v>
      </c>
      <c r="W85" s="8" t="str">
        <f>TRIM(RIGHT(RawSalesTable6[[#This Row],[Customer_Info]],LEN(RawSalesTable6[[#This Row],[Customer_Info]])-FIND(",",RawSalesTable6[[#This Row],[Customer_Info]],FIND(",",RawSalesTable6[[#This Row],[Customer_Info]])+1)))</f>
        <v>Small Business</v>
      </c>
      <c r="X85" s="8" t="str">
        <f>VLOOKUP(RawSalesTable6[[#This Row],[Product_ID_Clean]],ProductsTable[],2,FALSE)</f>
        <v>Toaster</v>
      </c>
      <c r="Y85" s="8" t="str">
        <f>VLOOKUP(RawSalesTable6[[#This Row],[Product_ID_Clean]],ProductsTable[],3,FALSE)</f>
        <v>Home</v>
      </c>
      <c r="Z85" s="8">
        <f>VLOOKUP(RawSalesTable6[[#This Row],[Product_ID_Clean]],ProductsTable[],5,FALSE)</f>
        <v>152.88</v>
      </c>
      <c r="AA85" s="8">
        <f>RawSalesTable6[[#This Row],[Unit_Price]]*RawSalesTable6[[#This Row],[Quantity]]</f>
        <v>342.73</v>
      </c>
      <c r="AB85" s="8">
        <f>RawSalesTable6[[#This Row],[Gross_Sales]]*RawSalesTable6[[#This Row],[Discount_Pct]]</f>
        <v>0</v>
      </c>
      <c r="AC85" s="8">
        <f>RawSalesTable6[[#This Row],[Gross_Sales]]-RawSalesTable6[[#This Row],[Discount_Amount]]</f>
        <v>342.73</v>
      </c>
      <c r="AD85" s="8">
        <f>RawSalesTable6[[#This Row],[Unit_Cost]]*RawSalesTable6[[#This Row],[Quantity]]</f>
        <v>152.88</v>
      </c>
      <c r="AE85" s="8">
        <f>RawSalesTable6[[#This Row],[Net_Sales]]-RawSalesTable6[[#This Row],[Total_Cost]]</f>
        <v>189.85000000000002</v>
      </c>
      <c r="AF85" s="9">
        <f>RawSalesTable6[[#This Row],[Profit]]/RawSalesTable6[[#This Row],[Net_Sales]]</f>
        <v>0.55393458407492779</v>
      </c>
      <c r="AG85" s="8">
        <f>YEAR(RawSalesTable6[[#This Row],[Order_Date]])</f>
        <v>2025</v>
      </c>
      <c r="AH85" s="8">
        <f>MONTH(RawSalesTable6[[#This Row],[Order_Date]])</f>
        <v>3</v>
      </c>
      <c r="AI85" s="8" t="str">
        <f>TEXT(RawSalesTable6[[#This Row],[Order_Date]],"mmmm")</f>
        <v>mars</v>
      </c>
      <c r="AJ85" s="8" t="str">
        <f>IF(RawSalesTable6[[#This Row],[Month_Number]]&lt;=3,"Q1",IF(RawSalesTable6[[#This Row],[Month_Number]]&lt;=6,"Q2",IF(RawSalesTable6[[#This Row],[Month_Number]]&lt;=9,"Q3","Q4")))</f>
        <v>Q1</v>
      </c>
      <c r="AK85" s="8" t="str">
        <f>VLOOKUP(RawSalesTable6[[#This Row],[Customer_ID_Clean]],CustomersTable[],4,FALSE)</f>
        <v>British Columbia</v>
      </c>
      <c r="AL85" s="8">
        <f>IF(RawSalesTable6[[#This Row],[Return_Status]]="Yes",1,0)</f>
        <v>0</v>
      </c>
    </row>
    <row r="86" spans="1:38">
      <c r="A86" t="s">
        <v>351</v>
      </c>
      <c r="B86" s="3">
        <v>45743</v>
      </c>
      <c r="C86" t="s">
        <v>200</v>
      </c>
      <c r="D86" t="s">
        <v>194</v>
      </c>
      <c r="E86" t="s">
        <v>201</v>
      </c>
      <c r="F86" t="s">
        <v>111</v>
      </c>
      <c r="G86" t="s">
        <v>171</v>
      </c>
      <c r="H86" t="s">
        <v>308</v>
      </c>
      <c r="I86">
        <v>1</v>
      </c>
      <c r="J86" s="2">
        <v>189.68</v>
      </c>
      <c r="K86" s="4">
        <v>0.05</v>
      </c>
      <c r="L86" t="s">
        <v>106</v>
      </c>
      <c r="M86">
        <v>9</v>
      </c>
      <c r="N86" t="s">
        <v>91</v>
      </c>
      <c r="O86" t="str">
        <f>SUBSTITUTE(PROPER(TRIM(RawSalesTable6[[#This Row],[Channel_Raw]])),"Market Place","Marketplace")</f>
        <v>Online</v>
      </c>
      <c r="P86" t="str">
        <f>TRIM(RawSalesTable6[[#This Row],[Product_ID]])</f>
        <v>P1029</v>
      </c>
      <c r="Q86" t="str">
        <f>TRIM(RawSalesTable6[[#This Row],[Customer_ID]])</f>
        <v>C0118</v>
      </c>
      <c r="R86" s="8" t="str">
        <f>PROPER(TRIM(RawSalesTable6[[#This Row],[Store_Raw]]))</f>
        <v>Montreal Central</v>
      </c>
      <c r="S86" s="8" t="str">
        <f>IF(TRIM(RawSalesTable6[[#This Row],[Payment_Method_Raw]])="","Non renseigné",SUBSTITUTE(PROPER(TRIM(RawSalesTable6[[#This Row],[Payment_Method_Raw]])),"Cc","Credit Card"))</f>
        <v>Credit Card</v>
      </c>
      <c r="T86" s="8">
        <f>COUNTIF(A:A,RawSalesTable6[[#This Row],[Order_ID]])</f>
        <v>1</v>
      </c>
      <c r="U86" s="8" t="str">
        <f>TRIM(LEFT(RawSalesTable6[[#This Row],[Customer_Info]],FIND(",",RawSalesTable6[[#This Row],[Customer_Info]])-1))</f>
        <v>Ryan Smith</v>
      </c>
      <c r="V86" s="8" t="str">
        <f>TRIM(MID(RawSalesTable6[[#This Row],[Customer_Info]],FIND(",",RawSalesTable6[[#This Row],[Customer_Info]])+1,FIND(",",RawSalesTable6[[#This Row],[Customer_Info]],FIND(",",RawSalesTable6[[#This Row],[Customer_Info]])+1)-FIND(",",RawSalesTable6[[#This Row],[Customer_Info]])-1))</f>
        <v>Victoria</v>
      </c>
      <c r="W86" s="8" t="str">
        <f>TRIM(RIGHT(RawSalesTable6[[#This Row],[Customer_Info]],LEN(RawSalesTable6[[#This Row],[Customer_Info]])-FIND(",",RawSalesTable6[[#This Row],[Customer_Info]],FIND(",",RawSalesTable6[[#This Row],[Customer_Info]])+1)))</f>
        <v>Small Business</v>
      </c>
      <c r="X86" s="8" t="str">
        <f>VLOOKUP(RawSalesTable6[[#This Row],[Product_ID_Clean]],ProductsTable[],2,FALSE)</f>
        <v>Jump Rope</v>
      </c>
      <c r="Y86" s="8" t="str">
        <f>VLOOKUP(RawSalesTable6[[#This Row],[Product_ID_Clean]],ProductsTable[],3,FALSE)</f>
        <v>Fitness</v>
      </c>
      <c r="Z86" s="8">
        <f>VLOOKUP(RawSalesTable6[[#This Row],[Product_ID_Clean]],ProductsTable[],5,FALSE)</f>
        <v>101</v>
      </c>
      <c r="AA86" s="8">
        <f>RawSalesTable6[[#This Row],[Unit_Price]]*RawSalesTable6[[#This Row],[Quantity]]</f>
        <v>189.68</v>
      </c>
      <c r="AB86" s="8">
        <f>RawSalesTable6[[#This Row],[Gross_Sales]]*RawSalesTable6[[#This Row],[Discount_Pct]]</f>
        <v>9.484</v>
      </c>
      <c r="AC86" s="8">
        <f>RawSalesTable6[[#This Row],[Gross_Sales]]-RawSalesTable6[[#This Row],[Discount_Amount]]</f>
        <v>180.196</v>
      </c>
      <c r="AD86" s="8">
        <f>RawSalesTable6[[#This Row],[Unit_Cost]]*RawSalesTable6[[#This Row],[Quantity]]</f>
        <v>101</v>
      </c>
      <c r="AE86" s="8">
        <f>RawSalesTable6[[#This Row],[Net_Sales]]-RawSalesTable6[[#This Row],[Total_Cost]]</f>
        <v>79.195999999999998</v>
      </c>
      <c r="AF86" s="9">
        <f>RawSalesTable6[[#This Row],[Profit]]/RawSalesTable6[[#This Row],[Net_Sales]]</f>
        <v>0.43949921196918912</v>
      </c>
      <c r="AG86" s="8">
        <f>YEAR(RawSalesTable6[[#This Row],[Order_Date]])</f>
        <v>2025</v>
      </c>
      <c r="AH86" s="8">
        <f>MONTH(RawSalesTable6[[#This Row],[Order_Date]])</f>
        <v>3</v>
      </c>
      <c r="AI86" s="8" t="str">
        <f>TEXT(RawSalesTable6[[#This Row],[Order_Date]],"mmmm")</f>
        <v>mars</v>
      </c>
      <c r="AJ86" s="8" t="str">
        <f>IF(RawSalesTable6[[#This Row],[Month_Number]]&lt;=3,"Q1",IF(RawSalesTable6[[#This Row],[Month_Number]]&lt;=6,"Q2",IF(RawSalesTable6[[#This Row],[Month_Number]]&lt;=9,"Q3","Q4")))</f>
        <v>Q1</v>
      </c>
      <c r="AK86" s="8" t="str">
        <f>VLOOKUP(RawSalesTable6[[#This Row],[Customer_ID_Clean]],CustomersTable[],4,FALSE)</f>
        <v>British Columbia</v>
      </c>
      <c r="AL86" s="8">
        <f>IF(RawSalesTable6[[#This Row],[Return_Status]]="Yes",1,0)</f>
        <v>0</v>
      </c>
    </row>
    <row r="87" spans="1:38">
      <c r="A87" t="s">
        <v>352</v>
      </c>
      <c r="B87" s="3">
        <v>45677</v>
      </c>
      <c r="C87" t="s">
        <v>343</v>
      </c>
      <c r="D87" t="s">
        <v>261</v>
      </c>
      <c r="E87" t="s">
        <v>344</v>
      </c>
      <c r="F87" t="s">
        <v>103</v>
      </c>
      <c r="G87" t="s">
        <v>117</v>
      </c>
      <c r="H87" t="s">
        <v>246</v>
      </c>
      <c r="I87">
        <v>2</v>
      </c>
      <c r="J87" s="2">
        <v>259.93</v>
      </c>
      <c r="K87" s="4">
        <v>0.05</v>
      </c>
      <c r="L87" t="s">
        <v>353</v>
      </c>
      <c r="M87">
        <v>0</v>
      </c>
      <c r="N87" t="s">
        <v>91</v>
      </c>
      <c r="O87" t="str">
        <f>SUBSTITUTE(PROPER(TRIM(RawSalesTable6[[#This Row],[Channel_Raw]])),"Market Place","Marketplace")</f>
        <v>Retail Store</v>
      </c>
      <c r="P87" t="str">
        <f>TRIM(RawSalesTable6[[#This Row],[Product_ID]])</f>
        <v>P1031</v>
      </c>
      <c r="Q87" t="str">
        <f>TRIM(RawSalesTable6[[#This Row],[Customer_ID]])</f>
        <v>C0114</v>
      </c>
      <c r="R87" s="8" t="str">
        <f>PROPER(TRIM(RawSalesTable6[[#This Row],[Store_Raw]]))</f>
        <v>Vancouver West</v>
      </c>
      <c r="S87" s="8" t="str">
        <f>IF(TRIM(RawSalesTable6[[#This Row],[Payment_Method_Raw]])="","Non renseigné",SUBSTITUTE(PROPER(TRIM(RawSalesTable6[[#This Row],[Payment_Method_Raw]])),"Cc","Credit Card"))</f>
        <v>Credit Card</v>
      </c>
      <c r="T87" s="8">
        <f>COUNTIF(A:A,RawSalesTable6[[#This Row],[Order_ID]])</f>
        <v>1</v>
      </c>
      <c r="U87" s="8" t="str">
        <f>TRIM(LEFT(RawSalesTable6[[#This Row],[Customer_Info]],FIND(",",RawSalesTable6[[#This Row],[Customer_Info]])-1))</f>
        <v>Olivia Johnson</v>
      </c>
      <c r="V87" s="8" t="str">
        <f>TRIM(MID(RawSalesTable6[[#This Row],[Customer_Info]],FIND(",",RawSalesTable6[[#This Row],[Customer_Info]])+1,FIND(",",RawSalesTable6[[#This Row],[Customer_Info]],FIND(",",RawSalesTable6[[#This Row],[Customer_Info]])+1)-FIND(",",RawSalesTable6[[#This Row],[Customer_Info]])-1))</f>
        <v>Ottawa</v>
      </c>
      <c r="W87" s="8" t="str">
        <f>TRIM(RIGHT(RawSalesTable6[[#This Row],[Customer_Info]],LEN(RawSalesTable6[[#This Row],[Customer_Info]])-FIND(",",RawSalesTable6[[#This Row],[Customer_Info]],FIND(",",RawSalesTable6[[#This Row],[Customer_Info]])+1)))</f>
        <v>Consumer</v>
      </c>
      <c r="X87" s="8" t="str">
        <f>VLOOKUP(RawSalesTable6[[#This Row],[Product_ID_Clean]],ProductsTable[],2,FALSE)</f>
        <v>Dumbbell Set</v>
      </c>
      <c r="Y87" s="8" t="str">
        <f>VLOOKUP(RawSalesTable6[[#This Row],[Product_ID_Clean]],ProductsTable[],3,FALSE)</f>
        <v>Fitness</v>
      </c>
      <c r="Z87" s="8">
        <f>VLOOKUP(RawSalesTable6[[#This Row],[Product_ID_Clean]],ProductsTable[],5,FALSE)</f>
        <v>131.72999999999999</v>
      </c>
      <c r="AA87" s="8">
        <f>RawSalesTable6[[#This Row],[Unit_Price]]*RawSalesTable6[[#This Row],[Quantity]]</f>
        <v>519.86</v>
      </c>
      <c r="AB87" s="8">
        <f>RawSalesTable6[[#This Row],[Gross_Sales]]*RawSalesTable6[[#This Row],[Discount_Pct]]</f>
        <v>25.993000000000002</v>
      </c>
      <c r="AC87" s="8">
        <f>RawSalesTable6[[#This Row],[Gross_Sales]]-RawSalesTable6[[#This Row],[Discount_Amount]]</f>
        <v>493.86700000000002</v>
      </c>
      <c r="AD87" s="8">
        <f>RawSalesTable6[[#This Row],[Unit_Cost]]*RawSalesTable6[[#This Row],[Quantity]]</f>
        <v>263.45999999999998</v>
      </c>
      <c r="AE87" s="8">
        <f>RawSalesTable6[[#This Row],[Net_Sales]]-RawSalesTable6[[#This Row],[Total_Cost]]</f>
        <v>230.40700000000004</v>
      </c>
      <c r="AF87" s="9">
        <f>RawSalesTable6[[#This Row],[Profit]]/RawSalesTable6[[#This Row],[Net_Sales]]</f>
        <v>0.46653653716486426</v>
      </c>
      <c r="AG87" s="8">
        <f>YEAR(RawSalesTable6[[#This Row],[Order_Date]])</f>
        <v>2025</v>
      </c>
      <c r="AH87" s="8">
        <f>MONTH(RawSalesTable6[[#This Row],[Order_Date]])</f>
        <v>1</v>
      </c>
      <c r="AI87" s="8" t="str">
        <f>TEXT(RawSalesTable6[[#This Row],[Order_Date]],"mmmm")</f>
        <v>janvier</v>
      </c>
      <c r="AJ87" s="8" t="str">
        <f>IF(RawSalesTable6[[#This Row],[Month_Number]]&lt;=3,"Q1",IF(RawSalesTable6[[#This Row],[Month_Number]]&lt;=6,"Q2",IF(RawSalesTable6[[#This Row],[Month_Number]]&lt;=9,"Q3","Q4")))</f>
        <v>Q1</v>
      </c>
      <c r="AK87" s="8" t="str">
        <f>VLOOKUP(RawSalesTable6[[#This Row],[Customer_ID_Clean]],CustomersTable[],4,FALSE)</f>
        <v>Ontario</v>
      </c>
      <c r="AL87" s="8">
        <f>IF(RawSalesTable6[[#This Row],[Return_Status]]="Yes",1,0)</f>
        <v>0</v>
      </c>
    </row>
    <row r="88" spans="1:38">
      <c r="A88" t="s">
        <v>354</v>
      </c>
      <c r="B88" s="3">
        <v>45813</v>
      </c>
      <c r="C88" t="s">
        <v>156</v>
      </c>
      <c r="D88" t="s">
        <v>125</v>
      </c>
      <c r="E88" t="s">
        <v>158</v>
      </c>
      <c r="F88" t="s">
        <v>87</v>
      </c>
      <c r="G88" t="s">
        <v>117</v>
      </c>
      <c r="H88" t="s">
        <v>89</v>
      </c>
      <c r="I88">
        <v>2</v>
      </c>
      <c r="J88" s="2">
        <v>60.07</v>
      </c>
      <c r="K88" s="4">
        <v>0.15</v>
      </c>
      <c r="L88" t="s">
        <v>106</v>
      </c>
      <c r="M88">
        <v>8</v>
      </c>
      <c r="N88" t="s">
        <v>147</v>
      </c>
      <c r="O88" t="str">
        <f>SUBSTITUTE(PROPER(TRIM(RawSalesTable6[[#This Row],[Channel_Raw]])),"Market Place","Marketplace")</f>
        <v>Online</v>
      </c>
      <c r="P88" t="str">
        <f>TRIM(RawSalesTable6[[#This Row],[Product_ID]])</f>
        <v>P1027</v>
      </c>
      <c r="Q88" t="str">
        <f>TRIM(RawSalesTable6[[#This Row],[Customer_ID]])</f>
        <v>C0112</v>
      </c>
      <c r="R88" s="8" t="str">
        <f>PROPER(TRIM(RawSalesTable6[[#This Row],[Store_Raw]]))</f>
        <v>Online Fulfillment</v>
      </c>
      <c r="S88" s="8" t="str">
        <f>IF(TRIM(RawSalesTable6[[#This Row],[Payment_Method_Raw]])="","Non renseigné",SUBSTITUTE(PROPER(TRIM(RawSalesTable6[[#This Row],[Payment_Method_Raw]])),"Cc","Credit Card"))</f>
        <v>Credit Card</v>
      </c>
      <c r="T88" s="8">
        <f>COUNTIF(A:A,RawSalesTable6[[#This Row],[Order_ID]])</f>
        <v>1</v>
      </c>
      <c r="U88" s="8" t="str">
        <f>TRIM(LEFT(RawSalesTable6[[#This Row],[Customer_Info]],FIND(",",RawSalesTable6[[#This Row],[Customer_Info]])-1))</f>
        <v>Ava Bennett</v>
      </c>
      <c r="V88" s="8" t="str">
        <f>TRIM(MID(RawSalesTable6[[#This Row],[Customer_Info]],FIND(",",RawSalesTable6[[#This Row],[Customer_Info]])+1,FIND(",",RawSalesTable6[[#This Row],[Customer_Info]],FIND(",",RawSalesTable6[[#This Row],[Customer_Info]])+1)-FIND(",",RawSalesTable6[[#This Row],[Customer_Info]])-1))</f>
        <v>Halifax</v>
      </c>
      <c r="W88" s="8" t="str">
        <f>TRIM(RIGHT(RawSalesTable6[[#This Row],[Customer_Info]],LEN(RawSalesTable6[[#This Row],[Customer_Info]])-FIND(",",RawSalesTable6[[#This Row],[Customer_Info]],FIND(",",RawSalesTable6[[#This Row],[Customer_Info]])+1)))</f>
        <v>Consumer</v>
      </c>
      <c r="X88" s="8" t="str">
        <f>VLOOKUP(RawSalesTable6[[#This Row],[Product_ID_Clean]],ProductsTable[],2,FALSE)</f>
        <v>Kettlebell</v>
      </c>
      <c r="Y88" s="8" t="str">
        <f>VLOOKUP(RawSalesTable6[[#This Row],[Product_ID_Clean]],ProductsTable[],3,FALSE)</f>
        <v>Fitness</v>
      </c>
      <c r="Z88" s="8">
        <f>VLOOKUP(RawSalesTable6[[#This Row],[Product_ID_Clean]],ProductsTable[],5,FALSE)</f>
        <v>25.97</v>
      </c>
      <c r="AA88" s="8">
        <f>RawSalesTable6[[#This Row],[Unit_Price]]*RawSalesTable6[[#This Row],[Quantity]]</f>
        <v>120.14</v>
      </c>
      <c r="AB88" s="8">
        <f>RawSalesTable6[[#This Row],[Gross_Sales]]*RawSalesTable6[[#This Row],[Discount_Pct]]</f>
        <v>18.021000000000001</v>
      </c>
      <c r="AC88" s="8">
        <f>RawSalesTable6[[#This Row],[Gross_Sales]]-RawSalesTable6[[#This Row],[Discount_Amount]]</f>
        <v>102.119</v>
      </c>
      <c r="AD88" s="8">
        <f>RawSalesTable6[[#This Row],[Unit_Cost]]*RawSalesTable6[[#This Row],[Quantity]]</f>
        <v>51.94</v>
      </c>
      <c r="AE88" s="8">
        <f>RawSalesTable6[[#This Row],[Net_Sales]]-RawSalesTable6[[#This Row],[Total_Cost]]</f>
        <v>50.179000000000002</v>
      </c>
      <c r="AF88" s="9">
        <f>RawSalesTable6[[#This Row],[Profit]]/RawSalesTable6[[#This Row],[Net_Sales]]</f>
        <v>0.49137770640135531</v>
      </c>
      <c r="AG88" s="8">
        <f>YEAR(RawSalesTable6[[#This Row],[Order_Date]])</f>
        <v>2025</v>
      </c>
      <c r="AH88" s="8">
        <f>MONTH(RawSalesTable6[[#This Row],[Order_Date]])</f>
        <v>6</v>
      </c>
      <c r="AI88" s="8" t="str">
        <f>TEXT(RawSalesTable6[[#This Row],[Order_Date]],"mmmm")</f>
        <v>juin</v>
      </c>
      <c r="AJ88" s="8" t="str">
        <f>IF(RawSalesTable6[[#This Row],[Month_Number]]&lt;=3,"Q1",IF(RawSalesTable6[[#This Row],[Month_Number]]&lt;=6,"Q2",IF(RawSalesTable6[[#This Row],[Month_Number]]&lt;=9,"Q3","Q4")))</f>
        <v>Q2</v>
      </c>
      <c r="AK88" s="8" t="str">
        <f>VLOOKUP(RawSalesTable6[[#This Row],[Customer_ID_Clean]],CustomersTable[],4,FALSE)</f>
        <v>Nova Scotia</v>
      </c>
      <c r="AL88" s="8">
        <f>IF(RawSalesTable6[[#This Row],[Return_Status]]="Yes",1,0)</f>
        <v>1</v>
      </c>
    </row>
    <row r="89" spans="1:38">
      <c r="A89" t="s">
        <v>355</v>
      </c>
      <c r="B89" s="3">
        <v>45997</v>
      </c>
      <c r="C89" t="s">
        <v>356</v>
      </c>
      <c r="D89" t="s">
        <v>165</v>
      </c>
      <c r="E89" t="s">
        <v>357</v>
      </c>
      <c r="F89" t="s">
        <v>116</v>
      </c>
      <c r="G89" t="s">
        <v>183</v>
      </c>
      <c r="H89" t="s">
        <v>97</v>
      </c>
      <c r="I89">
        <v>1</v>
      </c>
      <c r="J89" s="2">
        <v>105.21</v>
      </c>
      <c r="K89" s="4">
        <v>0.15</v>
      </c>
      <c r="L89" t="s">
        <v>106</v>
      </c>
      <c r="M89">
        <v>3</v>
      </c>
      <c r="N89" t="s">
        <v>91</v>
      </c>
      <c r="O89" t="str">
        <f>SUBSTITUTE(PROPER(TRIM(RawSalesTable6[[#This Row],[Channel_Raw]])),"Market Place","Marketplace")</f>
        <v>Retail Store</v>
      </c>
      <c r="P89" t="str">
        <f>TRIM(RawSalesTable6[[#This Row],[Product_ID]])</f>
        <v>P1024</v>
      </c>
      <c r="Q89" t="str">
        <f>TRIM(RawSalesTable6[[#This Row],[Customer_ID]])</f>
        <v>C0008</v>
      </c>
      <c r="R89" s="8" t="str">
        <f>PROPER(TRIM(RawSalesTable6[[#This Row],[Store_Raw]]))</f>
        <v>Toronto Downtown</v>
      </c>
      <c r="S89" s="8" t="str">
        <f>IF(TRIM(RawSalesTable6[[#This Row],[Payment_Method_Raw]])="","Non renseigné",SUBSTITUTE(PROPER(TRIM(RawSalesTable6[[#This Row],[Payment_Method_Raw]])),"Cc","Credit Card"))</f>
        <v>Credit Card</v>
      </c>
      <c r="T89" s="8">
        <f>COUNTIF(A:A,RawSalesTable6[[#This Row],[Order_ID]])</f>
        <v>1</v>
      </c>
      <c r="U89" s="8" t="str">
        <f>TRIM(LEFT(RawSalesTable6[[#This Row],[Customer_Info]],FIND(",",RawSalesTable6[[#This Row],[Customer_Info]])-1))</f>
        <v>Mia Wilson</v>
      </c>
      <c r="V89" s="8" t="str">
        <f>TRIM(MID(RawSalesTable6[[#This Row],[Customer_Info]],FIND(",",RawSalesTable6[[#This Row],[Customer_Info]])+1,FIND(",",RawSalesTable6[[#This Row],[Customer_Info]],FIND(",",RawSalesTable6[[#This Row],[Customer_Info]])+1)-FIND(",",RawSalesTable6[[#This Row],[Customer_Info]])-1))</f>
        <v>Calgary</v>
      </c>
      <c r="W89" s="8" t="str">
        <f>TRIM(RIGHT(RawSalesTable6[[#This Row],[Customer_Info]],LEN(RawSalesTable6[[#This Row],[Customer_Info]])-FIND(",",RawSalesTable6[[#This Row],[Customer_Info]],FIND(",",RawSalesTable6[[#This Row],[Customer_Info]])+1)))</f>
        <v>Consumer</v>
      </c>
      <c r="X89" s="8" t="str">
        <f>VLOOKUP(RawSalesTable6[[#This Row],[Product_ID_Clean]],ProductsTable[],2,FALSE)</f>
        <v>Food Scale</v>
      </c>
      <c r="Y89" s="8" t="str">
        <f>VLOOKUP(RawSalesTable6[[#This Row],[Product_ID_Clean]],ProductsTable[],3,FALSE)</f>
        <v>Home</v>
      </c>
      <c r="Z89" s="8">
        <f>VLOOKUP(RawSalesTable6[[#This Row],[Product_ID_Clean]],ProductsTable[],5,FALSE)</f>
        <v>46.07</v>
      </c>
      <c r="AA89" s="8">
        <f>RawSalesTable6[[#This Row],[Unit_Price]]*RawSalesTable6[[#This Row],[Quantity]]</f>
        <v>105.21</v>
      </c>
      <c r="AB89" s="8">
        <f>RawSalesTable6[[#This Row],[Gross_Sales]]*RawSalesTable6[[#This Row],[Discount_Pct]]</f>
        <v>15.781499999999998</v>
      </c>
      <c r="AC89" s="8">
        <f>RawSalesTable6[[#This Row],[Gross_Sales]]-RawSalesTable6[[#This Row],[Discount_Amount]]</f>
        <v>89.4285</v>
      </c>
      <c r="AD89" s="8">
        <f>RawSalesTable6[[#This Row],[Unit_Cost]]*RawSalesTable6[[#This Row],[Quantity]]</f>
        <v>46.07</v>
      </c>
      <c r="AE89" s="8">
        <f>RawSalesTable6[[#This Row],[Net_Sales]]-RawSalesTable6[[#This Row],[Total_Cost]]</f>
        <v>43.358499999999999</v>
      </c>
      <c r="AF89" s="9">
        <f>RawSalesTable6[[#This Row],[Profit]]/RawSalesTable6[[#This Row],[Net_Sales]]</f>
        <v>0.48483984412128123</v>
      </c>
      <c r="AG89" s="8">
        <f>YEAR(RawSalesTable6[[#This Row],[Order_Date]])</f>
        <v>2025</v>
      </c>
      <c r="AH89" s="8">
        <f>MONTH(RawSalesTable6[[#This Row],[Order_Date]])</f>
        <v>12</v>
      </c>
      <c r="AI89" s="8" t="str">
        <f>TEXT(RawSalesTable6[[#This Row],[Order_Date]],"mmmm")</f>
        <v>décembre</v>
      </c>
      <c r="AJ89" s="8" t="str">
        <f>IF(RawSalesTable6[[#This Row],[Month_Number]]&lt;=3,"Q1",IF(RawSalesTable6[[#This Row],[Month_Number]]&lt;=6,"Q2",IF(RawSalesTable6[[#This Row],[Month_Number]]&lt;=9,"Q3","Q4")))</f>
        <v>Q4</v>
      </c>
      <c r="AK89" s="8" t="str">
        <f>VLOOKUP(RawSalesTable6[[#This Row],[Customer_ID_Clean]],CustomersTable[],4,FALSE)</f>
        <v>Alberta</v>
      </c>
      <c r="AL89" s="8">
        <f>IF(RawSalesTable6[[#This Row],[Return_Status]]="Yes",1,0)</f>
        <v>0</v>
      </c>
    </row>
    <row r="90" spans="1:38">
      <c r="A90" t="s">
        <v>358</v>
      </c>
      <c r="B90" s="3">
        <v>45979</v>
      </c>
      <c r="C90" t="s">
        <v>359</v>
      </c>
      <c r="D90" t="s">
        <v>360</v>
      </c>
      <c r="E90" t="s">
        <v>361</v>
      </c>
      <c r="F90" t="s">
        <v>87</v>
      </c>
      <c r="G90" t="s">
        <v>117</v>
      </c>
      <c r="H90" t="s">
        <v>89</v>
      </c>
      <c r="I90">
        <v>2</v>
      </c>
      <c r="J90" s="2">
        <v>64.459999999999994</v>
      </c>
      <c r="K90" s="4">
        <v>0.05</v>
      </c>
      <c r="L90" t="s">
        <v>106</v>
      </c>
      <c r="M90">
        <v>6</v>
      </c>
      <c r="N90" t="s">
        <v>91</v>
      </c>
      <c r="O90" t="str">
        <f>SUBSTITUTE(PROPER(TRIM(RawSalesTable6[[#This Row],[Channel_Raw]])),"Market Place","Marketplace")</f>
        <v>Online</v>
      </c>
      <c r="P90" t="str">
        <f>TRIM(RawSalesTable6[[#This Row],[Product_ID]])</f>
        <v>P1020</v>
      </c>
      <c r="Q90" t="str">
        <f>TRIM(RawSalesTable6[[#This Row],[Customer_ID]])</f>
        <v>C0044</v>
      </c>
      <c r="R90" s="8" t="str">
        <f>PROPER(TRIM(RawSalesTable6[[#This Row],[Store_Raw]]))</f>
        <v>Online Fulfillment</v>
      </c>
      <c r="S90" s="8" t="str">
        <f>IF(TRIM(RawSalesTable6[[#This Row],[Payment_Method_Raw]])="","Non renseigné",SUBSTITUTE(PROPER(TRIM(RawSalesTable6[[#This Row],[Payment_Method_Raw]])),"Cc","Credit Card"))</f>
        <v>Credit Card</v>
      </c>
      <c r="T90" s="8">
        <f>COUNTIF(A:A,RawSalesTable6[[#This Row],[Order_ID]])</f>
        <v>1</v>
      </c>
      <c r="U90" s="8" t="str">
        <f>TRIM(LEFT(RawSalesTable6[[#This Row],[Customer_Info]],FIND(",",RawSalesTable6[[#This Row],[Customer_Info]])-1))</f>
        <v>Nora Young</v>
      </c>
      <c r="V90" s="8" t="str">
        <f>TRIM(MID(RawSalesTable6[[#This Row],[Customer_Info]],FIND(",",RawSalesTable6[[#This Row],[Customer_Info]])+1,FIND(",",RawSalesTable6[[#This Row],[Customer_Info]],FIND(",",RawSalesTable6[[#This Row],[Customer_Info]])+1)-FIND(",",RawSalesTable6[[#This Row],[Customer_Info]])-1))</f>
        <v>Vancouver</v>
      </c>
      <c r="W90" s="8" t="str">
        <f>TRIM(RIGHT(RawSalesTable6[[#This Row],[Customer_Info]],LEN(RawSalesTable6[[#This Row],[Customer_Info]])-FIND(",",RawSalesTable6[[#This Row],[Customer_Info]],FIND(",",RawSalesTable6[[#This Row],[Customer_Info]])+1)))</f>
        <v>Corporate</v>
      </c>
      <c r="X90" s="8" t="str">
        <f>VLOOKUP(RawSalesTable6[[#This Row],[Product_ID_Clean]],ProductsTable[],2,FALSE)</f>
        <v>Blender</v>
      </c>
      <c r="Y90" s="8" t="str">
        <f>VLOOKUP(RawSalesTable6[[#This Row],[Product_ID_Clean]],ProductsTable[],3,FALSE)</f>
        <v>Home</v>
      </c>
      <c r="Z90" s="8">
        <f>VLOOKUP(RawSalesTable6[[#This Row],[Product_ID_Clean]],ProductsTable[],5,FALSE)</f>
        <v>37.46</v>
      </c>
      <c r="AA90" s="8">
        <f>RawSalesTable6[[#This Row],[Unit_Price]]*RawSalesTable6[[#This Row],[Quantity]]</f>
        <v>128.91999999999999</v>
      </c>
      <c r="AB90" s="8">
        <f>RawSalesTable6[[#This Row],[Gross_Sales]]*RawSalesTable6[[#This Row],[Discount_Pct]]</f>
        <v>6.4459999999999997</v>
      </c>
      <c r="AC90" s="8">
        <f>RawSalesTable6[[#This Row],[Gross_Sales]]-RawSalesTable6[[#This Row],[Discount_Amount]]</f>
        <v>122.47399999999999</v>
      </c>
      <c r="AD90" s="8">
        <f>RawSalesTable6[[#This Row],[Unit_Cost]]*RawSalesTable6[[#This Row],[Quantity]]</f>
        <v>74.92</v>
      </c>
      <c r="AE90" s="8">
        <f>RawSalesTable6[[#This Row],[Net_Sales]]-RawSalesTable6[[#This Row],[Total_Cost]]</f>
        <v>47.553999999999988</v>
      </c>
      <c r="AF90" s="9">
        <f>RawSalesTable6[[#This Row],[Profit]]/RawSalesTable6[[#This Row],[Net_Sales]]</f>
        <v>0.38827832846155097</v>
      </c>
      <c r="AG90" s="8">
        <f>YEAR(RawSalesTable6[[#This Row],[Order_Date]])</f>
        <v>2025</v>
      </c>
      <c r="AH90" s="8">
        <f>MONTH(RawSalesTable6[[#This Row],[Order_Date]])</f>
        <v>11</v>
      </c>
      <c r="AI90" s="8" t="str">
        <f>TEXT(RawSalesTable6[[#This Row],[Order_Date]],"mmmm")</f>
        <v>novembre</v>
      </c>
      <c r="AJ90" s="8" t="str">
        <f>IF(RawSalesTable6[[#This Row],[Month_Number]]&lt;=3,"Q1",IF(RawSalesTable6[[#This Row],[Month_Number]]&lt;=6,"Q2",IF(RawSalesTable6[[#This Row],[Month_Number]]&lt;=9,"Q3","Q4")))</f>
        <v>Q4</v>
      </c>
      <c r="AK90" s="8" t="str">
        <f>VLOOKUP(RawSalesTable6[[#This Row],[Customer_ID_Clean]],CustomersTable[],4,FALSE)</f>
        <v>British Columbia</v>
      </c>
      <c r="AL90" s="8">
        <f>IF(RawSalesTable6[[#This Row],[Return_Status]]="Yes",1,0)</f>
        <v>0</v>
      </c>
    </row>
    <row r="91" spans="1:38">
      <c r="A91" t="s">
        <v>362</v>
      </c>
      <c r="B91" s="3">
        <v>45821</v>
      </c>
      <c r="C91" t="s">
        <v>363</v>
      </c>
      <c r="D91" t="s">
        <v>133</v>
      </c>
      <c r="E91" t="s">
        <v>364</v>
      </c>
      <c r="F91" t="s">
        <v>145</v>
      </c>
      <c r="G91" t="s">
        <v>88</v>
      </c>
      <c r="H91" t="s">
        <v>89</v>
      </c>
      <c r="I91">
        <v>1</v>
      </c>
      <c r="J91" s="2">
        <v>349.84</v>
      </c>
      <c r="K91" s="4">
        <v>0.15</v>
      </c>
      <c r="L91" t="s">
        <v>106</v>
      </c>
      <c r="M91">
        <v>9</v>
      </c>
      <c r="N91" t="s">
        <v>91</v>
      </c>
      <c r="O91" t="str">
        <f>SUBSTITUTE(PROPER(TRIM(RawSalesTable6[[#This Row],[Channel_Raw]])),"Market Place","Marketplace")</f>
        <v>Online</v>
      </c>
      <c r="P91" t="str">
        <f>TRIM(RawSalesTable6[[#This Row],[Product_ID]])</f>
        <v>P1039</v>
      </c>
      <c r="Q91" t="str">
        <f>TRIM(RawSalesTable6[[#This Row],[Customer_ID]])</f>
        <v>C0025</v>
      </c>
      <c r="R91" s="8" t="str">
        <f>PROPER(TRIM(RawSalesTable6[[#This Row],[Store_Raw]]))</f>
        <v>Calgary North</v>
      </c>
      <c r="S91" s="8" t="str">
        <f>IF(TRIM(RawSalesTable6[[#This Row],[Payment_Method_Raw]])="","Non renseigné",SUBSTITUTE(PROPER(TRIM(RawSalesTable6[[#This Row],[Payment_Method_Raw]])),"Cc","Credit Card"))</f>
        <v>Credit Card</v>
      </c>
      <c r="T91" s="8">
        <f>COUNTIF(A:A,RawSalesTable6[[#This Row],[Order_ID]])</f>
        <v>1</v>
      </c>
      <c r="U91" s="8" t="str">
        <f>TRIM(LEFT(RawSalesTable6[[#This Row],[Customer_Info]],FIND(",",RawSalesTable6[[#This Row],[Customer_Info]])-1))</f>
        <v>Emma Gagnon</v>
      </c>
      <c r="V91" s="8" t="str">
        <f>TRIM(MID(RawSalesTable6[[#This Row],[Customer_Info]],FIND(",",RawSalesTable6[[#This Row],[Customer_Info]])+1,FIND(",",RawSalesTable6[[#This Row],[Customer_Info]],FIND(",",RawSalesTable6[[#This Row],[Customer_Info]])+1)-FIND(",",RawSalesTable6[[#This Row],[Customer_Info]])-1))</f>
        <v>Surrey</v>
      </c>
      <c r="W91" s="8" t="str">
        <f>TRIM(RIGHT(RawSalesTable6[[#This Row],[Customer_Info]],LEN(RawSalesTable6[[#This Row],[Customer_Info]])-FIND(",",RawSalesTable6[[#This Row],[Customer_Info]],FIND(",",RawSalesTable6[[#This Row],[Customer_Info]])+1)))</f>
        <v>Corporate</v>
      </c>
      <c r="X91" s="8" t="str">
        <f>VLOOKUP(RawSalesTable6[[#This Row],[Product_ID_Clean]],ProductsTable[],2,FALSE)</f>
        <v>Travel Adapter</v>
      </c>
      <c r="Y91" s="8" t="str">
        <f>VLOOKUP(RawSalesTable6[[#This Row],[Product_ID_Clean]],ProductsTable[],3,FALSE)</f>
        <v>Accessories</v>
      </c>
      <c r="Z91" s="8">
        <f>VLOOKUP(RawSalesTable6[[#This Row],[Product_ID_Clean]],ProductsTable[],5,FALSE)</f>
        <v>229.86</v>
      </c>
      <c r="AA91" s="8">
        <f>RawSalesTable6[[#This Row],[Unit_Price]]*RawSalesTable6[[#This Row],[Quantity]]</f>
        <v>349.84</v>
      </c>
      <c r="AB91" s="8">
        <f>RawSalesTable6[[#This Row],[Gross_Sales]]*RawSalesTable6[[#This Row],[Discount_Pct]]</f>
        <v>52.475999999999992</v>
      </c>
      <c r="AC91" s="8">
        <f>RawSalesTable6[[#This Row],[Gross_Sales]]-RawSalesTable6[[#This Row],[Discount_Amount]]</f>
        <v>297.36399999999998</v>
      </c>
      <c r="AD91" s="8">
        <f>RawSalesTable6[[#This Row],[Unit_Cost]]*RawSalesTable6[[#This Row],[Quantity]]</f>
        <v>229.86</v>
      </c>
      <c r="AE91" s="8">
        <f>RawSalesTable6[[#This Row],[Net_Sales]]-RawSalesTable6[[#This Row],[Total_Cost]]</f>
        <v>67.503999999999962</v>
      </c>
      <c r="AF91" s="9">
        <f>RawSalesTable6[[#This Row],[Profit]]/RawSalesTable6[[#This Row],[Net_Sales]]</f>
        <v>0.22700797675576051</v>
      </c>
      <c r="AG91" s="8">
        <f>YEAR(RawSalesTable6[[#This Row],[Order_Date]])</f>
        <v>2025</v>
      </c>
      <c r="AH91" s="8">
        <f>MONTH(RawSalesTable6[[#This Row],[Order_Date]])</f>
        <v>6</v>
      </c>
      <c r="AI91" s="8" t="str">
        <f>TEXT(RawSalesTable6[[#This Row],[Order_Date]],"mmmm")</f>
        <v>juin</v>
      </c>
      <c r="AJ91" s="8" t="str">
        <f>IF(RawSalesTable6[[#This Row],[Month_Number]]&lt;=3,"Q1",IF(RawSalesTable6[[#This Row],[Month_Number]]&lt;=6,"Q2",IF(RawSalesTable6[[#This Row],[Month_Number]]&lt;=9,"Q3","Q4")))</f>
        <v>Q2</v>
      </c>
      <c r="AK91" s="8" t="str">
        <f>VLOOKUP(RawSalesTable6[[#This Row],[Customer_ID_Clean]],CustomersTable[],4,FALSE)</f>
        <v>British Columbia</v>
      </c>
      <c r="AL91" s="8">
        <f>IF(RawSalesTable6[[#This Row],[Return_Status]]="Yes",1,0)</f>
        <v>0</v>
      </c>
    </row>
    <row r="92" spans="1:38">
      <c r="A92" t="s">
        <v>365</v>
      </c>
      <c r="B92" s="3">
        <v>45867</v>
      </c>
      <c r="C92" t="s">
        <v>366</v>
      </c>
      <c r="D92" t="s">
        <v>120</v>
      </c>
      <c r="E92" t="s">
        <v>367</v>
      </c>
      <c r="F92" t="s">
        <v>116</v>
      </c>
      <c r="G92" t="s">
        <v>96</v>
      </c>
      <c r="H92" t="s">
        <v>105</v>
      </c>
      <c r="I92">
        <v>1</v>
      </c>
      <c r="J92" s="2">
        <v>379.66</v>
      </c>
      <c r="K92" s="4">
        <v>0.1</v>
      </c>
      <c r="L92" t="s">
        <v>106</v>
      </c>
      <c r="M92">
        <v>7</v>
      </c>
      <c r="N92" t="s">
        <v>91</v>
      </c>
      <c r="O92" t="str">
        <f>SUBSTITUTE(PROPER(TRIM(RawSalesTable6[[#This Row],[Channel_Raw]])),"Market Place","Marketplace")</f>
        <v>Marketplace</v>
      </c>
      <c r="P92" t="str">
        <f>TRIM(RawSalesTable6[[#This Row],[Product_ID]])</f>
        <v>P1015</v>
      </c>
      <c r="Q92" t="str">
        <f>TRIM(RawSalesTable6[[#This Row],[Customer_ID]])</f>
        <v>C0117</v>
      </c>
      <c r="R92" s="8" t="str">
        <f>PROPER(TRIM(RawSalesTable6[[#This Row],[Store_Raw]]))</f>
        <v>Toronto Downtown</v>
      </c>
      <c r="S92" s="8" t="str">
        <f>IF(TRIM(RawSalesTable6[[#This Row],[Payment_Method_Raw]])="","Non renseigné",SUBSTITUTE(PROPER(TRIM(RawSalesTable6[[#This Row],[Payment_Method_Raw]])),"Cc","Credit Card"))</f>
        <v>Credit Card</v>
      </c>
      <c r="T92" s="8">
        <f>COUNTIF(A:A,RawSalesTable6[[#This Row],[Order_ID]])</f>
        <v>1</v>
      </c>
      <c r="U92" s="8" t="str">
        <f>TRIM(LEFT(RawSalesTable6[[#This Row],[Customer_Info]],FIND(",",RawSalesTable6[[#This Row],[Customer_Info]])-1))</f>
        <v>Ethan Hall</v>
      </c>
      <c r="V92" s="8" t="str">
        <f>TRIM(MID(RawSalesTable6[[#This Row],[Customer_Info]],FIND(",",RawSalesTable6[[#This Row],[Customer_Info]])+1,FIND(",",RawSalesTable6[[#This Row],[Customer_Info]],FIND(",",RawSalesTable6[[#This Row],[Customer_Info]])+1)-FIND(",",RawSalesTable6[[#This Row],[Customer_Info]])-1))</f>
        <v>Vancouver</v>
      </c>
      <c r="W92" s="8" t="str">
        <f>TRIM(RIGHT(RawSalesTable6[[#This Row],[Customer_Info]],LEN(RawSalesTable6[[#This Row],[Customer_Info]])-FIND(",",RawSalesTable6[[#This Row],[Customer_Info]],FIND(",",RawSalesTable6[[#This Row],[Customer_Info]])+1)))</f>
        <v>Consumer</v>
      </c>
      <c r="X92" s="8" t="str">
        <f>VLOOKUP(RawSalesTable6[[#This Row],[Product_ID_Clean]],ProductsTable[],2,FALSE)</f>
        <v>Desk Organizer</v>
      </c>
      <c r="Y92" s="8" t="str">
        <f>VLOOKUP(RawSalesTable6[[#This Row],[Product_ID_Clean]],ProductsTable[],3,FALSE)</f>
        <v>Office</v>
      </c>
      <c r="Z92" s="8">
        <f>VLOOKUP(RawSalesTable6[[#This Row],[Product_ID_Clean]],ProductsTable[],5,FALSE)</f>
        <v>235.76</v>
      </c>
      <c r="AA92" s="8">
        <f>RawSalesTable6[[#This Row],[Unit_Price]]*RawSalesTable6[[#This Row],[Quantity]]</f>
        <v>379.66</v>
      </c>
      <c r="AB92" s="8">
        <f>RawSalesTable6[[#This Row],[Gross_Sales]]*RawSalesTable6[[#This Row],[Discount_Pct]]</f>
        <v>37.966000000000001</v>
      </c>
      <c r="AC92" s="8">
        <f>RawSalesTable6[[#This Row],[Gross_Sales]]-RawSalesTable6[[#This Row],[Discount_Amount]]</f>
        <v>341.69400000000002</v>
      </c>
      <c r="AD92" s="8">
        <f>RawSalesTable6[[#This Row],[Unit_Cost]]*RawSalesTable6[[#This Row],[Quantity]]</f>
        <v>235.76</v>
      </c>
      <c r="AE92" s="8">
        <f>RawSalesTable6[[#This Row],[Net_Sales]]-RawSalesTable6[[#This Row],[Total_Cost]]</f>
        <v>105.93400000000003</v>
      </c>
      <c r="AF92" s="9">
        <f>RawSalesTable6[[#This Row],[Profit]]/RawSalesTable6[[#This Row],[Net_Sales]]</f>
        <v>0.31002592963294651</v>
      </c>
      <c r="AG92" s="8">
        <f>YEAR(RawSalesTable6[[#This Row],[Order_Date]])</f>
        <v>2025</v>
      </c>
      <c r="AH92" s="8">
        <f>MONTH(RawSalesTable6[[#This Row],[Order_Date]])</f>
        <v>7</v>
      </c>
      <c r="AI92" s="8" t="str">
        <f>TEXT(RawSalesTable6[[#This Row],[Order_Date]],"mmmm")</f>
        <v>juillet</v>
      </c>
      <c r="AJ92" s="8" t="str">
        <f>IF(RawSalesTable6[[#This Row],[Month_Number]]&lt;=3,"Q1",IF(RawSalesTable6[[#This Row],[Month_Number]]&lt;=6,"Q2",IF(RawSalesTable6[[#This Row],[Month_Number]]&lt;=9,"Q3","Q4")))</f>
        <v>Q3</v>
      </c>
      <c r="AK92" s="8" t="str">
        <f>VLOOKUP(RawSalesTable6[[#This Row],[Customer_ID_Clean]],CustomersTable[],4,FALSE)</f>
        <v>British Columbia</v>
      </c>
      <c r="AL92" s="8">
        <f>IF(RawSalesTable6[[#This Row],[Return_Status]]="Yes",1,0)</f>
        <v>0</v>
      </c>
    </row>
    <row r="93" spans="1:38">
      <c r="A93" t="s">
        <v>368</v>
      </c>
      <c r="B93" s="3">
        <v>45830</v>
      </c>
      <c r="C93" t="s">
        <v>173</v>
      </c>
      <c r="D93" t="s">
        <v>217</v>
      </c>
      <c r="E93" t="s">
        <v>175</v>
      </c>
      <c r="F93" t="s">
        <v>103</v>
      </c>
      <c r="G93" t="s">
        <v>88</v>
      </c>
      <c r="H93" t="s">
        <v>89</v>
      </c>
      <c r="I93">
        <v>1</v>
      </c>
      <c r="J93" s="2">
        <v>101.43</v>
      </c>
      <c r="K93" s="4">
        <v>0.15</v>
      </c>
      <c r="L93" t="s">
        <v>369</v>
      </c>
      <c r="M93">
        <v>7</v>
      </c>
      <c r="N93" t="s">
        <v>91</v>
      </c>
      <c r="O93" t="str">
        <f>SUBSTITUTE(PROPER(TRIM(RawSalesTable6[[#This Row],[Channel_Raw]])),"Market Place","Marketplace")</f>
        <v>Online</v>
      </c>
      <c r="P93" t="str">
        <f>TRIM(RawSalesTable6[[#This Row],[Product_ID]])</f>
        <v>P1006</v>
      </c>
      <c r="Q93" t="str">
        <f>TRIM(RawSalesTable6[[#This Row],[Customer_ID]])</f>
        <v>C0077</v>
      </c>
      <c r="R93" s="8" t="str">
        <f>PROPER(TRIM(RawSalesTable6[[#This Row],[Store_Raw]]))</f>
        <v>Vancouver West</v>
      </c>
      <c r="S93" s="8" t="str">
        <f>IF(TRIM(RawSalesTable6[[#This Row],[Payment_Method_Raw]])="","Non renseigné",SUBSTITUTE(PROPER(TRIM(RawSalesTable6[[#This Row],[Payment_Method_Raw]])),"Cc","Credit Card"))</f>
        <v>Paypal</v>
      </c>
      <c r="T93" s="8">
        <f>COUNTIF(A:A,RawSalesTable6[[#This Row],[Order_ID]])</f>
        <v>1</v>
      </c>
      <c r="U93" s="8" t="str">
        <f>TRIM(LEFT(RawSalesTable6[[#This Row],[Customer_Info]],FIND(",",RawSalesTable6[[#This Row],[Customer_Info]])-1))</f>
        <v>Amine Taylor</v>
      </c>
      <c r="V93" s="8" t="str">
        <f>TRIM(MID(RawSalesTable6[[#This Row],[Customer_Info]],FIND(",",RawSalesTable6[[#This Row],[Customer_Info]])+1,FIND(",",RawSalesTable6[[#This Row],[Customer_Info]],FIND(",",RawSalesTable6[[#This Row],[Customer_Info]])+1)-FIND(",",RawSalesTable6[[#This Row],[Customer_Info]])-1))</f>
        <v>Surrey</v>
      </c>
      <c r="W93" s="8" t="str">
        <f>TRIM(RIGHT(RawSalesTable6[[#This Row],[Customer_Info]],LEN(RawSalesTable6[[#This Row],[Customer_Info]])-FIND(",",RawSalesTable6[[#This Row],[Customer_Info]],FIND(",",RawSalesTable6[[#This Row],[Customer_Info]])+1)))</f>
        <v>Small Business</v>
      </c>
      <c r="X93" s="8" t="str">
        <f>VLOOKUP(RawSalesTable6[[#This Row],[Product_ID_Clean]],ProductsTable[],2,FALSE)</f>
        <v>USB-C Hub</v>
      </c>
      <c r="Y93" s="8" t="str">
        <f>VLOOKUP(RawSalesTable6[[#This Row],[Product_ID_Clean]],ProductsTable[],3,FALSE)</f>
        <v>Electronics</v>
      </c>
      <c r="Z93" s="8">
        <f>VLOOKUP(RawSalesTable6[[#This Row],[Product_ID_Clean]],ProductsTable[],5,FALSE)</f>
        <v>72</v>
      </c>
      <c r="AA93" s="8">
        <f>RawSalesTable6[[#This Row],[Unit_Price]]*RawSalesTable6[[#This Row],[Quantity]]</f>
        <v>101.43</v>
      </c>
      <c r="AB93" s="8">
        <f>RawSalesTable6[[#This Row],[Gross_Sales]]*RawSalesTable6[[#This Row],[Discount_Pct]]</f>
        <v>15.214500000000001</v>
      </c>
      <c r="AC93" s="8">
        <f>RawSalesTable6[[#This Row],[Gross_Sales]]-RawSalesTable6[[#This Row],[Discount_Amount]]</f>
        <v>86.215500000000006</v>
      </c>
      <c r="AD93" s="8">
        <f>RawSalesTable6[[#This Row],[Unit_Cost]]*RawSalesTable6[[#This Row],[Quantity]]</f>
        <v>72</v>
      </c>
      <c r="AE93" s="8">
        <f>RawSalesTable6[[#This Row],[Net_Sales]]-RawSalesTable6[[#This Row],[Total_Cost]]</f>
        <v>14.215500000000006</v>
      </c>
      <c r="AF93" s="9">
        <f>RawSalesTable6[[#This Row],[Profit]]/RawSalesTable6[[#This Row],[Net_Sales]]</f>
        <v>0.16488334464220478</v>
      </c>
      <c r="AG93" s="8">
        <f>YEAR(RawSalesTable6[[#This Row],[Order_Date]])</f>
        <v>2025</v>
      </c>
      <c r="AH93" s="8">
        <f>MONTH(RawSalesTable6[[#This Row],[Order_Date]])</f>
        <v>6</v>
      </c>
      <c r="AI93" s="8" t="str">
        <f>TEXT(RawSalesTable6[[#This Row],[Order_Date]],"mmmm")</f>
        <v>juin</v>
      </c>
      <c r="AJ93" s="8" t="str">
        <f>IF(RawSalesTable6[[#This Row],[Month_Number]]&lt;=3,"Q1",IF(RawSalesTable6[[#This Row],[Month_Number]]&lt;=6,"Q2",IF(RawSalesTable6[[#This Row],[Month_Number]]&lt;=9,"Q3","Q4")))</f>
        <v>Q2</v>
      </c>
      <c r="AK93" s="8" t="str">
        <f>VLOOKUP(RawSalesTable6[[#This Row],[Customer_ID_Clean]],CustomersTable[],4,FALSE)</f>
        <v>British Columbia</v>
      </c>
      <c r="AL93" s="8">
        <f>IF(RawSalesTable6[[#This Row],[Return_Status]]="Yes",1,0)</f>
        <v>0</v>
      </c>
    </row>
    <row r="94" spans="1:38">
      <c r="A94" t="s">
        <v>370</v>
      </c>
      <c r="B94" s="3">
        <v>45917</v>
      </c>
      <c r="C94" t="s">
        <v>371</v>
      </c>
      <c r="D94" t="s">
        <v>143</v>
      </c>
      <c r="E94" t="s">
        <v>372</v>
      </c>
      <c r="F94" t="s">
        <v>103</v>
      </c>
      <c r="G94" t="s">
        <v>104</v>
      </c>
      <c r="H94" t="s">
        <v>89</v>
      </c>
      <c r="I94">
        <v>1</v>
      </c>
      <c r="J94" s="2">
        <v>266.14999999999998</v>
      </c>
      <c r="K94" s="4">
        <v>0.05</v>
      </c>
      <c r="L94" t="s">
        <v>106</v>
      </c>
      <c r="M94">
        <v>4</v>
      </c>
      <c r="N94" t="s">
        <v>91</v>
      </c>
      <c r="O94" t="str">
        <f>SUBSTITUTE(PROPER(TRIM(RawSalesTable6[[#This Row],[Channel_Raw]])),"Market Place","Marketplace")</f>
        <v>Online</v>
      </c>
      <c r="P94" t="str">
        <f>TRIM(RawSalesTable6[[#This Row],[Product_ID]])</f>
        <v>P1038</v>
      </c>
      <c r="Q94" t="str">
        <f>TRIM(RawSalesTable6[[#This Row],[Customer_ID]])</f>
        <v>C0049</v>
      </c>
      <c r="R94" s="8" t="str">
        <f>PROPER(TRIM(RawSalesTable6[[#This Row],[Store_Raw]]))</f>
        <v>Vancouver West</v>
      </c>
      <c r="S94" s="8" t="str">
        <f>IF(TRIM(RawSalesTable6[[#This Row],[Payment_Method_Raw]])="","Non renseigné",SUBSTITUTE(PROPER(TRIM(RawSalesTable6[[#This Row],[Payment_Method_Raw]])),"Cc","Credit Card"))</f>
        <v>Credit Card</v>
      </c>
      <c r="T94" s="8">
        <f>COUNTIF(A:A,RawSalesTable6[[#This Row],[Order_ID]])</f>
        <v>1</v>
      </c>
      <c r="U94" s="8" t="str">
        <f>TRIM(LEFT(RawSalesTable6[[#This Row],[Customer_Info]],FIND(",",RawSalesTable6[[#This Row],[Customer_Info]])-1))</f>
        <v>Olivia Scott</v>
      </c>
      <c r="V94" s="8" t="str">
        <f>TRIM(MID(RawSalesTable6[[#This Row],[Customer_Info]],FIND(",",RawSalesTable6[[#This Row],[Customer_Info]])+1,FIND(",",RawSalesTable6[[#This Row],[Customer_Info]],FIND(",",RawSalesTable6[[#This Row],[Customer_Info]])+1)-FIND(",",RawSalesTable6[[#This Row],[Customer_Info]])-1))</f>
        <v>Quebec City</v>
      </c>
      <c r="W94" s="8" t="str">
        <f>TRIM(RIGHT(RawSalesTable6[[#This Row],[Customer_Info]],LEN(RawSalesTable6[[#This Row],[Customer_Info]])-FIND(",",RawSalesTable6[[#This Row],[Customer_Info]],FIND(",",RawSalesTable6[[#This Row],[Customer_Info]])+1)))</f>
        <v>Consumer</v>
      </c>
      <c r="X94" s="8" t="str">
        <f>VLOOKUP(RawSalesTable6[[#This Row],[Product_ID_Clean]],ProductsTable[],2,FALSE)</f>
        <v>Water Bottle</v>
      </c>
      <c r="Y94" s="8" t="str">
        <f>VLOOKUP(RawSalesTable6[[#This Row],[Product_ID_Clean]],ProductsTable[],3,FALSE)</f>
        <v>Accessories</v>
      </c>
      <c r="Z94" s="8">
        <f>VLOOKUP(RawSalesTable6[[#This Row],[Product_ID_Clean]],ProductsTable[],5,FALSE)</f>
        <v>119.16</v>
      </c>
      <c r="AA94" s="8">
        <f>RawSalesTable6[[#This Row],[Unit_Price]]*RawSalesTable6[[#This Row],[Quantity]]</f>
        <v>266.14999999999998</v>
      </c>
      <c r="AB94" s="8">
        <f>RawSalesTable6[[#This Row],[Gross_Sales]]*RawSalesTable6[[#This Row],[Discount_Pct]]</f>
        <v>13.307499999999999</v>
      </c>
      <c r="AC94" s="8">
        <f>RawSalesTable6[[#This Row],[Gross_Sales]]-RawSalesTable6[[#This Row],[Discount_Amount]]</f>
        <v>252.84249999999997</v>
      </c>
      <c r="AD94" s="8">
        <f>RawSalesTable6[[#This Row],[Unit_Cost]]*RawSalesTable6[[#This Row],[Quantity]]</f>
        <v>119.16</v>
      </c>
      <c r="AE94" s="8">
        <f>RawSalesTable6[[#This Row],[Net_Sales]]-RawSalesTable6[[#This Row],[Total_Cost]]</f>
        <v>133.68249999999998</v>
      </c>
      <c r="AF94" s="9">
        <f>RawSalesTable6[[#This Row],[Profit]]/RawSalesTable6[[#This Row],[Net_Sales]]</f>
        <v>0.52871847098490166</v>
      </c>
      <c r="AG94" s="8">
        <f>YEAR(RawSalesTable6[[#This Row],[Order_Date]])</f>
        <v>2025</v>
      </c>
      <c r="AH94" s="8">
        <f>MONTH(RawSalesTable6[[#This Row],[Order_Date]])</f>
        <v>9</v>
      </c>
      <c r="AI94" s="8" t="str">
        <f>TEXT(RawSalesTable6[[#This Row],[Order_Date]],"mmmm")</f>
        <v>septembre</v>
      </c>
      <c r="AJ94" s="8" t="str">
        <f>IF(RawSalesTable6[[#This Row],[Month_Number]]&lt;=3,"Q1",IF(RawSalesTable6[[#This Row],[Month_Number]]&lt;=6,"Q2",IF(RawSalesTable6[[#This Row],[Month_Number]]&lt;=9,"Q3","Q4")))</f>
        <v>Q3</v>
      </c>
      <c r="AK94" s="8" t="str">
        <f>VLOOKUP(RawSalesTable6[[#This Row],[Customer_ID_Clean]],CustomersTable[],4,FALSE)</f>
        <v>Quebec</v>
      </c>
      <c r="AL94" s="8">
        <f>IF(RawSalesTable6[[#This Row],[Return_Status]]="Yes",1,0)</f>
        <v>0</v>
      </c>
    </row>
    <row r="95" spans="1:38">
      <c r="A95" t="s">
        <v>373</v>
      </c>
      <c r="B95" s="3">
        <v>45720</v>
      </c>
      <c r="C95" t="s">
        <v>374</v>
      </c>
      <c r="D95" t="s">
        <v>114</v>
      </c>
      <c r="E95" t="s">
        <v>375</v>
      </c>
      <c r="F95" t="s">
        <v>87</v>
      </c>
      <c r="G95" t="s">
        <v>183</v>
      </c>
      <c r="H95" t="s">
        <v>89</v>
      </c>
      <c r="I95">
        <v>3</v>
      </c>
      <c r="J95" s="2">
        <v>138.76</v>
      </c>
      <c r="K95" s="4">
        <v>0.2</v>
      </c>
      <c r="L95" t="s">
        <v>98</v>
      </c>
      <c r="M95">
        <v>1</v>
      </c>
      <c r="N95" t="s">
        <v>91</v>
      </c>
      <c r="O95" t="str">
        <f>SUBSTITUTE(PROPER(TRIM(RawSalesTable6[[#This Row],[Channel_Raw]])),"Market Place","Marketplace")</f>
        <v>Online</v>
      </c>
      <c r="P95" t="str">
        <f>TRIM(RawSalesTable6[[#This Row],[Product_ID]])</f>
        <v>P1034</v>
      </c>
      <c r="Q95" t="str">
        <f>TRIM(RawSalesTable6[[#This Row],[Customer_ID]])</f>
        <v>C0035</v>
      </c>
      <c r="R95" s="8" t="str">
        <f>PROPER(TRIM(RawSalesTable6[[#This Row],[Store_Raw]]))</f>
        <v>Online Fulfillment</v>
      </c>
      <c r="S95" s="8" t="str">
        <f>IF(TRIM(RawSalesTable6[[#This Row],[Payment_Method_Raw]])="","Non renseigné",SUBSTITUTE(PROPER(TRIM(RawSalesTable6[[#This Row],[Payment_Method_Raw]])),"Cc","Credit Card"))</f>
        <v>Debit Card</v>
      </c>
      <c r="T95" s="8">
        <f>COUNTIF(A:A,RawSalesTable6[[#This Row],[Order_ID]])</f>
        <v>1</v>
      </c>
      <c r="U95" s="8" t="str">
        <f>TRIM(LEFT(RawSalesTable6[[#This Row],[Customer_Info]],FIND(",",RawSalesTable6[[#This Row],[Customer_Info]])-1))</f>
        <v>Amelia Scott</v>
      </c>
      <c r="V95" s="8" t="str">
        <f>TRIM(MID(RawSalesTable6[[#This Row],[Customer_Info]],FIND(",",RawSalesTable6[[#This Row],[Customer_Info]])+1,FIND(",",RawSalesTable6[[#This Row],[Customer_Info]],FIND(",",RawSalesTable6[[#This Row],[Customer_Info]])+1)-FIND(",",RawSalesTable6[[#This Row],[Customer_Info]])-1))</f>
        <v>Edmonton</v>
      </c>
      <c r="W95" s="8" t="str">
        <f>TRIM(RIGHT(RawSalesTable6[[#This Row],[Customer_Info]],LEN(RawSalesTable6[[#This Row],[Customer_Info]])-FIND(",",RawSalesTable6[[#This Row],[Customer_Info]],FIND(",",RawSalesTable6[[#This Row],[Customer_Info]])+1)))</f>
        <v>Small Business</v>
      </c>
      <c r="X95" s="8" t="str">
        <f>VLOOKUP(RawSalesTable6[[#This Row],[Product_ID_Clean]],ProductsTable[],2,FALSE)</f>
        <v>Laptop Sleeve</v>
      </c>
      <c r="Y95" s="8" t="str">
        <f>VLOOKUP(RawSalesTable6[[#This Row],[Product_ID_Clean]],ProductsTable[],3,FALSE)</f>
        <v>Accessories</v>
      </c>
      <c r="Z95" s="8">
        <f>VLOOKUP(RawSalesTable6[[#This Row],[Product_ID_Clean]],ProductsTable[],5,FALSE)</f>
        <v>78.95</v>
      </c>
      <c r="AA95" s="8">
        <f>RawSalesTable6[[#This Row],[Unit_Price]]*RawSalesTable6[[#This Row],[Quantity]]</f>
        <v>416.28</v>
      </c>
      <c r="AB95" s="8">
        <f>RawSalesTable6[[#This Row],[Gross_Sales]]*RawSalesTable6[[#This Row],[Discount_Pct]]</f>
        <v>83.256</v>
      </c>
      <c r="AC95" s="8">
        <f>RawSalesTable6[[#This Row],[Gross_Sales]]-RawSalesTable6[[#This Row],[Discount_Amount]]</f>
        <v>333.024</v>
      </c>
      <c r="AD95" s="8">
        <f>RawSalesTable6[[#This Row],[Unit_Cost]]*RawSalesTable6[[#This Row],[Quantity]]</f>
        <v>236.85000000000002</v>
      </c>
      <c r="AE95" s="8">
        <f>RawSalesTable6[[#This Row],[Net_Sales]]-RawSalesTable6[[#This Row],[Total_Cost]]</f>
        <v>96.173999999999978</v>
      </c>
      <c r="AF95" s="9">
        <f>RawSalesTable6[[#This Row],[Profit]]/RawSalesTable6[[#This Row],[Net_Sales]]</f>
        <v>0.28878999711732484</v>
      </c>
      <c r="AG95" s="8">
        <f>YEAR(RawSalesTable6[[#This Row],[Order_Date]])</f>
        <v>2025</v>
      </c>
      <c r="AH95" s="8">
        <f>MONTH(RawSalesTable6[[#This Row],[Order_Date]])</f>
        <v>3</v>
      </c>
      <c r="AI95" s="8" t="str">
        <f>TEXT(RawSalesTable6[[#This Row],[Order_Date]],"mmmm")</f>
        <v>mars</v>
      </c>
      <c r="AJ95" s="8" t="str">
        <f>IF(RawSalesTable6[[#This Row],[Month_Number]]&lt;=3,"Q1",IF(RawSalesTable6[[#This Row],[Month_Number]]&lt;=6,"Q2",IF(RawSalesTable6[[#This Row],[Month_Number]]&lt;=9,"Q3","Q4")))</f>
        <v>Q1</v>
      </c>
      <c r="AK95" s="8" t="str">
        <f>VLOOKUP(RawSalesTable6[[#This Row],[Customer_ID_Clean]],CustomersTable[],4,FALSE)</f>
        <v>Alberta</v>
      </c>
      <c r="AL95" s="8">
        <f>IF(RawSalesTable6[[#This Row],[Return_Status]]="Yes",1,0)</f>
        <v>0</v>
      </c>
    </row>
    <row r="96" spans="1:38">
      <c r="A96" t="s">
        <v>376</v>
      </c>
      <c r="B96" s="3">
        <v>45894</v>
      </c>
      <c r="C96" t="s">
        <v>108</v>
      </c>
      <c r="D96" t="s">
        <v>277</v>
      </c>
      <c r="E96" t="s">
        <v>110</v>
      </c>
      <c r="F96" t="s">
        <v>116</v>
      </c>
      <c r="G96" t="s">
        <v>171</v>
      </c>
      <c r="H96" t="s">
        <v>246</v>
      </c>
      <c r="I96">
        <v>1</v>
      </c>
      <c r="J96" s="2">
        <v>350.44</v>
      </c>
      <c r="K96" s="4">
        <v>0</v>
      </c>
      <c r="L96" t="s">
        <v>106</v>
      </c>
      <c r="M96">
        <v>1</v>
      </c>
      <c r="N96" t="s">
        <v>91</v>
      </c>
      <c r="O96" t="str">
        <f>SUBSTITUTE(PROPER(TRIM(RawSalesTable6[[#This Row],[Channel_Raw]])),"Market Place","Marketplace")</f>
        <v>Retail Store</v>
      </c>
      <c r="P96" t="str">
        <f>TRIM(RawSalesTable6[[#This Row],[Product_ID]])</f>
        <v>P1001</v>
      </c>
      <c r="Q96" t="str">
        <f>TRIM(RawSalesTable6[[#This Row],[Customer_ID]])</f>
        <v>C0071</v>
      </c>
      <c r="R96" s="8" t="str">
        <f>PROPER(TRIM(RawSalesTable6[[#This Row],[Store_Raw]]))</f>
        <v>Toronto Downtown</v>
      </c>
      <c r="S96" s="8" t="str">
        <f>IF(TRIM(RawSalesTable6[[#This Row],[Payment_Method_Raw]])="","Non renseigné",SUBSTITUTE(PROPER(TRIM(RawSalesTable6[[#This Row],[Payment_Method_Raw]])),"Cc","Credit Card"))</f>
        <v>Credit Card</v>
      </c>
      <c r="T96" s="8">
        <f>COUNTIF(A:A,RawSalesTable6[[#This Row],[Order_ID]])</f>
        <v>1</v>
      </c>
      <c r="U96" s="8" t="str">
        <f>TRIM(LEFT(RawSalesTable6[[#This Row],[Customer_Info]],FIND(",",RawSalesTable6[[#This Row],[Customer_Info]])-1))</f>
        <v>Ethan Lee</v>
      </c>
      <c r="V96" s="8" t="str">
        <f>TRIM(MID(RawSalesTable6[[#This Row],[Customer_Info]],FIND(",",RawSalesTable6[[#This Row],[Customer_Info]])+1,FIND(",",RawSalesTable6[[#This Row],[Customer_Info]],FIND(",",RawSalesTable6[[#This Row],[Customer_Info]])+1)-FIND(",",RawSalesTable6[[#This Row],[Customer_Info]])-1))</f>
        <v>Surrey</v>
      </c>
      <c r="W96" s="8" t="str">
        <f>TRIM(RIGHT(RawSalesTable6[[#This Row],[Customer_Info]],LEN(RawSalesTable6[[#This Row],[Customer_Info]])-FIND(",",RawSalesTable6[[#This Row],[Customer_Info]],FIND(",",RawSalesTable6[[#This Row],[Customer_Info]])+1)))</f>
        <v>Consumer</v>
      </c>
      <c r="X96" s="8" t="str">
        <f>VLOOKUP(RawSalesTable6[[#This Row],[Product_ID_Clean]],ProductsTable[],2,FALSE)</f>
        <v>Headphones</v>
      </c>
      <c r="Y96" s="8" t="str">
        <f>VLOOKUP(RawSalesTable6[[#This Row],[Product_ID_Clean]],ProductsTable[],3,FALSE)</f>
        <v>Electronics</v>
      </c>
      <c r="Z96" s="8">
        <f>VLOOKUP(RawSalesTable6[[#This Row],[Product_ID_Clean]],ProductsTable[],5,FALSE)</f>
        <v>254.6</v>
      </c>
      <c r="AA96" s="8">
        <f>RawSalesTable6[[#This Row],[Unit_Price]]*RawSalesTable6[[#This Row],[Quantity]]</f>
        <v>350.44</v>
      </c>
      <c r="AB96" s="8">
        <f>RawSalesTable6[[#This Row],[Gross_Sales]]*RawSalesTable6[[#This Row],[Discount_Pct]]</f>
        <v>0</v>
      </c>
      <c r="AC96" s="8">
        <f>RawSalesTable6[[#This Row],[Gross_Sales]]-RawSalesTable6[[#This Row],[Discount_Amount]]</f>
        <v>350.44</v>
      </c>
      <c r="AD96" s="8">
        <f>RawSalesTable6[[#This Row],[Unit_Cost]]*RawSalesTable6[[#This Row],[Quantity]]</f>
        <v>254.6</v>
      </c>
      <c r="AE96" s="8">
        <f>RawSalesTable6[[#This Row],[Net_Sales]]-RawSalesTable6[[#This Row],[Total_Cost]]</f>
        <v>95.84</v>
      </c>
      <c r="AF96" s="9">
        <f>RawSalesTable6[[#This Row],[Profit]]/RawSalesTable6[[#This Row],[Net_Sales]]</f>
        <v>0.27348476201346877</v>
      </c>
      <c r="AG96" s="8">
        <f>YEAR(RawSalesTable6[[#This Row],[Order_Date]])</f>
        <v>2025</v>
      </c>
      <c r="AH96" s="8">
        <f>MONTH(RawSalesTable6[[#This Row],[Order_Date]])</f>
        <v>8</v>
      </c>
      <c r="AI96" s="8" t="str">
        <f>TEXT(RawSalesTable6[[#This Row],[Order_Date]],"mmmm")</f>
        <v>août</v>
      </c>
      <c r="AJ96" s="8" t="str">
        <f>IF(RawSalesTable6[[#This Row],[Month_Number]]&lt;=3,"Q1",IF(RawSalesTable6[[#This Row],[Month_Number]]&lt;=6,"Q2",IF(RawSalesTable6[[#This Row],[Month_Number]]&lt;=9,"Q3","Q4")))</f>
        <v>Q3</v>
      </c>
      <c r="AK96" s="8" t="str">
        <f>VLOOKUP(RawSalesTable6[[#This Row],[Customer_ID_Clean]],CustomersTable[],4,FALSE)</f>
        <v>British Columbia</v>
      </c>
      <c r="AL96" s="8">
        <f>IF(RawSalesTable6[[#This Row],[Return_Status]]="Yes",1,0)</f>
        <v>0</v>
      </c>
    </row>
    <row r="97" spans="1:38">
      <c r="A97" t="s">
        <v>377</v>
      </c>
      <c r="B97" s="3">
        <v>45822</v>
      </c>
      <c r="C97" t="s">
        <v>319</v>
      </c>
      <c r="D97" t="s">
        <v>174</v>
      </c>
      <c r="E97" t="s">
        <v>320</v>
      </c>
      <c r="F97" t="s">
        <v>111</v>
      </c>
      <c r="G97" t="s">
        <v>88</v>
      </c>
      <c r="H97" t="s">
        <v>89</v>
      </c>
      <c r="I97">
        <v>2</v>
      </c>
      <c r="J97" s="2">
        <v>37.19</v>
      </c>
      <c r="K97" s="4">
        <v>0</v>
      </c>
      <c r="L97" t="s">
        <v>90</v>
      </c>
      <c r="M97">
        <v>1</v>
      </c>
      <c r="N97" t="s">
        <v>91</v>
      </c>
      <c r="O97" t="str">
        <f>SUBSTITUTE(PROPER(TRIM(RawSalesTable6[[#This Row],[Channel_Raw]])),"Market Place","Marketplace")</f>
        <v>Online</v>
      </c>
      <c r="P97" t="str">
        <f>TRIM(RawSalesTable6[[#This Row],[Product_ID]])</f>
        <v>P1002</v>
      </c>
      <c r="Q97" t="str">
        <f>TRIM(RawSalesTable6[[#This Row],[Customer_ID]])</f>
        <v>C0013</v>
      </c>
      <c r="R97" s="8" t="str">
        <f>PROPER(TRIM(RawSalesTable6[[#This Row],[Store_Raw]]))</f>
        <v>Montreal Central</v>
      </c>
      <c r="S97" s="8" t="str">
        <f>IF(TRIM(RawSalesTable6[[#This Row],[Payment_Method_Raw]])="","Non renseigné",SUBSTITUTE(PROPER(TRIM(RawSalesTable6[[#This Row],[Payment_Method_Raw]])),"Cc","Credit Card"))</f>
        <v>Paypal</v>
      </c>
      <c r="T97" s="8">
        <f>COUNTIF(A:A,RawSalesTable6[[#This Row],[Order_ID]])</f>
        <v>1</v>
      </c>
      <c r="U97" s="8" t="str">
        <f>TRIM(LEFT(RawSalesTable6[[#This Row],[Customer_Info]],FIND(",",RawSalesTable6[[#This Row],[Customer_Info]])-1))</f>
        <v>Amelia Martin</v>
      </c>
      <c r="V97" s="8" t="str">
        <f>TRIM(MID(RawSalesTable6[[#This Row],[Customer_Info]],FIND(",",RawSalesTable6[[#This Row],[Customer_Info]])+1,FIND(",",RawSalesTable6[[#This Row],[Customer_Info]],FIND(",",RawSalesTable6[[#This Row],[Customer_Info]])+1)-FIND(",",RawSalesTable6[[#This Row],[Customer_Info]])-1))</f>
        <v>Quebec City</v>
      </c>
      <c r="W97" s="8" t="str">
        <f>TRIM(RIGHT(RawSalesTable6[[#This Row],[Customer_Info]],LEN(RawSalesTable6[[#This Row],[Customer_Info]])-FIND(",",RawSalesTable6[[#This Row],[Customer_Info]],FIND(",",RawSalesTable6[[#This Row],[Customer_Info]])+1)))</f>
        <v>Small Business</v>
      </c>
      <c r="X97" s="8" t="str">
        <f>VLOOKUP(RawSalesTable6[[#This Row],[Product_ID_Clean]],ProductsTable[],2,FALSE)</f>
        <v>Keyboard</v>
      </c>
      <c r="Y97" s="8" t="str">
        <f>VLOOKUP(RawSalesTable6[[#This Row],[Product_ID_Clean]],ProductsTable[],3,FALSE)</f>
        <v>Electronics</v>
      </c>
      <c r="Z97" s="8">
        <f>VLOOKUP(RawSalesTable6[[#This Row],[Product_ID_Clean]],ProductsTable[],5,FALSE)</f>
        <v>23.5</v>
      </c>
      <c r="AA97" s="8">
        <f>RawSalesTable6[[#This Row],[Unit_Price]]*RawSalesTable6[[#This Row],[Quantity]]</f>
        <v>74.38</v>
      </c>
      <c r="AB97" s="8">
        <f>RawSalesTable6[[#This Row],[Gross_Sales]]*RawSalesTable6[[#This Row],[Discount_Pct]]</f>
        <v>0</v>
      </c>
      <c r="AC97" s="8">
        <f>RawSalesTable6[[#This Row],[Gross_Sales]]-RawSalesTable6[[#This Row],[Discount_Amount]]</f>
        <v>74.38</v>
      </c>
      <c r="AD97" s="8">
        <f>RawSalesTable6[[#This Row],[Unit_Cost]]*RawSalesTable6[[#This Row],[Quantity]]</f>
        <v>47</v>
      </c>
      <c r="AE97" s="8">
        <f>RawSalesTable6[[#This Row],[Net_Sales]]-RawSalesTable6[[#This Row],[Total_Cost]]</f>
        <v>27.379999999999995</v>
      </c>
      <c r="AF97" s="9">
        <f>RawSalesTable6[[#This Row],[Profit]]/RawSalesTable6[[#This Row],[Net_Sales]]</f>
        <v>0.36810970691045974</v>
      </c>
      <c r="AG97" s="8">
        <f>YEAR(RawSalesTable6[[#This Row],[Order_Date]])</f>
        <v>2025</v>
      </c>
      <c r="AH97" s="8">
        <f>MONTH(RawSalesTable6[[#This Row],[Order_Date]])</f>
        <v>6</v>
      </c>
      <c r="AI97" s="8" t="str">
        <f>TEXT(RawSalesTable6[[#This Row],[Order_Date]],"mmmm")</f>
        <v>juin</v>
      </c>
      <c r="AJ97" s="8" t="str">
        <f>IF(RawSalesTable6[[#This Row],[Month_Number]]&lt;=3,"Q1",IF(RawSalesTable6[[#This Row],[Month_Number]]&lt;=6,"Q2",IF(RawSalesTable6[[#This Row],[Month_Number]]&lt;=9,"Q3","Q4")))</f>
        <v>Q2</v>
      </c>
      <c r="AK97" s="8" t="str">
        <f>VLOOKUP(RawSalesTable6[[#This Row],[Customer_ID_Clean]],CustomersTable[],4,FALSE)</f>
        <v>Quebec</v>
      </c>
      <c r="AL97" s="8">
        <f>IF(RawSalesTable6[[#This Row],[Return_Status]]="Yes",1,0)</f>
        <v>0</v>
      </c>
    </row>
    <row r="98" spans="1:38">
      <c r="A98" t="s">
        <v>378</v>
      </c>
      <c r="B98" s="3">
        <v>45890</v>
      </c>
      <c r="C98" t="s">
        <v>379</v>
      </c>
      <c r="D98" t="s">
        <v>226</v>
      </c>
      <c r="E98" t="s">
        <v>380</v>
      </c>
      <c r="F98" t="s">
        <v>111</v>
      </c>
      <c r="G98" t="s">
        <v>88</v>
      </c>
      <c r="H98" t="s">
        <v>89</v>
      </c>
      <c r="I98">
        <v>1</v>
      </c>
      <c r="J98" s="2">
        <v>225.35</v>
      </c>
      <c r="K98" s="4">
        <v>0</v>
      </c>
      <c r="L98" t="s">
        <v>106</v>
      </c>
      <c r="M98">
        <v>2</v>
      </c>
      <c r="N98" t="s">
        <v>91</v>
      </c>
      <c r="O98" t="str">
        <f>SUBSTITUTE(PROPER(TRIM(RawSalesTable6[[#This Row],[Channel_Raw]])),"Market Place","Marketplace")</f>
        <v>Online</v>
      </c>
      <c r="P98" t="str">
        <f>TRIM(RawSalesTable6[[#This Row],[Product_ID]])</f>
        <v>P1010</v>
      </c>
      <c r="Q98" t="str">
        <f>TRIM(RawSalesTable6[[#This Row],[Customer_ID]])</f>
        <v>C0072</v>
      </c>
      <c r="R98" s="8" t="str">
        <f>PROPER(TRIM(RawSalesTable6[[#This Row],[Store_Raw]]))</f>
        <v>Montreal Central</v>
      </c>
      <c r="S98" s="8" t="str">
        <f>IF(TRIM(RawSalesTable6[[#This Row],[Payment_Method_Raw]])="","Non renseigné",SUBSTITUTE(PROPER(TRIM(RawSalesTable6[[#This Row],[Payment_Method_Raw]])),"Cc","Credit Card"))</f>
        <v>Credit Card</v>
      </c>
      <c r="T98" s="8">
        <f>COUNTIF(A:A,RawSalesTable6[[#This Row],[Order_ID]])</f>
        <v>1</v>
      </c>
      <c r="U98" s="8" t="str">
        <f>TRIM(LEFT(RawSalesTable6[[#This Row],[Customer_Info]],FIND(",",RawSalesTable6[[#This Row],[Customer_Info]])-1))</f>
        <v>Ryan Bennett</v>
      </c>
      <c r="V98" s="8" t="str">
        <f>TRIM(MID(RawSalesTable6[[#This Row],[Customer_Info]],FIND(",",RawSalesTable6[[#This Row],[Customer_Info]])+1,FIND(",",RawSalesTable6[[#This Row],[Customer_Info]],FIND(",",RawSalesTable6[[#This Row],[Customer_Info]])+1)-FIND(",",RawSalesTable6[[#This Row],[Customer_Info]])-1))</f>
        <v>Montreal</v>
      </c>
      <c r="W98" s="8" t="str">
        <f>TRIM(RIGHT(RawSalesTable6[[#This Row],[Customer_Info]],LEN(RawSalesTable6[[#This Row],[Customer_Info]])-FIND(",",RawSalesTable6[[#This Row],[Customer_Info]],FIND(",",RawSalesTable6[[#This Row],[Customer_Info]])+1)))</f>
        <v>Corporate</v>
      </c>
      <c r="X98" s="8" t="str">
        <f>VLOOKUP(RawSalesTable6[[#This Row],[Product_ID_Clean]],ProductsTable[],2,FALSE)</f>
        <v>Desk Lamp</v>
      </c>
      <c r="Y98" s="8" t="str">
        <f>VLOOKUP(RawSalesTable6[[#This Row],[Product_ID_Clean]],ProductsTable[],3,FALSE)</f>
        <v>Office</v>
      </c>
      <c r="Z98" s="8">
        <f>VLOOKUP(RawSalesTable6[[#This Row],[Product_ID_Clean]],ProductsTable[],5,FALSE)</f>
        <v>127.21</v>
      </c>
      <c r="AA98" s="8">
        <f>RawSalesTable6[[#This Row],[Unit_Price]]*RawSalesTable6[[#This Row],[Quantity]]</f>
        <v>225.35</v>
      </c>
      <c r="AB98" s="8">
        <f>RawSalesTable6[[#This Row],[Gross_Sales]]*RawSalesTable6[[#This Row],[Discount_Pct]]</f>
        <v>0</v>
      </c>
      <c r="AC98" s="8">
        <f>RawSalesTable6[[#This Row],[Gross_Sales]]-RawSalesTable6[[#This Row],[Discount_Amount]]</f>
        <v>225.35</v>
      </c>
      <c r="AD98" s="8">
        <f>RawSalesTable6[[#This Row],[Unit_Cost]]*RawSalesTable6[[#This Row],[Quantity]]</f>
        <v>127.21</v>
      </c>
      <c r="AE98" s="8">
        <f>RawSalesTable6[[#This Row],[Net_Sales]]-RawSalesTable6[[#This Row],[Total_Cost]]</f>
        <v>98.14</v>
      </c>
      <c r="AF98" s="9">
        <f>RawSalesTable6[[#This Row],[Profit]]/RawSalesTable6[[#This Row],[Net_Sales]]</f>
        <v>0.43550033281562017</v>
      </c>
      <c r="AG98" s="8">
        <f>YEAR(RawSalesTable6[[#This Row],[Order_Date]])</f>
        <v>2025</v>
      </c>
      <c r="AH98" s="8">
        <f>MONTH(RawSalesTable6[[#This Row],[Order_Date]])</f>
        <v>8</v>
      </c>
      <c r="AI98" s="8" t="str">
        <f>TEXT(RawSalesTable6[[#This Row],[Order_Date]],"mmmm")</f>
        <v>août</v>
      </c>
      <c r="AJ98" s="8" t="str">
        <f>IF(RawSalesTable6[[#This Row],[Month_Number]]&lt;=3,"Q1",IF(RawSalesTable6[[#This Row],[Month_Number]]&lt;=6,"Q2",IF(RawSalesTable6[[#This Row],[Month_Number]]&lt;=9,"Q3","Q4")))</f>
        <v>Q3</v>
      </c>
      <c r="AK98" s="8" t="str">
        <f>VLOOKUP(RawSalesTable6[[#This Row],[Customer_ID_Clean]],CustomersTable[],4,FALSE)</f>
        <v>Quebec</v>
      </c>
      <c r="AL98" s="8">
        <f>IF(RawSalesTable6[[#This Row],[Return_Status]]="Yes",1,0)</f>
        <v>0</v>
      </c>
    </row>
    <row r="99" spans="1:38">
      <c r="A99" t="s">
        <v>381</v>
      </c>
      <c r="B99" s="3">
        <v>45914</v>
      </c>
      <c r="C99" t="s">
        <v>209</v>
      </c>
      <c r="D99" t="s">
        <v>190</v>
      </c>
      <c r="E99" t="s">
        <v>211</v>
      </c>
      <c r="F99" t="s">
        <v>111</v>
      </c>
      <c r="G99" t="s">
        <v>88</v>
      </c>
      <c r="H99" t="s">
        <v>89</v>
      </c>
      <c r="I99">
        <v>2</v>
      </c>
      <c r="J99" s="2">
        <v>285.22000000000003</v>
      </c>
      <c r="K99" s="4">
        <v>0</v>
      </c>
      <c r="L99" t="s">
        <v>353</v>
      </c>
      <c r="M99">
        <v>7</v>
      </c>
      <c r="N99" t="s">
        <v>91</v>
      </c>
      <c r="O99" t="str">
        <f>SUBSTITUTE(PROPER(TRIM(RawSalesTable6[[#This Row],[Channel_Raw]])),"Market Place","Marketplace")</f>
        <v>Online</v>
      </c>
      <c r="P99" t="str">
        <f>TRIM(RawSalesTable6[[#This Row],[Product_ID]])</f>
        <v>P1004</v>
      </c>
      <c r="Q99" t="str">
        <f>TRIM(RawSalesTable6[[#This Row],[Customer_ID]])</f>
        <v>C0005</v>
      </c>
      <c r="R99" s="8" t="str">
        <f>PROPER(TRIM(RawSalesTable6[[#This Row],[Store_Raw]]))</f>
        <v>Montreal Central</v>
      </c>
      <c r="S99" s="8" t="str">
        <f>IF(TRIM(RawSalesTable6[[#This Row],[Payment_Method_Raw]])="","Non renseigné",SUBSTITUTE(PROPER(TRIM(RawSalesTable6[[#This Row],[Payment_Method_Raw]])),"Cc","Credit Card"))</f>
        <v>Credit Card</v>
      </c>
      <c r="T99" s="8">
        <f>COUNTIF(A:A,RawSalesTable6[[#This Row],[Order_ID]])</f>
        <v>1</v>
      </c>
      <c r="U99" s="8" t="str">
        <f>TRIM(LEFT(RawSalesTable6[[#This Row],[Customer_Info]],FIND(",",RawSalesTable6[[#This Row],[Customer_Info]])-1))</f>
        <v>Yasmine Taylor</v>
      </c>
      <c r="V99" s="8" t="str">
        <f>TRIM(MID(RawSalesTable6[[#This Row],[Customer_Info]],FIND(",",RawSalesTable6[[#This Row],[Customer_Info]])+1,FIND(",",RawSalesTable6[[#This Row],[Customer_Info]],FIND(",",RawSalesTable6[[#This Row],[Customer_Info]])+1)-FIND(",",RawSalesTable6[[#This Row],[Customer_Info]])-1))</f>
        <v>Calgary</v>
      </c>
      <c r="W99" s="8" t="str">
        <f>TRIM(RIGHT(RawSalesTable6[[#This Row],[Customer_Info]],LEN(RawSalesTable6[[#This Row],[Customer_Info]])-FIND(",",RawSalesTable6[[#This Row],[Customer_Info]],FIND(",",RawSalesTable6[[#This Row],[Customer_Info]])+1)))</f>
        <v>Consumer</v>
      </c>
      <c r="X99" s="8" t="str">
        <f>VLOOKUP(RawSalesTable6[[#This Row],[Product_ID_Clean]],ProductsTable[],2,FALSE)</f>
        <v>Webcam</v>
      </c>
      <c r="Y99" s="8" t="str">
        <f>VLOOKUP(RawSalesTable6[[#This Row],[Product_ID_Clean]],ProductsTable[],3,FALSE)</f>
        <v>Electronics</v>
      </c>
      <c r="Z99" s="8">
        <f>VLOOKUP(RawSalesTable6[[#This Row],[Product_ID_Clean]],ProductsTable[],5,FALSE)</f>
        <v>154.72999999999999</v>
      </c>
      <c r="AA99" s="8">
        <f>RawSalesTable6[[#This Row],[Unit_Price]]*RawSalesTable6[[#This Row],[Quantity]]</f>
        <v>570.44000000000005</v>
      </c>
      <c r="AB99" s="8">
        <f>RawSalesTable6[[#This Row],[Gross_Sales]]*RawSalesTable6[[#This Row],[Discount_Pct]]</f>
        <v>0</v>
      </c>
      <c r="AC99" s="8">
        <f>RawSalesTable6[[#This Row],[Gross_Sales]]-RawSalesTable6[[#This Row],[Discount_Amount]]</f>
        <v>570.44000000000005</v>
      </c>
      <c r="AD99" s="8">
        <f>RawSalesTable6[[#This Row],[Unit_Cost]]*RawSalesTable6[[#This Row],[Quantity]]</f>
        <v>309.45999999999998</v>
      </c>
      <c r="AE99" s="8">
        <f>RawSalesTable6[[#This Row],[Net_Sales]]-RawSalesTable6[[#This Row],[Total_Cost]]</f>
        <v>260.98000000000008</v>
      </c>
      <c r="AF99" s="9">
        <f>RawSalesTable6[[#This Row],[Profit]]/RawSalesTable6[[#This Row],[Net_Sales]]</f>
        <v>0.45750648622116269</v>
      </c>
      <c r="AG99" s="8">
        <f>YEAR(RawSalesTable6[[#This Row],[Order_Date]])</f>
        <v>2025</v>
      </c>
      <c r="AH99" s="8">
        <f>MONTH(RawSalesTable6[[#This Row],[Order_Date]])</f>
        <v>9</v>
      </c>
      <c r="AI99" s="8" t="str">
        <f>TEXT(RawSalesTable6[[#This Row],[Order_Date]],"mmmm")</f>
        <v>septembre</v>
      </c>
      <c r="AJ99" s="8" t="str">
        <f>IF(RawSalesTable6[[#This Row],[Month_Number]]&lt;=3,"Q1",IF(RawSalesTable6[[#This Row],[Month_Number]]&lt;=6,"Q2",IF(RawSalesTable6[[#This Row],[Month_Number]]&lt;=9,"Q3","Q4")))</f>
        <v>Q3</v>
      </c>
      <c r="AK99" s="8" t="str">
        <f>VLOOKUP(RawSalesTable6[[#This Row],[Customer_ID_Clean]],CustomersTable[],4,FALSE)</f>
        <v>Alberta</v>
      </c>
      <c r="AL99" s="8">
        <f>IF(RawSalesTable6[[#This Row],[Return_Status]]="Yes",1,0)</f>
        <v>0</v>
      </c>
    </row>
    <row r="100" spans="1:38">
      <c r="A100" t="s">
        <v>382</v>
      </c>
      <c r="B100" s="3">
        <v>45720</v>
      </c>
      <c r="C100" t="s">
        <v>209</v>
      </c>
      <c r="D100" t="s">
        <v>165</v>
      </c>
      <c r="E100" t="s">
        <v>211</v>
      </c>
      <c r="F100" t="s">
        <v>116</v>
      </c>
      <c r="G100" t="s">
        <v>96</v>
      </c>
      <c r="H100" t="s">
        <v>97</v>
      </c>
      <c r="I100">
        <v>1</v>
      </c>
      <c r="J100" s="2">
        <v>107.22</v>
      </c>
      <c r="K100" s="4">
        <v>0.1</v>
      </c>
      <c r="L100" t="s">
        <v>106</v>
      </c>
      <c r="M100">
        <v>4</v>
      </c>
      <c r="N100" t="s">
        <v>91</v>
      </c>
      <c r="O100" t="str">
        <f>SUBSTITUTE(PROPER(TRIM(RawSalesTable6[[#This Row],[Channel_Raw]])),"Market Place","Marketplace")</f>
        <v>Retail Store</v>
      </c>
      <c r="P100" t="str">
        <f>TRIM(RawSalesTable6[[#This Row],[Product_ID]])</f>
        <v>P1024</v>
      </c>
      <c r="Q100" t="str">
        <f>TRIM(RawSalesTable6[[#This Row],[Customer_ID]])</f>
        <v>C0005</v>
      </c>
      <c r="R100" s="8" t="str">
        <f>PROPER(TRIM(RawSalesTable6[[#This Row],[Store_Raw]]))</f>
        <v>Toronto Downtown</v>
      </c>
      <c r="S100" s="8" t="str">
        <f>IF(TRIM(RawSalesTable6[[#This Row],[Payment_Method_Raw]])="","Non renseigné",SUBSTITUTE(PROPER(TRIM(RawSalesTable6[[#This Row],[Payment_Method_Raw]])),"Cc","Credit Card"))</f>
        <v>Credit Card</v>
      </c>
      <c r="T100" s="8">
        <f>COUNTIF(A:A,RawSalesTable6[[#This Row],[Order_ID]])</f>
        <v>1</v>
      </c>
      <c r="U100" s="8" t="str">
        <f>TRIM(LEFT(RawSalesTable6[[#This Row],[Customer_Info]],FIND(",",RawSalesTable6[[#This Row],[Customer_Info]])-1))</f>
        <v>Yasmine Taylor</v>
      </c>
      <c r="V100" s="8" t="str">
        <f>TRIM(MID(RawSalesTable6[[#This Row],[Customer_Info]],FIND(",",RawSalesTable6[[#This Row],[Customer_Info]])+1,FIND(",",RawSalesTable6[[#This Row],[Customer_Info]],FIND(",",RawSalesTable6[[#This Row],[Customer_Info]])+1)-FIND(",",RawSalesTable6[[#This Row],[Customer_Info]])-1))</f>
        <v>Calgary</v>
      </c>
      <c r="W100" s="8" t="str">
        <f>TRIM(RIGHT(RawSalesTable6[[#This Row],[Customer_Info]],LEN(RawSalesTable6[[#This Row],[Customer_Info]])-FIND(",",RawSalesTable6[[#This Row],[Customer_Info]],FIND(",",RawSalesTable6[[#This Row],[Customer_Info]])+1)))</f>
        <v>Consumer</v>
      </c>
      <c r="X100" s="8" t="str">
        <f>VLOOKUP(RawSalesTable6[[#This Row],[Product_ID_Clean]],ProductsTable[],2,FALSE)</f>
        <v>Food Scale</v>
      </c>
      <c r="Y100" s="8" t="str">
        <f>VLOOKUP(RawSalesTable6[[#This Row],[Product_ID_Clean]],ProductsTable[],3,FALSE)</f>
        <v>Home</v>
      </c>
      <c r="Z100" s="8">
        <f>VLOOKUP(RawSalesTable6[[#This Row],[Product_ID_Clean]],ProductsTable[],5,FALSE)</f>
        <v>46.07</v>
      </c>
      <c r="AA100" s="8">
        <f>RawSalesTable6[[#This Row],[Unit_Price]]*RawSalesTable6[[#This Row],[Quantity]]</f>
        <v>107.22</v>
      </c>
      <c r="AB100" s="8">
        <f>RawSalesTable6[[#This Row],[Gross_Sales]]*RawSalesTable6[[#This Row],[Discount_Pct]]</f>
        <v>10.722000000000001</v>
      </c>
      <c r="AC100" s="8">
        <f>RawSalesTable6[[#This Row],[Gross_Sales]]-RawSalesTable6[[#This Row],[Discount_Amount]]</f>
        <v>96.49799999999999</v>
      </c>
      <c r="AD100" s="8">
        <f>RawSalesTable6[[#This Row],[Unit_Cost]]*RawSalesTable6[[#This Row],[Quantity]]</f>
        <v>46.07</v>
      </c>
      <c r="AE100" s="8">
        <f>RawSalesTable6[[#This Row],[Net_Sales]]-RawSalesTable6[[#This Row],[Total_Cost]]</f>
        <v>50.42799999999999</v>
      </c>
      <c r="AF100" s="9">
        <f>RawSalesTable6[[#This Row],[Profit]]/RawSalesTable6[[#This Row],[Net_Sales]]</f>
        <v>0.5225807788762461</v>
      </c>
      <c r="AG100" s="8">
        <f>YEAR(RawSalesTable6[[#This Row],[Order_Date]])</f>
        <v>2025</v>
      </c>
      <c r="AH100" s="8">
        <f>MONTH(RawSalesTable6[[#This Row],[Order_Date]])</f>
        <v>3</v>
      </c>
      <c r="AI100" s="8" t="str">
        <f>TEXT(RawSalesTable6[[#This Row],[Order_Date]],"mmmm")</f>
        <v>mars</v>
      </c>
      <c r="AJ100" s="8" t="str">
        <f>IF(RawSalesTable6[[#This Row],[Month_Number]]&lt;=3,"Q1",IF(RawSalesTable6[[#This Row],[Month_Number]]&lt;=6,"Q2",IF(RawSalesTable6[[#This Row],[Month_Number]]&lt;=9,"Q3","Q4")))</f>
        <v>Q1</v>
      </c>
      <c r="AK100" s="8" t="str">
        <f>VLOOKUP(RawSalesTable6[[#This Row],[Customer_ID_Clean]],CustomersTable[],4,FALSE)</f>
        <v>Alberta</v>
      </c>
      <c r="AL100" s="8">
        <f>IF(RawSalesTable6[[#This Row],[Return_Status]]="Yes",1,0)</f>
        <v>0</v>
      </c>
    </row>
    <row r="101" spans="1:38">
      <c r="A101" t="s">
        <v>383</v>
      </c>
      <c r="B101" s="3">
        <v>46004</v>
      </c>
      <c r="C101" t="s">
        <v>142</v>
      </c>
      <c r="D101" t="s">
        <v>194</v>
      </c>
      <c r="E101" t="s">
        <v>144</v>
      </c>
      <c r="F101" t="s">
        <v>145</v>
      </c>
      <c r="G101" t="s">
        <v>171</v>
      </c>
      <c r="H101" t="s">
        <v>105</v>
      </c>
      <c r="I101">
        <v>1</v>
      </c>
      <c r="J101" s="2">
        <v>210.86</v>
      </c>
      <c r="K101" s="4">
        <v>0.15</v>
      </c>
      <c r="L101" t="s">
        <v>154</v>
      </c>
      <c r="M101">
        <v>9</v>
      </c>
      <c r="N101" t="s">
        <v>91</v>
      </c>
      <c r="O101" t="str">
        <f>SUBSTITUTE(PROPER(TRIM(RawSalesTable6[[#This Row],[Channel_Raw]])),"Market Place","Marketplace")</f>
        <v>Marketplace</v>
      </c>
      <c r="P101" t="str">
        <f>TRIM(RawSalesTable6[[#This Row],[Product_ID]])</f>
        <v>P1029</v>
      </c>
      <c r="Q101" t="str">
        <f>TRIM(RawSalesTable6[[#This Row],[Customer_ID]])</f>
        <v>C0002</v>
      </c>
      <c r="R101" s="8" t="str">
        <f>PROPER(TRIM(RawSalesTable6[[#This Row],[Store_Raw]]))</f>
        <v>Calgary North</v>
      </c>
      <c r="S101" s="8" t="str">
        <f>IF(TRIM(RawSalesTable6[[#This Row],[Payment_Method_Raw]])="","Non renseigné",SUBSTITUTE(PROPER(TRIM(RawSalesTable6[[#This Row],[Payment_Method_Raw]])),"Cc","Credit Card"))</f>
        <v>Gift Card</v>
      </c>
      <c r="T101" s="8">
        <f>COUNTIF(A:A,RawSalesTable6[[#This Row],[Order_ID]])</f>
        <v>1</v>
      </c>
      <c r="U101" s="8" t="str">
        <f>TRIM(LEFT(RawSalesTable6[[#This Row],[Customer_Info]],FIND(",",RawSalesTable6[[#This Row],[Customer_Info]])-1))</f>
        <v>Ryan Johnson</v>
      </c>
      <c r="V101" s="8" t="str">
        <f>TRIM(MID(RawSalesTable6[[#This Row],[Customer_Info]],FIND(",",RawSalesTable6[[#This Row],[Customer_Info]])+1,FIND(",",RawSalesTable6[[#This Row],[Customer_Info]],FIND(",",RawSalesTable6[[#This Row],[Customer_Info]])+1)-FIND(",",RawSalesTable6[[#This Row],[Customer_Info]])-1))</f>
        <v>Montreal</v>
      </c>
      <c r="W101" s="8" t="str">
        <f>TRIM(RIGHT(RawSalesTable6[[#This Row],[Customer_Info]],LEN(RawSalesTable6[[#This Row],[Customer_Info]])-FIND(",",RawSalesTable6[[#This Row],[Customer_Info]],FIND(",",RawSalesTable6[[#This Row],[Customer_Info]])+1)))</f>
        <v>Small Business</v>
      </c>
      <c r="X101" s="8" t="str">
        <f>VLOOKUP(RawSalesTable6[[#This Row],[Product_ID_Clean]],ProductsTable[],2,FALSE)</f>
        <v>Jump Rope</v>
      </c>
      <c r="Y101" s="8" t="str">
        <f>VLOOKUP(RawSalesTable6[[#This Row],[Product_ID_Clean]],ProductsTable[],3,FALSE)</f>
        <v>Fitness</v>
      </c>
      <c r="Z101" s="8">
        <f>VLOOKUP(RawSalesTable6[[#This Row],[Product_ID_Clean]],ProductsTable[],5,FALSE)</f>
        <v>101</v>
      </c>
      <c r="AA101" s="8">
        <f>RawSalesTable6[[#This Row],[Unit_Price]]*RawSalesTable6[[#This Row],[Quantity]]</f>
        <v>210.86</v>
      </c>
      <c r="AB101" s="8">
        <f>RawSalesTable6[[#This Row],[Gross_Sales]]*RawSalesTable6[[#This Row],[Discount_Pct]]</f>
        <v>31.629000000000001</v>
      </c>
      <c r="AC101" s="8">
        <f>RawSalesTable6[[#This Row],[Gross_Sales]]-RawSalesTable6[[#This Row],[Discount_Amount]]</f>
        <v>179.23100000000002</v>
      </c>
      <c r="AD101" s="8">
        <f>RawSalesTable6[[#This Row],[Unit_Cost]]*RawSalesTable6[[#This Row],[Quantity]]</f>
        <v>101</v>
      </c>
      <c r="AE101" s="8">
        <f>RawSalesTable6[[#This Row],[Net_Sales]]-RawSalesTable6[[#This Row],[Total_Cost]]</f>
        <v>78.231000000000023</v>
      </c>
      <c r="AF101" s="9">
        <f>RawSalesTable6[[#This Row],[Profit]]/RawSalesTable6[[#This Row],[Net_Sales]]</f>
        <v>0.43648141225569242</v>
      </c>
      <c r="AG101" s="8">
        <f>YEAR(RawSalesTable6[[#This Row],[Order_Date]])</f>
        <v>2025</v>
      </c>
      <c r="AH101" s="8">
        <f>MONTH(RawSalesTable6[[#This Row],[Order_Date]])</f>
        <v>12</v>
      </c>
      <c r="AI101" s="8" t="str">
        <f>TEXT(RawSalesTable6[[#This Row],[Order_Date]],"mmmm")</f>
        <v>décembre</v>
      </c>
      <c r="AJ101" s="8" t="str">
        <f>IF(RawSalesTable6[[#This Row],[Month_Number]]&lt;=3,"Q1",IF(RawSalesTable6[[#This Row],[Month_Number]]&lt;=6,"Q2",IF(RawSalesTable6[[#This Row],[Month_Number]]&lt;=9,"Q3","Q4")))</f>
        <v>Q4</v>
      </c>
      <c r="AK101" s="8" t="str">
        <f>VLOOKUP(RawSalesTable6[[#This Row],[Customer_ID_Clean]],CustomersTable[],4,FALSE)</f>
        <v>Quebec</v>
      </c>
      <c r="AL101" s="8">
        <f>IF(RawSalesTable6[[#This Row],[Return_Status]]="Yes",1,0)</f>
        <v>0</v>
      </c>
    </row>
    <row r="102" spans="1:38">
      <c r="A102" t="s">
        <v>384</v>
      </c>
      <c r="B102" s="3">
        <v>45789</v>
      </c>
      <c r="C102" t="s">
        <v>132</v>
      </c>
      <c r="D102" t="s">
        <v>101</v>
      </c>
      <c r="E102" t="s">
        <v>134</v>
      </c>
      <c r="F102" t="s">
        <v>87</v>
      </c>
      <c r="G102" t="s">
        <v>183</v>
      </c>
      <c r="H102" t="s">
        <v>89</v>
      </c>
      <c r="I102">
        <v>1</v>
      </c>
      <c r="J102" s="2">
        <v>300.5</v>
      </c>
      <c r="K102" s="4">
        <v>0.05</v>
      </c>
      <c r="L102" t="s">
        <v>106</v>
      </c>
      <c r="M102">
        <v>8</v>
      </c>
      <c r="N102" t="s">
        <v>91</v>
      </c>
      <c r="O102" t="str">
        <f>SUBSTITUTE(PROPER(TRIM(RawSalesTable6[[#This Row],[Channel_Raw]])),"Market Place","Marketplace")</f>
        <v>Online</v>
      </c>
      <c r="P102" t="str">
        <f>TRIM(RawSalesTable6[[#This Row],[Product_ID]])</f>
        <v>P1021</v>
      </c>
      <c r="Q102" t="str">
        <f>TRIM(RawSalesTable6[[#This Row],[Customer_ID]])</f>
        <v>C0104</v>
      </c>
      <c r="R102" s="8" t="str">
        <f>PROPER(TRIM(RawSalesTable6[[#This Row],[Store_Raw]]))</f>
        <v>Online Fulfillment</v>
      </c>
      <c r="S102" s="8" t="str">
        <f>IF(TRIM(RawSalesTable6[[#This Row],[Payment_Method_Raw]])="","Non renseigné",SUBSTITUTE(PROPER(TRIM(RawSalesTable6[[#This Row],[Payment_Method_Raw]])),"Cc","Credit Card"))</f>
        <v>Credit Card</v>
      </c>
      <c r="T102" s="8">
        <f>COUNTIF(A:A,RawSalesTable6[[#This Row],[Order_ID]])</f>
        <v>1</v>
      </c>
      <c r="U102" s="8" t="str">
        <f>TRIM(LEFT(RawSalesTable6[[#This Row],[Customer_Info]],FIND(",",RawSalesTable6[[#This Row],[Customer_Info]])-1))</f>
        <v>Ava Scott</v>
      </c>
      <c r="V102" s="8" t="str">
        <f>TRIM(MID(RawSalesTable6[[#This Row],[Customer_Info]],FIND(",",RawSalesTable6[[#This Row],[Customer_Info]])+1,FIND(",",RawSalesTable6[[#This Row],[Customer_Info]],FIND(",",RawSalesTable6[[#This Row],[Customer_Info]])+1)-FIND(",",RawSalesTable6[[#This Row],[Customer_Info]])-1))</f>
        <v>Edmonton</v>
      </c>
      <c r="W102" s="8" t="str">
        <f>TRIM(RIGHT(RawSalesTable6[[#This Row],[Customer_Info]],LEN(RawSalesTable6[[#This Row],[Customer_Info]])-FIND(",",RawSalesTable6[[#This Row],[Customer_Info]],FIND(",",RawSalesTable6[[#This Row],[Customer_Info]])+1)))</f>
        <v>Corporate</v>
      </c>
      <c r="X102" s="8" t="str">
        <f>VLOOKUP(RawSalesTable6[[#This Row],[Product_ID_Clean]],ProductsTable[],2,FALSE)</f>
        <v>Kettle</v>
      </c>
      <c r="Y102" s="8" t="str">
        <f>VLOOKUP(RawSalesTable6[[#This Row],[Product_ID_Clean]],ProductsTable[],3,FALSE)</f>
        <v>Home</v>
      </c>
      <c r="Z102" s="8">
        <f>VLOOKUP(RawSalesTable6[[#This Row],[Product_ID_Clean]],ProductsTable[],5,FALSE)</f>
        <v>139.86000000000001</v>
      </c>
      <c r="AA102" s="8">
        <f>RawSalesTable6[[#This Row],[Unit_Price]]*RawSalesTable6[[#This Row],[Quantity]]</f>
        <v>300.5</v>
      </c>
      <c r="AB102" s="8">
        <f>RawSalesTable6[[#This Row],[Gross_Sales]]*RawSalesTable6[[#This Row],[Discount_Pct]]</f>
        <v>15.025</v>
      </c>
      <c r="AC102" s="8">
        <f>RawSalesTable6[[#This Row],[Gross_Sales]]-RawSalesTable6[[#This Row],[Discount_Amount]]</f>
        <v>285.47500000000002</v>
      </c>
      <c r="AD102" s="8">
        <f>RawSalesTable6[[#This Row],[Unit_Cost]]*RawSalesTable6[[#This Row],[Quantity]]</f>
        <v>139.86000000000001</v>
      </c>
      <c r="AE102" s="8">
        <f>RawSalesTable6[[#This Row],[Net_Sales]]-RawSalesTable6[[#This Row],[Total_Cost]]</f>
        <v>145.61500000000001</v>
      </c>
      <c r="AF102" s="9">
        <f>RawSalesTable6[[#This Row],[Profit]]/RawSalesTable6[[#This Row],[Net_Sales]]</f>
        <v>0.51007969174183376</v>
      </c>
      <c r="AG102" s="8">
        <f>YEAR(RawSalesTable6[[#This Row],[Order_Date]])</f>
        <v>2025</v>
      </c>
      <c r="AH102" s="8">
        <f>MONTH(RawSalesTable6[[#This Row],[Order_Date]])</f>
        <v>5</v>
      </c>
      <c r="AI102" s="8" t="str">
        <f>TEXT(RawSalesTable6[[#This Row],[Order_Date]],"mmmm")</f>
        <v>mai</v>
      </c>
      <c r="AJ102" s="8" t="str">
        <f>IF(RawSalesTable6[[#This Row],[Month_Number]]&lt;=3,"Q1",IF(RawSalesTable6[[#This Row],[Month_Number]]&lt;=6,"Q2",IF(RawSalesTable6[[#This Row],[Month_Number]]&lt;=9,"Q3","Q4")))</f>
        <v>Q2</v>
      </c>
      <c r="AK102" s="8" t="str">
        <f>VLOOKUP(RawSalesTable6[[#This Row],[Customer_ID_Clean]],CustomersTable[],4,FALSE)</f>
        <v>Alberta</v>
      </c>
      <c r="AL102" s="8">
        <f>IF(RawSalesTable6[[#This Row],[Return_Status]]="Yes",1,0)</f>
        <v>0</v>
      </c>
    </row>
    <row r="103" spans="1:38">
      <c r="A103" t="s">
        <v>385</v>
      </c>
      <c r="B103" s="3">
        <v>45837</v>
      </c>
      <c r="C103" t="s">
        <v>386</v>
      </c>
      <c r="D103" t="s">
        <v>360</v>
      </c>
      <c r="E103" t="s">
        <v>387</v>
      </c>
      <c r="F103" t="s">
        <v>116</v>
      </c>
      <c r="G103" t="s">
        <v>96</v>
      </c>
      <c r="H103" t="s">
        <v>89</v>
      </c>
      <c r="I103">
        <v>3</v>
      </c>
      <c r="J103" s="2">
        <v>63.14</v>
      </c>
      <c r="K103" s="4">
        <v>0</v>
      </c>
      <c r="L103" t="s">
        <v>90</v>
      </c>
      <c r="M103">
        <v>9</v>
      </c>
      <c r="N103" t="s">
        <v>91</v>
      </c>
      <c r="O103" t="str">
        <f>SUBSTITUTE(PROPER(TRIM(RawSalesTable6[[#This Row],[Channel_Raw]])),"Market Place","Marketplace")</f>
        <v>Online</v>
      </c>
      <c r="P103" t="str">
        <f>TRIM(RawSalesTable6[[#This Row],[Product_ID]])</f>
        <v>P1020</v>
      </c>
      <c r="Q103" t="str">
        <f>TRIM(RawSalesTable6[[#This Row],[Customer_ID]])</f>
        <v>C0009</v>
      </c>
      <c r="R103" s="8" t="str">
        <f>PROPER(TRIM(RawSalesTable6[[#This Row],[Store_Raw]]))</f>
        <v>Toronto Downtown</v>
      </c>
      <c r="S103" s="8" t="str">
        <f>IF(TRIM(RawSalesTable6[[#This Row],[Payment_Method_Raw]])="","Non renseigné",SUBSTITUTE(PROPER(TRIM(RawSalesTable6[[#This Row],[Payment_Method_Raw]])),"Cc","Credit Card"))</f>
        <v>Paypal</v>
      </c>
      <c r="T103" s="8">
        <f>COUNTIF(A:A,RawSalesTable6[[#This Row],[Order_ID]])</f>
        <v>1</v>
      </c>
      <c r="U103" s="8" t="str">
        <f>TRIM(LEFT(RawSalesTable6[[#This Row],[Customer_Info]],FIND(",",RawSalesTable6[[#This Row],[Customer_Info]])-1))</f>
        <v>Ethan Tremblay</v>
      </c>
      <c r="V103" s="8" t="str">
        <f>TRIM(MID(RawSalesTable6[[#This Row],[Customer_Info]],FIND(",",RawSalesTable6[[#This Row],[Customer_Info]])+1,FIND(",",RawSalesTable6[[#This Row],[Customer_Info]],FIND(",",RawSalesTable6[[#This Row],[Customer_Info]])+1)-FIND(",",RawSalesTable6[[#This Row],[Customer_Info]])-1))</f>
        <v>Mississauga</v>
      </c>
      <c r="W103" s="8" t="str">
        <f>TRIM(RIGHT(RawSalesTable6[[#This Row],[Customer_Info]],LEN(RawSalesTable6[[#This Row],[Customer_Info]])-FIND(",",RawSalesTable6[[#This Row],[Customer_Info]],FIND(",",RawSalesTable6[[#This Row],[Customer_Info]])+1)))</f>
        <v>Corporate</v>
      </c>
      <c r="X103" s="8" t="str">
        <f>VLOOKUP(RawSalesTable6[[#This Row],[Product_ID_Clean]],ProductsTable[],2,FALSE)</f>
        <v>Blender</v>
      </c>
      <c r="Y103" s="8" t="str">
        <f>VLOOKUP(RawSalesTable6[[#This Row],[Product_ID_Clean]],ProductsTable[],3,FALSE)</f>
        <v>Home</v>
      </c>
      <c r="Z103" s="8">
        <f>VLOOKUP(RawSalesTable6[[#This Row],[Product_ID_Clean]],ProductsTable[],5,FALSE)</f>
        <v>37.46</v>
      </c>
      <c r="AA103" s="8">
        <f>RawSalesTable6[[#This Row],[Unit_Price]]*RawSalesTable6[[#This Row],[Quantity]]</f>
        <v>189.42000000000002</v>
      </c>
      <c r="AB103" s="8">
        <f>RawSalesTable6[[#This Row],[Gross_Sales]]*RawSalesTable6[[#This Row],[Discount_Pct]]</f>
        <v>0</v>
      </c>
      <c r="AC103" s="8">
        <f>RawSalesTable6[[#This Row],[Gross_Sales]]-RawSalesTable6[[#This Row],[Discount_Amount]]</f>
        <v>189.42000000000002</v>
      </c>
      <c r="AD103" s="8">
        <f>RawSalesTable6[[#This Row],[Unit_Cost]]*RawSalesTable6[[#This Row],[Quantity]]</f>
        <v>112.38</v>
      </c>
      <c r="AE103" s="8">
        <f>RawSalesTable6[[#This Row],[Net_Sales]]-RawSalesTable6[[#This Row],[Total_Cost]]</f>
        <v>77.04000000000002</v>
      </c>
      <c r="AF103" s="9">
        <f>RawSalesTable6[[#This Row],[Profit]]/RawSalesTable6[[#This Row],[Net_Sales]]</f>
        <v>0.40671523598352877</v>
      </c>
      <c r="AG103" s="8">
        <f>YEAR(RawSalesTable6[[#This Row],[Order_Date]])</f>
        <v>2025</v>
      </c>
      <c r="AH103" s="8">
        <f>MONTH(RawSalesTable6[[#This Row],[Order_Date]])</f>
        <v>6</v>
      </c>
      <c r="AI103" s="8" t="str">
        <f>TEXT(RawSalesTable6[[#This Row],[Order_Date]],"mmmm")</f>
        <v>juin</v>
      </c>
      <c r="AJ103" s="8" t="str">
        <f>IF(RawSalesTable6[[#This Row],[Month_Number]]&lt;=3,"Q1",IF(RawSalesTable6[[#This Row],[Month_Number]]&lt;=6,"Q2",IF(RawSalesTable6[[#This Row],[Month_Number]]&lt;=9,"Q3","Q4")))</f>
        <v>Q2</v>
      </c>
      <c r="AK103" s="8" t="str">
        <f>VLOOKUP(RawSalesTable6[[#This Row],[Customer_ID_Clean]],CustomersTable[],4,FALSE)</f>
        <v>Ontario</v>
      </c>
      <c r="AL103" s="8">
        <f>IF(RawSalesTable6[[#This Row],[Return_Status]]="Yes",1,0)</f>
        <v>0</v>
      </c>
    </row>
    <row r="104" spans="1:38">
      <c r="A104" t="s">
        <v>388</v>
      </c>
      <c r="B104" s="3">
        <v>45843</v>
      </c>
      <c r="C104" t="s">
        <v>389</v>
      </c>
      <c r="D104" t="s">
        <v>226</v>
      </c>
      <c r="E104" t="s">
        <v>390</v>
      </c>
      <c r="F104" t="s">
        <v>87</v>
      </c>
      <c r="G104" t="s">
        <v>183</v>
      </c>
      <c r="H104" t="s">
        <v>89</v>
      </c>
      <c r="I104">
        <v>1</v>
      </c>
      <c r="J104" s="2">
        <v>212.87</v>
      </c>
      <c r="K104" s="4">
        <v>0.05</v>
      </c>
      <c r="L104" t="s">
        <v>90</v>
      </c>
      <c r="M104">
        <v>6</v>
      </c>
      <c r="N104" t="s">
        <v>91</v>
      </c>
      <c r="O104" t="str">
        <f>SUBSTITUTE(PROPER(TRIM(RawSalesTable6[[#This Row],[Channel_Raw]])),"Market Place","Marketplace")</f>
        <v>Online</v>
      </c>
      <c r="P104" t="str">
        <f>TRIM(RawSalesTable6[[#This Row],[Product_ID]])</f>
        <v>P1010</v>
      </c>
      <c r="Q104" t="str">
        <f>TRIM(RawSalesTable6[[#This Row],[Customer_ID]])</f>
        <v>C0103</v>
      </c>
      <c r="R104" s="8" t="str">
        <f>PROPER(TRIM(RawSalesTable6[[#This Row],[Store_Raw]]))</f>
        <v>Online Fulfillment</v>
      </c>
      <c r="S104" s="8" t="str">
        <f>IF(TRIM(RawSalesTable6[[#This Row],[Payment_Method_Raw]])="","Non renseigné",SUBSTITUTE(PROPER(TRIM(RawSalesTable6[[#This Row],[Payment_Method_Raw]])),"Cc","Credit Card"))</f>
        <v>Paypal</v>
      </c>
      <c r="T104" s="8">
        <f>COUNTIF(A:A,RawSalesTable6[[#This Row],[Order_ID]])</f>
        <v>1</v>
      </c>
      <c r="U104" s="8" t="str">
        <f>TRIM(LEFT(RawSalesTable6[[#This Row],[Customer_Info]],FIND(",",RawSalesTable6[[#This Row],[Customer_Info]])-1))</f>
        <v>Zoe Singh</v>
      </c>
      <c r="V104" s="8" t="str">
        <f>TRIM(MID(RawSalesTable6[[#This Row],[Customer_Info]],FIND(",",RawSalesTable6[[#This Row],[Customer_Info]])+1,FIND(",",RawSalesTable6[[#This Row],[Customer_Info]],FIND(",",RawSalesTable6[[#This Row],[Customer_Info]])+1)-FIND(",",RawSalesTable6[[#This Row],[Customer_Info]])-1))</f>
        <v>Saskatoon</v>
      </c>
      <c r="W104" s="8" t="str">
        <f>TRIM(RIGHT(RawSalesTable6[[#This Row],[Customer_Info]],LEN(RawSalesTable6[[#This Row],[Customer_Info]])-FIND(",",RawSalesTable6[[#This Row],[Customer_Info]],FIND(",",RawSalesTable6[[#This Row],[Customer_Info]])+1)))</f>
        <v>Corporate</v>
      </c>
      <c r="X104" s="8" t="str">
        <f>VLOOKUP(RawSalesTable6[[#This Row],[Product_ID_Clean]],ProductsTable[],2,FALSE)</f>
        <v>Desk Lamp</v>
      </c>
      <c r="Y104" s="8" t="str">
        <f>VLOOKUP(RawSalesTable6[[#This Row],[Product_ID_Clean]],ProductsTable[],3,FALSE)</f>
        <v>Office</v>
      </c>
      <c r="Z104" s="8">
        <f>VLOOKUP(RawSalesTable6[[#This Row],[Product_ID_Clean]],ProductsTable[],5,FALSE)</f>
        <v>127.21</v>
      </c>
      <c r="AA104" s="8">
        <f>RawSalesTable6[[#This Row],[Unit_Price]]*RawSalesTable6[[#This Row],[Quantity]]</f>
        <v>212.87</v>
      </c>
      <c r="AB104" s="8">
        <f>RawSalesTable6[[#This Row],[Gross_Sales]]*RawSalesTable6[[#This Row],[Discount_Pct]]</f>
        <v>10.643500000000001</v>
      </c>
      <c r="AC104" s="8">
        <f>RawSalesTable6[[#This Row],[Gross_Sales]]-RawSalesTable6[[#This Row],[Discount_Amount]]</f>
        <v>202.22650000000002</v>
      </c>
      <c r="AD104" s="8">
        <f>RawSalesTable6[[#This Row],[Unit_Cost]]*RawSalesTable6[[#This Row],[Quantity]]</f>
        <v>127.21</v>
      </c>
      <c r="AE104" s="8">
        <f>RawSalesTable6[[#This Row],[Net_Sales]]-RawSalesTable6[[#This Row],[Total_Cost]]</f>
        <v>75.016500000000022</v>
      </c>
      <c r="AF104" s="9">
        <f>RawSalesTable6[[#This Row],[Profit]]/RawSalesTable6[[#This Row],[Net_Sales]]</f>
        <v>0.37095286720583115</v>
      </c>
      <c r="AG104" s="8">
        <f>YEAR(RawSalesTable6[[#This Row],[Order_Date]])</f>
        <v>2025</v>
      </c>
      <c r="AH104" s="8">
        <f>MONTH(RawSalesTable6[[#This Row],[Order_Date]])</f>
        <v>7</v>
      </c>
      <c r="AI104" s="8" t="str">
        <f>TEXT(RawSalesTable6[[#This Row],[Order_Date]],"mmmm")</f>
        <v>juillet</v>
      </c>
      <c r="AJ104" s="8" t="str">
        <f>IF(RawSalesTable6[[#This Row],[Month_Number]]&lt;=3,"Q1",IF(RawSalesTable6[[#This Row],[Month_Number]]&lt;=6,"Q2",IF(RawSalesTable6[[#This Row],[Month_Number]]&lt;=9,"Q3","Q4")))</f>
        <v>Q3</v>
      </c>
      <c r="AK104" s="8" t="str">
        <f>VLOOKUP(RawSalesTable6[[#This Row],[Customer_ID_Clean]],CustomersTable[],4,FALSE)</f>
        <v>Saskatchewan</v>
      </c>
      <c r="AL104" s="8">
        <f>IF(RawSalesTable6[[#This Row],[Return_Status]]="Yes",1,0)</f>
        <v>0</v>
      </c>
    </row>
    <row r="105" spans="1:38">
      <c r="A105" t="s">
        <v>391</v>
      </c>
      <c r="B105" s="3">
        <v>45816</v>
      </c>
      <c r="C105" t="s">
        <v>216</v>
      </c>
      <c r="D105" t="s">
        <v>221</v>
      </c>
      <c r="E105" t="s">
        <v>392</v>
      </c>
      <c r="F105" t="s">
        <v>116</v>
      </c>
      <c r="G105" t="s">
        <v>96</v>
      </c>
      <c r="H105" t="s">
        <v>89</v>
      </c>
      <c r="I105">
        <v>2</v>
      </c>
      <c r="J105" s="2">
        <v>29.54</v>
      </c>
      <c r="K105" s="4">
        <v>0</v>
      </c>
      <c r="L105" t="s">
        <v>90</v>
      </c>
      <c r="M105">
        <v>5</v>
      </c>
      <c r="N105" t="s">
        <v>91</v>
      </c>
      <c r="O105" t="str">
        <f>SUBSTITUTE(PROPER(TRIM(RawSalesTable6[[#This Row],[Channel_Raw]])),"Market Place","Marketplace")</f>
        <v>Online</v>
      </c>
      <c r="P105" t="str">
        <f>TRIM(RawSalesTable6[[#This Row],[Product_ID]])</f>
        <v>P1018</v>
      </c>
      <c r="Q105" t="str">
        <f>TRIM(RawSalesTable6[[#This Row],[Customer_ID]])</f>
        <v>C0065</v>
      </c>
      <c r="R105" s="8" t="str">
        <f>PROPER(TRIM(RawSalesTable6[[#This Row],[Store_Raw]]))</f>
        <v>Toronto Downtown</v>
      </c>
      <c r="S105" s="8" t="str">
        <f>IF(TRIM(RawSalesTable6[[#This Row],[Payment_Method_Raw]])="","Non renseigné",SUBSTITUTE(PROPER(TRIM(RawSalesTable6[[#This Row],[Payment_Method_Raw]])),"Cc","Credit Card"))</f>
        <v>Paypal</v>
      </c>
      <c r="T105" s="8">
        <f>COUNTIF(A:A,RawSalesTable6[[#This Row],[Order_ID]])</f>
        <v>1</v>
      </c>
      <c r="U105" s="8" t="str">
        <f>TRIM(LEFT(RawSalesTable6[[#This Row],[Customer_Info]],FIND(",",RawSalesTable6[[#This Row],[Customer_Info]])-1))</f>
        <v>Mia Wilson</v>
      </c>
      <c r="V105" s="8" t="str">
        <f>TRIM(MID(RawSalesTable6[[#This Row],[Customer_Info]],FIND(",",RawSalesTable6[[#This Row],[Customer_Info]])+1,FIND(",",RawSalesTable6[[#This Row],[Customer_Info]],FIND(",",RawSalesTable6[[#This Row],[Customer_Info]])+1)-FIND(",",RawSalesTable6[[#This Row],[Customer_Info]])-1))</f>
        <v>Quebec City</v>
      </c>
      <c r="W105" s="8" t="str">
        <f>TRIM(RIGHT(RawSalesTable6[[#This Row],[Customer_Info]],LEN(RawSalesTable6[[#This Row],[Customer_Info]])-FIND(",",RawSalesTable6[[#This Row],[Customer_Info]],FIND(",",RawSalesTable6[[#This Row],[Customer_Info]])+1)))</f>
        <v>Consumer</v>
      </c>
      <c r="X105" s="8" t="str">
        <f>VLOOKUP(RawSalesTable6[[#This Row],[Product_ID_Clean]],ProductsTable[],2,FALSE)</f>
        <v>Air Fryer</v>
      </c>
      <c r="Y105" s="8" t="str">
        <f>VLOOKUP(RawSalesTable6[[#This Row],[Product_ID_Clean]],ProductsTable[],3,FALSE)</f>
        <v>Home</v>
      </c>
      <c r="Z105" s="8">
        <f>VLOOKUP(RawSalesTable6[[#This Row],[Product_ID_Clean]],ProductsTable[],5,FALSE)</f>
        <v>14.58</v>
      </c>
      <c r="AA105" s="8">
        <f>RawSalesTable6[[#This Row],[Unit_Price]]*RawSalesTable6[[#This Row],[Quantity]]</f>
        <v>59.08</v>
      </c>
      <c r="AB105" s="8">
        <f>RawSalesTable6[[#This Row],[Gross_Sales]]*RawSalesTable6[[#This Row],[Discount_Pct]]</f>
        <v>0</v>
      </c>
      <c r="AC105" s="8">
        <f>RawSalesTable6[[#This Row],[Gross_Sales]]-RawSalesTable6[[#This Row],[Discount_Amount]]</f>
        <v>59.08</v>
      </c>
      <c r="AD105" s="8">
        <f>RawSalesTable6[[#This Row],[Unit_Cost]]*RawSalesTable6[[#This Row],[Quantity]]</f>
        <v>29.16</v>
      </c>
      <c r="AE105" s="8">
        <f>RawSalesTable6[[#This Row],[Net_Sales]]-RawSalesTable6[[#This Row],[Total_Cost]]</f>
        <v>29.919999999999998</v>
      </c>
      <c r="AF105" s="9">
        <f>RawSalesTable6[[#This Row],[Profit]]/RawSalesTable6[[#This Row],[Net_Sales]]</f>
        <v>0.50643195666892349</v>
      </c>
      <c r="AG105" s="8">
        <f>YEAR(RawSalesTable6[[#This Row],[Order_Date]])</f>
        <v>2025</v>
      </c>
      <c r="AH105" s="8">
        <f>MONTH(RawSalesTable6[[#This Row],[Order_Date]])</f>
        <v>6</v>
      </c>
      <c r="AI105" s="8" t="str">
        <f>TEXT(RawSalesTable6[[#This Row],[Order_Date]],"mmmm")</f>
        <v>juin</v>
      </c>
      <c r="AJ105" s="8" t="str">
        <f>IF(RawSalesTable6[[#This Row],[Month_Number]]&lt;=3,"Q1",IF(RawSalesTable6[[#This Row],[Month_Number]]&lt;=6,"Q2",IF(RawSalesTable6[[#This Row],[Month_Number]]&lt;=9,"Q3","Q4")))</f>
        <v>Q2</v>
      </c>
      <c r="AK105" s="8" t="str">
        <f>VLOOKUP(RawSalesTable6[[#This Row],[Customer_ID_Clean]],CustomersTable[],4,FALSE)</f>
        <v>Quebec</v>
      </c>
      <c r="AL105" s="8">
        <f>IF(RawSalesTable6[[#This Row],[Return_Status]]="Yes",1,0)</f>
        <v>0</v>
      </c>
    </row>
    <row r="106" spans="1:38">
      <c r="A106" t="s">
        <v>393</v>
      </c>
      <c r="B106" s="3">
        <v>45976</v>
      </c>
      <c r="C106" t="s">
        <v>293</v>
      </c>
      <c r="D106" t="s">
        <v>157</v>
      </c>
      <c r="E106" t="s">
        <v>394</v>
      </c>
      <c r="F106" t="s">
        <v>145</v>
      </c>
      <c r="G106" t="s">
        <v>183</v>
      </c>
      <c r="H106" t="s">
        <v>97</v>
      </c>
      <c r="I106">
        <v>1</v>
      </c>
      <c r="J106" s="2">
        <v>286.02999999999997</v>
      </c>
      <c r="K106" s="4">
        <v>0.1</v>
      </c>
      <c r="L106" t="s">
        <v>90</v>
      </c>
      <c r="M106">
        <v>2</v>
      </c>
      <c r="N106" t="s">
        <v>91</v>
      </c>
      <c r="O106" t="str">
        <f>SUBSTITUTE(PROPER(TRIM(RawSalesTable6[[#This Row],[Channel_Raw]])),"Market Place","Marketplace")</f>
        <v>Retail Store</v>
      </c>
      <c r="P106" t="str">
        <f>TRIM(RawSalesTable6[[#This Row],[Product_ID]])</f>
        <v>P1009</v>
      </c>
      <c r="Q106" t="str">
        <f>TRIM(RawSalesTable6[[#This Row],[Customer_ID]])</f>
        <v>C0007</v>
      </c>
      <c r="R106" s="8" t="str">
        <f>PROPER(TRIM(RawSalesTable6[[#This Row],[Store_Raw]]))</f>
        <v>Calgary North</v>
      </c>
      <c r="S106" s="8" t="str">
        <f>IF(TRIM(RawSalesTable6[[#This Row],[Payment_Method_Raw]])="","Non renseigné",SUBSTITUTE(PROPER(TRIM(RawSalesTable6[[#This Row],[Payment_Method_Raw]])),"Cc","Credit Card"))</f>
        <v>Paypal</v>
      </c>
      <c r="T106" s="8">
        <f>COUNTIF(A:A,RawSalesTable6[[#This Row],[Order_ID]])</f>
        <v>1</v>
      </c>
      <c r="U106" s="8" t="str">
        <f>TRIM(LEFT(RawSalesTable6[[#This Row],[Customer_Info]],FIND(",",RawSalesTable6[[#This Row],[Customer_Info]])-1))</f>
        <v>Lucas Wilson</v>
      </c>
      <c r="V106" s="8" t="str">
        <f>TRIM(MID(RawSalesTable6[[#This Row],[Customer_Info]],FIND(",",RawSalesTable6[[#This Row],[Customer_Info]])+1,FIND(",",RawSalesTable6[[#This Row],[Customer_Info]],FIND(",",RawSalesTable6[[#This Row],[Customer_Info]])+1)-FIND(",",RawSalesTable6[[#This Row],[Customer_Info]])-1))</f>
        <v>Ottawa</v>
      </c>
      <c r="W106" s="8" t="str">
        <f>TRIM(RIGHT(RawSalesTable6[[#This Row],[Customer_Info]],LEN(RawSalesTable6[[#This Row],[Customer_Info]])-FIND(",",RawSalesTable6[[#This Row],[Customer_Info]],FIND(",",RawSalesTable6[[#This Row],[Customer_Info]])+1)))</f>
        <v>Consumer</v>
      </c>
      <c r="X106" s="8" t="str">
        <f>VLOOKUP(RawSalesTable6[[#This Row],[Product_ID_Clean]],ProductsTable[],2,FALSE)</f>
        <v>Notebook</v>
      </c>
      <c r="Y106" s="8" t="str">
        <f>VLOOKUP(RawSalesTable6[[#This Row],[Product_ID_Clean]],ProductsTable[],3,FALSE)</f>
        <v>Office</v>
      </c>
      <c r="Z106" s="8">
        <f>VLOOKUP(RawSalesTable6[[#This Row],[Product_ID_Clean]],ProductsTable[],5,FALSE)</f>
        <v>176.13</v>
      </c>
      <c r="AA106" s="8">
        <f>RawSalesTable6[[#This Row],[Unit_Price]]*RawSalesTable6[[#This Row],[Quantity]]</f>
        <v>286.02999999999997</v>
      </c>
      <c r="AB106" s="8">
        <f>RawSalesTable6[[#This Row],[Gross_Sales]]*RawSalesTable6[[#This Row],[Discount_Pct]]</f>
        <v>28.602999999999998</v>
      </c>
      <c r="AC106" s="8">
        <f>RawSalesTable6[[#This Row],[Gross_Sales]]-RawSalesTable6[[#This Row],[Discount_Amount]]</f>
        <v>257.42699999999996</v>
      </c>
      <c r="AD106" s="8">
        <f>RawSalesTable6[[#This Row],[Unit_Cost]]*RawSalesTable6[[#This Row],[Quantity]]</f>
        <v>176.13</v>
      </c>
      <c r="AE106" s="8">
        <f>RawSalesTable6[[#This Row],[Net_Sales]]-RawSalesTable6[[#This Row],[Total_Cost]]</f>
        <v>81.296999999999969</v>
      </c>
      <c r="AF106" s="9">
        <f>RawSalesTable6[[#This Row],[Profit]]/RawSalesTable6[[#This Row],[Net_Sales]]</f>
        <v>0.315806034332063</v>
      </c>
      <c r="AG106" s="8">
        <f>YEAR(RawSalesTable6[[#This Row],[Order_Date]])</f>
        <v>2025</v>
      </c>
      <c r="AH106" s="8">
        <f>MONTH(RawSalesTable6[[#This Row],[Order_Date]])</f>
        <v>11</v>
      </c>
      <c r="AI106" s="8" t="str">
        <f>TEXT(RawSalesTable6[[#This Row],[Order_Date]],"mmmm")</f>
        <v>novembre</v>
      </c>
      <c r="AJ106" s="8" t="str">
        <f>IF(RawSalesTable6[[#This Row],[Month_Number]]&lt;=3,"Q1",IF(RawSalesTable6[[#This Row],[Month_Number]]&lt;=6,"Q2",IF(RawSalesTable6[[#This Row],[Month_Number]]&lt;=9,"Q3","Q4")))</f>
        <v>Q4</v>
      </c>
      <c r="AK106" s="8" t="str">
        <f>VLOOKUP(RawSalesTable6[[#This Row],[Customer_ID_Clean]],CustomersTable[],4,FALSE)</f>
        <v>Ontario</v>
      </c>
      <c r="AL106" s="8">
        <f>IF(RawSalesTable6[[#This Row],[Return_Status]]="Yes",1,0)</f>
        <v>0</v>
      </c>
    </row>
    <row r="107" spans="1:38">
      <c r="A107" t="s">
        <v>395</v>
      </c>
      <c r="B107" s="3">
        <v>45761</v>
      </c>
      <c r="C107" t="s">
        <v>396</v>
      </c>
      <c r="D107" t="s">
        <v>94</v>
      </c>
      <c r="E107" t="s">
        <v>397</v>
      </c>
      <c r="F107" t="s">
        <v>111</v>
      </c>
      <c r="G107" t="s">
        <v>104</v>
      </c>
      <c r="H107" t="s">
        <v>246</v>
      </c>
      <c r="I107">
        <v>1</v>
      </c>
      <c r="J107" s="2">
        <v>312.99</v>
      </c>
      <c r="K107" s="4">
        <v>0</v>
      </c>
      <c r="L107" t="s">
        <v>106</v>
      </c>
      <c r="M107">
        <v>4</v>
      </c>
      <c r="N107" t="s">
        <v>91</v>
      </c>
      <c r="O107" t="str">
        <f>SUBSTITUTE(PROPER(TRIM(RawSalesTable6[[#This Row],[Channel_Raw]])),"Market Place","Marketplace")</f>
        <v>Retail Store</v>
      </c>
      <c r="P107" t="str">
        <f>TRIM(RawSalesTable6[[#This Row],[Product_ID]])</f>
        <v>P1033</v>
      </c>
      <c r="Q107" t="str">
        <f>TRIM(RawSalesTable6[[#This Row],[Customer_ID]])</f>
        <v>C0058</v>
      </c>
      <c r="R107" s="8" t="str">
        <f>PROPER(TRIM(RawSalesTable6[[#This Row],[Store_Raw]]))</f>
        <v>Montreal Central</v>
      </c>
      <c r="S107" s="8" t="str">
        <f>IF(TRIM(RawSalesTable6[[#This Row],[Payment_Method_Raw]])="","Non renseigné",SUBSTITUTE(PROPER(TRIM(RawSalesTable6[[#This Row],[Payment_Method_Raw]])),"Cc","Credit Card"))</f>
        <v>Credit Card</v>
      </c>
      <c r="T107" s="8">
        <f>COUNTIF(A:A,RawSalesTable6[[#This Row],[Order_ID]])</f>
        <v>1</v>
      </c>
      <c r="U107" s="8" t="str">
        <f>TRIM(LEFT(RawSalesTable6[[#This Row],[Customer_Info]],FIND(",",RawSalesTable6[[#This Row],[Customer_Info]])-1))</f>
        <v>Mia Singh</v>
      </c>
      <c r="V107" s="8" t="str">
        <f>TRIM(MID(RawSalesTable6[[#This Row],[Customer_Info]],FIND(",",RawSalesTable6[[#This Row],[Customer_Info]])+1,FIND(",",RawSalesTable6[[#This Row],[Customer_Info]],FIND(",",RawSalesTable6[[#This Row],[Customer_Info]])+1)-FIND(",",RawSalesTable6[[#This Row],[Customer_Info]])-1))</f>
        <v>Laval</v>
      </c>
      <c r="W107" s="8" t="str">
        <f>TRIM(RIGHT(RawSalesTable6[[#This Row],[Customer_Info]],LEN(RawSalesTable6[[#This Row],[Customer_Info]])-FIND(",",RawSalesTable6[[#This Row],[Customer_Info]],FIND(",",RawSalesTable6[[#This Row],[Customer_Info]])+1)))</f>
        <v>Consumer</v>
      </c>
      <c r="X107" s="8" t="str">
        <f>VLOOKUP(RawSalesTable6[[#This Row],[Product_ID_Clean]],ProductsTable[],2,FALSE)</f>
        <v>Backpack</v>
      </c>
      <c r="Y107" s="8" t="str">
        <f>VLOOKUP(RawSalesTable6[[#This Row],[Product_ID_Clean]],ProductsTable[],3,FALSE)</f>
        <v>Accessories</v>
      </c>
      <c r="Z107" s="8">
        <f>VLOOKUP(RawSalesTable6[[#This Row],[Product_ID_Clean]],ProductsTable[],5,FALSE)</f>
        <v>152.55000000000001</v>
      </c>
      <c r="AA107" s="8">
        <f>RawSalesTable6[[#This Row],[Unit_Price]]*RawSalesTable6[[#This Row],[Quantity]]</f>
        <v>312.99</v>
      </c>
      <c r="AB107" s="8">
        <f>RawSalesTable6[[#This Row],[Gross_Sales]]*RawSalesTable6[[#This Row],[Discount_Pct]]</f>
        <v>0</v>
      </c>
      <c r="AC107" s="8">
        <f>RawSalesTable6[[#This Row],[Gross_Sales]]-RawSalesTable6[[#This Row],[Discount_Amount]]</f>
        <v>312.99</v>
      </c>
      <c r="AD107" s="8">
        <f>RawSalesTable6[[#This Row],[Unit_Cost]]*RawSalesTable6[[#This Row],[Quantity]]</f>
        <v>152.55000000000001</v>
      </c>
      <c r="AE107" s="8">
        <f>RawSalesTable6[[#This Row],[Net_Sales]]-RawSalesTable6[[#This Row],[Total_Cost]]</f>
        <v>160.44</v>
      </c>
      <c r="AF107" s="9">
        <f>RawSalesTable6[[#This Row],[Profit]]/RawSalesTable6[[#This Row],[Net_Sales]]</f>
        <v>0.51260423655707843</v>
      </c>
      <c r="AG107" s="8">
        <f>YEAR(RawSalesTable6[[#This Row],[Order_Date]])</f>
        <v>2025</v>
      </c>
      <c r="AH107" s="8">
        <f>MONTH(RawSalesTable6[[#This Row],[Order_Date]])</f>
        <v>4</v>
      </c>
      <c r="AI107" s="8" t="str">
        <f>TEXT(RawSalesTable6[[#This Row],[Order_Date]],"mmmm")</f>
        <v>avril</v>
      </c>
      <c r="AJ107" s="8" t="str">
        <f>IF(RawSalesTable6[[#This Row],[Month_Number]]&lt;=3,"Q1",IF(RawSalesTable6[[#This Row],[Month_Number]]&lt;=6,"Q2",IF(RawSalesTable6[[#This Row],[Month_Number]]&lt;=9,"Q3","Q4")))</f>
        <v>Q2</v>
      </c>
      <c r="AK107" s="8" t="str">
        <f>VLOOKUP(RawSalesTable6[[#This Row],[Customer_ID_Clean]],CustomersTable[],4,FALSE)</f>
        <v>Quebec</v>
      </c>
      <c r="AL107" s="8">
        <f>IF(RawSalesTable6[[#This Row],[Return_Status]]="Yes",1,0)</f>
        <v>0</v>
      </c>
    </row>
    <row r="108" spans="1:38">
      <c r="A108" t="s">
        <v>398</v>
      </c>
      <c r="B108" s="3">
        <v>45971</v>
      </c>
      <c r="C108" t="s">
        <v>399</v>
      </c>
      <c r="D108" t="s">
        <v>139</v>
      </c>
      <c r="E108" t="s">
        <v>400</v>
      </c>
      <c r="F108" t="s">
        <v>116</v>
      </c>
      <c r="G108" t="s">
        <v>104</v>
      </c>
      <c r="H108" t="s">
        <v>97</v>
      </c>
      <c r="I108">
        <v>1</v>
      </c>
      <c r="J108" s="2">
        <v>79.47</v>
      </c>
      <c r="K108" s="4">
        <v>0</v>
      </c>
      <c r="L108" t="s">
        <v>106</v>
      </c>
      <c r="M108">
        <v>1</v>
      </c>
      <c r="N108" t="s">
        <v>91</v>
      </c>
      <c r="O108" t="str">
        <f>SUBSTITUTE(PROPER(TRIM(RawSalesTable6[[#This Row],[Channel_Raw]])),"Market Place","Marketplace")</f>
        <v>Retail Store</v>
      </c>
      <c r="P108" t="str">
        <f>TRIM(RawSalesTable6[[#This Row],[Product_ID]])</f>
        <v>P1012</v>
      </c>
      <c r="Q108" t="str">
        <f>TRIM(RawSalesTable6[[#This Row],[Customer_ID]])</f>
        <v>C0090</v>
      </c>
      <c r="R108" s="8" t="str">
        <f>PROPER(TRIM(RawSalesTable6[[#This Row],[Store_Raw]]))</f>
        <v>Toronto Downtown</v>
      </c>
      <c r="S108" s="8" t="str">
        <f>IF(TRIM(RawSalesTable6[[#This Row],[Payment_Method_Raw]])="","Non renseigné",SUBSTITUTE(PROPER(TRIM(RawSalesTable6[[#This Row],[Payment_Method_Raw]])),"Cc","Credit Card"))</f>
        <v>Credit Card</v>
      </c>
      <c r="T108" s="8">
        <f>COUNTIF(A:A,RawSalesTable6[[#This Row],[Order_ID]])</f>
        <v>1</v>
      </c>
      <c r="U108" s="8" t="str">
        <f>TRIM(LEFT(RawSalesTable6[[#This Row],[Customer_Info]],FIND(",",RawSalesTable6[[#This Row],[Customer_Info]])-1))</f>
        <v>Nora Young</v>
      </c>
      <c r="V108" s="8" t="str">
        <f>TRIM(MID(RawSalesTable6[[#This Row],[Customer_Info]],FIND(",",RawSalesTable6[[#This Row],[Customer_Info]])+1,FIND(",",RawSalesTable6[[#This Row],[Customer_Info]],FIND(",",RawSalesTable6[[#This Row],[Customer_Info]])+1)-FIND(",",RawSalesTable6[[#This Row],[Customer_Info]])-1))</f>
        <v>Montreal</v>
      </c>
      <c r="W108" s="8" t="str">
        <f>TRIM(RIGHT(RawSalesTable6[[#This Row],[Customer_Info]],LEN(RawSalesTable6[[#This Row],[Customer_Info]])-FIND(",",RawSalesTable6[[#This Row],[Customer_Info]],FIND(",",RawSalesTable6[[#This Row],[Customer_Info]])+1)))</f>
        <v>Small Business</v>
      </c>
      <c r="X108" s="8" t="str">
        <f>VLOOKUP(RawSalesTable6[[#This Row],[Product_ID_Clean]],ProductsTable[],2,FALSE)</f>
        <v>Standing Desk</v>
      </c>
      <c r="Y108" s="8" t="str">
        <f>VLOOKUP(RawSalesTable6[[#This Row],[Product_ID_Clean]],ProductsTable[],3,FALSE)</f>
        <v>Office</v>
      </c>
      <c r="Z108" s="8">
        <f>VLOOKUP(RawSalesTable6[[#This Row],[Product_ID_Clean]],ProductsTable[],5,FALSE)</f>
        <v>45.17</v>
      </c>
      <c r="AA108" s="8">
        <f>RawSalesTable6[[#This Row],[Unit_Price]]*RawSalesTable6[[#This Row],[Quantity]]</f>
        <v>79.47</v>
      </c>
      <c r="AB108" s="8">
        <f>RawSalesTable6[[#This Row],[Gross_Sales]]*RawSalesTable6[[#This Row],[Discount_Pct]]</f>
        <v>0</v>
      </c>
      <c r="AC108" s="8">
        <f>RawSalesTable6[[#This Row],[Gross_Sales]]-RawSalesTable6[[#This Row],[Discount_Amount]]</f>
        <v>79.47</v>
      </c>
      <c r="AD108" s="8">
        <f>RawSalesTable6[[#This Row],[Unit_Cost]]*RawSalesTable6[[#This Row],[Quantity]]</f>
        <v>45.17</v>
      </c>
      <c r="AE108" s="8">
        <f>RawSalesTable6[[#This Row],[Net_Sales]]-RawSalesTable6[[#This Row],[Total_Cost]]</f>
        <v>34.299999999999997</v>
      </c>
      <c r="AF108" s="9">
        <f>RawSalesTable6[[#This Row],[Profit]]/RawSalesTable6[[#This Row],[Net_Sales]]</f>
        <v>0.43160941235686417</v>
      </c>
      <c r="AG108" s="8">
        <f>YEAR(RawSalesTable6[[#This Row],[Order_Date]])</f>
        <v>2025</v>
      </c>
      <c r="AH108" s="8">
        <f>MONTH(RawSalesTable6[[#This Row],[Order_Date]])</f>
        <v>11</v>
      </c>
      <c r="AI108" s="8" t="str">
        <f>TEXT(RawSalesTable6[[#This Row],[Order_Date]],"mmmm")</f>
        <v>novembre</v>
      </c>
      <c r="AJ108" s="8" t="str">
        <f>IF(RawSalesTable6[[#This Row],[Month_Number]]&lt;=3,"Q1",IF(RawSalesTable6[[#This Row],[Month_Number]]&lt;=6,"Q2",IF(RawSalesTable6[[#This Row],[Month_Number]]&lt;=9,"Q3","Q4")))</f>
        <v>Q4</v>
      </c>
      <c r="AK108" s="8" t="str">
        <f>VLOOKUP(RawSalesTable6[[#This Row],[Customer_ID_Clean]],CustomersTable[],4,FALSE)</f>
        <v>Quebec</v>
      </c>
      <c r="AL108" s="8">
        <f>IF(RawSalesTable6[[#This Row],[Return_Status]]="Yes",1,0)</f>
        <v>0</v>
      </c>
    </row>
    <row r="109" spans="1:38">
      <c r="A109" t="s">
        <v>401</v>
      </c>
      <c r="B109" s="3">
        <v>45846</v>
      </c>
      <c r="C109" t="s">
        <v>402</v>
      </c>
      <c r="D109" t="s">
        <v>277</v>
      </c>
      <c r="E109" t="s">
        <v>403</v>
      </c>
      <c r="F109" t="s">
        <v>103</v>
      </c>
      <c r="G109" t="s">
        <v>130</v>
      </c>
      <c r="H109" t="s">
        <v>89</v>
      </c>
      <c r="I109">
        <v>2</v>
      </c>
      <c r="J109" s="2">
        <v>379.92</v>
      </c>
      <c r="K109" s="4">
        <v>0.15</v>
      </c>
      <c r="L109" t="s">
        <v>253</v>
      </c>
      <c r="M109">
        <v>6</v>
      </c>
      <c r="N109" t="s">
        <v>91</v>
      </c>
      <c r="O109" t="str">
        <f>SUBSTITUTE(PROPER(TRIM(RawSalesTable6[[#This Row],[Channel_Raw]])),"Market Place","Marketplace")</f>
        <v>Online</v>
      </c>
      <c r="P109" t="str">
        <f>TRIM(RawSalesTable6[[#This Row],[Product_ID]])</f>
        <v>P1001</v>
      </c>
      <c r="Q109" t="str">
        <f>TRIM(RawSalesTable6[[#This Row],[Customer_ID]])</f>
        <v>C0010</v>
      </c>
      <c r="R109" s="8" t="str">
        <f>PROPER(TRIM(RawSalesTable6[[#This Row],[Store_Raw]]))</f>
        <v>Vancouver West</v>
      </c>
      <c r="S109" s="8" t="str">
        <f>IF(TRIM(RawSalesTable6[[#This Row],[Payment_Method_Raw]])="","Non renseigné",SUBSTITUTE(PROPER(TRIM(RawSalesTable6[[#This Row],[Payment_Method_Raw]])),"Cc","Credit Card"))</f>
        <v>Credit Card</v>
      </c>
      <c r="T109" s="8">
        <f>COUNTIF(A:A,RawSalesTable6[[#This Row],[Order_ID]])</f>
        <v>1</v>
      </c>
      <c r="U109" s="8" t="str">
        <f>TRIM(LEFT(RawSalesTable6[[#This Row],[Customer_Info]],FIND(",",RawSalesTable6[[#This Row],[Customer_Info]])-1))</f>
        <v>Ethan Martin</v>
      </c>
      <c r="V109" s="8" t="str">
        <f>TRIM(MID(RawSalesTable6[[#This Row],[Customer_Info]],FIND(",",RawSalesTable6[[#This Row],[Customer_Info]])+1,FIND(",",RawSalesTable6[[#This Row],[Customer_Info]],FIND(",",RawSalesTable6[[#This Row],[Customer_Info]])+1)-FIND(",",RawSalesTable6[[#This Row],[Customer_Info]])-1))</f>
        <v>Victoria</v>
      </c>
      <c r="W109" s="8" t="str">
        <f>TRIM(RIGHT(RawSalesTable6[[#This Row],[Customer_Info]],LEN(RawSalesTable6[[#This Row],[Customer_Info]])-FIND(",",RawSalesTable6[[#This Row],[Customer_Info]],FIND(",",RawSalesTable6[[#This Row],[Customer_Info]])+1)))</f>
        <v>Corporate</v>
      </c>
      <c r="X109" s="8" t="str">
        <f>VLOOKUP(RawSalesTable6[[#This Row],[Product_ID_Clean]],ProductsTable[],2,FALSE)</f>
        <v>Headphones</v>
      </c>
      <c r="Y109" s="8" t="str">
        <f>VLOOKUP(RawSalesTable6[[#This Row],[Product_ID_Clean]],ProductsTable[],3,FALSE)</f>
        <v>Electronics</v>
      </c>
      <c r="Z109" s="8">
        <f>VLOOKUP(RawSalesTable6[[#This Row],[Product_ID_Clean]],ProductsTable[],5,FALSE)</f>
        <v>254.6</v>
      </c>
      <c r="AA109" s="8">
        <f>RawSalesTable6[[#This Row],[Unit_Price]]*RawSalesTable6[[#This Row],[Quantity]]</f>
        <v>759.84</v>
      </c>
      <c r="AB109" s="8">
        <f>RawSalesTable6[[#This Row],[Gross_Sales]]*RawSalesTable6[[#This Row],[Discount_Pct]]</f>
        <v>113.976</v>
      </c>
      <c r="AC109" s="8">
        <f>RawSalesTable6[[#This Row],[Gross_Sales]]-RawSalesTable6[[#This Row],[Discount_Amount]]</f>
        <v>645.86400000000003</v>
      </c>
      <c r="AD109" s="8">
        <f>RawSalesTable6[[#This Row],[Unit_Cost]]*RawSalesTable6[[#This Row],[Quantity]]</f>
        <v>509.2</v>
      </c>
      <c r="AE109" s="8">
        <f>RawSalesTable6[[#This Row],[Net_Sales]]-RawSalesTable6[[#This Row],[Total_Cost]]</f>
        <v>136.66400000000004</v>
      </c>
      <c r="AF109" s="9">
        <f>RawSalesTable6[[#This Row],[Profit]]/RawSalesTable6[[#This Row],[Net_Sales]]</f>
        <v>0.21159872666691446</v>
      </c>
      <c r="AG109" s="8">
        <f>YEAR(RawSalesTable6[[#This Row],[Order_Date]])</f>
        <v>2025</v>
      </c>
      <c r="AH109" s="8">
        <f>MONTH(RawSalesTable6[[#This Row],[Order_Date]])</f>
        <v>7</v>
      </c>
      <c r="AI109" s="8" t="str">
        <f>TEXT(RawSalesTable6[[#This Row],[Order_Date]],"mmmm")</f>
        <v>juillet</v>
      </c>
      <c r="AJ109" s="8" t="str">
        <f>IF(RawSalesTable6[[#This Row],[Month_Number]]&lt;=3,"Q1",IF(RawSalesTable6[[#This Row],[Month_Number]]&lt;=6,"Q2",IF(RawSalesTable6[[#This Row],[Month_Number]]&lt;=9,"Q3","Q4")))</f>
        <v>Q3</v>
      </c>
      <c r="AK109" s="8" t="str">
        <f>VLOOKUP(RawSalesTable6[[#This Row],[Customer_ID_Clean]],CustomersTable[],4,FALSE)</f>
        <v>British Columbia</v>
      </c>
      <c r="AL109" s="8">
        <f>IF(RawSalesTable6[[#This Row],[Return_Status]]="Yes",1,0)</f>
        <v>0</v>
      </c>
    </row>
    <row r="110" spans="1:38">
      <c r="A110" t="s">
        <v>404</v>
      </c>
      <c r="B110" s="3">
        <v>45931</v>
      </c>
      <c r="C110" t="s">
        <v>313</v>
      </c>
      <c r="D110" t="s">
        <v>255</v>
      </c>
      <c r="E110" t="s">
        <v>314</v>
      </c>
      <c r="F110" t="s">
        <v>145</v>
      </c>
      <c r="G110" t="s">
        <v>88</v>
      </c>
      <c r="H110" t="s">
        <v>89</v>
      </c>
      <c r="I110">
        <v>1</v>
      </c>
      <c r="J110" s="2">
        <v>243.7</v>
      </c>
      <c r="K110" s="4">
        <v>0</v>
      </c>
      <c r="L110" t="s">
        <v>98</v>
      </c>
      <c r="M110">
        <v>2</v>
      </c>
      <c r="N110" t="s">
        <v>91</v>
      </c>
      <c r="O110" t="str">
        <f>SUBSTITUTE(PROPER(TRIM(RawSalesTable6[[#This Row],[Channel_Raw]])),"Market Place","Marketplace")</f>
        <v>Online</v>
      </c>
      <c r="P110" t="str">
        <f>TRIM(RawSalesTable6[[#This Row],[Product_ID]])</f>
        <v>P1014</v>
      </c>
      <c r="Q110" t="str">
        <f>TRIM(RawSalesTable6[[#This Row],[Customer_ID]])</f>
        <v>C0080</v>
      </c>
      <c r="R110" s="8" t="str">
        <f>PROPER(TRIM(RawSalesTable6[[#This Row],[Store_Raw]]))</f>
        <v>Calgary North</v>
      </c>
      <c r="S110" s="8" t="str">
        <f>IF(TRIM(RawSalesTable6[[#This Row],[Payment_Method_Raw]])="","Non renseigné",SUBSTITUTE(PROPER(TRIM(RawSalesTable6[[#This Row],[Payment_Method_Raw]])),"Cc","Credit Card"))</f>
        <v>Debit Card</v>
      </c>
      <c r="T110" s="8">
        <f>COUNTIF(A:A,RawSalesTable6[[#This Row],[Order_ID]])</f>
        <v>1</v>
      </c>
      <c r="U110" s="8" t="str">
        <f>TRIM(LEFT(RawSalesTable6[[#This Row],[Customer_Info]],FIND(",",RawSalesTable6[[#This Row],[Customer_Info]])-1))</f>
        <v>Sarah Smith</v>
      </c>
      <c r="V110" s="8" t="str">
        <f>TRIM(MID(RawSalesTable6[[#This Row],[Customer_Info]],FIND(",",RawSalesTable6[[#This Row],[Customer_Info]])+1,FIND(",",RawSalesTable6[[#This Row],[Customer_Info]],FIND(",",RawSalesTable6[[#This Row],[Customer_Info]])+1)-FIND(",",RawSalesTable6[[#This Row],[Customer_Info]])-1))</f>
        <v>Mississauga</v>
      </c>
      <c r="W110" s="8" t="str">
        <f>TRIM(RIGHT(RawSalesTable6[[#This Row],[Customer_Info]],LEN(RawSalesTable6[[#This Row],[Customer_Info]])-FIND(",",RawSalesTable6[[#This Row],[Customer_Info]],FIND(",",RawSalesTable6[[#This Row],[Customer_Info]])+1)))</f>
        <v>Corporate</v>
      </c>
      <c r="X110" s="8" t="str">
        <f>VLOOKUP(RawSalesTable6[[#This Row],[Product_ID_Clean]],ProductsTable[],2,FALSE)</f>
        <v>Document Shredder</v>
      </c>
      <c r="Y110" s="8" t="str">
        <f>VLOOKUP(RawSalesTable6[[#This Row],[Product_ID_Clean]],ProductsTable[],3,FALSE)</f>
        <v>Office</v>
      </c>
      <c r="Z110" s="8">
        <f>VLOOKUP(RawSalesTable6[[#This Row],[Product_ID_Clean]],ProductsTable[],5,FALSE)</f>
        <v>117.65</v>
      </c>
      <c r="AA110" s="8">
        <f>RawSalesTable6[[#This Row],[Unit_Price]]*RawSalesTable6[[#This Row],[Quantity]]</f>
        <v>243.7</v>
      </c>
      <c r="AB110" s="8">
        <f>RawSalesTable6[[#This Row],[Gross_Sales]]*RawSalesTable6[[#This Row],[Discount_Pct]]</f>
        <v>0</v>
      </c>
      <c r="AC110" s="8">
        <f>RawSalesTable6[[#This Row],[Gross_Sales]]-RawSalesTable6[[#This Row],[Discount_Amount]]</f>
        <v>243.7</v>
      </c>
      <c r="AD110" s="8">
        <f>RawSalesTable6[[#This Row],[Unit_Cost]]*RawSalesTable6[[#This Row],[Quantity]]</f>
        <v>117.65</v>
      </c>
      <c r="AE110" s="8">
        <f>RawSalesTable6[[#This Row],[Net_Sales]]-RawSalesTable6[[#This Row],[Total_Cost]]</f>
        <v>126.04999999999998</v>
      </c>
      <c r="AF110" s="9">
        <f>RawSalesTable6[[#This Row],[Profit]]/RawSalesTable6[[#This Row],[Net_Sales]]</f>
        <v>0.51723430447271235</v>
      </c>
      <c r="AG110" s="8">
        <f>YEAR(RawSalesTable6[[#This Row],[Order_Date]])</f>
        <v>2025</v>
      </c>
      <c r="AH110" s="8">
        <f>MONTH(RawSalesTable6[[#This Row],[Order_Date]])</f>
        <v>10</v>
      </c>
      <c r="AI110" s="8" t="str">
        <f>TEXT(RawSalesTable6[[#This Row],[Order_Date]],"mmmm")</f>
        <v>octobre</v>
      </c>
      <c r="AJ110" s="8" t="str">
        <f>IF(RawSalesTable6[[#This Row],[Month_Number]]&lt;=3,"Q1",IF(RawSalesTable6[[#This Row],[Month_Number]]&lt;=6,"Q2",IF(RawSalesTable6[[#This Row],[Month_Number]]&lt;=9,"Q3","Q4")))</f>
        <v>Q4</v>
      </c>
      <c r="AK110" s="8" t="str">
        <f>VLOOKUP(RawSalesTable6[[#This Row],[Customer_ID_Clean]],CustomersTable[],4,FALSE)</f>
        <v>Ontario</v>
      </c>
      <c r="AL110" s="8">
        <f>IF(RawSalesTable6[[#This Row],[Return_Status]]="Yes",1,0)</f>
        <v>0</v>
      </c>
    </row>
    <row r="111" spans="1:38">
      <c r="A111" t="s">
        <v>405</v>
      </c>
      <c r="B111" s="3">
        <v>45814</v>
      </c>
      <c r="C111" t="s">
        <v>406</v>
      </c>
      <c r="D111" t="s">
        <v>221</v>
      </c>
      <c r="E111" t="s">
        <v>407</v>
      </c>
      <c r="F111" t="s">
        <v>87</v>
      </c>
      <c r="G111" t="s">
        <v>117</v>
      </c>
      <c r="H111" t="s">
        <v>97</v>
      </c>
      <c r="I111">
        <v>1</v>
      </c>
      <c r="J111" s="2">
        <v>29.65</v>
      </c>
      <c r="K111" s="4">
        <v>0.05</v>
      </c>
      <c r="L111" t="s">
        <v>253</v>
      </c>
      <c r="M111">
        <v>4</v>
      </c>
      <c r="N111" t="s">
        <v>91</v>
      </c>
      <c r="O111" t="str">
        <f>SUBSTITUTE(PROPER(TRIM(RawSalesTable6[[#This Row],[Channel_Raw]])),"Market Place","Marketplace")</f>
        <v>Retail Store</v>
      </c>
      <c r="P111" t="str">
        <f>TRIM(RawSalesTable6[[#This Row],[Product_ID]])</f>
        <v>P1018</v>
      </c>
      <c r="Q111" t="str">
        <f>TRIM(RawSalesTable6[[#This Row],[Customer_ID]])</f>
        <v>C0038</v>
      </c>
      <c r="R111" s="8" t="str">
        <f>PROPER(TRIM(RawSalesTable6[[#This Row],[Store_Raw]]))</f>
        <v>Online Fulfillment</v>
      </c>
      <c r="S111" s="8" t="str">
        <f>IF(TRIM(RawSalesTable6[[#This Row],[Payment_Method_Raw]])="","Non renseigné",SUBSTITUTE(PROPER(TRIM(RawSalesTable6[[#This Row],[Payment_Method_Raw]])),"Cc","Credit Card"))</f>
        <v>Credit Card</v>
      </c>
      <c r="T111" s="8">
        <f>COUNTIF(A:A,RawSalesTable6[[#This Row],[Order_ID]])</f>
        <v>1</v>
      </c>
      <c r="U111" s="8" t="str">
        <f>TRIM(LEFT(RawSalesTable6[[#This Row],[Customer_Info]],FIND(",",RawSalesTable6[[#This Row],[Customer_Info]])-1))</f>
        <v>Noah Brown</v>
      </c>
      <c r="V111" s="8" t="str">
        <f>TRIM(MID(RawSalesTable6[[#This Row],[Customer_Info]],FIND(",",RawSalesTable6[[#This Row],[Customer_Info]])+1,FIND(",",RawSalesTable6[[#This Row],[Customer_Info]],FIND(",",RawSalesTable6[[#This Row],[Customer_Info]])+1)-FIND(",",RawSalesTable6[[#This Row],[Customer_Info]])-1))</f>
        <v>Montreal</v>
      </c>
      <c r="W111" s="8" t="str">
        <f>TRIM(RIGHT(RawSalesTable6[[#This Row],[Customer_Info]],LEN(RawSalesTable6[[#This Row],[Customer_Info]])-FIND(",",RawSalesTable6[[#This Row],[Customer_Info]],FIND(",",RawSalesTable6[[#This Row],[Customer_Info]])+1)))</f>
        <v>Consumer</v>
      </c>
      <c r="X111" s="8" t="str">
        <f>VLOOKUP(RawSalesTable6[[#This Row],[Product_ID_Clean]],ProductsTable[],2,FALSE)</f>
        <v>Air Fryer</v>
      </c>
      <c r="Y111" s="8" t="str">
        <f>VLOOKUP(RawSalesTable6[[#This Row],[Product_ID_Clean]],ProductsTable[],3,FALSE)</f>
        <v>Home</v>
      </c>
      <c r="Z111" s="8">
        <f>VLOOKUP(RawSalesTable6[[#This Row],[Product_ID_Clean]],ProductsTable[],5,FALSE)</f>
        <v>14.58</v>
      </c>
      <c r="AA111" s="8">
        <f>RawSalesTable6[[#This Row],[Unit_Price]]*RawSalesTable6[[#This Row],[Quantity]]</f>
        <v>29.65</v>
      </c>
      <c r="AB111" s="8">
        <f>RawSalesTable6[[#This Row],[Gross_Sales]]*RawSalesTable6[[#This Row],[Discount_Pct]]</f>
        <v>1.4824999999999999</v>
      </c>
      <c r="AC111" s="8">
        <f>RawSalesTable6[[#This Row],[Gross_Sales]]-RawSalesTable6[[#This Row],[Discount_Amount]]</f>
        <v>28.167499999999997</v>
      </c>
      <c r="AD111" s="8">
        <f>RawSalesTable6[[#This Row],[Unit_Cost]]*RawSalesTable6[[#This Row],[Quantity]]</f>
        <v>14.58</v>
      </c>
      <c r="AE111" s="8">
        <f>RawSalesTable6[[#This Row],[Net_Sales]]-RawSalesTable6[[#This Row],[Total_Cost]]</f>
        <v>13.587499999999997</v>
      </c>
      <c r="AF111" s="9">
        <f>RawSalesTable6[[#This Row],[Profit]]/RawSalesTable6[[#This Row],[Net_Sales]]</f>
        <v>0.48238217804206968</v>
      </c>
      <c r="AG111" s="8">
        <f>YEAR(RawSalesTable6[[#This Row],[Order_Date]])</f>
        <v>2025</v>
      </c>
      <c r="AH111" s="8">
        <f>MONTH(RawSalesTable6[[#This Row],[Order_Date]])</f>
        <v>6</v>
      </c>
      <c r="AI111" s="8" t="str">
        <f>TEXT(RawSalesTable6[[#This Row],[Order_Date]],"mmmm")</f>
        <v>juin</v>
      </c>
      <c r="AJ111" s="8" t="str">
        <f>IF(RawSalesTable6[[#This Row],[Month_Number]]&lt;=3,"Q1",IF(RawSalesTable6[[#This Row],[Month_Number]]&lt;=6,"Q2",IF(RawSalesTable6[[#This Row],[Month_Number]]&lt;=9,"Q3","Q4")))</f>
        <v>Q2</v>
      </c>
      <c r="AK111" s="8" t="str">
        <f>VLOOKUP(RawSalesTable6[[#This Row],[Customer_ID_Clean]],CustomersTable[],4,FALSE)</f>
        <v>Quebec</v>
      </c>
      <c r="AL111" s="8">
        <f>IF(RawSalesTable6[[#This Row],[Return_Status]]="Yes",1,0)</f>
        <v>0</v>
      </c>
    </row>
    <row r="112" spans="1:38">
      <c r="A112" t="s">
        <v>408</v>
      </c>
      <c r="B112" s="3">
        <v>45850</v>
      </c>
      <c r="C112" t="s">
        <v>359</v>
      </c>
      <c r="D112" t="s">
        <v>194</v>
      </c>
      <c r="E112" t="s">
        <v>361</v>
      </c>
      <c r="F112" t="s">
        <v>116</v>
      </c>
      <c r="G112" t="s">
        <v>96</v>
      </c>
      <c r="H112" t="s">
        <v>233</v>
      </c>
      <c r="I112">
        <v>5</v>
      </c>
      <c r="J112" s="2">
        <v>198.88</v>
      </c>
      <c r="K112" s="4">
        <v>0.05</v>
      </c>
      <c r="L112" t="s">
        <v>90</v>
      </c>
      <c r="M112">
        <v>3</v>
      </c>
      <c r="N112" t="s">
        <v>91</v>
      </c>
      <c r="O112" t="str">
        <f>SUBSTITUTE(PROPER(TRIM(RawSalesTable6[[#This Row],[Channel_Raw]])),"Market Place","Marketplace")</f>
        <v>Retail Store</v>
      </c>
      <c r="P112" t="str">
        <f>TRIM(RawSalesTable6[[#This Row],[Product_ID]])</f>
        <v>P1029</v>
      </c>
      <c r="Q112" t="str">
        <f>TRIM(RawSalesTable6[[#This Row],[Customer_ID]])</f>
        <v>C0044</v>
      </c>
      <c r="R112" s="8" t="str">
        <f>PROPER(TRIM(RawSalesTable6[[#This Row],[Store_Raw]]))</f>
        <v>Toronto Downtown</v>
      </c>
      <c r="S112" s="8" t="str">
        <f>IF(TRIM(RawSalesTable6[[#This Row],[Payment_Method_Raw]])="","Non renseigné",SUBSTITUTE(PROPER(TRIM(RawSalesTable6[[#This Row],[Payment_Method_Raw]])),"Cc","Credit Card"))</f>
        <v>Paypal</v>
      </c>
      <c r="T112" s="8">
        <f>COUNTIF(A:A,RawSalesTable6[[#This Row],[Order_ID]])</f>
        <v>1</v>
      </c>
      <c r="U112" s="8" t="str">
        <f>TRIM(LEFT(RawSalesTable6[[#This Row],[Customer_Info]],FIND(",",RawSalesTable6[[#This Row],[Customer_Info]])-1))</f>
        <v>Nora Young</v>
      </c>
      <c r="V112" s="8" t="str">
        <f>TRIM(MID(RawSalesTable6[[#This Row],[Customer_Info]],FIND(",",RawSalesTable6[[#This Row],[Customer_Info]])+1,FIND(",",RawSalesTable6[[#This Row],[Customer_Info]],FIND(",",RawSalesTable6[[#This Row],[Customer_Info]])+1)-FIND(",",RawSalesTable6[[#This Row],[Customer_Info]])-1))</f>
        <v>Vancouver</v>
      </c>
      <c r="W112" s="8" t="str">
        <f>TRIM(RIGHT(RawSalesTable6[[#This Row],[Customer_Info]],LEN(RawSalesTable6[[#This Row],[Customer_Info]])-FIND(",",RawSalesTable6[[#This Row],[Customer_Info]],FIND(",",RawSalesTable6[[#This Row],[Customer_Info]])+1)))</f>
        <v>Corporate</v>
      </c>
      <c r="X112" s="8" t="str">
        <f>VLOOKUP(RawSalesTable6[[#This Row],[Product_ID_Clean]],ProductsTable[],2,FALSE)</f>
        <v>Jump Rope</v>
      </c>
      <c r="Y112" s="8" t="str">
        <f>VLOOKUP(RawSalesTable6[[#This Row],[Product_ID_Clean]],ProductsTable[],3,FALSE)</f>
        <v>Fitness</v>
      </c>
      <c r="Z112" s="8">
        <f>VLOOKUP(RawSalesTable6[[#This Row],[Product_ID_Clean]],ProductsTable[],5,FALSE)</f>
        <v>101</v>
      </c>
      <c r="AA112" s="8">
        <f>RawSalesTable6[[#This Row],[Unit_Price]]*RawSalesTable6[[#This Row],[Quantity]]</f>
        <v>994.4</v>
      </c>
      <c r="AB112" s="8">
        <f>RawSalesTable6[[#This Row],[Gross_Sales]]*RawSalesTable6[[#This Row],[Discount_Pct]]</f>
        <v>49.72</v>
      </c>
      <c r="AC112" s="8">
        <f>RawSalesTable6[[#This Row],[Gross_Sales]]-RawSalesTable6[[#This Row],[Discount_Amount]]</f>
        <v>944.68</v>
      </c>
      <c r="AD112" s="8">
        <f>RawSalesTable6[[#This Row],[Unit_Cost]]*RawSalesTable6[[#This Row],[Quantity]]</f>
        <v>505</v>
      </c>
      <c r="AE112" s="8">
        <f>RawSalesTable6[[#This Row],[Net_Sales]]-RawSalesTable6[[#This Row],[Total_Cost]]</f>
        <v>439.67999999999995</v>
      </c>
      <c r="AF112" s="9">
        <f>RawSalesTable6[[#This Row],[Profit]]/RawSalesTable6[[#This Row],[Net_Sales]]</f>
        <v>0.46542744633103272</v>
      </c>
      <c r="AG112" s="8">
        <f>YEAR(RawSalesTable6[[#This Row],[Order_Date]])</f>
        <v>2025</v>
      </c>
      <c r="AH112" s="8">
        <f>MONTH(RawSalesTable6[[#This Row],[Order_Date]])</f>
        <v>7</v>
      </c>
      <c r="AI112" s="8" t="str">
        <f>TEXT(RawSalesTable6[[#This Row],[Order_Date]],"mmmm")</f>
        <v>juillet</v>
      </c>
      <c r="AJ112" s="8" t="str">
        <f>IF(RawSalesTable6[[#This Row],[Month_Number]]&lt;=3,"Q1",IF(RawSalesTable6[[#This Row],[Month_Number]]&lt;=6,"Q2",IF(RawSalesTable6[[#This Row],[Month_Number]]&lt;=9,"Q3","Q4")))</f>
        <v>Q3</v>
      </c>
      <c r="AK112" s="8" t="str">
        <f>VLOOKUP(RawSalesTable6[[#This Row],[Customer_ID_Clean]],CustomersTable[],4,FALSE)</f>
        <v>British Columbia</v>
      </c>
      <c r="AL112" s="8">
        <f>IF(RawSalesTable6[[#This Row],[Return_Status]]="Yes",1,0)</f>
        <v>0</v>
      </c>
    </row>
    <row r="113" spans="1:38">
      <c r="A113" t="s">
        <v>409</v>
      </c>
      <c r="B113" s="3">
        <v>45708</v>
      </c>
      <c r="C113" t="s">
        <v>410</v>
      </c>
      <c r="D113" t="s">
        <v>255</v>
      </c>
      <c r="E113" t="s">
        <v>411</v>
      </c>
      <c r="F113" t="s">
        <v>87</v>
      </c>
      <c r="G113" t="s">
        <v>122</v>
      </c>
      <c r="H113" t="s">
        <v>105</v>
      </c>
      <c r="I113">
        <v>2</v>
      </c>
      <c r="J113" s="2">
        <v>243.99</v>
      </c>
      <c r="K113" s="4">
        <v>0.2</v>
      </c>
      <c r="L113" t="s">
        <v>154</v>
      </c>
      <c r="M113">
        <v>7</v>
      </c>
      <c r="N113" t="s">
        <v>91</v>
      </c>
      <c r="O113" t="str">
        <f>SUBSTITUTE(PROPER(TRIM(RawSalesTable6[[#This Row],[Channel_Raw]])),"Market Place","Marketplace")</f>
        <v>Marketplace</v>
      </c>
      <c r="P113" t="str">
        <f>TRIM(RawSalesTable6[[#This Row],[Product_ID]])</f>
        <v>P1014</v>
      </c>
      <c r="Q113" t="str">
        <f>TRIM(RawSalesTable6[[#This Row],[Customer_ID]])</f>
        <v>C0093</v>
      </c>
      <c r="R113" s="8" t="str">
        <f>PROPER(TRIM(RawSalesTable6[[#This Row],[Store_Raw]]))</f>
        <v>Online Fulfillment</v>
      </c>
      <c r="S113" s="8" t="str">
        <f>IF(TRIM(RawSalesTable6[[#This Row],[Payment_Method_Raw]])="","Non renseigné",SUBSTITUTE(PROPER(TRIM(RawSalesTable6[[#This Row],[Payment_Method_Raw]])),"Cc","Credit Card"))</f>
        <v>Gift Card</v>
      </c>
      <c r="T113" s="8">
        <f>COUNTIF(A:A,RawSalesTable6[[#This Row],[Order_ID]])</f>
        <v>1</v>
      </c>
      <c r="U113" s="8" t="str">
        <f>TRIM(LEFT(RawSalesTable6[[#This Row],[Customer_Info]],FIND(",",RawSalesTable6[[#This Row],[Customer_Info]])-1))</f>
        <v>Ethan Roy</v>
      </c>
      <c r="V113" s="8" t="str">
        <f>TRIM(MID(RawSalesTable6[[#This Row],[Customer_Info]],FIND(",",RawSalesTable6[[#This Row],[Customer_Info]])+1,FIND(",",RawSalesTable6[[#This Row],[Customer_Info]],FIND(",",RawSalesTable6[[#This Row],[Customer_Info]])+1)-FIND(",",RawSalesTable6[[#This Row],[Customer_Info]])-1))</f>
        <v>Winnipeg</v>
      </c>
      <c r="W113" s="8" t="str">
        <f>TRIM(RIGHT(RawSalesTable6[[#This Row],[Customer_Info]],LEN(RawSalesTable6[[#This Row],[Customer_Info]])-FIND(",",RawSalesTable6[[#This Row],[Customer_Info]],FIND(",",RawSalesTable6[[#This Row],[Customer_Info]])+1)))</f>
        <v>Consumer</v>
      </c>
      <c r="X113" s="8" t="str">
        <f>VLOOKUP(RawSalesTable6[[#This Row],[Product_ID_Clean]],ProductsTable[],2,FALSE)</f>
        <v>Document Shredder</v>
      </c>
      <c r="Y113" s="8" t="str">
        <f>VLOOKUP(RawSalesTable6[[#This Row],[Product_ID_Clean]],ProductsTable[],3,FALSE)</f>
        <v>Office</v>
      </c>
      <c r="Z113" s="8">
        <f>VLOOKUP(RawSalesTable6[[#This Row],[Product_ID_Clean]],ProductsTable[],5,FALSE)</f>
        <v>117.65</v>
      </c>
      <c r="AA113" s="8">
        <f>RawSalesTable6[[#This Row],[Unit_Price]]*RawSalesTable6[[#This Row],[Quantity]]</f>
        <v>487.98</v>
      </c>
      <c r="AB113" s="8">
        <f>RawSalesTable6[[#This Row],[Gross_Sales]]*RawSalesTable6[[#This Row],[Discount_Pct]]</f>
        <v>97.596000000000004</v>
      </c>
      <c r="AC113" s="8">
        <f>RawSalesTable6[[#This Row],[Gross_Sales]]-RawSalesTable6[[#This Row],[Discount_Amount]]</f>
        <v>390.38400000000001</v>
      </c>
      <c r="AD113" s="8">
        <f>RawSalesTable6[[#This Row],[Unit_Cost]]*RawSalesTable6[[#This Row],[Quantity]]</f>
        <v>235.3</v>
      </c>
      <c r="AE113" s="8">
        <f>RawSalesTable6[[#This Row],[Net_Sales]]-RawSalesTable6[[#This Row],[Total_Cost]]</f>
        <v>155.084</v>
      </c>
      <c r="AF113" s="9">
        <f>RawSalesTable6[[#This Row],[Profit]]/RawSalesTable6[[#This Row],[Net_Sales]]</f>
        <v>0.39726013361203327</v>
      </c>
      <c r="AG113" s="8">
        <f>YEAR(RawSalesTable6[[#This Row],[Order_Date]])</f>
        <v>2025</v>
      </c>
      <c r="AH113" s="8">
        <f>MONTH(RawSalesTable6[[#This Row],[Order_Date]])</f>
        <v>2</v>
      </c>
      <c r="AI113" s="8" t="str">
        <f>TEXT(RawSalesTable6[[#This Row],[Order_Date]],"mmmm")</f>
        <v>février</v>
      </c>
      <c r="AJ113" s="8" t="str">
        <f>IF(RawSalesTable6[[#This Row],[Month_Number]]&lt;=3,"Q1",IF(RawSalesTable6[[#This Row],[Month_Number]]&lt;=6,"Q2",IF(RawSalesTable6[[#This Row],[Month_Number]]&lt;=9,"Q3","Q4")))</f>
        <v>Q1</v>
      </c>
      <c r="AK113" s="8" t="str">
        <f>VLOOKUP(RawSalesTable6[[#This Row],[Customer_ID_Clean]],CustomersTable[],4,FALSE)</f>
        <v>Manitoba</v>
      </c>
      <c r="AL113" s="8">
        <f>IF(RawSalesTable6[[#This Row],[Return_Status]]="Yes",1,0)</f>
        <v>0</v>
      </c>
    </row>
    <row r="114" spans="1:38">
      <c r="A114" t="s">
        <v>412</v>
      </c>
      <c r="B114" s="3">
        <v>45870</v>
      </c>
      <c r="C114" t="s">
        <v>84</v>
      </c>
      <c r="D114" t="s">
        <v>249</v>
      </c>
      <c r="E114" t="s">
        <v>86</v>
      </c>
      <c r="F114" t="s">
        <v>103</v>
      </c>
      <c r="G114" t="s">
        <v>104</v>
      </c>
      <c r="H114" t="s">
        <v>89</v>
      </c>
      <c r="I114">
        <v>1</v>
      </c>
      <c r="J114" s="2">
        <v>438.44</v>
      </c>
      <c r="K114" s="4">
        <v>0.1</v>
      </c>
      <c r="L114" t="s">
        <v>106</v>
      </c>
      <c r="M114">
        <v>4</v>
      </c>
      <c r="N114" t="s">
        <v>91</v>
      </c>
      <c r="O114" t="str">
        <f>SUBSTITUTE(PROPER(TRIM(RawSalesTable6[[#This Row],[Channel_Raw]])),"Market Place","Marketplace")</f>
        <v>Online</v>
      </c>
      <c r="P114" t="str">
        <f>TRIM(RawSalesTable6[[#This Row],[Product_ID]])</f>
        <v>P1022</v>
      </c>
      <c r="Q114" t="str">
        <f>TRIM(RawSalesTable6[[#This Row],[Customer_ID]])</f>
        <v>C0113</v>
      </c>
      <c r="R114" s="8" t="str">
        <f>PROPER(TRIM(RawSalesTable6[[#This Row],[Store_Raw]]))</f>
        <v>Vancouver West</v>
      </c>
      <c r="S114" s="8" t="str">
        <f>IF(TRIM(RawSalesTable6[[#This Row],[Payment_Method_Raw]])="","Non renseigné",SUBSTITUTE(PROPER(TRIM(RawSalesTable6[[#This Row],[Payment_Method_Raw]])),"Cc","Credit Card"))</f>
        <v>Credit Card</v>
      </c>
      <c r="T114" s="8">
        <f>COUNTIF(A:A,RawSalesTable6[[#This Row],[Order_ID]])</f>
        <v>1</v>
      </c>
      <c r="U114" s="8" t="str">
        <f>TRIM(LEFT(RawSalesTable6[[#This Row],[Customer_Info]],FIND(",",RawSalesTable6[[#This Row],[Customer_Info]])-1))</f>
        <v>Olivia Johnson</v>
      </c>
      <c r="V114" s="8" t="str">
        <f>TRIM(MID(RawSalesTable6[[#This Row],[Customer_Info]],FIND(",",RawSalesTable6[[#This Row],[Customer_Info]])+1,FIND(",",RawSalesTable6[[#This Row],[Customer_Info]],FIND(",",RawSalesTable6[[#This Row],[Customer_Info]])+1)-FIND(",",RawSalesTable6[[#This Row],[Customer_Info]])-1))</f>
        <v>Surrey</v>
      </c>
      <c r="W114" s="8" t="str">
        <f>TRIM(RIGHT(RawSalesTable6[[#This Row],[Customer_Info]],LEN(RawSalesTable6[[#This Row],[Customer_Info]])-FIND(",",RawSalesTable6[[#This Row],[Customer_Info]],FIND(",",RawSalesTable6[[#This Row],[Customer_Info]])+1)))</f>
        <v>Consumer</v>
      </c>
      <c r="X114" s="8" t="str">
        <f>VLOOKUP(RawSalesTable6[[#This Row],[Product_ID_Clean]],ProductsTable[],2,FALSE)</f>
        <v>Humidifier</v>
      </c>
      <c r="Y114" s="8" t="str">
        <f>VLOOKUP(RawSalesTable6[[#This Row],[Product_ID_Clean]],ProductsTable[],3,FALSE)</f>
        <v>Home</v>
      </c>
      <c r="Z114" s="8">
        <f>VLOOKUP(RawSalesTable6[[#This Row],[Product_ID_Clean]],ProductsTable[],5,FALSE)</f>
        <v>239.67</v>
      </c>
      <c r="AA114" s="8">
        <f>RawSalesTable6[[#This Row],[Unit_Price]]*RawSalesTable6[[#This Row],[Quantity]]</f>
        <v>438.44</v>
      </c>
      <c r="AB114" s="8">
        <f>RawSalesTable6[[#This Row],[Gross_Sales]]*RawSalesTable6[[#This Row],[Discount_Pct]]</f>
        <v>43.844000000000001</v>
      </c>
      <c r="AC114" s="8">
        <f>RawSalesTable6[[#This Row],[Gross_Sales]]-RawSalesTable6[[#This Row],[Discount_Amount]]</f>
        <v>394.596</v>
      </c>
      <c r="AD114" s="8">
        <f>RawSalesTable6[[#This Row],[Unit_Cost]]*RawSalesTable6[[#This Row],[Quantity]]</f>
        <v>239.67</v>
      </c>
      <c r="AE114" s="8">
        <f>RawSalesTable6[[#This Row],[Net_Sales]]-RawSalesTable6[[#This Row],[Total_Cost]]</f>
        <v>154.92600000000002</v>
      </c>
      <c r="AF114" s="9">
        <f>RawSalesTable6[[#This Row],[Profit]]/RawSalesTable6[[#This Row],[Net_Sales]]</f>
        <v>0.39261928656144518</v>
      </c>
      <c r="AG114" s="8">
        <f>YEAR(RawSalesTable6[[#This Row],[Order_Date]])</f>
        <v>2025</v>
      </c>
      <c r="AH114" s="8">
        <f>MONTH(RawSalesTable6[[#This Row],[Order_Date]])</f>
        <v>8</v>
      </c>
      <c r="AI114" s="8" t="str">
        <f>TEXT(RawSalesTable6[[#This Row],[Order_Date]],"mmmm")</f>
        <v>août</v>
      </c>
      <c r="AJ114" s="8" t="str">
        <f>IF(RawSalesTable6[[#This Row],[Month_Number]]&lt;=3,"Q1",IF(RawSalesTable6[[#This Row],[Month_Number]]&lt;=6,"Q2",IF(RawSalesTable6[[#This Row],[Month_Number]]&lt;=9,"Q3","Q4")))</f>
        <v>Q3</v>
      </c>
      <c r="AK114" s="8" t="str">
        <f>VLOOKUP(RawSalesTable6[[#This Row],[Customer_ID_Clean]],CustomersTable[],4,FALSE)</f>
        <v>British Columbia</v>
      </c>
      <c r="AL114" s="8">
        <f>IF(RawSalesTable6[[#This Row],[Return_Status]]="Yes",1,0)</f>
        <v>0</v>
      </c>
    </row>
    <row r="115" spans="1:38">
      <c r="A115" t="s">
        <v>413</v>
      </c>
      <c r="B115" s="3">
        <v>45702</v>
      </c>
      <c r="C115" t="s">
        <v>414</v>
      </c>
      <c r="D115" t="s">
        <v>249</v>
      </c>
      <c r="E115" t="s">
        <v>415</v>
      </c>
      <c r="F115" t="s">
        <v>145</v>
      </c>
      <c r="G115" t="s">
        <v>96</v>
      </c>
      <c r="H115" t="s">
        <v>97</v>
      </c>
      <c r="I115">
        <v>2</v>
      </c>
      <c r="J115" s="2">
        <v>394.57</v>
      </c>
      <c r="K115" s="4">
        <v>0.05</v>
      </c>
      <c r="L115" t="s">
        <v>90</v>
      </c>
      <c r="M115">
        <v>0</v>
      </c>
      <c r="N115" t="s">
        <v>91</v>
      </c>
      <c r="O115" t="str">
        <f>SUBSTITUTE(PROPER(TRIM(RawSalesTable6[[#This Row],[Channel_Raw]])),"Market Place","Marketplace")</f>
        <v>Retail Store</v>
      </c>
      <c r="P115" t="str">
        <f>TRIM(RawSalesTable6[[#This Row],[Product_ID]])</f>
        <v>P1022</v>
      </c>
      <c r="Q115" t="str">
        <f>TRIM(RawSalesTable6[[#This Row],[Customer_ID]])</f>
        <v>C0052</v>
      </c>
      <c r="R115" s="8" t="str">
        <f>PROPER(TRIM(RawSalesTable6[[#This Row],[Store_Raw]]))</f>
        <v>Calgary North</v>
      </c>
      <c r="S115" s="8" t="str">
        <f>IF(TRIM(RawSalesTable6[[#This Row],[Payment_Method_Raw]])="","Non renseigné",SUBSTITUTE(PROPER(TRIM(RawSalesTable6[[#This Row],[Payment_Method_Raw]])),"Cc","Credit Card"))</f>
        <v>Paypal</v>
      </c>
      <c r="T115" s="8">
        <f>COUNTIF(A:A,RawSalesTable6[[#This Row],[Order_ID]])</f>
        <v>1</v>
      </c>
      <c r="U115" s="8" t="str">
        <f>TRIM(LEFT(RawSalesTable6[[#This Row],[Customer_Info]],FIND(",",RawSalesTable6[[#This Row],[Customer_Info]])-1))</f>
        <v>Liam Bennett</v>
      </c>
      <c r="V115" s="8" t="str">
        <f>TRIM(MID(RawSalesTable6[[#This Row],[Customer_Info]],FIND(",",RawSalesTable6[[#This Row],[Customer_Info]])+1,FIND(",",RawSalesTable6[[#This Row],[Customer_Info]],FIND(",",RawSalesTable6[[#This Row],[Customer_Info]])+1)-FIND(",",RawSalesTable6[[#This Row],[Customer_Info]])-1))</f>
        <v>Edmonton</v>
      </c>
      <c r="W115" s="8" t="str">
        <f>TRIM(RIGHT(RawSalesTable6[[#This Row],[Customer_Info]],LEN(RawSalesTable6[[#This Row],[Customer_Info]])-FIND(",",RawSalesTable6[[#This Row],[Customer_Info]],FIND(",",RawSalesTable6[[#This Row],[Customer_Info]])+1)))</f>
        <v>Corporate</v>
      </c>
      <c r="X115" s="8" t="str">
        <f>VLOOKUP(RawSalesTable6[[#This Row],[Product_ID_Clean]],ProductsTable[],2,FALSE)</f>
        <v>Humidifier</v>
      </c>
      <c r="Y115" s="8" t="str">
        <f>VLOOKUP(RawSalesTable6[[#This Row],[Product_ID_Clean]],ProductsTable[],3,FALSE)</f>
        <v>Home</v>
      </c>
      <c r="Z115" s="8">
        <f>VLOOKUP(RawSalesTable6[[#This Row],[Product_ID_Clean]],ProductsTable[],5,FALSE)</f>
        <v>239.67</v>
      </c>
      <c r="AA115" s="8">
        <f>RawSalesTable6[[#This Row],[Unit_Price]]*RawSalesTable6[[#This Row],[Quantity]]</f>
        <v>789.14</v>
      </c>
      <c r="AB115" s="8">
        <f>RawSalesTable6[[#This Row],[Gross_Sales]]*RawSalesTable6[[#This Row],[Discount_Pct]]</f>
        <v>39.457000000000001</v>
      </c>
      <c r="AC115" s="8">
        <f>RawSalesTable6[[#This Row],[Gross_Sales]]-RawSalesTable6[[#This Row],[Discount_Amount]]</f>
        <v>749.68299999999999</v>
      </c>
      <c r="AD115" s="8">
        <f>RawSalesTable6[[#This Row],[Unit_Cost]]*RawSalesTable6[[#This Row],[Quantity]]</f>
        <v>479.34</v>
      </c>
      <c r="AE115" s="8">
        <f>RawSalesTable6[[#This Row],[Net_Sales]]-RawSalesTable6[[#This Row],[Total_Cost]]</f>
        <v>270.34300000000002</v>
      </c>
      <c r="AF115" s="9">
        <f>RawSalesTable6[[#This Row],[Profit]]/RawSalesTable6[[#This Row],[Net_Sales]]</f>
        <v>0.36060975105477916</v>
      </c>
      <c r="AG115" s="8">
        <f>YEAR(RawSalesTable6[[#This Row],[Order_Date]])</f>
        <v>2025</v>
      </c>
      <c r="AH115" s="8">
        <f>MONTH(RawSalesTable6[[#This Row],[Order_Date]])</f>
        <v>2</v>
      </c>
      <c r="AI115" s="8" t="str">
        <f>TEXT(RawSalesTable6[[#This Row],[Order_Date]],"mmmm")</f>
        <v>février</v>
      </c>
      <c r="AJ115" s="8" t="str">
        <f>IF(RawSalesTable6[[#This Row],[Month_Number]]&lt;=3,"Q1",IF(RawSalesTable6[[#This Row],[Month_Number]]&lt;=6,"Q2",IF(RawSalesTable6[[#This Row],[Month_Number]]&lt;=9,"Q3","Q4")))</f>
        <v>Q1</v>
      </c>
      <c r="AK115" s="8" t="str">
        <f>VLOOKUP(RawSalesTable6[[#This Row],[Customer_ID_Clean]],CustomersTable[],4,FALSE)</f>
        <v>Alberta</v>
      </c>
      <c r="AL115" s="8">
        <f>IF(RawSalesTable6[[#This Row],[Return_Status]]="Yes",1,0)</f>
        <v>0</v>
      </c>
    </row>
    <row r="116" spans="1:38">
      <c r="A116" t="s">
        <v>416</v>
      </c>
      <c r="B116" s="3">
        <v>45993</v>
      </c>
      <c r="C116" t="s">
        <v>417</v>
      </c>
      <c r="D116" t="s">
        <v>418</v>
      </c>
      <c r="E116" t="s">
        <v>419</v>
      </c>
      <c r="F116" t="s">
        <v>145</v>
      </c>
      <c r="G116" t="s">
        <v>171</v>
      </c>
      <c r="H116" t="s">
        <v>228</v>
      </c>
      <c r="I116">
        <v>5</v>
      </c>
      <c r="J116" s="2">
        <v>373.91</v>
      </c>
      <c r="K116" s="4">
        <v>0</v>
      </c>
      <c r="L116" t="s">
        <v>98</v>
      </c>
      <c r="M116">
        <v>4</v>
      </c>
      <c r="N116" t="s">
        <v>91</v>
      </c>
      <c r="O116" t="str">
        <f>SUBSTITUTE(PROPER(TRIM(RawSalesTable6[[#This Row],[Channel_Raw]])),"Market Place","Marketplace")</f>
        <v>Online</v>
      </c>
      <c r="P116" t="str">
        <f>TRIM(RawSalesTable6[[#This Row],[Product_ID]])</f>
        <v>P1028</v>
      </c>
      <c r="Q116" t="str">
        <f>TRIM(RawSalesTable6[[#This Row],[Customer_ID]])</f>
        <v>C0079</v>
      </c>
      <c r="R116" s="8" t="str">
        <f>PROPER(TRIM(RawSalesTable6[[#This Row],[Store_Raw]]))</f>
        <v>Calgary North</v>
      </c>
      <c r="S116" s="8" t="str">
        <f>IF(TRIM(RawSalesTable6[[#This Row],[Payment_Method_Raw]])="","Non renseigné",SUBSTITUTE(PROPER(TRIM(RawSalesTable6[[#This Row],[Payment_Method_Raw]])),"Cc","Credit Card"))</f>
        <v>Debit Card</v>
      </c>
      <c r="T116" s="8">
        <f>COUNTIF(A:A,RawSalesTable6[[#This Row],[Order_ID]])</f>
        <v>1</v>
      </c>
      <c r="U116" s="8" t="str">
        <f>TRIM(LEFT(RawSalesTable6[[#This Row],[Customer_Info]],FIND(",",RawSalesTable6[[#This Row],[Customer_Info]])-1))</f>
        <v>Sophia Scott</v>
      </c>
      <c r="V116" s="8" t="str">
        <f>TRIM(MID(RawSalesTable6[[#This Row],[Customer_Info]],FIND(",",RawSalesTable6[[#This Row],[Customer_Info]])+1,FIND(",",RawSalesTable6[[#This Row],[Customer_Info]],FIND(",",RawSalesTable6[[#This Row],[Customer_Info]])+1)-FIND(",",RawSalesTable6[[#This Row],[Customer_Info]])-1))</f>
        <v>Ottawa</v>
      </c>
      <c r="W116" s="8" t="str">
        <f>TRIM(RIGHT(RawSalesTable6[[#This Row],[Customer_Info]],LEN(RawSalesTable6[[#This Row],[Customer_Info]])-FIND(",",RawSalesTable6[[#This Row],[Customer_Info]],FIND(",",RawSalesTable6[[#This Row],[Customer_Info]])+1)))</f>
        <v>Consumer</v>
      </c>
      <c r="X116" s="8" t="str">
        <f>VLOOKUP(RawSalesTable6[[#This Row],[Product_ID_Clean]],ProductsTable[],2,FALSE)</f>
        <v>Foam Roller</v>
      </c>
      <c r="Y116" s="8" t="str">
        <f>VLOOKUP(RawSalesTable6[[#This Row],[Product_ID_Clean]],ProductsTable[],3,FALSE)</f>
        <v>Fitness</v>
      </c>
      <c r="Z116" s="8">
        <f>VLOOKUP(RawSalesTable6[[#This Row],[Product_ID_Clean]],ProductsTable[],5,FALSE)</f>
        <v>212.02</v>
      </c>
      <c r="AA116" s="8">
        <f>RawSalesTable6[[#This Row],[Unit_Price]]*RawSalesTable6[[#This Row],[Quantity]]</f>
        <v>1869.5500000000002</v>
      </c>
      <c r="AB116" s="8">
        <f>RawSalesTable6[[#This Row],[Gross_Sales]]*RawSalesTable6[[#This Row],[Discount_Pct]]</f>
        <v>0</v>
      </c>
      <c r="AC116" s="8">
        <f>RawSalesTable6[[#This Row],[Gross_Sales]]-RawSalesTable6[[#This Row],[Discount_Amount]]</f>
        <v>1869.5500000000002</v>
      </c>
      <c r="AD116" s="8">
        <f>RawSalesTable6[[#This Row],[Unit_Cost]]*RawSalesTable6[[#This Row],[Quantity]]</f>
        <v>1060.1000000000001</v>
      </c>
      <c r="AE116" s="8">
        <f>RawSalesTable6[[#This Row],[Net_Sales]]-RawSalesTable6[[#This Row],[Total_Cost]]</f>
        <v>809.45</v>
      </c>
      <c r="AF116" s="9">
        <f>RawSalesTable6[[#This Row],[Profit]]/RawSalesTable6[[#This Row],[Net_Sales]]</f>
        <v>0.4329651520419352</v>
      </c>
      <c r="AG116" s="8">
        <f>YEAR(RawSalesTable6[[#This Row],[Order_Date]])</f>
        <v>2025</v>
      </c>
      <c r="AH116" s="8">
        <f>MONTH(RawSalesTable6[[#This Row],[Order_Date]])</f>
        <v>12</v>
      </c>
      <c r="AI116" s="8" t="str">
        <f>TEXT(RawSalesTable6[[#This Row],[Order_Date]],"mmmm")</f>
        <v>décembre</v>
      </c>
      <c r="AJ116" s="8" t="str">
        <f>IF(RawSalesTable6[[#This Row],[Month_Number]]&lt;=3,"Q1",IF(RawSalesTable6[[#This Row],[Month_Number]]&lt;=6,"Q2",IF(RawSalesTable6[[#This Row],[Month_Number]]&lt;=9,"Q3","Q4")))</f>
        <v>Q4</v>
      </c>
      <c r="AK116" s="8" t="str">
        <f>VLOOKUP(RawSalesTable6[[#This Row],[Customer_ID_Clean]],CustomersTable[],4,FALSE)</f>
        <v>Ontario</v>
      </c>
      <c r="AL116" s="8">
        <f>IF(RawSalesTable6[[#This Row],[Return_Status]]="Yes",1,0)</f>
        <v>0</v>
      </c>
    </row>
    <row r="117" spans="1:38">
      <c r="A117" t="s">
        <v>420</v>
      </c>
      <c r="B117" s="3">
        <v>45955</v>
      </c>
      <c r="C117" t="s">
        <v>268</v>
      </c>
      <c r="D117" t="s">
        <v>261</v>
      </c>
      <c r="E117" t="s">
        <v>269</v>
      </c>
      <c r="F117" t="s">
        <v>111</v>
      </c>
      <c r="G117" t="s">
        <v>117</v>
      </c>
      <c r="H117" t="s">
        <v>89</v>
      </c>
      <c r="I117">
        <v>4</v>
      </c>
      <c r="J117" s="2">
        <v>256.85000000000002</v>
      </c>
      <c r="K117" s="4">
        <v>0.1</v>
      </c>
      <c r="L117" t="s">
        <v>106</v>
      </c>
      <c r="M117">
        <v>1</v>
      </c>
      <c r="N117" t="s">
        <v>91</v>
      </c>
      <c r="O117" t="str">
        <f>SUBSTITUTE(PROPER(TRIM(RawSalesTable6[[#This Row],[Channel_Raw]])),"Market Place","Marketplace")</f>
        <v>Online</v>
      </c>
      <c r="P117" t="str">
        <f>TRIM(RawSalesTable6[[#This Row],[Product_ID]])</f>
        <v>P1031</v>
      </c>
      <c r="Q117" t="str">
        <f>TRIM(RawSalesTable6[[#This Row],[Customer_ID]])</f>
        <v>C0043</v>
      </c>
      <c r="R117" s="8" t="str">
        <f>PROPER(TRIM(RawSalesTable6[[#This Row],[Store_Raw]]))</f>
        <v>Montreal Central</v>
      </c>
      <c r="S117" s="8" t="str">
        <f>IF(TRIM(RawSalesTable6[[#This Row],[Payment_Method_Raw]])="","Non renseigné",SUBSTITUTE(PROPER(TRIM(RawSalesTable6[[#This Row],[Payment_Method_Raw]])),"Cc","Credit Card"))</f>
        <v>Credit Card</v>
      </c>
      <c r="T117" s="8">
        <f>COUNTIF(A:A,RawSalesTable6[[#This Row],[Order_ID]])</f>
        <v>1</v>
      </c>
      <c r="U117" s="8" t="str">
        <f>TRIM(LEFT(RawSalesTable6[[#This Row],[Customer_Info]],FIND(",",RawSalesTable6[[#This Row],[Customer_Info]])-1))</f>
        <v>Ava Brown</v>
      </c>
      <c r="V117" s="8" t="str">
        <f>TRIM(MID(RawSalesTable6[[#This Row],[Customer_Info]],FIND(",",RawSalesTable6[[#This Row],[Customer_Info]])+1,FIND(",",RawSalesTable6[[#This Row],[Customer_Info]],FIND(",",RawSalesTable6[[#This Row],[Customer_Info]])+1)-FIND(",",RawSalesTable6[[#This Row],[Customer_Info]])-1))</f>
        <v>Ottawa</v>
      </c>
      <c r="W117" s="8" t="str">
        <f>TRIM(RIGHT(RawSalesTable6[[#This Row],[Customer_Info]],LEN(RawSalesTable6[[#This Row],[Customer_Info]])-FIND(",",RawSalesTable6[[#This Row],[Customer_Info]],FIND(",",RawSalesTable6[[#This Row],[Customer_Info]])+1)))</f>
        <v>Small Business</v>
      </c>
      <c r="X117" s="8" t="str">
        <f>VLOOKUP(RawSalesTable6[[#This Row],[Product_ID_Clean]],ProductsTable[],2,FALSE)</f>
        <v>Dumbbell Set</v>
      </c>
      <c r="Y117" s="8" t="str">
        <f>VLOOKUP(RawSalesTable6[[#This Row],[Product_ID_Clean]],ProductsTable[],3,FALSE)</f>
        <v>Fitness</v>
      </c>
      <c r="Z117" s="8">
        <f>VLOOKUP(RawSalesTable6[[#This Row],[Product_ID_Clean]],ProductsTable[],5,FALSE)</f>
        <v>131.72999999999999</v>
      </c>
      <c r="AA117" s="8">
        <f>RawSalesTable6[[#This Row],[Unit_Price]]*RawSalesTable6[[#This Row],[Quantity]]</f>
        <v>1027.4000000000001</v>
      </c>
      <c r="AB117" s="8">
        <f>RawSalesTable6[[#This Row],[Gross_Sales]]*RawSalesTable6[[#This Row],[Discount_Pct]]</f>
        <v>102.74000000000001</v>
      </c>
      <c r="AC117" s="8">
        <f>RawSalesTable6[[#This Row],[Gross_Sales]]-RawSalesTable6[[#This Row],[Discount_Amount]]</f>
        <v>924.66000000000008</v>
      </c>
      <c r="AD117" s="8">
        <f>RawSalesTable6[[#This Row],[Unit_Cost]]*RawSalesTable6[[#This Row],[Quantity]]</f>
        <v>526.91999999999996</v>
      </c>
      <c r="AE117" s="8">
        <f>RawSalesTable6[[#This Row],[Net_Sales]]-RawSalesTable6[[#This Row],[Total_Cost]]</f>
        <v>397.74000000000012</v>
      </c>
      <c r="AF117" s="9">
        <f>RawSalesTable6[[#This Row],[Profit]]/RawSalesTable6[[#This Row],[Net_Sales]]</f>
        <v>0.43014729738498486</v>
      </c>
      <c r="AG117" s="8">
        <f>YEAR(RawSalesTable6[[#This Row],[Order_Date]])</f>
        <v>2025</v>
      </c>
      <c r="AH117" s="8">
        <f>MONTH(RawSalesTable6[[#This Row],[Order_Date]])</f>
        <v>10</v>
      </c>
      <c r="AI117" s="8" t="str">
        <f>TEXT(RawSalesTable6[[#This Row],[Order_Date]],"mmmm")</f>
        <v>octobre</v>
      </c>
      <c r="AJ117" s="8" t="str">
        <f>IF(RawSalesTable6[[#This Row],[Month_Number]]&lt;=3,"Q1",IF(RawSalesTable6[[#This Row],[Month_Number]]&lt;=6,"Q2",IF(RawSalesTable6[[#This Row],[Month_Number]]&lt;=9,"Q3","Q4")))</f>
        <v>Q4</v>
      </c>
      <c r="AK117" s="8" t="str">
        <f>VLOOKUP(RawSalesTable6[[#This Row],[Customer_ID_Clean]],CustomersTable[],4,FALSE)</f>
        <v>Ontario</v>
      </c>
      <c r="AL117" s="8">
        <f>IF(RawSalesTable6[[#This Row],[Return_Status]]="Yes",1,0)</f>
        <v>0</v>
      </c>
    </row>
    <row r="118" spans="1:38">
      <c r="A118" t="s">
        <v>421</v>
      </c>
      <c r="B118" s="3">
        <v>46019</v>
      </c>
      <c r="C118" t="s">
        <v>356</v>
      </c>
      <c r="D118" t="s">
        <v>221</v>
      </c>
      <c r="E118" t="s">
        <v>357</v>
      </c>
      <c r="F118" t="s">
        <v>87</v>
      </c>
      <c r="G118" t="s">
        <v>183</v>
      </c>
      <c r="H118" t="s">
        <v>97</v>
      </c>
      <c r="I118">
        <v>1</v>
      </c>
      <c r="J118" s="2">
        <v>29.65</v>
      </c>
      <c r="K118" s="4">
        <v>0.15</v>
      </c>
      <c r="L118" t="s">
        <v>422</v>
      </c>
      <c r="M118">
        <v>3</v>
      </c>
      <c r="N118" t="s">
        <v>91</v>
      </c>
      <c r="O118" t="str">
        <f>SUBSTITUTE(PROPER(TRIM(RawSalesTable6[[#This Row],[Channel_Raw]])),"Market Place","Marketplace")</f>
        <v>Retail Store</v>
      </c>
      <c r="P118" t="str">
        <f>TRIM(RawSalesTable6[[#This Row],[Product_ID]])</f>
        <v>P1018</v>
      </c>
      <c r="Q118" t="str">
        <f>TRIM(RawSalesTable6[[#This Row],[Customer_ID]])</f>
        <v>C0008</v>
      </c>
      <c r="R118" s="8" t="str">
        <f>PROPER(TRIM(RawSalesTable6[[#This Row],[Store_Raw]]))</f>
        <v>Online Fulfillment</v>
      </c>
      <c r="S118" s="8" t="str">
        <f>IF(TRIM(RawSalesTable6[[#This Row],[Payment_Method_Raw]])="","Non renseigné",SUBSTITUTE(PROPER(TRIM(RawSalesTable6[[#This Row],[Payment_Method_Raw]])),"Cc","Credit Card"))</f>
        <v>Gift Card</v>
      </c>
      <c r="T118" s="8">
        <f>COUNTIF(A:A,RawSalesTable6[[#This Row],[Order_ID]])</f>
        <v>1</v>
      </c>
      <c r="U118" s="8" t="str">
        <f>TRIM(LEFT(RawSalesTable6[[#This Row],[Customer_Info]],FIND(",",RawSalesTable6[[#This Row],[Customer_Info]])-1))</f>
        <v>Mia Wilson</v>
      </c>
      <c r="V118" s="8" t="str">
        <f>TRIM(MID(RawSalesTable6[[#This Row],[Customer_Info]],FIND(",",RawSalesTable6[[#This Row],[Customer_Info]])+1,FIND(",",RawSalesTable6[[#This Row],[Customer_Info]],FIND(",",RawSalesTable6[[#This Row],[Customer_Info]])+1)-FIND(",",RawSalesTable6[[#This Row],[Customer_Info]])-1))</f>
        <v>Calgary</v>
      </c>
      <c r="W118" s="8" t="str">
        <f>TRIM(RIGHT(RawSalesTable6[[#This Row],[Customer_Info]],LEN(RawSalesTable6[[#This Row],[Customer_Info]])-FIND(",",RawSalesTable6[[#This Row],[Customer_Info]],FIND(",",RawSalesTable6[[#This Row],[Customer_Info]])+1)))</f>
        <v>Consumer</v>
      </c>
      <c r="X118" s="8" t="str">
        <f>VLOOKUP(RawSalesTable6[[#This Row],[Product_ID_Clean]],ProductsTable[],2,FALSE)</f>
        <v>Air Fryer</v>
      </c>
      <c r="Y118" s="8" t="str">
        <f>VLOOKUP(RawSalesTable6[[#This Row],[Product_ID_Clean]],ProductsTable[],3,FALSE)</f>
        <v>Home</v>
      </c>
      <c r="Z118" s="8">
        <f>VLOOKUP(RawSalesTable6[[#This Row],[Product_ID_Clean]],ProductsTable[],5,FALSE)</f>
        <v>14.58</v>
      </c>
      <c r="AA118" s="8">
        <f>RawSalesTable6[[#This Row],[Unit_Price]]*RawSalesTable6[[#This Row],[Quantity]]</f>
        <v>29.65</v>
      </c>
      <c r="AB118" s="8">
        <f>RawSalesTable6[[#This Row],[Gross_Sales]]*RawSalesTable6[[#This Row],[Discount_Pct]]</f>
        <v>4.4474999999999998</v>
      </c>
      <c r="AC118" s="8">
        <f>RawSalesTable6[[#This Row],[Gross_Sales]]-RawSalesTable6[[#This Row],[Discount_Amount]]</f>
        <v>25.202500000000001</v>
      </c>
      <c r="AD118" s="8">
        <f>RawSalesTable6[[#This Row],[Unit_Cost]]*RawSalesTable6[[#This Row],[Quantity]]</f>
        <v>14.58</v>
      </c>
      <c r="AE118" s="8">
        <f>RawSalesTable6[[#This Row],[Net_Sales]]-RawSalesTable6[[#This Row],[Total_Cost]]</f>
        <v>10.6225</v>
      </c>
      <c r="AF118" s="9">
        <f>RawSalesTable6[[#This Row],[Profit]]/RawSalesTable6[[#This Row],[Net_Sales]]</f>
        <v>0.42148596369407798</v>
      </c>
      <c r="AG118" s="8">
        <f>YEAR(RawSalesTable6[[#This Row],[Order_Date]])</f>
        <v>2025</v>
      </c>
      <c r="AH118" s="8">
        <f>MONTH(RawSalesTable6[[#This Row],[Order_Date]])</f>
        <v>12</v>
      </c>
      <c r="AI118" s="8" t="str">
        <f>TEXT(RawSalesTable6[[#This Row],[Order_Date]],"mmmm")</f>
        <v>décembre</v>
      </c>
      <c r="AJ118" s="8" t="str">
        <f>IF(RawSalesTable6[[#This Row],[Month_Number]]&lt;=3,"Q1",IF(RawSalesTable6[[#This Row],[Month_Number]]&lt;=6,"Q2",IF(RawSalesTable6[[#This Row],[Month_Number]]&lt;=9,"Q3","Q4")))</f>
        <v>Q4</v>
      </c>
      <c r="AK118" s="8" t="str">
        <f>VLOOKUP(RawSalesTable6[[#This Row],[Customer_ID_Clean]],CustomersTable[],4,FALSE)</f>
        <v>Alberta</v>
      </c>
      <c r="AL118" s="8">
        <f>IF(RawSalesTable6[[#This Row],[Return_Status]]="Yes",1,0)</f>
        <v>0</v>
      </c>
    </row>
    <row r="119" spans="1:38">
      <c r="A119" t="s">
        <v>423</v>
      </c>
      <c r="B119" s="3">
        <v>45671</v>
      </c>
      <c r="C119" t="s">
        <v>330</v>
      </c>
      <c r="D119" t="s">
        <v>133</v>
      </c>
      <c r="E119" t="s">
        <v>424</v>
      </c>
      <c r="F119" t="s">
        <v>103</v>
      </c>
      <c r="G119" t="s">
        <v>117</v>
      </c>
      <c r="H119" t="s">
        <v>97</v>
      </c>
      <c r="I119">
        <v>1</v>
      </c>
      <c r="J119" s="2">
        <v>343.13</v>
      </c>
      <c r="K119" s="4">
        <v>0.05</v>
      </c>
      <c r="L119" t="s">
        <v>90</v>
      </c>
      <c r="M119">
        <v>2</v>
      </c>
      <c r="N119" t="s">
        <v>91</v>
      </c>
      <c r="O119" t="str">
        <f>SUBSTITUTE(PROPER(TRIM(RawSalesTable6[[#This Row],[Channel_Raw]])),"Market Place","Marketplace")</f>
        <v>Retail Store</v>
      </c>
      <c r="P119" t="str">
        <f>TRIM(RawSalesTable6[[#This Row],[Product_ID]])</f>
        <v>P1039</v>
      </c>
      <c r="Q119" t="str">
        <f>TRIM(RawSalesTable6[[#This Row],[Customer_ID]])</f>
        <v>C0108</v>
      </c>
      <c r="R119" s="8" t="str">
        <f>PROPER(TRIM(RawSalesTable6[[#This Row],[Store_Raw]]))</f>
        <v>Vancouver West</v>
      </c>
      <c r="S119" s="8" t="str">
        <f>IF(TRIM(RawSalesTable6[[#This Row],[Payment_Method_Raw]])="","Non renseigné",SUBSTITUTE(PROPER(TRIM(RawSalesTable6[[#This Row],[Payment_Method_Raw]])),"Cc","Credit Card"))</f>
        <v>Paypal</v>
      </c>
      <c r="T119" s="8">
        <f>COUNTIF(A:A,RawSalesTable6[[#This Row],[Order_ID]])</f>
        <v>1</v>
      </c>
      <c r="U119" s="8" t="str">
        <f>TRIM(LEFT(RawSalesTable6[[#This Row],[Customer_Info]],FIND(",",RawSalesTable6[[#This Row],[Customer_Info]])-1))</f>
        <v>Noah Lee</v>
      </c>
      <c r="V119" s="8" t="str">
        <f>TRIM(MID(RawSalesTable6[[#This Row],[Customer_Info]],FIND(",",RawSalesTable6[[#This Row],[Customer_Info]])+1,FIND(",",RawSalesTable6[[#This Row],[Customer_Info]],FIND(",",RawSalesTable6[[#This Row],[Customer_Info]])+1)-FIND(",",RawSalesTable6[[#This Row],[Customer_Info]])-1))</f>
        <v>Surrey</v>
      </c>
      <c r="W119" s="8" t="str">
        <f>TRIM(RIGHT(RawSalesTable6[[#This Row],[Customer_Info]],LEN(RawSalesTable6[[#This Row],[Customer_Info]])-FIND(",",RawSalesTable6[[#This Row],[Customer_Info]],FIND(",",RawSalesTable6[[#This Row],[Customer_Info]])+1)))</f>
        <v>Consumer</v>
      </c>
      <c r="X119" s="8" t="str">
        <f>VLOOKUP(RawSalesTable6[[#This Row],[Product_ID_Clean]],ProductsTable[],2,FALSE)</f>
        <v>Travel Adapter</v>
      </c>
      <c r="Y119" s="8" t="str">
        <f>VLOOKUP(RawSalesTable6[[#This Row],[Product_ID_Clean]],ProductsTable[],3,FALSE)</f>
        <v>Accessories</v>
      </c>
      <c r="Z119" s="8">
        <f>VLOOKUP(RawSalesTable6[[#This Row],[Product_ID_Clean]],ProductsTable[],5,FALSE)</f>
        <v>229.86</v>
      </c>
      <c r="AA119" s="8">
        <f>RawSalesTable6[[#This Row],[Unit_Price]]*RawSalesTable6[[#This Row],[Quantity]]</f>
        <v>343.13</v>
      </c>
      <c r="AB119" s="8">
        <f>RawSalesTable6[[#This Row],[Gross_Sales]]*RawSalesTable6[[#This Row],[Discount_Pct]]</f>
        <v>17.156500000000001</v>
      </c>
      <c r="AC119" s="8">
        <f>RawSalesTable6[[#This Row],[Gross_Sales]]-RawSalesTable6[[#This Row],[Discount_Amount]]</f>
        <v>325.9735</v>
      </c>
      <c r="AD119" s="8">
        <f>RawSalesTable6[[#This Row],[Unit_Cost]]*RawSalesTable6[[#This Row],[Quantity]]</f>
        <v>229.86</v>
      </c>
      <c r="AE119" s="8">
        <f>RawSalesTable6[[#This Row],[Net_Sales]]-RawSalesTable6[[#This Row],[Total_Cost]]</f>
        <v>96.113499999999988</v>
      </c>
      <c r="AF119" s="9">
        <f>RawSalesTable6[[#This Row],[Profit]]/RawSalesTable6[[#This Row],[Net_Sales]]</f>
        <v>0.29485065503790947</v>
      </c>
      <c r="AG119" s="8">
        <f>YEAR(RawSalesTable6[[#This Row],[Order_Date]])</f>
        <v>2025</v>
      </c>
      <c r="AH119" s="8">
        <f>MONTH(RawSalesTable6[[#This Row],[Order_Date]])</f>
        <v>1</v>
      </c>
      <c r="AI119" s="8" t="str">
        <f>TEXT(RawSalesTable6[[#This Row],[Order_Date]],"mmmm")</f>
        <v>janvier</v>
      </c>
      <c r="AJ119" s="8" t="str">
        <f>IF(RawSalesTable6[[#This Row],[Month_Number]]&lt;=3,"Q1",IF(RawSalesTable6[[#This Row],[Month_Number]]&lt;=6,"Q2",IF(RawSalesTable6[[#This Row],[Month_Number]]&lt;=9,"Q3","Q4")))</f>
        <v>Q1</v>
      </c>
      <c r="AK119" s="8" t="str">
        <f>VLOOKUP(RawSalesTable6[[#This Row],[Customer_ID_Clean]],CustomersTable[],4,FALSE)</f>
        <v>British Columbia</v>
      </c>
      <c r="AL119" s="8">
        <f>IF(RawSalesTable6[[#This Row],[Return_Status]]="Yes",1,0)</f>
        <v>0</v>
      </c>
    </row>
    <row r="120" spans="1:38">
      <c r="A120" t="s">
        <v>425</v>
      </c>
      <c r="B120" s="3">
        <v>45738</v>
      </c>
      <c r="C120" t="s">
        <v>293</v>
      </c>
      <c r="D120" t="s">
        <v>136</v>
      </c>
      <c r="E120" t="s">
        <v>294</v>
      </c>
      <c r="F120" t="s">
        <v>103</v>
      </c>
      <c r="G120" t="s">
        <v>122</v>
      </c>
      <c r="H120" t="s">
        <v>105</v>
      </c>
      <c r="I120">
        <v>1</v>
      </c>
      <c r="J120" s="2">
        <v>159.52000000000001</v>
      </c>
      <c r="K120" s="4">
        <v>0</v>
      </c>
      <c r="L120" t="s">
        <v>98</v>
      </c>
      <c r="M120">
        <v>6</v>
      </c>
      <c r="N120" t="s">
        <v>91</v>
      </c>
      <c r="O120" t="str">
        <f>SUBSTITUTE(PROPER(TRIM(RawSalesTable6[[#This Row],[Channel_Raw]])),"Market Place","Marketplace")</f>
        <v>Marketplace</v>
      </c>
      <c r="P120" t="str">
        <f>TRIM(RawSalesTable6[[#This Row],[Product_ID]])</f>
        <v>P1003</v>
      </c>
      <c r="Q120" t="str">
        <f>TRIM(RawSalesTable6[[#This Row],[Customer_ID]])</f>
        <v>C0007</v>
      </c>
      <c r="R120" s="8" t="str">
        <f>PROPER(TRIM(RawSalesTable6[[#This Row],[Store_Raw]]))</f>
        <v>Vancouver West</v>
      </c>
      <c r="S120" s="8" t="str">
        <f>IF(TRIM(RawSalesTable6[[#This Row],[Payment_Method_Raw]])="","Non renseigné",SUBSTITUTE(PROPER(TRIM(RawSalesTable6[[#This Row],[Payment_Method_Raw]])),"Cc","Credit Card"))</f>
        <v>Debit Card</v>
      </c>
      <c r="T120" s="8">
        <f>COUNTIF(A:A,RawSalesTable6[[#This Row],[Order_ID]])</f>
        <v>1</v>
      </c>
      <c r="U120" s="8" t="str">
        <f>TRIM(LEFT(RawSalesTable6[[#This Row],[Customer_Info]],FIND(",",RawSalesTable6[[#This Row],[Customer_Info]])-1))</f>
        <v>Lucas Wilson</v>
      </c>
      <c r="V120" s="8" t="str">
        <f>TRIM(MID(RawSalesTable6[[#This Row],[Customer_Info]],FIND(",",RawSalesTable6[[#This Row],[Customer_Info]])+1,FIND(",",RawSalesTable6[[#This Row],[Customer_Info]],FIND(",",RawSalesTable6[[#This Row],[Customer_Info]])+1)-FIND(",",RawSalesTable6[[#This Row],[Customer_Info]])-1))</f>
        <v>Ottawa</v>
      </c>
      <c r="W120" s="8" t="str">
        <f>TRIM(RIGHT(RawSalesTable6[[#This Row],[Customer_Info]],LEN(RawSalesTable6[[#This Row],[Customer_Info]])-FIND(",",RawSalesTable6[[#This Row],[Customer_Info]],FIND(",",RawSalesTable6[[#This Row],[Customer_Info]])+1)))</f>
        <v>Consumer</v>
      </c>
      <c r="X120" s="8" t="str">
        <f>VLOOKUP(RawSalesTable6[[#This Row],[Product_ID_Clean]],ProductsTable[],2,FALSE)</f>
        <v>Mouse</v>
      </c>
      <c r="Y120" s="8" t="str">
        <f>VLOOKUP(RawSalesTable6[[#This Row],[Product_ID_Clean]],ProductsTable[],3,FALSE)</f>
        <v>Electronics</v>
      </c>
      <c r="Z120" s="8">
        <f>VLOOKUP(RawSalesTable6[[#This Row],[Product_ID_Clean]],ProductsTable[],5,FALSE)</f>
        <v>106.4</v>
      </c>
      <c r="AA120" s="8">
        <f>RawSalesTable6[[#This Row],[Unit_Price]]*RawSalesTable6[[#This Row],[Quantity]]</f>
        <v>159.52000000000001</v>
      </c>
      <c r="AB120" s="8">
        <f>RawSalesTable6[[#This Row],[Gross_Sales]]*RawSalesTable6[[#This Row],[Discount_Pct]]</f>
        <v>0</v>
      </c>
      <c r="AC120" s="8">
        <f>RawSalesTable6[[#This Row],[Gross_Sales]]-RawSalesTable6[[#This Row],[Discount_Amount]]</f>
        <v>159.52000000000001</v>
      </c>
      <c r="AD120" s="8">
        <f>RawSalesTable6[[#This Row],[Unit_Cost]]*RawSalesTable6[[#This Row],[Quantity]]</f>
        <v>106.4</v>
      </c>
      <c r="AE120" s="8">
        <f>RawSalesTable6[[#This Row],[Net_Sales]]-RawSalesTable6[[#This Row],[Total_Cost]]</f>
        <v>53.120000000000005</v>
      </c>
      <c r="AF120" s="9">
        <f>RawSalesTable6[[#This Row],[Profit]]/RawSalesTable6[[#This Row],[Net_Sales]]</f>
        <v>0.33299899699097291</v>
      </c>
      <c r="AG120" s="8">
        <f>YEAR(RawSalesTable6[[#This Row],[Order_Date]])</f>
        <v>2025</v>
      </c>
      <c r="AH120" s="8">
        <f>MONTH(RawSalesTable6[[#This Row],[Order_Date]])</f>
        <v>3</v>
      </c>
      <c r="AI120" s="8" t="str">
        <f>TEXT(RawSalesTable6[[#This Row],[Order_Date]],"mmmm")</f>
        <v>mars</v>
      </c>
      <c r="AJ120" s="8" t="str">
        <f>IF(RawSalesTable6[[#This Row],[Month_Number]]&lt;=3,"Q1",IF(RawSalesTable6[[#This Row],[Month_Number]]&lt;=6,"Q2",IF(RawSalesTable6[[#This Row],[Month_Number]]&lt;=9,"Q3","Q4")))</f>
        <v>Q1</v>
      </c>
      <c r="AK120" s="8" t="str">
        <f>VLOOKUP(RawSalesTable6[[#This Row],[Customer_ID_Clean]],CustomersTable[],4,FALSE)</f>
        <v>Ontario</v>
      </c>
      <c r="AL120" s="8">
        <f>IF(RawSalesTable6[[#This Row],[Return_Status]]="Yes",1,0)</f>
        <v>0</v>
      </c>
    </row>
    <row r="121" spans="1:38">
      <c r="A121" t="s">
        <v>426</v>
      </c>
      <c r="B121" s="3">
        <v>45857</v>
      </c>
      <c r="C121" t="s">
        <v>427</v>
      </c>
      <c r="D121" t="s">
        <v>139</v>
      </c>
      <c r="E121" t="s">
        <v>428</v>
      </c>
      <c r="F121" t="s">
        <v>87</v>
      </c>
      <c r="G121" t="s">
        <v>104</v>
      </c>
      <c r="H121" t="s">
        <v>89</v>
      </c>
      <c r="I121">
        <v>2</v>
      </c>
      <c r="J121" s="2">
        <v>83.33</v>
      </c>
      <c r="K121" s="4">
        <v>0.15</v>
      </c>
      <c r="L121" t="s">
        <v>98</v>
      </c>
      <c r="M121">
        <v>2</v>
      </c>
      <c r="N121" t="s">
        <v>91</v>
      </c>
      <c r="O121" t="str">
        <f>SUBSTITUTE(PROPER(TRIM(RawSalesTable6[[#This Row],[Channel_Raw]])),"Market Place","Marketplace")</f>
        <v>Online</v>
      </c>
      <c r="P121" t="str">
        <f>TRIM(RawSalesTable6[[#This Row],[Product_ID]])</f>
        <v>P1012</v>
      </c>
      <c r="Q121" t="str">
        <f>TRIM(RawSalesTable6[[#This Row],[Customer_ID]])</f>
        <v>C0062</v>
      </c>
      <c r="R121" s="8" t="str">
        <f>PROPER(TRIM(RawSalesTable6[[#This Row],[Store_Raw]]))</f>
        <v>Online Fulfillment</v>
      </c>
      <c r="S121" s="8" t="str">
        <f>IF(TRIM(RawSalesTable6[[#This Row],[Payment_Method_Raw]])="","Non renseigné",SUBSTITUTE(PROPER(TRIM(RawSalesTable6[[#This Row],[Payment_Method_Raw]])),"Cc","Credit Card"))</f>
        <v>Debit Card</v>
      </c>
      <c r="T121" s="8">
        <f>COUNTIF(A:A,RawSalesTable6[[#This Row],[Order_ID]])</f>
        <v>1</v>
      </c>
      <c r="U121" s="8" t="str">
        <f>TRIM(LEFT(RawSalesTable6[[#This Row],[Customer_Info]],FIND(",",RawSalesTable6[[#This Row],[Customer_Info]])-1))</f>
        <v>Yasmine Scott</v>
      </c>
      <c r="V121" s="8" t="str">
        <f>TRIM(MID(RawSalesTable6[[#This Row],[Customer_Info]],FIND(",",RawSalesTable6[[#This Row],[Customer_Info]])+1,FIND(",",RawSalesTable6[[#This Row],[Customer_Info]],FIND(",",RawSalesTable6[[#This Row],[Customer_Info]])+1)-FIND(",",RawSalesTable6[[#This Row],[Customer_Info]])-1))</f>
        <v>Toronto</v>
      </c>
      <c r="W121" s="8" t="str">
        <f>TRIM(RIGHT(RawSalesTable6[[#This Row],[Customer_Info]],LEN(RawSalesTable6[[#This Row],[Customer_Info]])-FIND(",",RawSalesTable6[[#This Row],[Customer_Info]],FIND(",",RawSalesTable6[[#This Row],[Customer_Info]])+1)))</f>
        <v>Consumer</v>
      </c>
      <c r="X121" s="8" t="str">
        <f>VLOOKUP(RawSalesTable6[[#This Row],[Product_ID_Clean]],ProductsTable[],2,FALSE)</f>
        <v>Standing Desk</v>
      </c>
      <c r="Y121" s="8" t="str">
        <f>VLOOKUP(RawSalesTable6[[#This Row],[Product_ID_Clean]],ProductsTable[],3,FALSE)</f>
        <v>Office</v>
      </c>
      <c r="Z121" s="8">
        <f>VLOOKUP(RawSalesTable6[[#This Row],[Product_ID_Clean]],ProductsTable[],5,FALSE)</f>
        <v>45.17</v>
      </c>
      <c r="AA121" s="8">
        <f>RawSalesTable6[[#This Row],[Unit_Price]]*RawSalesTable6[[#This Row],[Quantity]]</f>
        <v>166.66</v>
      </c>
      <c r="AB121" s="8">
        <f>RawSalesTable6[[#This Row],[Gross_Sales]]*RawSalesTable6[[#This Row],[Discount_Pct]]</f>
        <v>24.998999999999999</v>
      </c>
      <c r="AC121" s="8">
        <f>RawSalesTable6[[#This Row],[Gross_Sales]]-RawSalesTable6[[#This Row],[Discount_Amount]]</f>
        <v>141.661</v>
      </c>
      <c r="AD121" s="8">
        <f>RawSalesTable6[[#This Row],[Unit_Cost]]*RawSalesTable6[[#This Row],[Quantity]]</f>
        <v>90.34</v>
      </c>
      <c r="AE121" s="8">
        <f>RawSalesTable6[[#This Row],[Net_Sales]]-RawSalesTable6[[#This Row],[Total_Cost]]</f>
        <v>51.320999999999998</v>
      </c>
      <c r="AF121" s="9">
        <f>RawSalesTable6[[#This Row],[Profit]]/RawSalesTable6[[#This Row],[Net_Sales]]</f>
        <v>0.3622803735678839</v>
      </c>
      <c r="AG121" s="8">
        <f>YEAR(RawSalesTable6[[#This Row],[Order_Date]])</f>
        <v>2025</v>
      </c>
      <c r="AH121" s="8">
        <f>MONTH(RawSalesTable6[[#This Row],[Order_Date]])</f>
        <v>7</v>
      </c>
      <c r="AI121" s="8" t="str">
        <f>TEXT(RawSalesTable6[[#This Row],[Order_Date]],"mmmm")</f>
        <v>juillet</v>
      </c>
      <c r="AJ121" s="8" t="str">
        <f>IF(RawSalesTable6[[#This Row],[Month_Number]]&lt;=3,"Q1",IF(RawSalesTable6[[#This Row],[Month_Number]]&lt;=6,"Q2",IF(RawSalesTable6[[#This Row],[Month_Number]]&lt;=9,"Q3","Q4")))</f>
        <v>Q3</v>
      </c>
      <c r="AK121" s="8" t="str">
        <f>VLOOKUP(RawSalesTable6[[#This Row],[Customer_ID_Clean]],CustomersTable[],4,FALSE)</f>
        <v>Ontario</v>
      </c>
      <c r="AL121" s="8">
        <f>IF(RawSalesTable6[[#This Row],[Return_Status]]="Yes",1,0)</f>
        <v>0</v>
      </c>
    </row>
    <row r="122" spans="1:38">
      <c r="A122" t="s">
        <v>429</v>
      </c>
      <c r="B122" s="3">
        <v>46021</v>
      </c>
      <c r="C122" t="s">
        <v>430</v>
      </c>
      <c r="D122" t="s">
        <v>109</v>
      </c>
      <c r="E122" t="s">
        <v>431</v>
      </c>
      <c r="F122" t="s">
        <v>103</v>
      </c>
      <c r="G122" t="s">
        <v>96</v>
      </c>
      <c r="H122" t="s">
        <v>167</v>
      </c>
      <c r="I122">
        <v>1</v>
      </c>
      <c r="J122" s="2">
        <v>193.21</v>
      </c>
      <c r="K122" s="4">
        <v>0</v>
      </c>
      <c r="L122" t="s">
        <v>432</v>
      </c>
      <c r="M122">
        <v>5</v>
      </c>
      <c r="N122" t="s">
        <v>91</v>
      </c>
      <c r="O122" t="str">
        <f>SUBSTITUTE(PROPER(TRIM(RawSalesTable6[[#This Row],[Channel_Raw]])),"Market Place","Marketplace")</f>
        <v>Marketplace</v>
      </c>
      <c r="P122" t="str">
        <f>TRIM(RawSalesTable6[[#This Row],[Product_ID]])</f>
        <v>P1032</v>
      </c>
      <c r="Q122" t="str">
        <f>TRIM(RawSalesTable6[[#This Row],[Customer_ID]])</f>
        <v>C0056</v>
      </c>
      <c r="R122" s="8" t="str">
        <f>PROPER(TRIM(RawSalesTable6[[#This Row],[Store_Raw]]))</f>
        <v>Vancouver West</v>
      </c>
      <c r="S122" s="8" t="str">
        <f>IF(TRIM(RawSalesTable6[[#This Row],[Payment_Method_Raw]])="","Non renseigné",SUBSTITUTE(PROPER(TRIM(RawSalesTable6[[#This Row],[Payment_Method_Raw]])),"Cc","Credit Card"))</f>
        <v>Paypal</v>
      </c>
      <c r="T122" s="8">
        <f>COUNTIF(A:A,RawSalesTable6[[#This Row],[Order_ID]])</f>
        <v>1</v>
      </c>
      <c r="U122" s="8" t="str">
        <f>TRIM(LEFT(RawSalesTable6[[#This Row],[Customer_Info]],FIND(",",RawSalesTable6[[#This Row],[Customer_Info]])-1))</f>
        <v>Sarah Wilson</v>
      </c>
      <c r="V122" s="8" t="str">
        <f>TRIM(MID(RawSalesTable6[[#This Row],[Customer_Info]],FIND(",",RawSalesTable6[[#This Row],[Customer_Info]])+1,FIND(",",RawSalesTable6[[#This Row],[Customer_Info]],FIND(",",RawSalesTable6[[#This Row],[Customer_Info]])+1)-FIND(",",RawSalesTable6[[#This Row],[Customer_Info]])-1))</f>
        <v>Halifax</v>
      </c>
      <c r="W122" s="8" t="str">
        <f>TRIM(RIGHT(RawSalesTable6[[#This Row],[Customer_Info]],LEN(RawSalesTable6[[#This Row],[Customer_Info]])-FIND(",",RawSalesTable6[[#This Row],[Customer_Info]],FIND(",",RawSalesTable6[[#This Row],[Customer_Info]])+1)))</f>
        <v>Consumer</v>
      </c>
      <c r="X122" s="8" t="str">
        <f>VLOOKUP(RawSalesTable6[[#This Row],[Product_ID_Clean]],ProductsTable[],2,FALSE)</f>
        <v>Gym Bag</v>
      </c>
      <c r="Y122" s="8" t="str">
        <f>VLOOKUP(RawSalesTable6[[#This Row],[Product_ID_Clean]],ProductsTable[],3,FALSE)</f>
        <v>Fitness</v>
      </c>
      <c r="Z122" s="8">
        <f>VLOOKUP(RawSalesTable6[[#This Row],[Product_ID_Clean]],ProductsTable[],5,FALSE)</f>
        <v>132.72</v>
      </c>
      <c r="AA122" s="8">
        <f>RawSalesTable6[[#This Row],[Unit_Price]]*RawSalesTable6[[#This Row],[Quantity]]</f>
        <v>193.21</v>
      </c>
      <c r="AB122" s="8">
        <f>RawSalesTable6[[#This Row],[Gross_Sales]]*RawSalesTable6[[#This Row],[Discount_Pct]]</f>
        <v>0</v>
      </c>
      <c r="AC122" s="8">
        <f>RawSalesTable6[[#This Row],[Gross_Sales]]-RawSalesTable6[[#This Row],[Discount_Amount]]</f>
        <v>193.21</v>
      </c>
      <c r="AD122" s="8">
        <f>RawSalesTable6[[#This Row],[Unit_Cost]]*RawSalesTable6[[#This Row],[Quantity]]</f>
        <v>132.72</v>
      </c>
      <c r="AE122" s="8">
        <f>RawSalesTable6[[#This Row],[Net_Sales]]-RawSalesTable6[[#This Row],[Total_Cost]]</f>
        <v>60.490000000000009</v>
      </c>
      <c r="AF122" s="9">
        <f>RawSalesTable6[[#This Row],[Profit]]/RawSalesTable6[[#This Row],[Net_Sales]]</f>
        <v>0.31307903317633667</v>
      </c>
      <c r="AG122" s="8">
        <f>YEAR(RawSalesTable6[[#This Row],[Order_Date]])</f>
        <v>2025</v>
      </c>
      <c r="AH122" s="8">
        <f>MONTH(RawSalesTable6[[#This Row],[Order_Date]])</f>
        <v>12</v>
      </c>
      <c r="AI122" s="8" t="str">
        <f>TEXT(RawSalesTable6[[#This Row],[Order_Date]],"mmmm")</f>
        <v>décembre</v>
      </c>
      <c r="AJ122" s="8" t="str">
        <f>IF(RawSalesTable6[[#This Row],[Month_Number]]&lt;=3,"Q1",IF(RawSalesTable6[[#This Row],[Month_Number]]&lt;=6,"Q2",IF(RawSalesTable6[[#This Row],[Month_Number]]&lt;=9,"Q3","Q4")))</f>
        <v>Q4</v>
      </c>
      <c r="AK122" s="8" t="str">
        <f>VLOOKUP(RawSalesTable6[[#This Row],[Customer_ID_Clean]],CustomersTable[],4,FALSE)</f>
        <v>Nova Scotia</v>
      </c>
      <c r="AL122" s="8">
        <f>IF(RawSalesTable6[[#This Row],[Return_Status]]="Yes",1,0)</f>
        <v>0</v>
      </c>
    </row>
    <row r="123" spans="1:38">
      <c r="A123" t="s">
        <v>433</v>
      </c>
      <c r="B123" s="3">
        <v>45774</v>
      </c>
      <c r="C123" t="s">
        <v>206</v>
      </c>
      <c r="D123" t="s">
        <v>261</v>
      </c>
      <c r="E123" t="s">
        <v>207</v>
      </c>
      <c r="F123" t="s">
        <v>87</v>
      </c>
      <c r="G123" t="s">
        <v>183</v>
      </c>
      <c r="H123" t="s">
        <v>89</v>
      </c>
      <c r="I123">
        <v>1</v>
      </c>
      <c r="J123" s="2">
        <v>265.20999999999998</v>
      </c>
      <c r="K123" s="4">
        <v>0</v>
      </c>
      <c r="L123" t="s">
        <v>154</v>
      </c>
      <c r="M123">
        <v>8</v>
      </c>
      <c r="N123" t="s">
        <v>91</v>
      </c>
      <c r="O123" t="str">
        <f>SUBSTITUTE(PROPER(TRIM(RawSalesTable6[[#This Row],[Channel_Raw]])),"Market Place","Marketplace")</f>
        <v>Online</v>
      </c>
      <c r="P123" t="str">
        <f>TRIM(RawSalesTable6[[#This Row],[Product_ID]])</f>
        <v>P1031</v>
      </c>
      <c r="Q123" t="str">
        <f>TRIM(RawSalesTable6[[#This Row],[Customer_ID]])</f>
        <v>C0061</v>
      </c>
      <c r="R123" s="8" t="str">
        <f>PROPER(TRIM(RawSalesTable6[[#This Row],[Store_Raw]]))</f>
        <v>Online Fulfillment</v>
      </c>
      <c r="S123" s="8" t="str">
        <f>IF(TRIM(RawSalesTable6[[#This Row],[Payment_Method_Raw]])="","Non renseigné",SUBSTITUTE(PROPER(TRIM(RawSalesTable6[[#This Row],[Payment_Method_Raw]])),"Cc","Credit Card"))</f>
        <v>Gift Card</v>
      </c>
      <c r="T123" s="8">
        <f>COUNTIF(A:A,RawSalesTable6[[#This Row],[Order_ID]])</f>
        <v>1</v>
      </c>
      <c r="U123" s="8" t="str">
        <f>TRIM(LEFT(RawSalesTable6[[#This Row],[Customer_Info]],FIND(",",RawSalesTable6[[#This Row],[Customer_Info]])-1))</f>
        <v>Zoe Hall</v>
      </c>
      <c r="V123" s="8" t="str">
        <f>TRIM(MID(RawSalesTable6[[#This Row],[Customer_Info]],FIND(",",RawSalesTable6[[#This Row],[Customer_Info]])+1,FIND(",",RawSalesTable6[[#This Row],[Customer_Info]],FIND(",",RawSalesTable6[[#This Row],[Customer_Info]])+1)-FIND(",",RawSalesTable6[[#This Row],[Customer_Info]])-1))</f>
        <v>Vancouver</v>
      </c>
      <c r="W123" s="8" t="str">
        <f>TRIM(RIGHT(RawSalesTable6[[#This Row],[Customer_Info]],LEN(RawSalesTable6[[#This Row],[Customer_Info]])-FIND(",",RawSalesTable6[[#This Row],[Customer_Info]],FIND(",",RawSalesTable6[[#This Row],[Customer_Info]])+1)))</f>
        <v>Consumer</v>
      </c>
      <c r="X123" s="8" t="str">
        <f>VLOOKUP(RawSalesTable6[[#This Row],[Product_ID_Clean]],ProductsTable[],2,FALSE)</f>
        <v>Dumbbell Set</v>
      </c>
      <c r="Y123" s="8" t="str">
        <f>VLOOKUP(RawSalesTable6[[#This Row],[Product_ID_Clean]],ProductsTable[],3,FALSE)</f>
        <v>Fitness</v>
      </c>
      <c r="Z123" s="8">
        <f>VLOOKUP(RawSalesTable6[[#This Row],[Product_ID_Clean]],ProductsTable[],5,FALSE)</f>
        <v>131.72999999999999</v>
      </c>
      <c r="AA123" s="8">
        <f>RawSalesTable6[[#This Row],[Unit_Price]]*RawSalesTable6[[#This Row],[Quantity]]</f>
        <v>265.20999999999998</v>
      </c>
      <c r="AB123" s="8">
        <f>RawSalesTable6[[#This Row],[Gross_Sales]]*RawSalesTable6[[#This Row],[Discount_Pct]]</f>
        <v>0</v>
      </c>
      <c r="AC123" s="8">
        <f>RawSalesTable6[[#This Row],[Gross_Sales]]-RawSalesTable6[[#This Row],[Discount_Amount]]</f>
        <v>265.20999999999998</v>
      </c>
      <c r="AD123" s="8">
        <f>RawSalesTable6[[#This Row],[Unit_Cost]]*RawSalesTable6[[#This Row],[Quantity]]</f>
        <v>131.72999999999999</v>
      </c>
      <c r="AE123" s="8">
        <f>RawSalesTable6[[#This Row],[Net_Sales]]-RawSalesTable6[[#This Row],[Total_Cost]]</f>
        <v>133.47999999999999</v>
      </c>
      <c r="AF123" s="9">
        <f>RawSalesTable6[[#This Row],[Profit]]/RawSalesTable6[[#This Row],[Net_Sales]]</f>
        <v>0.50329927227480109</v>
      </c>
      <c r="AG123" s="8">
        <f>YEAR(RawSalesTable6[[#This Row],[Order_Date]])</f>
        <v>2025</v>
      </c>
      <c r="AH123" s="8">
        <f>MONTH(RawSalesTable6[[#This Row],[Order_Date]])</f>
        <v>4</v>
      </c>
      <c r="AI123" s="8" t="str">
        <f>TEXT(RawSalesTable6[[#This Row],[Order_Date]],"mmmm")</f>
        <v>avril</v>
      </c>
      <c r="AJ123" s="8" t="str">
        <f>IF(RawSalesTable6[[#This Row],[Month_Number]]&lt;=3,"Q1",IF(RawSalesTable6[[#This Row],[Month_Number]]&lt;=6,"Q2",IF(RawSalesTable6[[#This Row],[Month_Number]]&lt;=9,"Q3","Q4")))</f>
        <v>Q2</v>
      </c>
      <c r="AK123" s="8" t="str">
        <f>VLOOKUP(RawSalesTable6[[#This Row],[Customer_ID_Clean]],CustomersTable[],4,FALSE)</f>
        <v>British Columbia</v>
      </c>
      <c r="AL123" s="8">
        <f>IF(RawSalesTable6[[#This Row],[Return_Status]]="Yes",1,0)</f>
        <v>0</v>
      </c>
    </row>
    <row r="124" spans="1:38">
      <c r="A124" t="s">
        <v>434</v>
      </c>
      <c r="B124" s="3">
        <v>45661</v>
      </c>
      <c r="C124" t="s">
        <v>169</v>
      </c>
      <c r="D124" t="s">
        <v>174</v>
      </c>
      <c r="E124" t="s">
        <v>435</v>
      </c>
      <c r="F124" t="s">
        <v>103</v>
      </c>
      <c r="G124" t="s">
        <v>130</v>
      </c>
      <c r="H124" t="s">
        <v>97</v>
      </c>
      <c r="I124">
        <v>1</v>
      </c>
      <c r="J124" s="2">
        <v>38.4</v>
      </c>
      <c r="K124" s="4">
        <v>0.15</v>
      </c>
      <c r="L124" t="s">
        <v>106</v>
      </c>
      <c r="M124">
        <v>4</v>
      </c>
      <c r="N124" t="s">
        <v>91</v>
      </c>
      <c r="O124" t="str">
        <f>SUBSTITUTE(PROPER(TRIM(RawSalesTable6[[#This Row],[Channel_Raw]])),"Market Place","Marketplace")</f>
        <v>Retail Store</v>
      </c>
      <c r="P124" t="str">
        <f>TRIM(RawSalesTable6[[#This Row],[Product_ID]])</f>
        <v>P1002</v>
      </c>
      <c r="Q124" t="str">
        <f>TRIM(RawSalesTable6[[#This Row],[Customer_ID]])</f>
        <v>C0064</v>
      </c>
      <c r="R124" s="8" t="str">
        <f>PROPER(TRIM(RawSalesTable6[[#This Row],[Store_Raw]]))</f>
        <v>Vancouver West</v>
      </c>
      <c r="S124" s="8" t="str">
        <f>IF(TRIM(RawSalesTable6[[#This Row],[Payment_Method_Raw]])="","Non renseigné",SUBSTITUTE(PROPER(TRIM(RawSalesTable6[[#This Row],[Payment_Method_Raw]])),"Cc","Credit Card"))</f>
        <v>Credit Card</v>
      </c>
      <c r="T124" s="8">
        <f>COUNTIF(A:A,RawSalesTable6[[#This Row],[Order_ID]])</f>
        <v>1</v>
      </c>
      <c r="U124" s="8" t="str">
        <f>TRIM(LEFT(RawSalesTable6[[#This Row],[Customer_Info]],FIND(",",RawSalesTable6[[#This Row],[Customer_Info]])-1))</f>
        <v>Amine Khan</v>
      </c>
      <c r="V124" s="8" t="str">
        <f>TRIM(MID(RawSalesTable6[[#This Row],[Customer_Info]],FIND(",",RawSalesTable6[[#This Row],[Customer_Info]])+1,FIND(",",RawSalesTable6[[#This Row],[Customer_Info]],FIND(",",RawSalesTable6[[#This Row],[Customer_Info]])+1)-FIND(",",RawSalesTable6[[#This Row],[Customer_Info]])-1))</f>
        <v>Edmonton</v>
      </c>
      <c r="W124" s="8" t="str">
        <f>TRIM(RIGHT(RawSalesTable6[[#This Row],[Customer_Info]],LEN(RawSalesTable6[[#This Row],[Customer_Info]])-FIND(",",RawSalesTable6[[#This Row],[Customer_Info]],FIND(",",RawSalesTable6[[#This Row],[Customer_Info]])+1)))</f>
        <v>Consumer</v>
      </c>
      <c r="X124" s="8" t="str">
        <f>VLOOKUP(RawSalesTable6[[#This Row],[Product_ID_Clean]],ProductsTable[],2,FALSE)</f>
        <v>Keyboard</v>
      </c>
      <c r="Y124" s="8" t="str">
        <f>VLOOKUP(RawSalesTable6[[#This Row],[Product_ID_Clean]],ProductsTable[],3,FALSE)</f>
        <v>Electronics</v>
      </c>
      <c r="Z124" s="8">
        <f>VLOOKUP(RawSalesTable6[[#This Row],[Product_ID_Clean]],ProductsTable[],5,FALSE)</f>
        <v>23.5</v>
      </c>
      <c r="AA124" s="8">
        <f>RawSalesTable6[[#This Row],[Unit_Price]]*RawSalesTable6[[#This Row],[Quantity]]</f>
        <v>38.4</v>
      </c>
      <c r="AB124" s="8">
        <f>RawSalesTable6[[#This Row],[Gross_Sales]]*RawSalesTable6[[#This Row],[Discount_Pct]]</f>
        <v>5.76</v>
      </c>
      <c r="AC124" s="8">
        <f>RawSalesTable6[[#This Row],[Gross_Sales]]-RawSalesTable6[[#This Row],[Discount_Amount]]</f>
        <v>32.64</v>
      </c>
      <c r="AD124" s="8">
        <f>RawSalesTable6[[#This Row],[Unit_Cost]]*RawSalesTable6[[#This Row],[Quantity]]</f>
        <v>23.5</v>
      </c>
      <c r="AE124" s="8">
        <f>RawSalesTable6[[#This Row],[Net_Sales]]-RawSalesTable6[[#This Row],[Total_Cost]]</f>
        <v>9.14</v>
      </c>
      <c r="AF124" s="9">
        <f>RawSalesTable6[[#This Row],[Profit]]/RawSalesTable6[[#This Row],[Net_Sales]]</f>
        <v>0.28002450980392157</v>
      </c>
      <c r="AG124" s="8">
        <f>YEAR(RawSalesTable6[[#This Row],[Order_Date]])</f>
        <v>2025</v>
      </c>
      <c r="AH124" s="8">
        <f>MONTH(RawSalesTable6[[#This Row],[Order_Date]])</f>
        <v>1</v>
      </c>
      <c r="AI124" s="8" t="str">
        <f>TEXT(RawSalesTable6[[#This Row],[Order_Date]],"mmmm")</f>
        <v>janvier</v>
      </c>
      <c r="AJ124" s="8" t="str">
        <f>IF(RawSalesTable6[[#This Row],[Month_Number]]&lt;=3,"Q1",IF(RawSalesTable6[[#This Row],[Month_Number]]&lt;=6,"Q2",IF(RawSalesTable6[[#This Row],[Month_Number]]&lt;=9,"Q3","Q4")))</f>
        <v>Q1</v>
      </c>
      <c r="AK124" s="8" t="str">
        <f>VLOOKUP(RawSalesTable6[[#This Row],[Customer_ID_Clean]],CustomersTable[],4,FALSE)</f>
        <v>Alberta</v>
      </c>
      <c r="AL124" s="8">
        <f>IF(RawSalesTable6[[#This Row],[Return_Status]]="Yes",1,0)</f>
        <v>0</v>
      </c>
    </row>
    <row r="125" spans="1:38">
      <c r="A125" t="s">
        <v>436</v>
      </c>
      <c r="B125" s="3">
        <v>45703</v>
      </c>
      <c r="C125" t="s">
        <v>283</v>
      </c>
      <c r="D125" t="s">
        <v>181</v>
      </c>
      <c r="E125" t="s">
        <v>284</v>
      </c>
      <c r="F125" t="s">
        <v>145</v>
      </c>
      <c r="G125" t="s">
        <v>104</v>
      </c>
      <c r="H125" t="s">
        <v>89</v>
      </c>
      <c r="I125">
        <v>2</v>
      </c>
      <c r="J125" s="2">
        <v>351.81</v>
      </c>
      <c r="K125" s="4">
        <v>0</v>
      </c>
      <c r="L125" t="s">
        <v>154</v>
      </c>
      <c r="M125">
        <v>2</v>
      </c>
      <c r="N125" t="s">
        <v>91</v>
      </c>
      <c r="O125" t="str">
        <f>SUBSTITUTE(PROPER(TRIM(RawSalesTable6[[#This Row],[Channel_Raw]])),"Market Place","Marketplace")</f>
        <v>Online</v>
      </c>
      <c r="P125" t="str">
        <f>TRIM(RawSalesTable6[[#This Row],[Product_ID]])</f>
        <v>P1007</v>
      </c>
      <c r="Q125" t="str">
        <f>TRIM(RawSalesTable6[[#This Row],[Customer_ID]])</f>
        <v>C0033</v>
      </c>
      <c r="R125" s="8" t="str">
        <f>PROPER(TRIM(RawSalesTable6[[#This Row],[Store_Raw]]))</f>
        <v>Calgary North</v>
      </c>
      <c r="S125" s="8" t="str">
        <f>IF(TRIM(RawSalesTable6[[#This Row],[Payment_Method_Raw]])="","Non renseigné",SUBSTITUTE(PROPER(TRIM(RawSalesTable6[[#This Row],[Payment_Method_Raw]])),"Cc","Credit Card"))</f>
        <v>Gift Card</v>
      </c>
      <c r="T125" s="8">
        <f>COUNTIF(A:A,RawSalesTable6[[#This Row],[Order_ID]])</f>
        <v>1</v>
      </c>
      <c r="U125" s="8" t="str">
        <f>TRIM(LEFT(RawSalesTable6[[#This Row],[Customer_Info]],FIND(",",RawSalesTable6[[#This Row],[Customer_Info]])-1))</f>
        <v>Maya Hall</v>
      </c>
      <c r="V125" s="8" t="str">
        <f>TRIM(MID(RawSalesTable6[[#This Row],[Customer_Info]],FIND(",",RawSalesTable6[[#This Row],[Customer_Info]])+1,FIND(",",RawSalesTable6[[#This Row],[Customer_Info]],FIND(",",RawSalesTable6[[#This Row],[Customer_Info]])+1)-FIND(",",RawSalesTable6[[#This Row],[Customer_Info]])-1))</f>
        <v>Winnipeg</v>
      </c>
      <c r="W125" s="8" t="str">
        <f>TRIM(RIGHT(RawSalesTable6[[#This Row],[Customer_Info]],LEN(RawSalesTable6[[#This Row],[Customer_Info]])-FIND(",",RawSalesTable6[[#This Row],[Customer_Info]],FIND(",",RawSalesTable6[[#This Row],[Customer_Info]])+1)))</f>
        <v>Consumer</v>
      </c>
      <c r="X125" s="8" t="str">
        <f>VLOOKUP(RawSalesTable6[[#This Row],[Product_ID_Clean]],ProductsTable[],2,FALSE)</f>
        <v>Monitor</v>
      </c>
      <c r="Y125" s="8" t="str">
        <f>VLOOKUP(RawSalesTable6[[#This Row],[Product_ID_Clean]],ProductsTable[],3,FALSE)</f>
        <v>Electronics</v>
      </c>
      <c r="Z125" s="8">
        <f>VLOOKUP(RawSalesTable6[[#This Row],[Product_ID_Clean]],ProductsTable[],5,FALSE)</f>
        <v>224.47</v>
      </c>
      <c r="AA125" s="8">
        <f>RawSalesTable6[[#This Row],[Unit_Price]]*RawSalesTable6[[#This Row],[Quantity]]</f>
        <v>703.62</v>
      </c>
      <c r="AB125" s="8">
        <f>RawSalesTable6[[#This Row],[Gross_Sales]]*RawSalesTable6[[#This Row],[Discount_Pct]]</f>
        <v>0</v>
      </c>
      <c r="AC125" s="8">
        <f>RawSalesTable6[[#This Row],[Gross_Sales]]-RawSalesTable6[[#This Row],[Discount_Amount]]</f>
        <v>703.62</v>
      </c>
      <c r="AD125" s="8">
        <f>RawSalesTable6[[#This Row],[Unit_Cost]]*RawSalesTable6[[#This Row],[Quantity]]</f>
        <v>448.94</v>
      </c>
      <c r="AE125" s="8">
        <f>RawSalesTable6[[#This Row],[Net_Sales]]-RawSalesTable6[[#This Row],[Total_Cost]]</f>
        <v>254.68</v>
      </c>
      <c r="AF125" s="9">
        <f>RawSalesTable6[[#This Row],[Profit]]/RawSalesTable6[[#This Row],[Net_Sales]]</f>
        <v>0.36195673801199513</v>
      </c>
      <c r="AG125" s="8">
        <f>YEAR(RawSalesTable6[[#This Row],[Order_Date]])</f>
        <v>2025</v>
      </c>
      <c r="AH125" s="8">
        <f>MONTH(RawSalesTable6[[#This Row],[Order_Date]])</f>
        <v>2</v>
      </c>
      <c r="AI125" s="8" t="str">
        <f>TEXT(RawSalesTable6[[#This Row],[Order_Date]],"mmmm")</f>
        <v>février</v>
      </c>
      <c r="AJ125" s="8" t="str">
        <f>IF(RawSalesTable6[[#This Row],[Month_Number]]&lt;=3,"Q1",IF(RawSalesTable6[[#This Row],[Month_Number]]&lt;=6,"Q2",IF(RawSalesTable6[[#This Row],[Month_Number]]&lt;=9,"Q3","Q4")))</f>
        <v>Q1</v>
      </c>
      <c r="AK125" s="8" t="str">
        <f>VLOOKUP(RawSalesTable6[[#This Row],[Customer_ID_Clean]],CustomersTable[],4,FALSE)</f>
        <v>Manitoba</v>
      </c>
      <c r="AL125" s="8">
        <f>IF(RawSalesTable6[[#This Row],[Return_Status]]="Yes",1,0)</f>
        <v>0</v>
      </c>
    </row>
    <row r="126" spans="1:38">
      <c r="A126" t="s">
        <v>437</v>
      </c>
      <c r="B126" s="3">
        <v>45930</v>
      </c>
      <c r="C126" t="s">
        <v>438</v>
      </c>
      <c r="D126" t="s">
        <v>303</v>
      </c>
      <c r="E126" t="s">
        <v>439</v>
      </c>
      <c r="F126" t="s">
        <v>145</v>
      </c>
      <c r="G126" t="s">
        <v>183</v>
      </c>
      <c r="H126" t="s">
        <v>89</v>
      </c>
      <c r="I126">
        <v>5</v>
      </c>
      <c r="J126" s="2">
        <v>150.93</v>
      </c>
      <c r="K126" s="4">
        <v>0</v>
      </c>
      <c r="L126" t="s">
        <v>98</v>
      </c>
      <c r="M126">
        <v>5</v>
      </c>
      <c r="N126" t="s">
        <v>91</v>
      </c>
      <c r="O126" t="str">
        <f>SUBSTITUTE(PROPER(TRIM(RawSalesTable6[[#This Row],[Channel_Raw]])),"Market Place","Marketplace")</f>
        <v>Online</v>
      </c>
      <c r="P126" t="str">
        <f>TRIM(RawSalesTable6[[#This Row],[Product_ID]])</f>
        <v>P1036</v>
      </c>
      <c r="Q126" t="str">
        <f>TRIM(RawSalesTable6[[#This Row],[Customer_ID]])</f>
        <v>C0028</v>
      </c>
      <c r="R126" s="8" t="str">
        <f>PROPER(TRIM(RawSalesTable6[[#This Row],[Store_Raw]]))</f>
        <v>Calgary North</v>
      </c>
      <c r="S126" s="8" t="str">
        <f>IF(TRIM(RawSalesTable6[[#This Row],[Payment_Method_Raw]])="","Non renseigné",SUBSTITUTE(PROPER(TRIM(RawSalesTable6[[#This Row],[Payment_Method_Raw]])),"Cc","Credit Card"))</f>
        <v>Debit Card</v>
      </c>
      <c r="T126" s="8">
        <f>COUNTIF(A:A,RawSalesTable6[[#This Row],[Order_ID]])</f>
        <v>1</v>
      </c>
      <c r="U126" s="8" t="str">
        <f>TRIM(LEFT(RawSalesTable6[[#This Row],[Customer_Info]],FIND(",",RawSalesTable6[[#This Row],[Customer_Info]])-1))</f>
        <v>Mia Clark</v>
      </c>
      <c r="V126" s="8" t="str">
        <f>TRIM(MID(RawSalesTable6[[#This Row],[Customer_Info]],FIND(",",RawSalesTable6[[#This Row],[Customer_Info]])+1,FIND(",",RawSalesTable6[[#This Row],[Customer_Info]],FIND(",",RawSalesTable6[[#This Row],[Customer_Info]])+1)-FIND(",",RawSalesTable6[[#This Row],[Customer_Info]])-1))</f>
        <v>Victoria</v>
      </c>
      <c r="W126" s="8" t="str">
        <f>TRIM(RIGHT(RawSalesTable6[[#This Row],[Customer_Info]],LEN(RawSalesTable6[[#This Row],[Customer_Info]])-FIND(",",RawSalesTable6[[#This Row],[Customer_Info]],FIND(",",RawSalesTable6[[#This Row],[Customer_Info]])+1)))</f>
        <v>Consumer</v>
      </c>
      <c r="X126" s="8" t="str">
        <f>VLOOKUP(RawSalesTable6[[#This Row],[Product_ID_Clean]],ProductsTable[],2,FALSE)</f>
        <v>Power Bank</v>
      </c>
      <c r="Y126" s="8" t="str">
        <f>VLOOKUP(RawSalesTable6[[#This Row],[Product_ID_Clean]],ProductsTable[],3,FALSE)</f>
        <v>Accessories</v>
      </c>
      <c r="Z126" s="8">
        <f>VLOOKUP(RawSalesTable6[[#This Row],[Product_ID_Clean]],ProductsTable[],5,FALSE)</f>
        <v>76.97</v>
      </c>
      <c r="AA126" s="8">
        <f>RawSalesTable6[[#This Row],[Unit_Price]]*RawSalesTable6[[#This Row],[Quantity]]</f>
        <v>754.65000000000009</v>
      </c>
      <c r="AB126" s="8">
        <f>RawSalesTable6[[#This Row],[Gross_Sales]]*RawSalesTable6[[#This Row],[Discount_Pct]]</f>
        <v>0</v>
      </c>
      <c r="AC126" s="8">
        <f>RawSalesTable6[[#This Row],[Gross_Sales]]-RawSalesTable6[[#This Row],[Discount_Amount]]</f>
        <v>754.65000000000009</v>
      </c>
      <c r="AD126" s="8">
        <f>RawSalesTable6[[#This Row],[Unit_Cost]]*RawSalesTable6[[#This Row],[Quantity]]</f>
        <v>384.85</v>
      </c>
      <c r="AE126" s="8">
        <f>RawSalesTable6[[#This Row],[Net_Sales]]-RawSalesTable6[[#This Row],[Total_Cost]]</f>
        <v>369.80000000000007</v>
      </c>
      <c r="AF126" s="9">
        <f>RawSalesTable6[[#This Row],[Profit]]/RawSalesTable6[[#This Row],[Net_Sales]]</f>
        <v>0.49002849002849008</v>
      </c>
      <c r="AG126" s="8">
        <f>YEAR(RawSalesTable6[[#This Row],[Order_Date]])</f>
        <v>2025</v>
      </c>
      <c r="AH126" s="8">
        <f>MONTH(RawSalesTable6[[#This Row],[Order_Date]])</f>
        <v>9</v>
      </c>
      <c r="AI126" s="8" t="str">
        <f>TEXT(RawSalesTable6[[#This Row],[Order_Date]],"mmmm")</f>
        <v>septembre</v>
      </c>
      <c r="AJ126" s="8" t="str">
        <f>IF(RawSalesTable6[[#This Row],[Month_Number]]&lt;=3,"Q1",IF(RawSalesTable6[[#This Row],[Month_Number]]&lt;=6,"Q2",IF(RawSalesTable6[[#This Row],[Month_Number]]&lt;=9,"Q3","Q4")))</f>
        <v>Q3</v>
      </c>
      <c r="AK126" s="8" t="str">
        <f>VLOOKUP(RawSalesTable6[[#This Row],[Customer_ID_Clean]],CustomersTable[],4,FALSE)</f>
        <v>British Columbia</v>
      </c>
      <c r="AL126" s="8">
        <f>IF(RawSalesTable6[[#This Row],[Return_Status]]="Yes",1,0)</f>
        <v>0</v>
      </c>
    </row>
    <row r="127" spans="1:38">
      <c r="A127" t="s">
        <v>440</v>
      </c>
      <c r="B127" s="3">
        <v>45678</v>
      </c>
      <c r="C127" t="s">
        <v>374</v>
      </c>
      <c r="D127" t="s">
        <v>165</v>
      </c>
      <c r="E127" t="s">
        <v>375</v>
      </c>
      <c r="F127" t="s">
        <v>87</v>
      </c>
      <c r="G127" t="s">
        <v>171</v>
      </c>
      <c r="H127" t="s">
        <v>89</v>
      </c>
      <c r="I127">
        <v>1</v>
      </c>
      <c r="J127" s="2">
        <v>106.24</v>
      </c>
      <c r="K127" s="4">
        <v>0</v>
      </c>
      <c r="L127" t="s">
        <v>441</v>
      </c>
      <c r="M127">
        <v>9</v>
      </c>
      <c r="N127" t="s">
        <v>91</v>
      </c>
      <c r="O127" t="str">
        <f>SUBSTITUTE(PROPER(TRIM(RawSalesTable6[[#This Row],[Channel_Raw]])),"Market Place","Marketplace")</f>
        <v>Online</v>
      </c>
      <c r="P127" t="str">
        <f>TRIM(RawSalesTable6[[#This Row],[Product_ID]])</f>
        <v>P1024</v>
      </c>
      <c r="Q127" t="str">
        <f>TRIM(RawSalesTable6[[#This Row],[Customer_ID]])</f>
        <v>C0035</v>
      </c>
      <c r="R127" s="8" t="str">
        <f>PROPER(TRIM(RawSalesTable6[[#This Row],[Store_Raw]]))</f>
        <v>Online Fulfillment</v>
      </c>
      <c r="S127" s="8" t="str">
        <f>IF(TRIM(RawSalesTable6[[#This Row],[Payment_Method_Raw]])="","Non renseigné",SUBSTITUTE(PROPER(TRIM(RawSalesTable6[[#This Row],[Payment_Method_Raw]])),"Cc","Credit Card"))</f>
        <v>Credit Card</v>
      </c>
      <c r="T127" s="8">
        <f>COUNTIF(A:A,RawSalesTable6[[#This Row],[Order_ID]])</f>
        <v>1</v>
      </c>
      <c r="U127" s="8" t="str">
        <f>TRIM(LEFT(RawSalesTable6[[#This Row],[Customer_Info]],FIND(",",RawSalesTable6[[#This Row],[Customer_Info]])-1))</f>
        <v>Amelia Scott</v>
      </c>
      <c r="V127" s="8" t="str">
        <f>TRIM(MID(RawSalesTable6[[#This Row],[Customer_Info]],FIND(",",RawSalesTable6[[#This Row],[Customer_Info]])+1,FIND(",",RawSalesTable6[[#This Row],[Customer_Info]],FIND(",",RawSalesTable6[[#This Row],[Customer_Info]])+1)-FIND(",",RawSalesTable6[[#This Row],[Customer_Info]])-1))</f>
        <v>Edmonton</v>
      </c>
      <c r="W127" s="8" t="str">
        <f>TRIM(RIGHT(RawSalesTable6[[#This Row],[Customer_Info]],LEN(RawSalesTable6[[#This Row],[Customer_Info]])-FIND(",",RawSalesTable6[[#This Row],[Customer_Info]],FIND(",",RawSalesTable6[[#This Row],[Customer_Info]])+1)))</f>
        <v>Small Business</v>
      </c>
      <c r="X127" s="8" t="str">
        <f>VLOOKUP(RawSalesTable6[[#This Row],[Product_ID_Clean]],ProductsTable[],2,FALSE)</f>
        <v>Food Scale</v>
      </c>
      <c r="Y127" s="8" t="str">
        <f>VLOOKUP(RawSalesTable6[[#This Row],[Product_ID_Clean]],ProductsTable[],3,FALSE)</f>
        <v>Home</v>
      </c>
      <c r="Z127" s="8">
        <f>VLOOKUP(RawSalesTable6[[#This Row],[Product_ID_Clean]],ProductsTable[],5,FALSE)</f>
        <v>46.07</v>
      </c>
      <c r="AA127" s="8">
        <f>RawSalesTable6[[#This Row],[Unit_Price]]*RawSalesTable6[[#This Row],[Quantity]]</f>
        <v>106.24</v>
      </c>
      <c r="AB127" s="8">
        <f>RawSalesTable6[[#This Row],[Gross_Sales]]*RawSalesTable6[[#This Row],[Discount_Pct]]</f>
        <v>0</v>
      </c>
      <c r="AC127" s="8">
        <f>RawSalesTable6[[#This Row],[Gross_Sales]]-RawSalesTable6[[#This Row],[Discount_Amount]]</f>
        <v>106.24</v>
      </c>
      <c r="AD127" s="8">
        <f>RawSalesTable6[[#This Row],[Unit_Cost]]*RawSalesTable6[[#This Row],[Quantity]]</f>
        <v>46.07</v>
      </c>
      <c r="AE127" s="8">
        <f>RawSalesTable6[[#This Row],[Net_Sales]]-RawSalesTable6[[#This Row],[Total_Cost]]</f>
        <v>60.169999999999995</v>
      </c>
      <c r="AF127" s="9">
        <f>RawSalesTable6[[#This Row],[Profit]]/RawSalesTable6[[#This Row],[Net_Sales]]</f>
        <v>0.56635918674698793</v>
      </c>
      <c r="AG127" s="8">
        <f>YEAR(RawSalesTable6[[#This Row],[Order_Date]])</f>
        <v>2025</v>
      </c>
      <c r="AH127" s="8">
        <f>MONTH(RawSalesTable6[[#This Row],[Order_Date]])</f>
        <v>1</v>
      </c>
      <c r="AI127" s="8" t="str">
        <f>TEXT(RawSalesTable6[[#This Row],[Order_Date]],"mmmm")</f>
        <v>janvier</v>
      </c>
      <c r="AJ127" s="8" t="str">
        <f>IF(RawSalesTable6[[#This Row],[Month_Number]]&lt;=3,"Q1",IF(RawSalesTable6[[#This Row],[Month_Number]]&lt;=6,"Q2",IF(RawSalesTable6[[#This Row],[Month_Number]]&lt;=9,"Q3","Q4")))</f>
        <v>Q1</v>
      </c>
      <c r="AK127" s="8" t="str">
        <f>VLOOKUP(RawSalesTable6[[#This Row],[Customer_ID_Clean]],CustomersTable[],4,FALSE)</f>
        <v>Alberta</v>
      </c>
      <c r="AL127" s="8">
        <f>IF(RawSalesTable6[[#This Row],[Return_Status]]="Yes",1,0)</f>
        <v>0</v>
      </c>
    </row>
    <row r="128" spans="1:38">
      <c r="A128" t="s">
        <v>442</v>
      </c>
      <c r="B128" s="3">
        <v>45697</v>
      </c>
      <c r="C128" t="s">
        <v>160</v>
      </c>
      <c r="D128" t="s">
        <v>181</v>
      </c>
      <c r="E128" t="s">
        <v>161</v>
      </c>
      <c r="F128" t="s">
        <v>111</v>
      </c>
      <c r="G128" t="s">
        <v>171</v>
      </c>
      <c r="H128" t="s">
        <v>97</v>
      </c>
      <c r="I128">
        <v>1</v>
      </c>
      <c r="J128" s="2">
        <v>362.88</v>
      </c>
      <c r="K128" s="4">
        <v>0.15</v>
      </c>
      <c r="L128" t="s">
        <v>106</v>
      </c>
      <c r="M128">
        <v>2</v>
      </c>
      <c r="N128" t="s">
        <v>91</v>
      </c>
      <c r="O128" t="str">
        <f>SUBSTITUTE(PROPER(TRIM(RawSalesTable6[[#This Row],[Channel_Raw]])),"Market Place","Marketplace")</f>
        <v>Retail Store</v>
      </c>
      <c r="P128" t="str">
        <f>TRIM(RawSalesTable6[[#This Row],[Product_ID]])</f>
        <v>P1007</v>
      </c>
      <c r="Q128" t="str">
        <f>TRIM(RawSalesTable6[[#This Row],[Customer_ID]])</f>
        <v>C0073</v>
      </c>
      <c r="R128" s="8" t="str">
        <f>PROPER(TRIM(RawSalesTable6[[#This Row],[Store_Raw]]))</f>
        <v>Montreal Central</v>
      </c>
      <c r="S128" s="8" t="str">
        <f>IF(TRIM(RawSalesTable6[[#This Row],[Payment_Method_Raw]])="","Non renseigné",SUBSTITUTE(PROPER(TRIM(RawSalesTable6[[#This Row],[Payment_Method_Raw]])),"Cc","Credit Card"))</f>
        <v>Credit Card</v>
      </c>
      <c r="T128" s="8">
        <f>COUNTIF(A:A,RawSalesTable6[[#This Row],[Order_ID]])</f>
        <v>1</v>
      </c>
      <c r="U128" s="8" t="str">
        <f>TRIM(LEFT(RawSalesTable6[[#This Row],[Customer_Info]],FIND(",",RawSalesTable6[[#This Row],[Customer_Info]])-1))</f>
        <v>Olivia Singh</v>
      </c>
      <c r="V128" s="8" t="str">
        <f>TRIM(MID(RawSalesTable6[[#This Row],[Customer_Info]],FIND(",",RawSalesTable6[[#This Row],[Customer_Info]])+1,FIND(",",RawSalesTable6[[#This Row],[Customer_Info]],FIND(",",RawSalesTable6[[#This Row],[Customer_Info]])+1)-FIND(",",RawSalesTable6[[#This Row],[Customer_Info]])-1))</f>
        <v>Mississauga</v>
      </c>
      <c r="W128" s="8" t="str">
        <f>TRIM(RIGHT(RawSalesTable6[[#This Row],[Customer_Info]],LEN(RawSalesTable6[[#This Row],[Customer_Info]])-FIND(",",RawSalesTable6[[#This Row],[Customer_Info]],FIND(",",RawSalesTable6[[#This Row],[Customer_Info]])+1)))</f>
        <v>Consumer</v>
      </c>
      <c r="X128" s="8" t="str">
        <f>VLOOKUP(RawSalesTable6[[#This Row],[Product_ID_Clean]],ProductsTable[],2,FALSE)</f>
        <v>Monitor</v>
      </c>
      <c r="Y128" s="8" t="str">
        <f>VLOOKUP(RawSalesTable6[[#This Row],[Product_ID_Clean]],ProductsTable[],3,FALSE)</f>
        <v>Electronics</v>
      </c>
      <c r="Z128" s="8">
        <f>VLOOKUP(RawSalesTable6[[#This Row],[Product_ID_Clean]],ProductsTable[],5,FALSE)</f>
        <v>224.47</v>
      </c>
      <c r="AA128" s="8">
        <f>RawSalesTable6[[#This Row],[Unit_Price]]*RawSalesTable6[[#This Row],[Quantity]]</f>
        <v>362.88</v>
      </c>
      <c r="AB128" s="8">
        <f>RawSalesTable6[[#This Row],[Gross_Sales]]*RawSalesTable6[[#This Row],[Discount_Pct]]</f>
        <v>54.431999999999995</v>
      </c>
      <c r="AC128" s="8">
        <f>RawSalesTable6[[#This Row],[Gross_Sales]]-RawSalesTable6[[#This Row],[Discount_Amount]]</f>
        <v>308.44799999999998</v>
      </c>
      <c r="AD128" s="8">
        <f>RawSalesTable6[[#This Row],[Unit_Cost]]*RawSalesTable6[[#This Row],[Quantity]]</f>
        <v>224.47</v>
      </c>
      <c r="AE128" s="8">
        <f>RawSalesTable6[[#This Row],[Net_Sales]]-RawSalesTable6[[#This Row],[Total_Cost]]</f>
        <v>83.97799999999998</v>
      </c>
      <c r="AF128" s="9">
        <f>RawSalesTable6[[#This Row],[Profit]]/RawSalesTable6[[#This Row],[Net_Sales]]</f>
        <v>0.27225982985786901</v>
      </c>
      <c r="AG128" s="8">
        <f>YEAR(RawSalesTable6[[#This Row],[Order_Date]])</f>
        <v>2025</v>
      </c>
      <c r="AH128" s="8">
        <f>MONTH(RawSalesTable6[[#This Row],[Order_Date]])</f>
        <v>2</v>
      </c>
      <c r="AI128" s="8" t="str">
        <f>TEXT(RawSalesTable6[[#This Row],[Order_Date]],"mmmm")</f>
        <v>février</v>
      </c>
      <c r="AJ128" s="8" t="str">
        <f>IF(RawSalesTable6[[#This Row],[Month_Number]]&lt;=3,"Q1",IF(RawSalesTable6[[#This Row],[Month_Number]]&lt;=6,"Q2",IF(RawSalesTable6[[#This Row],[Month_Number]]&lt;=9,"Q3","Q4")))</f>
        <v>Q1</v>
      </c>
      <c r="AK128" s="8" t="str">
        <f>VLOOKUP(RawSalesTable6[[#This Row],[Customer_ID_Clean]],CustomersTable[],4,FALSE)</f>
        <v>Ontario</v>
      </c>
      <c r="AL128" s="8">
        <f>IF(RawSalesTable6[[#This Row],[Return_Status]]="Yes",1,0)</f>
        <v>0</v>
      </c>
    </row>
    <row r="129" spans="1:38">
      <c r="A129" t="s">
        <v>443</v>
      </c>
      <c r="B129" s="3">
        <v>45975</v>
      </c>
      <c r="C129" t="s">
        <v>138</v>
      </c>
      <c r="D129" t="s">
        <v>136</v>
      </c>
      <c r="E129" t="s">
        <v>140</v>
      </c>
      <c r="F129" t="s">
        <v>103</v>
      </c>
      <c r="G129" t="s">
        <v>104</v>
      </c>
      <c r="H129" t="s">
        <v>97</v>
      </c>
      <c r="I129">
        <v>1</v>
      </c>
      <c r="J129" s="2">
        <v>154.51</v>
      </c>
      <c r="K129" s="4">
        <v>0.1</v>
      </c>
      <c r="L129" t="s">
        <v>106</v>
      </c>
      <c r="M129">
        <v>4</v>
      </c>
      <c r="N129" t="s">
        <v>91</v>
      </c>
      <c r="O129" t="str">
        <f>SUBSTITUTE(PROPER(TRIM(RawSalesTable6[[#This Row],[Channel_Raw]])),"Market Place","Marketplace")</f>
        <v>Retail Store</v>
      </c>
      <c r="P129" t="str">
        <f>TRIM(RawSalesTable6[[#This Row],[Product_ID]])</f>
        <v>P1003</v>
      </c>
      <c r="Q129" t="str">
        <f>TRIM(RawSalesTable6[[#This Row],[Customer_ID]])</f>
        <v>C0106</v>
      </c>
      <c r="R129" s="8" t="str">
        <f>PROPER(TRIM(RawSalesTable6[[#This Row],[Store_Raw]]))</f>
        <v>Vancouver West</v>
      </c>
      <c r="S129" s="8" t="str">
        <f>IF(TRIM(RawSalesTable6[[#This Row],[Payment_Method_Raw]])="","Non renseigné",SUBSTITUTE(PROPER(TRIM(RawSalesTable6[[#This Row],[Payment_Method_Raw]])),"Cc","Credit Card"))</f>
        <v>Credit Card</v>
      </c>
      <c r="T129" s="8">
        <f>COUNTIF(A:A,RawSalesTable6[[#This Row],[Order_ID]])</f>
        <v>1</v>
      </c>
      <c r="U129" s="8" t="str">
        <f>TRIM(LEFT(RawSalesTable6[[#This Row],[Customer_Info]],FIND(",",RawSalesTable6[[#This Row],[Customer_Info]])-1))</f>
        <v>Liam Gagnon</v>
      </c>
      <c r="V129" s="8" t="str">
        <f>TRIM(MID(RawSalesTable6[[#This Row],[Customer_Info]],FIND(",",RawSalesTable6[[#This Row],[Customer_Info]])+1,FIND(",",RawSalesTable6[[#This Row],[Customer_Info]],FIND(",",RawSalesTable6[[#This Row],[Customer_Info]])+1)-FIND(",",RawSalesTable6[[#This Row],[Customer_Info]])-1))</f>
        <v>Ottawa</v>
      </c>
      <c r="W129" s="8" t="str">
        <f>TRIM(RIGHT(RawSalesTable6[[#This Row],[Customer_Info]],LEN(RawSalesTable6[[#This Row],[Customer_Info]])-FIND(",",RawSalesTable6[[#This Row],[Customer_Info]],FIND(",",RawSalesTable6[[#This Row],[Customer_Info]])+1)))</f>
        <v>Small Business</v>
      </c>
      <c r="X129" s="8" t="str">
        <f>VLOOKUP(RawSalesTable6[[#This Row],[Product_ID_Clean]],ProductsTable[],2,FALSE)</f>
        <v>Mouse</v>
      </c>
      <c r="Y129" s="8" t="str">
        <f>VLOOKUP(RawSalesTable6[[#This Row],[Product_ID_Clean]],ProductsTable[],3,FALSE)</f>
        <v>Electronics</v>
      </c>
      <c r="Z129" s="8">
        <f>VLOOKUP(RawSalesTable6[[#This Row],[Product_ID_Clean]],ProductsTable[],5,FALSE)</f>
        <v>106.4</v>
      </c>
      <c r="AA129" s="8">
        <f>RawSalesTable6[[#This Row],[Unit_Price]]*RawSalesTable6[[#This Row],[Quantity]]</f>
        <v>154.51</v>
      </c>
      <c r="AB129" s="8">
        <f>RawSalesTable6[[#This Row],[Gross_Sales]]*RawSalesTable6[[#This Row],[Discount_Pct]]</f>
        <v>15.451000000000001</v>
      </c>
      <c r="AC129" s="8">
        <f>RawSalesTable6[[#This Row],[Gross_Sales]]-RawSalesTable6[[#This Row],[Discount_Amount]]</f>
        <v>139.059</v>
      </c>
      <c r="AD129" s="8">
        <f>RawSalesTable6[[#This Row],[Unit_Cost]]*RawSalesTable6[[#This Row],[Quantity]]</f>
        <v>106.4</v>
      </c>
      <c r="AE129" s="8">
        <f>RawSalesTable6[[#This Row],[Net_Sales]]-RawSalesTable6[[#This Row],[Total_Cost]]</f>
        <v>32.658999999999992</v>
      </c>
      <c r="AF129" s="9">
        <f>RawSalesTable6[[#This Row],[Profit]]/RawSalesTable6[[#This Row],[Net_Sales]]</f>
        <v>0.23485714696639551</v>
      </c>
      <c r="AG129" s="8">
        <f>YEAR(RawSalesTable6[[#This Row],[Order_Date]])</f>
        <v>2025</v>
      </c>
      <c r="AH129" s="8">
        <f>MONTH(RawSalesTable6[[#This Row],[Order_Date]])</f>
        <v>11</v>
      </c>
      <c r="AI129" s="8" t="str">
        <f>TEXT(RawSalesTable6[[#This Row],[Order_Date]],"mmmm")</f>
        <v>novembre</v>
      </c>
      <c r="AJ129" s="8" t="str">
        <f>IF(RawSalesTable6[[#This Row],[Month_Number]]&lt;=3,"Q1",IF(RawSalesTable6[[#This Row],[Month_Number]]&lt;=6,"Q2",IF(RawSalesTable6[[#This Row],[Month_Number]]&lt;=9,"Q3","Q4")))</f>
        <v>Q4</v>
      </c>
      <c r="AK129" s="8" t="str">
        <f>VLOOKUP(RawSalesTable6[[#This Row],[Customer_ID_Clean]],CustomersTable[],4,FALSE)</f>
        <v>Ontario</v>
      </c>
      <c r="AL129" s="8">
        <f>IF(RawSalesTable6[[#This Row],[Return_Status]]="Yes",1,0)</f>
        <v>0</v>
      </c>
    </row>
    <row r="130" spans="1:38">
      <c r="A130" t="s">
        <v>444</v>
      </c>
      <c r="B130" s="3">
        <v>45889</v>
      </c>
      <c r="C130" t="s">
        <v>319</v>
      </c>
      <c r="D130" t="s">
        <v>181</v>
      </c>
      <c r="E130" t="s">
        <v>320</v>
      </c>
      <c r="F130" t="s">
        <v>103</v>
      </c>
      <c r="G130" t="s">
        <v>117</v>
      </c>
      <c r="H130" t="s">
        <v>105</v>
      </c>
      <c r="I130">
        <v>1</v>
      </c>
      <c r="J130" s="2">
        <v>339.47</v>
      </c>
      <c r="K130" s="4">
        <v>0</v>
      </c>
      <c r="L130" t="s">
        <v>106</v>
      </c>
      <c r="M130">
        <v>7</v>
      </c>
      <c r="N130" t="s">
        <v>91</v>
      </c>
      <c r="O130" t="str">
        <f>SUBSTITUTE(PROPER(TRIM(RawSalesTable6[[#This Row],[Channel_Raw]])),"Market Place","Marketplace")</f>
        <v>Marketplace</v>
      </c>
      <c r="P130" t="str">
        <f>TRIM(RawSalesTable6[[#This Row],[Product_ID]])</f>
        <v>P1007</v>
      </c>
      <c r="Q130" t="str">
        <f>TRIM(RawSalesTable6[[#This Row],[Customer_ID]])</f>
        <v>C0013</v>
      </c>
      <c r="R130" s="8" t="str">
        <f>PROPER(TRIM(RawSalesTable6[[#This Row],[Store_Raw]]))</f>
        <v>Vancouver West</v>
      </c>
      <c r="S130" s="8" t="str">
        <f>IF(TRIM(RawSalesTable6[[#This Row],[Payment_Method_Raw]])="","Non renseigné",SUBSTITUTE(PROPER(TRIM(RawSalesTable6[[#This Row],[Payment_Method_Raw]])),"Cc","Credit Card"))</f>
        <v>Credit Card</v>
      </c>
      <c r="T130" s="8">
        <f>COUNTIF(A:A,RawSalesTable6[[#This Row],[Order_ID]])</f>
        <v>1</v>
      </c>
      <c r="U130" s="8" t="str">
        <f>TRIM(LEFT(RawSalesTable6[[#This Row],[Customer_Info]],FIND(",",RawSalesTable6[[#This Row],[Customer_Info]])-1))</f>
        <v>Amelia Martin</v>
      </c>
      <c r="V130" s="8" t="str">
        <f>TRIM(MID(RawSalesTable6[[#This Row],[Customer_Info]],FIND(",",RawSalesTable6[[#This Row],[Customer_Info]])+1,FIND(",",RawSalesTable6[[#This Row],[Customer_Info]],FIND(",",RawSalesTable6[[#This Row],[Customer_Info]])+1)-FIND(",",RawSalesTable6[[#This Row],[Customer_Info]])-1))</f>
        <v>Quebec City</v>
      </c>
      <c r="W130" s="8" t="str">
        <f>TRIM(RIGHT(RawSalesTable6[[#This Row],[Customer_Info]],LEN(RawSalesTable6[[#This Row],[Customer_Info]])-FIND(",",RawSalesTable6[[#This Row],[Customer_Info]],FIND(",",RawSalesTable6[[#This Row],[Customer_Info]])+1)))</f>
        <v>Small Business</v>
      </c>
      <c r="X130" s="8" t="str">
        <f>VLOOKUP(RawSalesTable6[[#This Row],[Product_ID_Clean]],ProductsTable[],2,FALSE)</f>
        <v>Monitor</v>
      </c>
      <c r="Y130" s="8" t="str">
        <f>VLOOKUP(RawSalesTable6[[#This Row],[Product_ID_Clean]],ProductsTable[],3,FALSE)</f>
        <v>Electronics</v>
      </c>
      <c r="Z130" s="8">
        <f>VLOOKUP(RawSalesTable6[[#This Row],[Product_ID_Clean]],ProductsTable[],5,FALSE)</f>
        <v>224.47</v>
      </c>
      <c r="AA130" s="8">
        <f>RawSalesTable6[[#This Row],[Unit_Price]]*RawSalesTable6[[#This Row],[Quantity]]</f>
        <v>339.47</v>
      </c>
      <c r="AB130" s="8">
        <f>RawSalesTable6[[#This Row],[Gross_Sales]]*RawSalesTable6[[#This Row],[Discount_Pct]]</f>
        <v>0</v>
      </c>
      <c r="AC130" s="8">
        <f>RawSalesTable6[[#This Row],[Gross_Sales]]-RawSalesTable6[[#This Row],[Discount_Amount]]</f>
        <v>339.47</v>
      </c>
      <c r="AD130" s="8">
        <f>RawSalesTable6[[#This Row],[Unit_Cost]]*RawSalesTable6[[#This Row],[Quantity]]</f>
        <v>224.47</v>
      </c>
      <c r="AE130" s="8">
        <f>RawSalesTable6[[#This Row],[Net_Sales]]-RawSalesTable6[[#This Row],[Total_Cost]]</f>
        <v>115.00000000000003</v>
      </c>
      <c r="AF130" s="9">
        <f>RawSalesTable6[[#This Row],[Profit]]/RawSalesTable6[[#This Row],[Net_Sales]]</f>
        <v>0.3387633664241318</v>
      </c>
      <c r="AG130" s="8">
        <f>YEAR(RawSalesTable6[[#This Row],[Order_Date]])</f>
        <v>2025</v>
      </c>
      <c r="AH130" s="8">
        <f>MONTH(RawSalesTable6[[#This Row],[Order_Date]])</f>
        <v>8</v>
      </c>
      <c r="AI130" s="8" t="str">
        <f>TEXT(RawSalesTable6[[#This Row],[Order_Date]],"mmmm")</f>
        <v>août</v>
      </c>
      <c r="AJ130" s="8" t="str">
        <f>IF(RawSalesTable6[[#This Row],[Month_Number]]&lt;=3,"Q1",IF(RawSalesTable6[[#This Row],[Month_Number]]&lt;=6,"Q2",IF(RawSalesTable6[[#This Row],[Month_Number]]&lt;=9,"Q3","Q4")))</f>
        <v>Q3</v>
      </c>
      <c r="AK130" s="8" t="str">
        <f>VLOOKUP(RawSalesTable6[[#This Row],[Customer_ID_Clean]],CustomersTable[],4,FALSE)</f>
        <v>Quebec</v>
      </c>
      <c r="AL130" s="8">
        <f>IF(RawSalesTable6[[#This Row],[Return_Status]]="Yes",1,0)</f>
        <v>0</v>
      </c>
    </row>
    <row r="131" spans="1:38">
      <c r="A131" t="s">
        <v>445</v>
      </c>
      <c r="B131" s="3">
        <v>45702</v>
      </c>
      <c r="C131" t="s">
        <v>108</v>
      </c>
      <c r="D131" t="s">
        <v>231</v>
      </c>
      <c r="E131" t="s">
        <v>110</v>
      </c>
      <c r="F131" t="s">
        <v>145</v>
      </c>
      <c r="G131" t="s">
        <v>130</v>
      </c>
      <c r="H131" t="s">
        <v>89</v>
      </c>
      <c r="I131">
        <v>3</v>
      </c>
      <c r="J131" s="2">
        <v>372.12</v>
      </c>
      <c r="K131" s="4">
        <v>0.05</v>
      </c>
      <c r="L131" t="s">
        <v>98</v>
      </c>
      <c r="M131">
        <v>2</v>
      </c>
      <c r="N131" t="s">
        <v>91</v>
      </c>
      <c r="O131" t="str">
        <f>SUBSTITUTE(PROPER(TRIM(RawSalesTable6[[#This Row],[Channel_Raw]])),"Market Place","Marketplace")</f>
        <v>Online</v>
      </c>
      <c r="P131" t="str">
        <f>TRIM(RawSalesTable6[[#This Row],[Product_ID]])</f>
        <v>P1037</v>
      </c>
      <c r="Q131" t="str">
        <f>TRIM(RawSalesTable6[[#This Row],[Customer_ID]])</f>
        <v>C0071</v>
      </c>
      <c r="R131" s="8" t="str">
        <f>PROPER(TRIM(RawSalesTable6[[#This Row],[Store_Raw]]))</f>
        <v>Calgary North</v>
      </c>
      <c r="S131" s="8" t="str">
        <f>IF(TRIM(RawSalesTable6[[#This Row],[Payment_Method_Raw]])="","Non renseigné",SUBSTITUTE(PROPER(TRIM(RawSalesTable6[[#This Row],[Payment_Method_Raw]])),"Cc","Credit Card"))</f>
        <v>Debit Card</v>
      </c>
      <c r="T131" s="8">
        <f>COUNTIF(A:A,RawSalesTable6[[#This Row],[Order_ID]])</f>
        <v>1</v>
      </c>
      <c r="U131" s="8" t="str">
        <f>TRIM(LEFT(RawSalesTable6[[#This Row],[Customer_Info]],FIND(",",RawSalesTable6[[#This Row],[Customer_Info]])-1))</f>
        <v>Ethan Lee</v>
      </c>
      <c r="V131" s="8" t="str">
        <f>TRIM(MID(RawSalesTable6[[#This Row],[Customer_Info]],FIND(",",RawSalesTable6[[#This Row],[Customer_Info]])+1,FIND(",",RawSalesTable6[[#This Row],[Customer_Info]],FIND(",",RawSalesTable6[[#This Row],[Customer_Info]])+1)-FIND(",",RawSalesTable6[[#This Row],[Customer_Info]])-1))</f>
        <v>Surrey</v>
      </c>
      <c r="W131" s="8" t="str">
        <f>TRIM(RIGHT(RawSalesTable6[[#This Row],[Customer_Info]],LEN(RawSalesTable6[[#This Row],[Customer_Info]])-FIND(",",RawSalesTable6[[#This Row],[Customer_Info]],FIND(",",RawSalesTable6[[#This Row],[Customer_Info]])+1)))</f>
        <v>Consumer</v>
      </c>
      <c r="X131" s="8" t="str">
        <f>VLOOKUP(RawSalesTable6[[#This Row],[Product_ID_Clean]],ProductsTable[],2,FALSE)</f>
        <v>Cable Set</v>
      </c>
      <c r="Y131" s="8" t="str">
        <f>VLOOKUP(RawSalesTable6[[#This Row],[Product_ID_Clean]],ProductsTable[],3,FALSE)</f>
        <v>Accessories</v>
      </c>
      <c r="Z131" s="8">
        <f>VLOOKUP(RawSalesTable6[[#This Row],[Product_ID_Clean]],ProductsTable[],5,FALSE)</f>
        <v>200.16</v>
      </c>
      <c r="AA131" s="8">
        <f>RawSalesTable6[[#This Row],[Unit_Price]]*RawSalesTable6[[#This Row],[Quantity]]</f>
        <v>1116.3600000000001</v>
      </c>
      <c r="AB131" s="8">
        <f>RawSalesTable6[[#This Row],[Gross_Sales]]*RawSalesTable6[[#This Row],[Discount_Pct]]</f>
        <v>55.818000000000012</v>
      </c>
      <c r="AC131" s="8">
        <f>RawSalesTable6[[#This Row],[Gross_Sales]]-RawSalesTable6[[#This Row],[Discount_Amount]]</f>
        <v>1060.5420000000001</v>
      </c>
      <c r="AD131" s="8">
        <f>RawSalesTable6[[#This Row],[Unit_Cost]]*RawSalesTable6[[#This Row],[Quantity]]</f>
        <v>600.48</v>
      </c>
      <c r="AE131" s="8">
        <f>RawSalesTable6[[#This Row],[Net_Sales]]-RawSalesTable6[[#This Row],[Total_Cost]]</f>
        <v>460.06200000000013</v>
      </c>
      <c r="AF131" s="9">
        <f>RawSalesTable6[[#This Row],[Profit]]/RawSalesTable6[[#This Row],[Net_Sales]]</f>
        <v>0.43379894431337945</v>
      </c>
      <c r="AG131" s="8">
        <f>YEAR(RawSalesTable6[[#This Row],[Order_Date]])</f>
        <v>2025</v>
      </c>
      <c r="AH131" s="8">
        <f>MONTH(RawSalesTable6[[#This Row],[Order_Date]])</f>
        <v>2</v>
      </c>
      <c r="AI131" s="8" t="str">
        <f>TEXT(RawSalesTable6[[#This Row],[Order_Date]],"mmmm")</f>
        <v>février</v>
      </c>
      <c r="AJ131" s="8" t="str">
        <f>IF(RawSalesTable6[[#This Row],[Month_Number]]&lt;=3,"Q1",IF(RawSalesTable6[[#This Row],[Month_Number]]&lt;=6,"Q2",IF(RawSalesTable6[[#This Row],[Month_Number]]&lt;=9,"Q3","Q4")))</f>
        <v>Q1</v>
      </c>
      <c r="AK131" s="8" t="str">
        <f>VLOOKUP(RawSalesTable6[[#This Row],[Customer_ID_Clean]],CustomersTable[],4,FALSE)</f>
        <v>British Columbia</v>
      </c>
      <c r="AL131" s="8">
        <f>IF(RawSalesTable6[[#This Row],[Return_Status]]="Yes",1,0)</f>
        <v>0</v>
      </c>
    </row>
    <row r="132" spans="1:38">
      <c r="A132" t="s">
        <v>446</v>
      </c>
      <c r="B132" s="3">
        <v>45984</v>
      </c>
      <c r="C132" t="s">
        <v>406</v>
      </c>
      <c r="D132" t="s">
        <v>109</v>
      </c>
      <c r="E132" t="s">
        <v>407</v>
      </c>
      <c r="F132" t="s">
        <v>116</v>
      </c>
      <c r="G132" t="s">
        <v>117</v>
      </c>
      <c r="H132" t="s">
        <v>89</v>
      </c>
      <c r="I132">
        <v>4</v>
      </c>
      <c r="J132" s="2">
        <v>204.19</v>
      </c>
      <c r="K132" s="4">
        <v>0.1</v>
      </c>
      <c r="L132" t="s">
        <v>90</v>
      </c>
      <c r="M132">
        <v>6</v>
      </c>
      <c r="N132" t="s">
        <v>91</v>
      </c>
      <c r="O132" t="str">
        <f>SUBSTITUTE(PROPER(TRIM(RawSalesTable6[[#This Row],[Channel_Raw]])),"Market Place","Marketplace")</f>
        <v>Online</v>
      </c>
      <c r="P132" t="str">
        <f>TRIM(RawSalesTable6[[#This Row],[Product_ID]])</f>
        <v>P1032</v>
      </c>
      <c r="Q132" t="str">
        <f>TRIM(RawSalesTable6[[#This Row],[Customer_ID]])</f>
        <v>C0038</v>
      </c>
      <c r="R132" s="8" t="str">
        <f>PROPER(TRIM(RawSalesTable6[[#This Row],[Store_Raw]]))</f>
        <v>Toronto Downtown</v>
      </c>
      <c r="S132" s="8" t="str">
        <f>IF(TRIM(RawSalesTable6[[#This Row],[Payment_Method_Raw]])="","Non renseigné",SUBSTITUTE(PROPER(TRIM(RawSalesTable6[[#This Row],[Payment_Method_Raw]])),"Cc","Credit Card"))</f>
        <v>Paypal</v>
      </c>
      <c r="T132" s="8">
        <f>COUNTIF(A:A,RawSalesTable6[[#This Row],[Order_ID]])</f>
        <v>1</v>
      </c>
      <c r="U132" s="8" t="str">
        <f>TRIM(LEFT(RawSalesTable6[[#This Row],[Customer_Info]],FIND(",",RawSalesTable6[[#This Row],[Customer_Info]])-1))</f>
        <v>Noah Brown</v>
      </c>
      <c r="V132" s="8" t="str">
        <f>TRIM(MID(RawSalesTable6[[#This Row],[Customer_Info]],FIND(",",RawSalesTable6[[#This Row],[Customer_Info]])+1,FIND(",",RawSalesTable6[[#This Row],[Customer_Info]],FIND(",",RawSalesTable6[[#This Row],[Customer_Info]])+1)-FIND(",",RawSalesTable6[[#This Row],[Customer_Info]])-1))</f>
        <v>Montreal</v>
      </c>
      <c r="W132" s="8" t="str">
        <f>TRIM(RIGHT(RawSalesTable6[[#This Row],[Customer_Info]],LEN(RawSalesTable6[[#This Row],[Customer_Info]])-FIND(",",RawSalesTable6[[#This Row],[Customer_Info]],FIND(",",RawSalesTable6[[#This Row],[Customer_Info]])+1)))</f>
        <v>Consumer</v>
      </c>
      <c r="X132" s="8" t="str">
        <f>VLOOKUP(RawSalesTable6[[#This Row],[Product_ID_Clean]],ProductsTable[],2,FALSE)</f>
        <v>Gym Bag</v>
      </c>
      <c r="Y132" s="8" t="str">
        <f>VLOOKUP(RawSalesTable6[[#This Row],[Product_ID_Clean]],ProductsTable[],3,FALSE)</f>
        <v>Fitness</v>
      </c>
      <c r="Z132" s="8">
        <f>VLOOKUP(RawSalesTable6[[#This Row],[Product_ID_Clean]],ProductsTable[],5,FALSE)</f>
        <v>132.72</v>
      </c>
      <c r="AA132" s="8">
        <f>RawSalesTable6[[#This Row],[Unit_Price]]*RawSalesTable6[[#This Row],[Quantity]]</f>
        <v>816.76</v>
      </c>
      <c r="AB132" s="8">
        <f>RawSalesTable6[[#This Row],[Gross_Sales]]*RawSalesTable6[[#This Row],[Discount_Pct]]</f>
        <v>81.676000000000002</v>
      </c>
      <c r="AC132" s="8">
        <f>RawSalesTable6[[#This Row],[Gross_Sales]]-RawSalesTable6[[#This Row],[Discount_Amount]]</f>
        <v>735.08399999999995</v>
      </c>
      <c r="AD132" s="8">
        <f>RawSalesTable6[[#This Row],[Unit_Cost]]*RawSalesTable6[[#This Row],[Quantity]]</f>
        <v>530.88</v>
      </c>
      <c r="AE132" s="8">
        <f>RawSalesTable6[[#This Row],[Net_Sales]]-RawSalesTable6[[#This Row],[Total_Cost]]</f>
        <v>204.20399999999995</v>
      </c>
      <c r="AF132" s="9">
        <f>RawSalesTable6[[#This Row],[Profit]]/RawSalesTable6[[#This Row],[Net_Sales]]</f>
        <v>0.27779682322020338</v>
      </c>
      <c r="AG132" s="8">
        <f>YEAR(RawSalesTable6[[#This Row],[Order_Date]])</f>
        <v>2025</v>
      </c>
      <c r="AH132" s="8">
        <f>MONTH(RawSalesTable6[[#This Row],[Order_Date]])</f>
        <v>11</v>
      </c>
      <c r="AI132" s="8" t="str">
        <f>TEXT(RawSalesTable6[[#This Row],[Order_Date]],"mmmm")</f>
        <v>novembre</v>
      </c>
      <c r="AJ132" s="8" t="str">
        <f>IF(RawSalesTable6[[#This Row],[Month_Number]]&lt;=3,"Q1",IF(RawSalesTable6[[#This Row],[Month_Number]]&lt;=6,"Q2",IF(RawSalesTable6[[#This Row],[Month_Number]]&lt;=9,"Q3","Q4")))</f>
        <v>Q4</v>
      </c>
      <c r="AK132" s="8" t="str">
        <f>VLOOKUP(RawSalesTable6[[#This Row],[Customer_ID_Clean]],CustomersTable[],4,FALSE)</f>
        <v>Quebec</v>
      </c>
      <c r="AL132" s="8">
        <f>IF(RawSalesTable6[[#This Row],[Return_Status]]="Yes",1,0)</f>
        <v>0</v>
      </c>
    </row>
    <row r="133" spans="1:38">
      <c r="A133" t="s">
        <v>447</v>
      </c>
      <c r="B133" s="3">
        <v>45767</v>
      </c>
      <c r="C133" t="s">
        <v>448</v>
      </c>
      <c r="D133" t="s">
        <v>323</v>
      </c>
      <c r="E133" t="s">
        <v>449</v>
      </c>
      <c r="F133" t="s">
        <v>111</v>
      </c>
      <c r="G133" t="s">
        <v>104</v>
      </c>
      <c r="H133" t="s">
        <v>97</v>
      </c>
      <c r="I133">
        <v>1</v>
      </c>
      <c r="J133" s="2">
        <v>333.66</v>
      </c>
      <c r="K133" s="4">
        <v>0.05</v>
      </c>
      <c r="L133" t="s">
        <v>106</v>
      </c>
      <c r="M133">
        <v>1</v>
      </c>
      <c r="N133" t="s">
        <v>91</v>
      </c>
      <c r="O133" t="str">
        <f>SUBSTITUTE(PROPER(TRIM(RawSalesTable6[[#This Row],[Channel_Raw]])),"Market Place","Marketplace")</f>
        <v>Retail Store</v>
      </c>
      <c r="P133" t="str">
        <f>TRIM(RawSalesTable6[[#This Row],[Product_ID]])</f>
        <v>P1023</v>
      </c>
      <c r="Q133" t="str">
        <f>TRIM(RawSalesTable6[[#This Row],[Customer_ID]])</f>
        <v>C0074</v>
      </c>
      <c r="R133" s="8" t="str">
        <f>PROPER(TRIM(RawSalesTable6[[#This Row],[Store_Raw]]))</f>
        <v>Montreal Central</v>
      </c>
      <c r="S133" s="8" t="str">
        <f>IF(TRIM(RawSalesTable6[[#This Row],[Payment_Method_Raw]])="","Non renseigné",SUBSTITUTE(PROPER(TRIM(RawSalesTable6[[#This Row],[Payment_Method_Raw]])),"Cc","Credit Card"))</f>
        <v>Credit Card</v>
      </c>
      <c r="T133" s="8">
        <f>COUNTIF(A:A,RawSalesTable6[[#This Row],[Order_ID]])</f>
        <v>1</v>
      </c>
      <c r="U133" s="8" t="str">
        <f>TRIM(LEFT(RawSalesTable6[[#This Row],[Customer_Info]],FIND(",",RawSalesTable6[[#This Row],[Customer_Info]])-1))</f>
        <v>Sophia Chen</v>
      </c>
      <c r="V133" s="8" t="str">
        <f>TRIM(MID(RawSalesTable6[[#This Row],[Customer_Info]],FIND(",",RawSalesTable6[[#This Row],[Customer_Info]])+1,FIND(",",RawSalesTable6[[#This Row],[Customer_Info]],FIND(",",RawSalesTable6[[#This Row],[Customer_Info]])+1)-FIND(",",RawSalesTable6[[#This Row],[Customer_Info]])-1))</f>
        <v>Vancouver</v>
      </c>
      <c r="W133" s="8" t="str">
        <f>TRIM(RIGHT(RawSalesTable6[[#This Row],[Customer_Info]],LEN(RawSalesTable6[[#This Row],[Customer_Info]])-FIND(",",RawSalesTable6[[#This Row],[Customer_Info]],FIND(",",RawSalesTable6[[#This Row],[Customer_Info]])+1)))</f>
        <v>Corporate</v>
      </c>
      <c r="X133" s="8" t="str">
        <f>VLOOKUP(RawSalesTable6[[#This Row],[Product_ID_Clean]],ProductsTable[],2,FALSE)</f>
        <v>Toaster</v>
      </c>
      <c r="Y133" s="8" t="str">
        <f>VLOOKUP(RawSalesTable6[[#This Row],[Product_ID_Clean]],ProductsTable[],3,FALSE)</f>
        <v>Home</v>
      </c>
      <c r="Z133" s="8">
        <f>VLOOKUP(RawSalesTable6[[#This Row],[Product_ID_Clean]],ProductsTable[],5,FALSE)</f>
        <v>152.88</v>
      </c>
      <c r="AA133" s="8">
        <f>RawSalesTable6[[#This Row],[Unit_Price]]*RawSalesTable6[[#This Row],[Quantity]]</f>
        <v>333.66</v>
      </c>
      <c r="AB133" s="8">
        <f>RawSalesTable6[[#This Row],[Gross_Sales]]*RawSalesTable6[[#This Row],[Discount_Pct]]</f>
        <v>16.683000000000003</v>
      </c>
      <c r="AC133" s="8">
        <f>RawSalesTable6[[#This Row],[Gross_Sales]]-RawSalesTable6[[#This Row],[Discount_Amount]]</f>
        <v>316.97700000000003</v>
      </c>
      <c r="AD133" s="8">
        <f>RawSalesTable6[[#This Row],[Unit_Cost]]*RawSalesTable6[[#This Row],[Quantity]]</f>
        <v>152.88</v>
      </c>
      <c r="AE133" s="8">
        <f>RawSalesTable6[[#This Row],[Net_Sales]]-RawSalesTable6[[#This Row],[Total_Cost]]</f>
        <v>164.09700000000004</v>
      </c>
      <c r="AF133" s="9">
        <f>RawSalesTable6[[#This Row],[Profit]]/RawSalesTable6[[#This Row],[Net_Sales]]</f>
        <v>0.51769371279304188</v>
      </c>
      <c r="AG133" s="8">
        <f>YEAR(RawSalesTable6[[#This Row],[Order_Date]])</f>
        <v>2025</v>
      </c>
      <c r="AH133" s="8">
        <f>MONTH(RawSalesTable6[[#This Row],[Order_Date]])</f>
        <v>4</v>
      </c>
      <c r="AI133" s="8" t="str">
        <f>TEXT(RawSalesTable6[[#This Row],[Order_Date]],"mmmm")</f>
        <v>avril</v>
      </c>
      <c r="AJ133" s="8" t="str">
        <f>IF(RawSalesTable6[[#This Row],[Month_Number]]&lt;=3,"Q1",IF(RawSalesTable6[[#This Row],[Month_Number]]&lt;=6,"Q2",IF(RawSalesTable6[[#This Row],[Month_Number]]&lt;=9,"Q3","Q4")))</f>
        <v>Q2</v>
      </c>
      <c r="AK133" s="8" t="str">
        <f>VLOOKUP(RawSalesTable6[[#This Row],[Customer_ID_Clean]],CustomersTable[],4,FALSE)</f>
        <v>British Columbia</v>
      </c>
      <c r="AL133" s="8">
        <f>IF(RawSalesTable6[[#This Row],[Return_Status]]="Yes",1,0)</f>
        <v>0</v>
      </c>
    </row>
    <row r="134" spans="1:38">
      <c r="A134" t="s">
        <v>450</v>
      </c>
      <c r="B134" s="3">
        <v>45963</v>
      </c>
      <c r="C134" t="s">
        <v>359</v>
      </c>
      <c r="D134" t="s">
        <v>249</v>
      </c>
      <c r="E134" t="s">
        <v>361</v>
      </c>
      <c r="F134" t="s">
        <v>145</v>
      </c>
      <c r="G134" t="s">
        <v>130</v>
      </c>
      <c r="H134" t="s">
        <v>97</v>
      </c>
      <c r="I134">
        <v>1</v>
      </c>
      <c r="J134" s="2">
        <v>433.79</v>
      </c>
      <c r="K134" s="4">
        <v>0.05</v>
      </c>
      <c r="L134" t="s">
        <v>106</v>
      </c>
      <c r="M134">
        <v>3</v>
      </c>
      <c r="N134" t="s">
        <v>91</v>
      </c>
      <c r="O134" t="str">
        <f>SUBSTITUTE(PROPER(TRIM(RawSalesTable6[[#This Row],[Channel_Raw]])),"Market Place","Marketplace")</f>
        <v>Retail Store</v>
      </c>
      <c r="P134" t="str">
        <f>TRIM(RawSalesTable6[[#This Row],[Product_ID]])</f>
        <v>P1022</v>
      </c>
      <c r="Q134" t="str">
        <f>TRIM(RawSalesTable6[[#This Row],[Customer_ID]])</f>
        <v>C0044</v>
      </c>
      <c r="R134" s="8" t="str">
        <f>PROPER(TRIM(RawSalesTable6[[#This Row],[Store_Raw]]))</f>
        <v>Calgary North</v>
      </c>
      <c r="S134" s="8" t="str">
        <f>IF(TRIM(RawSalesTable6[[#This Row],[Payment_Method_Raw]])="","Non renseigné",SUBSTITUTE(PROPER(TRIM(RawSalesTable6[[#This Row],[Payment_Method_Raw]])),"Cc","Credit Card"))</f>
        <v>Credit Card</v>
      </c>
      <c r="T134" s="8">
        <f>COUNTIF(A:A,RawSalesTable6[[#This Row],[Order_ID]])</f>
        <v>1</v>
      </c>
      <c r="U134" s="8" t="str">
        <f>TRIM(LEFT(RawSalesTable6[[#This Row],[Customer_Info]],FIND(",",RawSalesTable6[[#This Row],[Customer_Info]])-1))</f>
        <v>Nora Young</v>
      </c>
      <c r="V134" s="8" t="str">
        <f>TRIM(MID(RawSalesTable6[[#This Row],[Customer_Info]],FIND(",",RawSalesTable6[[#This Row],[Customer_Info]])+1,FIND(",",RawSalesTable6[[#This Row],[Customer_Info]],FIND(",",RawSalesTable6[[#This Row],[Customer_Info]])+1)-FIND(",",RawSalesTable6[[#This Row],[Customer_Info]])-1))</f>
        <v>Vancouver</v>
      </c>
      <c r="W134" s="8" t="str">
        <f>TRIM(RIGHT(RawSalesTable6[[#This Row],[Customer_Info]],LEN(RawSalesTable6[[#This Row],[Customer_Info]])-FIND(",",RawSalesTable6[[#This Row],[Customer_Info]],FIND(",",RawSalesTable6[[#This Row],[Customer_Info]])+1)))</f>
        <v>Corporate</v>
      </c>
      <c r="X134" s="8" t="str">
        <f>VLOOKUP(RawSalesTable6[[#This Row],[Product_ID_Clean]],ProductsTable[],2,FALSE)</f>
        <v>Humidifier</v>
      </c>
      <c r="Y134" s="8" t="str">
        <f>VLOOKUP(RawSalesTable6[[#This Row],[Product_ID_Clean]],ProductsTable[],3,FALSE)</f>
        <v>Home</v>
      </c>
      <c r="Z134" s="8">
        <f>VLOOKUP(RawSalesTable6[[#This Row],[Product_ID_Clean]],ProductsTable[],5,FALSE)</f>
        <v>239.67</v>
      </c>
      <c r="AA134" s="8">
        <f>RawSalesTable6[[#This Row],[Unit_Price]]*RawSalesTable6[[#This Row],[Quantity]]</f>
        <v>433.79</v>
      </c>
      <c r="AB134" s="8">
        <f>RawSalesTable6[[#This Row],[Gross_Sales]]*RawSalesTable6[[#This Row],[Discount_Pct]]</f>
        <v>21.689500000000002</v>
      </c>
      <c r="AC134" s="8">
        <f>RawSalesTable6[[#This Row],[Gross_Sales]]-RawSalesTable6[[#This Row],[Discount_Amount]]</f>
        <v>412.10050000000001</v>
      </c>
      <c r="AD134" s="8">
        <f>RawSalesTable6[[#This Row],[Unit_Cost]]*RawSalesTable6[[#This Row],[Quantity]]</f>
        <v>239.67</v>
      </c>
      <c r="AE134" s="8">
        <f>RawSalesTable6[[#This Row],[Net_Sales]]-RawSalesTable6[[#This Row],[Total_Cost]]</f>
        <v>172.43050000000002</v>
      </c>
      <c r="AF134" s="9">
        <f>RawSalesTable6[[#This Row],[Profit]]/RawSalesTable6[[#This Row],[Net_Sales]]</f>
        <v>0.41841856537422306</v>
      </c>
      <c r="AG134" s="8">
        <f>YEAR(RawSalesTable6[[#This Row],[Order_Date]])</f>
        <v>2025</v>
      </c>
      <c r="AH134" s="8">
        <f>MONTH(RawSalesTable6[[#This Row],[Order_Date]])</f>
        <v>11</v>
      </c>
      <c r="AI134" s="8" t="str">
        <f>TEXT(RawSalesTable6[[#This Row],[Order_Date]],"mmmm")</f>
        <v>novembre</v>
      </c>
      <c r="AJ134" s="8" t="str">
        <f>IF(RawSalesTable6[[#This Row],[Month_Number]]&lt;=3,"Q1",IF(RawSalesTable6[[#This Row],[Month_Number]]&lt;=6,"Q2",IF(RawSalesTable6[[#This Row],[Month_Number]]&lt;=9,"Q3","Q4")))</f>
        <v>Q4</v>
      </c>
      <c r="AK134" s="8" t="str">
        <f>VLOOKUP(RawSalesTable6[[#This Row],[Customer_ID_Clean]],CustomersTable[],4,FALSE)</f>
        <v>British Columbia</v>
      </c>
      <c r="AL134" s="8">
        <f>IF(RawSalesTable6[[#This Row],[Return_Status]]="Yes",1,0)</f>
        <v>0</v>
      </c>
    </row>
    <row r="135" spans="1:38">
      <c r="A135" t="s">
        <v>451</v>
      </c>
      <c r="B135" s="3">
        <v>45981</v>
      </c>
      <c r="C135" t="s">
        <v>230</v>
      </c>
      <c r="D135" t="s">
        <v>221</v>
      </c>
      <c r="E135" t="s">
        <v>232</v>
      </c>
      <c r="F135" t="s">
        <v>103</v>
      </c>
      <c r="G135" t="s">
        <v>96</v>
      </c>
      <c r="H135" t="s">
        <v>89</v>
      </c>
      <c r="I135">
        <v>3</v>
      </c>
      <c r="J135" s="2">
        <v>31.68</v>
      </c>
      <c r="K135" s="4">
        <v>0.05</v>
      </c>
      <c r="L135" t="s">
        <v>106</v>
      </c>
      <c r="M135">
        <v>4</v>
      </c>
      <c r="N135" t="s">
        <v>91</v>
      </c>
      <c r="O135" t="str">
        <f>SUBSTITUTE(PROPER(TRIM(RawSalesTable6[[#This Row],[Channel_Raw]])),"Market Place","Marketplace")</f>
        <v>Online</v>
      </c>
      <c r="P135" t="str">
        <f>TRIM(RawSalesTable6[[#This Row],[Product_ID]])</f>
        <v>P1018</v>
      </c>
      <c r="Q135" t="str">
        <f>TRIM(RawSalesTable6[[#This Row],[Customer_ID]])</f>
        <v>C0063</v>
      </c>
      <c r="R135" s="8" t="str">
        <f>PROPER(TRIM(RawSalesTable6[[#This Row],[Store_Raw]]))</f>
        <v>Vancouver West</v>
      </c>
      <c r="S135" s="8" t="str">
        <f>IF(TRIM(RawSalesTable6[[#This Row],[Payment_Method_Raw]])="","Non renseigné",SUBSTITUTE(PROPER(TRIM(RawSalesTable6[[#This Row],[Payment_Method_Raw]])),"Cc","Credit Card"))</f>
        <v>Credit Card</v>
      </c>
      <c r="T135" s="8">
        <f>COUNTIF(A:A,RawSalesTable6[[#This Row],[Order_ID]])</f>
        <v>1</v>
      </c>
      <c r="U135" s="8" t="str">
        <f>TRIM(LEFT(RawSalesTable6[[#This Row],[Customer_Info]],FIND(",",RawSalesTable6[[#This Row],[Customer_Info]])-1))</f>
        <v>Adam Singh</v>
      </c>
      <c r="V135" s="8" t="str">
        <f>TRIM(MID(RawSalesTable6[[#This Row],[Customer_Info]],FIND(",",RawSalesTable6[[#This Row],[Customer_Info]])+1,FIND(",",RawSalesTable6[[#This Row],[Customer_Info]],FIND(",",RawSalesTable6[[#This Row],[Customer_Info]])+1)-FIND(",",RawSalesTable6[[#This Row],[Customer_Info]])-1))</f>
        <v>Laval</v>
      </c>
      <c r="W135" s="8" t="str">
        <f>TRIM(RIGHT(RawSalesTable6[[#This Row],[Customer_Info]],LEN(RawSalesTable6[[#This Row],[Customer_Info]])-FIND(",",RawSalesTable6[[#This Row],[Customer_Info]],FIND(",",RawSalesTable6[[#This Row],[Customer_Info]])+1)))</f>
        <v>Small Business</v>
      </c>
      <c r="X135" s="8" t="str">
        <f>VLOOKUP(RawSalesTable6[[#This Row],[Product_ID_Clean]],ProductsTable[],2,FALSE)</f>
        <v>Air Fryer</v>
      </c>
      <c r="Y135" s="8" t="str">
        <f>VLOOKUP(RawSalesTable6[[#This Row],[Product_ID_Clean]],ProductsTable[],3,FALSE)</f>
        <v>Home</v>
      </c>
      <c r="Z135" s="8">
        <f>VLOOKUP(RawSalesTable6[[#This Row],[Product_ID_Clean]],ProductsTable[],5,FALSE)</f>
        <v>14.58</v>
      </c>
      <c r="AA135" s="8">
        <f>RawSalesTable6[[#This Row],[Unit_Price]]*RawSalesTable6[[#This Row],[Quantity]]</f>
        <v>95.039999999999992</v>
      </c>
      <c r="AB135" s="8">
        <f>RawSalesTable6[[#This Row],[Gross_Sales]]*RawSalesTable6[[#This Row],[Discount_Pct]]</f>
        <v>4.7519999999999998</v>
      </c>
      <c r="AC135" s="8">
        <f>RawSalesTable6[[#This Row],[Gross_Sales]]-RawSalesTable6[[#This Row],[Discount_Amount]]</f>
        <v>90.287999999999997</v>
      </c>
      <c r="AD135" s="8">
        <f>RawSalesTable6[[#This Row],[Unit_Cost]]*RawSalesTable6[[#This Row],[Quantity]]</f>
        <v>43.74</v>
      </c>
      <c r="AE135" s="8">
        <f>RawSalesTable6[[#This Row],[Net_Sales]]-RawSalesTable6[[#This Row],[Total_Cost]]</f>
        <v>46.547999999999995</v>
      </c>
      <c r="AF135" s="9">
        <f>RawSalesTable6[[#This Row],[Profit]]/RawSalesTable6[[#This Row],[Net_Sales]]</f>
        <v>0.51555023923444976</v>
      </c>
      <c r="AG135" s="8">
        <f>YEAR(RawSalesTable6[[#This Row],[Order_Date]])</f>
        <v>2025</v>
      </c>
      <c r="AH135" s="8">
        <f>MONTH(RawSalesTable6[[#This Row],[Order_Date]])</f>
        <v>11</v>
      </c>
      <c r="AI135" s="8" t="str">
        <f>TEXT(RawSalesTable6[[#This Row],[Order_Date]],"mmmm")</f>
        <v>novembre</v>
      </c>
      <c r="AJ135" s="8" t="str">
        <f>IF(RawSalesTable6[[#This Row],[Month_Number]]&lt;=3,"Q1",IF(RawSalesTable6[[#This Row],[Month_Number]]&lt;=6,"Q2",IF(RawSalesTable6[[#This Row],[Month_Number]]&lt;=9,"Q3","Q4")))</f>
        <v>Q4</v>
      </c>
      <c r="AK135" s="8" t="str">
        <f>VLOOKUP(RawSalesTable6[[#This Row],[Customer_ID_Clean]],CustomersTable[],4,FALSE)</f>
        <v>Quebec</v>
      </c>
      <c r="AL135" s="8">
        <f>IF(RawSalesTable6[[#This Row],[Return_Status]]="Yes",1,0)</f>
        <v>0</v>
      </c>
    </row>
    <row r="136" spans="1:38">
      <c r="A136" t="s">
        <v>452</v>
      </c>
      <c r="B136" s="3">
        <v>45680</v>
      </c>
      <c r="C136" t="s">
        <v>453</v>
      </c>
      <c r="D136" t="s">
        <v>114</v>
      </c>
      <c r="E136" t="s">
        <v>454</v>
      </c>
      <c r="F136" t="s">
        <v>145</v>
      </c>
      <c r="G136" t="s">
        <v>117</v>
      </c>
      <c r="H136" t="s">
        <v>97</v>
      </c>
      <c r="I136">
        <v>1</v>
      </c>
      <c r="J136" s="2">
        <v>143.79</v>
      </c>
      <c r="K136" s="4">
        <v>0.05</v>
      </c>
      <c r="L136" t="s">
        <v>98</v>
      </c>
      <c r="M136">
        <v>3</v>
      </c>
      <c r="N136" t="s">
        <v>91</v>
      </c>
      <c r="O136" t="str">
        <f>SUBSTITUTE(PROPER(TRIM(RawSalesTable6[[#This Row],[Channel_Raw]])),"Market Place","Marketplace")</f>
        <v>Retail Store</v>
      </c>
      <c r="P136" t="str">
        <f>TRIM(RawSalesTable6[[#This Row],[Product_ID]])</f>
        <v>P1034</v>
      </c>
      <c r="Q136" t="str">
        <f>TRIM(RawSalesTable6[[#This Row],[Customer_ID]])</f>
        <v>C0070</v>
      </c>
      <c r="R136" s="8" t="str">
        <f>PROPER(TRIM(RawSalesTable6[[#This Row],[Store_Raw]]))</f>
        <v>Calgary North</v>
      </c>
      <c r="S136" s="8" t="str">
        <f>IF(TRIM(RawSalesTable6[[#This Row],[Payment_Method_Raw]])="","Non renseigné",SUBSTITUTE(PROPER(TRIM(RawSalesTable6[[#This Row],[Payment_Method_Raw]])),"Cc","Credit Card"))</f>
        <v>Debit Card</v>
      </c>
      <c r="T136" s="8">
        <f>COUNTIF(A:A,RawSalesTable6[[#This Row],[Order_ID]])</f>
        <v>1</v>
      </c>
      <c r="U136" s="8" t="str">
        <f>TRIM(LEFT(RawSalesTable6[[#This Row],[Customer_Info]],FIND(",",RawSalesTable6[[#This Row],[Customer_Info]])-1))</f>
        <v>Sophia Young</v>
      </c>
      <c r="V136" s="8" t="str">
        <f>TRIM(MID(RawSalesTable6[[#This Row],[Customer_Info]],FIND(",",RawSalesTable6[[#This Row],[Customer_Info]])+1,FIND(",",RawSalesTable6[[#This Row],[Customer_Info]],FIND(",",RawSalesTable6[[#This Row],[Customer_Info]])+1)-FIND(",",RawSalesTable6[[#This Row],[Customer_Info]])-1))</f>
        <v>Halifax</v>
      </c>
      <c r="W136" s="8" t="str">
        <f>TRIM(RIGHT(RawSalesTable6[[#This Row],[Customer_Info]],LEN(RawSalesTable6[[#This Row],[Customer_Info]])-FIND(",",RawSalesTable6[[#This Row],[Customer_Info]],FIND(",",RawSalesTable6[[#This Row],[Customer_Info]])+1)))</f>
        <v>Corporate</v>
      </c>
      <c r="X136" s="8" t="str">
        <f>VLOOKUP(RawSalesTable6[[#This Row],[Product_ID_Clean]],ProductsTable[],2,FALSE)</f>
        <v>Laptop Sleeve</v>
      </c>
      <c r="Y136" s="8" t="str">
        <f>VLOOKUP(RawSalesTable6[[#This Row],[Product_ID_Clean]],ProductsTable[],3,FALSE)</f>
        <v>Accessories</v>
      </c>
      <c r="Z136" s="8">
        <f>VLOOKUP(RawSalesTable6[[#This Row],[Product_ID_Clean]],ProductsTable[],5,FALSE)</f>
        <v>78.95</v>
      </c>
      <c r="AA136" s="8">
        <f>RawSalesTable6[[#This Row],[Unit_Price]]*RawSalesTable6[[#This Row],[Quantity]]</f>
        <v>143.79</v>
      </c>
      <c r="AB136" s="8">
        <f>RawSalesTable6[[#This Row],[Gross_Sales]]*RawSalesTable6[[#This Row],[Discount_Pct]]</f>
        <v>7.1894999999999998</v>
      </c>
      <c r="AC136" s="8">
        <f>RawSalesTable6[[#This Row],[Gross_Sales]]-RawSalesTable6[[#This Row],[Discount_Amount]]</f>
        <v>136.60049999999998</v>
      </c>
      <c r="AD136" s="8">
        <f>RawSalesTable6[[#This Row],[Unit_Cost]]*RawSalesTable6[[#This Row],[Quantity]]</f>
        <v>78.95</v>
      </c>
      <c r="AE136" s="8">
        <f>RawSalesTable6[[#This Row],[Net_Sales]]-RawSalesTable6[[#This Row],[Total_Cost]]</f>
        <v>57.65049999999998</v>
      </c>
      <c r="AF136" s="9">
        <f>RawSalesTable6[[#This Row],[Profit]]/RawSalesTable6[[#This Row],[Net_Sales]]</f>
        <v>0.42203725462205471</v>
      </c>
      <c r="AG136" s="8">
        <f>YEAR(RawSalesTable6[[#This Row],[Order_Date]])</f>
        <v>2025</v>
      </c>
      <c r="AH136" s="8">
        <f>MONTH(RawSalesTable6[[#This Row],[Order_Date]])</f>
        <v>1</v>
      </c>
      <c r="AI136" s="8" t="str">
        <f>TEXT(RawSalesTable6[[#This Row],[Order_Date]],"mmmm")</f>
        <v>janvier</v>
      </c>
      <c r="AJ136" s="8" t="str">
        <f>IF(RawSalesTable6[[#This Row],[Month_Number]]&lt;=3,"Q1",IF(RawSalesTable6[[#This Row],[Month_Number]]&lt;=6,"Q2",IF(RawSalesTable6[[#This Row],[Month_Number]]&lt;=9,"Q3","Q4")))</f>
        <v>Q1</v>
      </c>
      <c r="AK136" s="8" t="str">
        <f>VLOOKUP(RawSalesTable6[[#This Row],[Customer_ID_Clean]],CustomersTable[],4,FALSE)</f>
        <v>Nova Scotia</v>
      </c>
      <c r="AL136" s="8">
        <f>IF(RawSalesTable6[[#This Row],[Return_Status]]="Yes",1,0)</f>
        <v>0</v>
      </c>
    </row>
    <row r="137" spans="1:38">
      <c r="A137" t="s">
        <v>455</v>
      </c>
      <c r="B137" s="3">
        <v>45777</v>
      </c>
      <c r="C137" t="s">
        <v>151</v>
      </c>
      <c r="D137" t="s">
        <v>114</v>
      </c>
      <c r="E137" t="s">
        <v>153</v>
      </c>
      <c r="F137" t="s">
        <v>145</v>
      </c>
      <c r="G137" t="s">
        <v>122</v>
      </c>
      <c r="H137" t="s">
        <v>97</v>
      </c>
      <c r="I137">
        <v>1</v>
      </c>
      <c r="J137" s="2">
        <v>149.97</v>
      </c>
      <c r="K137" s="4">
        <v>0.1</v>
      </c>
      <c r="L137" t="s">
        <v>106</v>
      </c>
      <c r="M137">
        <v>0</v>
      </c>
      <c r="N137" t="s">
        <v>91</v>
      </c>
      <c r="O137" t="str">
        <f>SUBSTITUTE(PROPER(TRIM(RawSalesTable6[[#This Row],[Channel_Raw]])),"Market Place","Marketplace")</f>
        <v>Retail Store</v>
      </c>
      <c r="P137" t="str">
        <f>TRIM(RawSalesTable6[[#This Row],[Product_ID]])</f>
        <v>P1034</v>
      </c>
      <c r="Q137" t="str">
        <f>TRIM(RawSalesTable6[[#This Row],[Customer_ID]])</f>
        <v>C0014</v>
      </c>
      <c r="R137" s="8" t="str">
        <f>PROPER(TRIM(RawSalesTable6[[#This Row],[Store_Raw]]))</f>
        <v>Calgary North</v>
      </c>
      <c r="S137" s="8" t="str">
        <f>IF(TRIM(RawSalesTable6[[#This Row],[Payment_Method_Raw]])="","Non renseigné",SUBSTITUTE(PROPER(TRIM(RawSalesTable6[[#This Row],[Payment_Method_Raw]])),"Cc","Credit Card"))</f>
        <v>Credit Card</v>
      </c>
      <c r="T137" s="8">
        <f>COUNTIF(A:A,RawSalesTable6[[#This Row],[Order_ID]])</f>
        <v>1</v>
      </c>
      <c r="U137" s="8" t="str">
        <f>TRIM(LEFT(RawSalesTable6[[#This Row],[Customer_Info]],FIND(",",RawSalesTable6[[#This Row],[Customer_Info]])-1))</f>
        <v>Zoe Scott</v>
      </c>
      <c r="V137" s="8" t="str">
        <f>TRIM(MID(RawSalesTable6[[#This Row],[Customer_Info]],FIND(",",RawSalesTable6[[#This Row],[Customer_Info]])+1,FIND(",",RawSalesTable6[[#This Row],[Customer_Info]],FIND(",",RawSalesTable6[[#This Row],[Customer_Info]])+1)-FIND(",",RawSalesTable6[[#This Row],[Customer_Info]])-1))</f>
        <v>Montreal</v>
      </c>
      <c r="W137" s="8" t="str">
        <f>TRIM(RIGHT(RawSalesTable6[[#This Row],[Customer_Info]],LEN(RawSalesTable6[[#This Row],[Customer_Info]])-FIND(",",RawSalesTable6[[#This Row],[Customer_Info]],FIND(",",RawSalesTable6[[#This Row],[Customer_Info]])+1)))</f>
        <v>Small Business</v>
      </c>
      <c r="X137" s="8" t="str">
        <f>VLOOKUP(RawSalesTable6[[#This Row],[Product_ID_Clean]],ProductsTable[],2,FALSE)</f>
        <v>Laptop Sleeve</v>
      </c>
      <c r="Y137" s="8" t="str">
        <f>VLOOKUP(RawSalesTable6[[#This Row],[Product_ID_Clean]],ProductsTable[],3,FALSE)</f>
        <v>Accessories</v>
      </c>
      <c r="Z137" s="8">
        <f>VLOOKUP(RawSalesTable6[[#This Row],[Product_ID_Clean]],ProductsTable[],5,FALSE)</f>
        <v>78.95</v>
      </c>
      <c r="AA137" s="8">
        <f>RawSalesTable6[[#This Row],[Unit_Price]]*RawSalesTable6[[#This Row],[Quantity]]</f>
        <v>149.97</v>
      </c>
      <c r="AB137" s="8">
        <f>RawSalesTable6[[#This Row],[Gross_Sales]]*RawSalesTable6[[#This Row],[Discount_Pct]]</f>
        <v>14.997</v>
      </c>
      <c r="AC137" s="8">
        <f>RawSalesTable6[[#This Row],[Gross_Sales]]-RawSalesTable6[[#This Row],[Discount_Amount]]</f>
        <v>134.97300000000001</v>
      </c>
      <c r="AD137" s="8">
        <f>RawSalesTable6[[#This Row],[Unit_Cost]]*RawSalesTable6[[#This Row],[Quantity]]</f>
        <v>78.95</v>
      </c>
      <c r="AE137" s="8">
        <f>RawSalesTable6[[#This Row],[Net_Sales]]-RawSalesTable6[[#This Row],[Total_Cost]]</f>
        <v>56.02300000000001</v>
      </c>
      <c r="AF137" s="9">
        <f>RawSalesTable6[[#This Row],[Profit]]/RawSalesTable6[[#This Row],[Net_Sales]]</f>
        <v>0.41506819882495022</v>
      </c>
      <c r="AG137" s="8">
        <f>YEAR(RawSalesTable6[[#This Row],[Order_Date]])</f>
        <v>2025</v>
      </c>
      <c r="AH137" s="8">
        <f>MONTH(RawSalesTable6[[#This Row],[Order_Date]])</f>
        <v>4</v>
      </c>
      <c r="AI137" s="8" t="str">
        <f>TEXT(RawSalesTable6[[#This Row],[Order_Date]],"mmmm")</f>
        <v>avril</v>
      </c>
      <c r="AJ137" s="8" t="str">
        <f>IF(RawSalesTable6[[#This Row],[Month_Number]]&lt;=3,"Q1",IF(RawSalesTable6[[#This Row],[Month_Number]]&lt;=6,"Q2",IF(RawSalesTable6[[#This Row],[Month_Number]]&lt;=9,"Q3","Q4")))</f>
        <v>Q2</v>
      </c>
      <c r="AK137" s="8" t="str">
        <f>VLOOKUP(RawSalesTable6[[#This Row],[Customer_ID_Clean]],CustomersTable[],4,FALSE)</f>
        <v>Quebec</v>
      </c>
      <c r="AL137" s="8">
        <f>IF(RawSalesTable6[[#This Row],[Return_Status]]="Yes",1,0)</f>
        <v>0</v>
      </c>
    </row>
    <row r="138" spans="1:38">
      <c r="A138" t="s">
        <v>456</v>
      </c>
      <c r="B138" s="3">
        <v>45743</v>
      </c>
      <c r="C138" t="s">
        <v>189</v>
      </c>
      <c r="D138" t="s">
        <v>136</v>
      </c>
      <c r="E138" t="s">
        <v>457</v>
      </c>
      <c r="F138" t="s">
        <v>145</v>
      </c>
      <c r="G138" t="s">
        <v>183</v>
      </c>
      <c r="H138" t="s">
        <v>89</v>
      </c>
      <c r="I138">
        <v>4</v>
      </c>
      <c r="J138" s="2">
        <v>156.56</v>
      </c>
      <c r="K138" s="4">
        <v>0.2</v>
      </c>
      <c r="L138" t="s">
        <v>106</v>
      </c>
      <c r="M138">
        <v>9</v>
      </c>
      <c r="N138" t="s">
        <v>91</v>
      </c>
      <c r="O138" t="str">
        <f>SUBSTITUTE(PROPER(TRIM(RawSalesTable6[[#This Row],[Channel_Raw]])),"Market Place","Marketplace")</f>
        <v>Online</v>
      </c>
      <c r="P138" t="str">
        <f>TRIM(RawSalesTable6[[#This Row],[Product_ID]])</f>
        <v>P1003</v>
      </c>
      <c r="Q138" t="str">
        <f>TRIM(RawSalesTable6[[#This Row],[Customer_ID]])</f>
        <v>C0054</v>
      </c>
      <c r="R138" s="8" t="str">
        <f>PROPER(TRIM(RawSalesTable6[[#This Row],[Store_Raw]]))</f>
        <v>Calgary North</v>
      </c>
      <c r="S138" s="8" t="str">
        <f>IF(TRIM(RawSalesTable6[[#This Row],[Payment_Method_Raw]])="","Non renseigné",SUBSTITUTE(PROPER(TRIM(RawSalesTable6[[#This Row],[Payment_Method_Raw]])),"Cc","Credit Card"))</f>
        <v>Credit Card</v>
      </c>
      <c r="T138" s="8">
        <f>COUNTIF(A:A,RawSalesTable6[[#This Row],[Order_ID]])</f>
        <v>1</v>
      </c>
      <c r="U138" s="8" t="str">
        <f>TRIM(LEFT(RawSalesTable6[[#This Row],[Customer_Info]],FIND(",",RawSalesTable6[[#This Row],[Customer_Info]])-1))</f>
        <v>Maya Hall</v>
      </c>
      <c r="V138" s="8" t="str">
        <f>TRIM(MID(RawSalesTable6[[#This Row],[Customer_Info]],FIND(",",RawSalesTable6[[#This Row],[Customer_Info]])+1,FIND(",",RawSalesTable6[[#This Row],[Customer_Info]],FIND(",",RawSalesTable6[[#This Row],[Customer_Info]])+1)-FIND(",",RawSalesTable6[[#This Row],[Customer_Info]])-1))</f>
        <v>Surrey</v>
      </c>
      <c r="W138" s="8" t="str">
        <f>TRIM(RIGHT(RawSalesTable6[[#This Row],[Customer_Info]],LEN(RawSalesTable6[[#This Row],[Customer_Info]])-FIND(",",RawSalesTable6[[#This Row],[Customer_Info]],FIND(",",RawSalesTable6[[#This Row],[Customer_Info]])+1)))</f>
        <v>Small Business</v>
      </c>
      <c r="X138" s="8" t="str">
        <f>VLOOKUP(RawSalesTable6[[#This Row],[Product_ID_Clean]],ProductsTable[],2,FALSE)</f>
        <v>Mouse</v>
      </c>
      <c r="Y138" s="8" t="str">
        <f>VLOOKUP(RawSalesTable6[[#This Row],[Product_ID_Clean]],ProductsTable[],3,FALSE)</f>
        <v>Electronics</v>
      </c>
      <c r="Z138" s="8">
        <f>VLOOKUP(RawSalesTable6[[#This Row],[Product_ID_Clean]],ProductsTable[],5,FALSE)</f>
        <v>106.4</v>
      </c>
      <c r="AA138" s="8">
        <f>RawSalesTable6[[#This Row],[Unit_Price]]*RawSalesTable6[[#This Row],[Quantity]]</f>
        <v>626.24</v>
      </c>
      <c r="AB138" s="8">
        <f>RawSalesTable6[[#This Row],[Gross_Sales]]*RawSalesTable6[[#This Row],[Discount_Pct]]</f>
        <v>125.248</v>
      </c>
      <c r="AC138" s="8">
        <f>RawSalesTable6[[#This Row],[Gross_Sales]]-RawSalesTable6[[#This Row],[Discount_Amount]]</f>
        <v>500.99200000000002</v>
      </c>
      <c r="AD138" s="8">
        <f>RawSalesTable6[[#This Row],[Unit_Cost]]*RawSalesTable6[[#This Row],[Quantity]]</f>
        <v>425.6</v>
      </c>
      <c r="AE138" s="8">
        <f>RawSalesTable6[[#This Row],[Net_Sales]]-RawSalesTable6[[#This Row],[Total_Cost]]</f>
        <v>75.391999999999996</v>
      </c>
      <c r="AF138" s="9">
        <f>RawSalesTable6[[#This Row],[Profit]]/RawSalesTable6[[#This Row],[Net_Sales]]</f>
        <v>0.15048543689320387</v>
      </c>
      <c r="AG138" s="8">
        <f>YEAR(RawSalesTable6[[#This Row],[Order_Date]])</f>
        <v>2025</v>
      </c>
      <c r="AH138" s="8">
        <f>MONTH(RawSalesTable6[[#This Row],[Order_Date]])</f>
        <v>3</v>
      </c>
      <c r="AI138" s="8" t="str">
        <f>TEXT(RawSalesTable6[[#This Row],[Order_Date]],"mmmm")</f>
        <v>mars</v>
      </c>
      <c r="AJ138" s="8" t="str">
        <f>IF(RawSalesTable6[[#This Row],[Month_Number]]&lt;=3,"Q1",IF(RawSalesTable6[[#This Row],[Month_Number]]&lt;=6,"Q2",IF(RawSalesTable6[[#This Row],[Month_Number]]&lt;=9,"Q3","Q4")))</f>
        <v>Q1</v>
      </c>
      <c r="AK138" s="8" t="str">
        <f>VLOOKUP(RawSalesTable6[[#This Row],[Customer_ID_Clean]],CustomersTable[],4,FALSE)</f>
        <v>British Columbia</v>
      </c>
      <c r="AL138" s="8">
        <f>IF(RawSalesTable6[[#This Row],[Return_Status]]="Yes",1,0)</f>
        <v>0</v>
      </c>
    </row>
    <row r="139" spans="1:38">
      <c r="A139" t="s">
        <v>458</v>
      </c>
      <c r="B139" s="3">
        <v>45783</v>
      </c>
      <c r="C139" t="s">
        <v>216</v>
      </c>
      <c r="D139" t="s">
        <v>190</v>
      </c>
      <c r="E139" t="s">
        <v>218</v>
      </c>
      <c r="F139" t="s">
        <v>111</v>
      </c>
      <c r="G139" t="s">
        <v>104</v>
      </c>
      <c r="H139" t="s">
        <v>105</v>
      </c>
      <c r="I139">
        <v>3</v>
      </c>
      <c r="J139" s="2">
        <v>287.23</v>
      </c>
      <c r="K139" s="4">
        <v>0.05</v>
      </c>
      <c r="L139" t="s">
        <v>90</v>
      </c>
      <c r="M139">
        <v>8</v>
      </c>
      <c r="N139" t="s">
        <v>91</v>
      </c>
      <c r="O139" t="str">
        <f>SUBSTITUTE(PROPER(TRIM(RawSalesTable6[[#This Row],[Channel_Raw]])),"Market Place","Marketplace")</f>
        <v>Marketplace</v>
      </c>
      <c r="P139" t="str">
        <f>TRIM(RawSalesTable6[[#This Row],[Product_ID]])</f>
        <v>P1004</v>
      </c>
      <c r="Q139" t="str">
        <f>TRIM(RawSalesTable6[[#This Row],[Customer_ID]])</f>
        <v>C0065</v>
      </c>
      <c r="R139" s="8" t="str">
        <f>PROPER(TRIM(RawSalesTable6[[#This Row],[Store_Raw]]))</f>
        <v>Montreal Central</v>
      </c>
      <c r="S139" s="8" t="str">
        <f>IF(TRIM(RawSalesTable6[[#This Row],[Payment_Method_Raw]])="","Non renseigné",SUBSTITUTE(PROPER(TRIM(RawSalesTable6[[#This Row],[Payment_Method_Raw]])),"Cc","Credit Card"))</f>
        <v>Paypal</v>
      </c>
      <c r="T139" s="8">
        <f>COUNTIF(A:A,RawSalesTable6[[#This Row],[Order_ID]])</f>
        <v>1</v>
      </c>
      <c r="U139" s="8" t="str">
        <f>TRIM(LEFT(RawSalesTable6[[#This Row],[Customer_Info]],FIND(",",RawSalesTable6[[#This Row],[Customer_Info]])-1))</f>
        <v>Mia Wilson</v>
      </c>
      <c r="V139" s="8" t="str">
        <f>TRIM(MID(RawSalesTable6[[#This Row],[Customer_Info]],FIND(",",RawSalesTable6[[#This Row],[Customer_Info]])+1,FIND(",",RawSalesTable6[[#This Row],[Customer_Info]],FIND(",",RawSalesTable6[[#This Row],[Customer_Info]])+1)-FIND(",",RawSalesTable6[[#This Row],[Customer_Info]])-1))</f>
        <v>Quebec City</v>
      </c>
      <c r="W139" s="8" t="str">
        <f>TRIM(RIGHT(RawSalesTable6[[#This Row],[Customer_Info]],LEN(RawSalesTable6[[#This Row],[Customer_Info]])-FIND(",",RawSalesTable6[[#This Row],[Customer_Info]],FIND(",",RawSalesTable6[[#This Row],[Customer_Info]])+1)))</f>
        <v>Consumer</v>
      </c>
      <c r="X139" s="8" t="str">
        <f>VLOOKUP(RawSalesTable6[[#This Row],[Product_ID_Clean]],ProductsTable[],2,FALSE)</f>
        <v>Webcam</v>
      </c>
      <c r="Y139" s="8" t="str">
        <f>VLOOKUP(RawSalesTable6[[#This Row],[Product_ID_Clean]],ProductsTable[],3,FALSE)</f>
        <v>Electronics</v>
      </c>
      <c r="Z139" s="8">
        <f>VLOOKUP(RawSalesTable6[[#This Row],[Product_ID_Clean]],ProductsTable[],5,FALSE)</f>
        <v>154.72999999999999</v>
      </c>
      <c r="AA139" s="8">
        <f>RawSalesTable6[[#This Row],[Unit_Price]]*RawSalesTable6[[#This Row],[Quantity]]</f>
        <v>861.69</v>
      </c>
      <c r="AB139" s="8">
        <f>RawSalesTable6[[#This Row],[Gross_Sales]]*RawSalesTable6[[#This Row],[Discount_Pct]]</f>
        <v>43.084500000000006</v>
      </c>
      <c r="AC139" s="8">
        <f>RawSalesTable6[[#This Row],[Gross_Sales]]-RawSalesTable6[[#This Row],[Discount_Amount]]</f>
        <v>818.60550000000001</v>
      </c>
      <c r="AD139" s="8">
        <f>RawSalesTable6[[#This Row],[Unit_Cost]]*RawSalesTable6[[#This Row],[Quantity]]</f>
        <v>464.18999999999994</v>
      </c>
      <c r="AE139" s="8">
        <f>RawSalesTable6[[#This Row],[Net_Sales]]-RawSalesTable6[[#This Row],[Total_Cost]]</f>
        <v>354.41550000000007</v>
      </c>
      <c r="AF139" s="9">
        <f>RawSalesTable6[[#This Row],[Profit]]/RawSalesTable6[[#This Row],[Net_Sales]]</f>
        <v>0.43295030390096334</v>
      </c>
      <c r="AG139" s="8">
        <f>YEAR(RawSalesTable6[[#This Row],[Order_Date]])</f>
        <v>2025</v>
      </c>
      <c r="AH139" s="8">
        <f>MONTH(RawSalesTable6[[#This Row],[Order_Date]])</f>
        <v>5</v>
      </c>
      <c r="AI139" s="8" t="str">
        <f>TEXT(RawSalesTable6[[#This Row],[Order_Date]],"mmmm")</f>
        <v>mai</v>
      </c>
      <c r="AJ139" s="8" t="str">
        <f>IF(RawSalesTable6[[#This Row],[Month_Number]]&lt;=3,"Q1",IF(RawSalesTable6[[#This Row],[Month_Number]]&lt;=6,"Q2",IF(RawSalesTable6[[#This Row],[Month_Number]]&lt;=9,"Q3","Q4")))</f>
        <v>Q2</v>
      </c>
      <c r="AK139" s="8" t="str">
        <f>VLOOKUP(RawSalesTable6[[#This Row],[Customer_ID_Clean]],CustomersTable[],4,FALSE)</f>
        <v>Quebec</v>
      </c>
      <c r="AL139" s="8">
        <f>IF(RawSalesTable6[[#This Row],[Return_Status]]="Yes",1,0)</f>
        <v>0</v>
      </c>
    </row>
    <row r="140" spans="1:38">
      <c r="A140" t="s">
        <v>459</v>
      </c>
      <c r="B140" s="3">
        <v>45856</v>
      </c>
      <c r="C140" t="s">
        <v>363</v>
      </c>
      <c r="D140" t="s">
        <v>85</v>
      </c>
      <c r="E140" t="s">
        <v>364</v>
      </c>
      <c r="F140" t="s">
        <v>111</v>
      </c>
      <c r="G140" t="s">
        <v>130</v>
      </c>
      <c r="H140" t="s">
        <v>89</v>
      </c>
      <c r="I140">
        <v>4</v>
      </c>
      <c r="J140" s="2">
        <v>299.45</v>
      </c>
      <c r="K140" s="4">
        <v>0</v>
      </c>
      <c r="L140" t="s">
        <v>353</v>
      </c>
      <c r="M140">
        <v>4</v>
      </c>
      <c r="N140" t="s">
        <v>91</v>
      </c>
      <c r="O140" t="str">
        <f>SUBSTITUTE(PROPER(TRIM(RawSalesTable6[[#This Row],[Channel_Raw]])),"Market Place","Marketplace")</f>
        <v>Online</v>
      </c>
      <c r="P140" t="str">
        <f>TRIM(RawSalesTable6[[#This Row],[Product_ID]])</f>
        <v>P1025</v>
      </c>
      <c r="Q140" t="str">
        <f>TRIM(RawSalesTable6[[#This Row],[Customer_ID]])</f>
        <v>C0025</v>
      </c>
      <c r="R140" s="8" t="str">
        <f>PROPER(TRIM(RawSalesTable6[[#This Row],[Store_Raw]]))</f>
        <v>Montreal Central</v>
      </c>
      <c r="S140" s="8" t="str">
        <f>IF(TRIM(RawSalesTable6[[#This Row],[Payment_Method_Raw]])="","Non renseigné",SUBSTITUTE(PROPER(TRIM(RawSalesTable6[[#This Row],[Payment_Method_Raw]])),"Cc","Credit Card"))</f>
        <v>Credit Card</v>
      </c>
      <c r="T140" s="8">
        <f>COUNTIF(A:A,RawSalesTable6[[#This Row],[Order_ID]])</f>
        <v>1</v>
      </c>
      <c r="U140" s="8" t="str">
        <f>TRIM(LEFT(RawSalesTable6[[#This Row],[Customer_Info]],FIND(",",RawSalesTable6[[#This Row],[Customer_Info]])-1))</f>
        <v>Emma Gagnon</v>
      </c>
      <c r="V140" s="8" t="str">
        <f>TRIM(MID(RawSalesTable6[[#This Row],[Customer_Info]],FIND(",",RawSalesTable6[[#This Row],[Customer_Info]])+1,FIND(",",RawSalesTable6[[#This Row],[Customer_Info]],FIND(",",RawSalesTable6[[#This Row],[Customer_Info]])+1)-FIND(",",RawSalesTable6[[#This Row],[Customer_Info]])-1))</f>
        <v>Surrey</v>
      </c>
      <c r="W140" s="8" t="str">
        <f>TRIM(RIGHT(RawSalesTable6[[#This Row],[Customer_Info]],LEN(RawSalesTable6[[#This Row],[Customer_Info]])-FIND(",",RawSalesTable6[[#This Row],[Customer_Info]],FIND(",",RawSalesTable6[[#This Row],[Customer_Info]])+1)))</f>
        <v>Corporate</v>
      </c>
      <c r="X140" s="8" t="str">
        <f>VLOOKUP(RawSalesTable6[[#This Row],[Product_ID_Clean]],ProductsTable[],2,FALSE)</f>
        <v>Yoga Mat</v>
      </c>
      <c r="Y140" s="8" t="str">
        <f>VLOOKUP(RawSalesTable6[[#This Row],[Product_ID_Clean]],ProductsTable[],3,FALSE)</f>
        <v>Fitness</v>
      </c>
      <c r="Z140" s="8">
        <f>VLOOKUP(RawSalesTable6[[#This Row],[Product_ID_Clean]],ProductsTable[],5,FALSE)</f>
        <v>197.33</v>
      </c>
      <c r="AA140" s="8">
        <f>RawSalesTable6[[#This Row],[Unit_Price]]*RawSalesTable6[[#This Row],[Quantity]]</f>
        <v>1197.8</v>
      </c>
      <c r="AB140" s="8">
        <f>RawSalesTable6[[#This Row],[Gross_Sales]]*RawSalesTable6[[#This Row],[Discount_Pct]]</f>
        <v>0</v>
      </c>
      <c r="AC140" s="8">
        <f>RawSalesTable6[[#This Row],[Gross_Sales]]-RawSalesTable6[[#This Row],[Discount_Amount]]</f>
        <v>1197.8</v>
      </c>
      <c r="AD140" s="8">
        <f>RawSalesTable6[[#This Row],[Unit_Cost]]*RawSalesTable6[[#This Row],[Quantity]]</f>
        <v>789.32</v>
      </c>
      <c r="AE140" s="8">
        <f>RawSalesTable6[[#This Row],[Net_Sales]]-RawSalesTable6[[#This Row],[Total_Cost]]</f>
        <v>408.4799999999999</v>
      </c>
      <c r="AF140" s="9">
        <f>RawSalesTable6[[#This Row],[Profit]]/RawSalesTable6[[#This Row],[Net_Sales]]</f>
        <v>0.3410252128902988</v>
      </c>
      <c r="AG140" s="8">
        <f>YEAR(RawSalesTable6[[#This Row],[Order_Date]])</f>
        <v>2025</v>
      </c>
      <c r="AH140" s="8">
        <f>MONTH(RawSalesTable6[[#This Row],[Order_Date]])</f>
        <v>7</v>
      </c>
      <c r="AI140" s="8" t="str">
        <f>TEXT(RawSalesTable6[[#This Row],[Order_Date]],"mmmm")</f>
        <v>juillet</v>
      </c>
      <c r="AJ140" s="8" t="str">
        <f>IF(RawSalesTable6[[#This Row],[Month_Number]]&lt;=3,"Q1",IF(RawSalesTable6[[#This Row],[Month_Number]]&lt;=6,"Q2",IF(RawSalesTable6[[#This Row],[Month_Number]]&lt;=9,"Q3","Q4")))</f>
        <v>Q3</v>
      </c>
      <c r="AK140" s="8" t="str">
        <f>VLOOKUP(RawSalesTable6[[#This Row],[Customer_ID_Clean]],CustomersTable[],4,FALSE)</f>
        <v>British Columbia</v>
      </c>
      <c r="AL140" s="8">
        <f>IF(RawSalesTable6[[#This Row],[Return_Status]]="Yes",1,0)</f>
        <v>0</v>
      </c>
    </row>
    <row r="141" spans="1:38">
      <c r="A141" t="s">
        <v>460</v>
      </c>
      <c r="B141" s="3">
        <v>45661</v>
      </c>
      <c r="C141" t="s">
        <v>293</v>
      </c>
      <c r="D141" t="s">
        <v>303</v>
      </c>
      <c r="E141" t="s">
        <v>394</v>
      </c>
      <c r="F141" t="s">
        <v>87</v>
      </c>
      <c r="G141" t="s">
        <v>183</v>
      </c>
      <c r="H141" t="s">
        <v>89</v>
      </c>
      <c r="I141">
        <v>2</v>
      </c>
      <c r="J141" s="2">
        <v>158.65</v>
      </c>
      <c r="K141" s="4">
        <v>0</v>
      </c>
      <c r="L141" t="s">
        <v>98</v>
      </c>
      <c r="M141">
        <v>9</v>
      </c>
      <c r="N141" t="s">
        <v>91</v>
      </c>
      <c r="O141" t="str">
        <f>SUBSTITUTE(PROPER(TRIM(RawSalesTable6[[#This Row],[Channel_Raw]])),"Market Place","Marketplace")</f>
        <v>Online</v>
      </c>
      <c r="P141" t="str">
        <f>TRIM(RawSalesTable6[[#This Row],[Product_ID]])</f>
        <v>P1036</v>
      </c>
      <c r="Q141" t="str">
        <f>TRIM(RawSalesTable6[[#This Row],[Customer_ID]])</f>
        <v>C0007</v>
      </c>
      <c r="R141" s="8" t="str">
        <f>PROPER(TRIM(RawSalesTable6[[#This Row],[Store_Raw]]))</f>
        <v>Online Fulfillment</v>
      </c>
      <c r="S141" s="8" t="str">
        <f>IF(TRIM(RawSalesTable6[[#This Row],[Payment_Method_Raw]])="","Non renseigné",SUBSTITUTE(PROPER(TRIM(RawSalesTable6[[#This Row],[Payment_Method_Raw]])),"Cc","Credit Card"))</f>
        <v>Debit Card</v>
      </c>
      <c r="T141" s="8">
        <f>COUNTIF(A:A,RawSalesTable6[[#This Row],[Order_ID]])</f>
        <v>1</v>
      </c>
      <c r="U141" s="8" t="str">
        <f>TRIM(LEFT(RawSalesTable6[[#This Row],[Customer_Info]],FIND(",",RawSalesTable6[[#This Row],[Customer_Info]])-1))</f>
        <v>Lucas Wilson</v>
      </c>
      <c r="V141" s="8" t="str">
        <f>TRIM(MID(RawSalesTable6[[#This Row],[Customer_Info]],FIND(",",RawSalesTable6[[#This Row],[Customer_Info]])+1,FIND(",",RawSalesTable6[[#This Row],[Customer_Info]],FIND(",",RawSalesTable6[[#This Row],[Customer_Info]])+1)-FIND(",",RawSalesTable6[[#This Row],[Customer_Info]])-1))</f>
        <v>Ottawa</v>
      </c>
      <c r="W141" s="8" t="str">
        <f>TRIM(RIGHT(RawSalesTable6[[#This Row],[Customer_Info]],LEN(RawSalesTable6[[#This Row],[Customer_Info]])-FIND(",",RawSalesTable6[[#This Row],[Customer_Info]],FIND(",",RawSalesTable6[[#This Row],[Customer_Info]])+1)))</f>
        <v>Consumer</v>
      </c>
      <c r="X141" s="8" t="str">
        <f>VLOOKUP(RawSalesTable6[[#This Row],[Product_ID_Clean]],ProductsTable[],2,FALSE)</f>
        <v>Power Bank</v>
      </c>
      <c r="Y141" s="8" t="str">
        <f>VLOOKUP(RawSalesTable6[[#This Row],[Product_ID_Clean]],ProductsTable[],3,FALSE)</f>
        <v>Accessories</v>
      </c>
      <c r="Z141" s="8">
        <f>VLOOKUP(RawSalesTable6[[#This Row],[Product_ID_Clean]],ProductsTable[],5,FALSE)</f>
        <v>76.97</v>
      </c>
      <c r="AA141" s="8">
        <f>RawSalesTable6[[#This Row],[Unit_Price]]*RawSalesTable6[[#This Row],[Quantity]]</f>
        <v>317.3</v>
      </c>
      <c r="AB141" s="8">
        <f>RawSalesTable6[[#This Row],[Gross_Sales]]*RawSalesTable6[[#This Row],[Discount_Pct]]</f>
        <v>0</v>
      </c>
      <c r="AC141" s="8">
        <f>RawSalesTable6[[#This Row],[Gross_Sales]]-RawSalesTable6[[#This Row],[Discount_Amount]]</f>
        <v>317.3</v>
      </c>
      <c r="AD141" s="8">
        <f>RawSalesTable6[[#This Row],[Unit_Cost]]*RawSalesTable6[[#This Row],[Quantity]]</f>
        <v>153.94</v>
      </c>
      <c r="AE141" s="8">
        <f>RawSalesTable6[[#This Row],[Net_Sales]]-RawSalesTable6[[#This Row],[Total_Cost]]</f>
        <v>163.36000000000001</v>
      </c>
      <c r="AF141" s="9">
        <f>RawSalesTable6[[#This Row],[Profit]]/RawSalesTable6[[#This Row],[Net_Sales]]</f>
        <v>0.51484399621809018</v>
      </c>
      <c r="AG141" s="8">
        <f>YEAR(RawSalesTable6[[#This Row],[Order_Date]])</f>
        <v>2025</v>
      </c>
      <c r="AH141" s="8">
        <f>MONTH(RawSalesTable6[[#This Row],[Order_Date]])</f>
        <v>1</v>
      </c>
      <c r="AI141" s="8" t="str">
        <f>TEXT(RawSalesTable6[[#This Row],[Order_Date]],"mmmm")</f>
        <v>janvier</v>
      </c>
      <c r="AJ141" s="8" t="str">
        <f>IF(RawSalesTable6[[#This Row],[Month_Number]]&lt;=3,"Q1",IF(RawSalesTable6[[#This Row],[Month_Number]]&lt;=6,"Q2",IF(RawSalesTable6[[#This Row],[Month_Number]]&lt;=9,"Q3","Q4")))</f>
        <v>Q1</v>
      </c>
      <c r="AK141" s="8" t="str">
        <f>VLOOKUP(RawSalesTable6[[#This Row],[Customer_ID_Clean]],CustomersTable[],4,FALSE)</f>
        <v>Ontario</v>
      </c>
      <c r="AL141" s="8">
        <f>IF(RawSalesTable6[[#This Row],[Return_Status]]="Yes",1,0)</f>
        <v>0</v>
      </c>
    </row>
    <row r="142" spans="1:38">
      <c r="A142" t="s">
        <v>461</v>
      </c>
      <c r="B142" s="3">
        <v>45981</v>
      </c>
      <c r="C142" t="s">
        <v>313</v>
      </c>
      <c r="D142" t="s">
        <v>114</v>
      </c>
      <c r="E142" t="s">
        <v>314</v>
      </c>
      <c r="F142" t="s">
        <v>87</v>
      </c>
      <c r="G142" t="s">
        <v>88</v>
      </c>
      <c r="H142" t="s">
        <v>89</v>
      </c>
      <c r="I142">
        <v>1</v>
      </c>
      <c r="J142" s="2">
        <v>150.18</v>
      </c>
      <c r="K142" s="4">
        <v>0</v>
      </c>
      <c r="L142" t="s">
        <v>98</v>
      </c>
      <c r="M142">
        <v>8</v>
      </c>
      <c r="N142" t="s">
        <v>91</v>
      </c>
      <c r="O142" t="str">
        <f>SUBSTITUTE(PROPER(TRIM(RawSalesTable6[[#This Row],[Channel_Raw]])),"Market Place","Marketplace")</f>
        <v>Online</v>
      </c>
      <c r="P142" t="str">
        <f>TRIM(RawSalesTable6[[#This Row],[Product_ID]])</f>
        <v>P1034</v>
      </c>
      <c r="Q142" t="str">
        <f>TRIM(RawSalesTable6[[#This Row],[Customer_ID]])</f>
        <v>C0080</v>
      </c>
      <c r="R142" s="8" t="str">
        <f>PROPER(TRIM(RawSalesTable6[[#This Row],[Store_Raw]]))</f>
        <v>Online Fulfillment</v>
      </c>
      <c r="S142" s="8" t="str">
        <f>IF(TRIM(RawSalesTable6[[#This Row],[Payment_Method_Raw]])="","Non renseigné",SUBSTITUTE(PROPER(TRIM(RawSalesTable6[[#This Row],[Payment_Method_Raw]])),"Cc","Credit Card"))</f>
        <v>Debit Card</v>
      </c>
      <c r="T142" s="8">
        <f>COUNTIF(A:A,RawSalesTable6[[#This Row],[Order_ID]])</f>
        <v>1</v>
      </c>
      <c r="U142" s="8" t="str">
        <f>TRIM(LEFT(RawSalesTable6[[#This Row],[Customer_Info]],FIND(",",RawSalesTable6[[#This Row],[Customer_Info]])-1))</f>
        <v>Sarah Smith</v>
      </c>
      <c r="V142" s="8" t="str">
        <f>TRIM(MID(RawSalesTable6[[#This Row],[Customer_Info]],FIND(",",RawSalesTable6[[#This Row],[Customer_Info]])+1,FIND(",",RawSalesTable6[[#This Row],[Customer_Info]],FIND(",",RawSalesTable6[[#This Row],[Customer_Info]])+1)-FIND(",",RawSalesTable6[[#This Row],[Customer_Info]])-1))</f>
        <v>Mississauga</v>
      </c>
      <c r="W142" s="8" t="str">
        <f>TRIM(RIGHT(RawSalesTable6[[#This Row],[Customer_Info]],LEN(RawSalesTable6[[#This Row],[Customer_Info]])-FIND(",",RawSalesTable6[[#This Row],[Customer_Info]],FIND(",",RawSalesTable6[[#This Row],[Customer_Info]])+1)))</f>
        <v>Corporate</v>
      </c>
      <c r="X142" s="8" t="str">
        <f>VLOOKUP(RawSalesTable6[[#This Row],[Product_ID_Clean]],ProductsTable[],2,FALSE)</f>
        <v>Laptop Sleeve</v>
      </c>
      <c r="Y142" s="8" t="str">
        <f>VLOOKUP(RawSalesTable6[[#This Row],[Product_ID_Clean]],ProductsTable[],3,FALSE)</f>
        <v>Accessories</v>
      </c>
      <c r="Z142" s="8">
        <f>VLOOKUP(RawSalesTable6[[#This Row],[Product_ID_Clean]],ProductsTable[],5,FALSE)</f>
        <v>78.95</v>
      </c>
      <c r="AA142" s="8">
        <f>RawSalesTable6[[#This Row],[Unit_Price]]*RawSalesTable6[[#This Row],[Quantity]]</f>
        <v>150.18</v>
      </c>
      <c r="AB142" s="8">
        <f>RawSalesTable6[[#This Row],[Gross_Sales]]*RawSalesTable6[[#This Row],[Discount_Pct]]</f>
        <v>0</v>
      </c>
      <c r="AC142" s="8">
        <f>RawSalesTable6[[#This Row],[Gross_Sales]]-RawSalesTable6[[#This Row],[Discount_Amount]]</f>
        <v>150.18</v>
      </c>
      <c r="AD142" s="8">
        <f>RawSalesTable6[[#This Row],[Unit_Cost]]*RawSalesTable6[[#This Row],[Quantity]]</f>
        <v>78.95</v>
      </c>
      <c r="AE142" s="8">
        <f>RawSalesTable6[[#This Row],[Net_Sales]]-RawSalesTable6[[#This Row],[Total_Cost]]</f>
        <v>71.23</v>
      </c>
      <c r="AF142" s="9">
        <f>RawSalesTable6[[#This Row],[Profit]]/RawSalesTable6[[#This Row],[Net_Sales]]</f>
        <v>0.47429750965508055</v>
      </c>
      <c r="AG142" s="8">
        <f>YEAR(RawSalesTable6[[#This Row],[Order_Date]])</f>
        <v>2025</v>
      </c>
      <c r="AH142" s="8">
        <f>MONTH(RawSalesTable6[[#This Row],[Order_Date]])</f>
        <v>11</v>
      </c>
      <c r="AI142" s="8" t="str">
        <f>TEXT(RawSalesTable6[[#This Row],[Order_Date]],"mmmm")</f>
        <v>novembre</v>
      </c>
      <c r="AJ142" s="8" t="str">
        <f>IF(RawSalesTable6[[#This Row],[Month_Number]]&lt;=3,"Q1",IF(RawSalesTable6[[#This Row],[Month_Number]]&lt;=6,"Q2",IF(RawSalesTable6[[#This Row],[Month_Number]]&lt;=9,"Q3","Q4")))</f>
        <v>Q4</v>
      </c>
      <c r="AK142" s="8" t="str">
        <f>VLOOKUP(RawSalesTable6[[#This Row],[Customer_ID_Clean]],CustomersTable[],4,FALSE)</f>
        <v>Ontario</v>
      </c>
      <c r="AL142" s="8">
        <f>IF(RawSalesTable6[[#This Row],[Return_Status]]="Yes",1,0)</f>
        <v>0</v>
      </c>
    </row>
    <row r="143" spans="1:38">
      <c r="A143" t="s">
        <v>462</v>
      </c>
      <c r="B143" s="3">
        <v>45852</v>
      </c>
      <c r="C143" t="s">
        <v>463</v>
      </c>
      <c r="D143" t="s">
        <v>181</v>
      </c>
      <c r="E143" t="s">
        <v>464</v>
      </c>
      <c r="F143" t="s">
        <v>87</v>
      </c>
      <c r="G143" t="s">
        <v>96</v>
      </c>
      <c r="H143" t="s">
        <v>89</v>
      </c>
      <c r="I143">
        <v>2</v>
      </c>
      <c r="J143" s="2">
        <v>335.37</v>
      </c>
      <c r="K143" s="4">
        <v>0</v>
      </c>
      <c r="L143" t="s">
        <v>90</v>
      </c>
      <c r="M143">
        <v>2</v>
      </c>
      <c r="N143" t="s">
        <v>91</v>
      </c>
      <c r="O143" t="str">
        <f>SUBSTITUTE(PROPER(TRIM(RawSalesTable6[[#This Row],[Channel_Raw]])),"Market Place","Marketplace")</f>
        <v>Online</v>
      </c>
      <c r="P143" t="str">
        <f>TRIM(RawSalesTable6[[#This Row],[Product_ID]])</f>
        <v>P1007</v>
      </c>
      <c r="Q143" t="str">
        <f>TRIM(RawSalesTable6[[#This Row],[Customer_ID]])</f>
        <v>C0030</v>
      </c>
      <c r="R143" s="8" t="str">
        <f>PROPER(TRIM(RawSalesTable6[[#This Row],[Store_Raw]]))</f>
        <v>Online Fulfillment</v>
      </c>
      <c r="S143" s="8" t="str">
        <f>IF(TRIM(RawSalesTable6[[#This Row],[Payment_Method_Raw]])="","Non renseigné",SUBSTITUTE(PROPER(TRIM(RawSalesTable6[[#This Row],[Payment_Method_Raw]])),"Cc","Credit Card"))</f>
        <v>Paypal</v>
      </c>
      <c r="T143" s="8">
        <f>COUNTIF(A:A,RawSalesTable6[[#This Row],[Order_ID]])</f>
        <v>1</v>
      </c>
      <c r="U143" s="8" t="str">
        <f>TRIM(LEFT(RawSalesTable6[[#This Row],[Customer_Info]],FIND(",",RawSalesTable6[[#This Row],[Customer_Info]])-1))</f>
        <v>Emma Lee</v>
      </c>
      <c r="V143" s="8" t="str">
        <f>TRIM(MID(RawSalesTable6[[#This Row],[Customer_Info]],FIND(",",RawSalesTable6[[#This Row],[Customer_Info]])+1,FIND(",",RawSalesTable6[[#This Row],[Customer_Info]],FIND(",",RawSalesTable6[[#This Row],[Customer_Info]])+1)-FIND(",",RawSalesTable6[[#This Row],[Customer_Info]])-1))</f>
        <v>Calgary</v>
      </c>
      <c r="W143" s="8" t="str">
        <f>TRIM(RIGHT(RawSalesTable6[[#This Row],[Customer_Info]],LEN(RawSalesTable6[[#This Row],[Customer_Info]])-FIND(",",RawSalesTable6[[#This Row],[Customer_Info]],FIND(",",RawSalesTable6[[#This Row],[Customer_Info]])+1)))</f>
        <v>Corporate</v>
      </c>
      <c r="X143" s="8" t="str">
        <f>VLOOKUP(RawSalesTable6[[#This Row],[Product_ID_Clean]],ProductsTable[],2,FALSE)</f>
        <v>Monitor</v>
      </c>
      <c r="Y143" s="8" t="str">
        <f>VLOOKUP(RawSalesTable6[[#This Row],[Product_ID_Clean]],ProductsTable[],3,FALSE)</f>
        <v>Electronics</v>
      </c>
      <c r="Z143" s="8">
        <f>VLOOKUP(RawSalesTable6[[#This Row],[Product_ID_Clean]],ProductsTable[],5,FALSE)</f>
        <v>224.47</v>
      </c>
      <c r="AA143" s="8">
        <f>RawSalesTable6[[#This Row],[Unit_Price]]*RawSalesTable6[[#This Row],[Quantity]]</f>
        <v>670.74</v>
      </c>
      <c r="AB143" s="8">
        <f>RawSalesTable6[[#This Row],[Gross_Sales]]*RawSalesTable6[[#This Row],[Discount_Pct]]</f>
        <v>0</v>
      </c>
      <c r="AC143" s="8">
        <f>RawSalesTable6[[#This Row],[Gross_Sales]]-RawSalesTable6[[#This Row],[Discount_Amount]]</f>
        <v>670.74</v>
      </c>
      <c r="AD143" s="8">
        <f>RawSalesTable6[[#This Row],[Unit_Cost]]*RawSalesTable6[[#This Row],[Quantity]]</f>
        <v>448.94</v>
      </c>
      <c r="AE143" s="8">
        <f>RawSalesTable6[[#This Row],[Net_Sales]]-RawSalesTable6[[#This Row],[Total_Cost]]</f>
        <v>221.8</v>
      </c>
      <c r="AF143" s="9">
        <f>RawSalesTable6[[#This Row],[Profit]]/RawSalesTable6[[#This Row],[Net_Sales]]</f>
        <v>0.33067954796195248</v>
      </c>
      <c r="AG143" s="8">
        <f>YEAR(RawSalesTable6[[#This Row],[Order_Date]])</f>
        <v>2025</v>
      </c>
      <c r="AH143" s="8">
        <f>MONTH(RawSalesTable6[[#This Row],[Order_Date]])</f>
        <v>7</v>
      </c>
      <c r="AI143" s="8" t="str">
        <f>TEXT(RawSalesTable6[[#This Row],[Order_Date]],"mmmm")</f>
        <v>juillet</v>
      </c>
      <c r="AJ143" s="8" t="str">
        <f>IF(RawSalesTable6[[#This Row],[Month_Number]]&lt;=3,"Q1",IF(RawSalesTable6[[#This Row],[Month_Number]]&lt;=6,"Q2",IF(RawSalesTable6[[#This Row],[Month_Number]]&lt;=9,"Q3","Q4")))</f>
        <v>Q3</v>
      </c>
      <c r="AK143" s="8" t="str">
        <f>VLOOKUP(RawSalesTable6[[#This Row],[Customer_ID_Clean]],CustomersTable[],4,FALSE)</f>
        <v>Alberta</v>
      </c>
      <c r="AL143" s="8">
        <f>IF(RawSalesTable6[[#This Row],[Return_Status]]="Yes",1,0)</f>
        <v>0</v>
      </c>
    </row>
    <row r="144" spans="1:38">
      <c r="A144" t="s">
        <v>465</v>
      </c>
      <c r="B144" s="3">
        <v>46021</v>
      </c>
      <c r="C144" t="s">
        <v>466</v>
      </c>
      <c r="D144" t="s">
        <v>303</v>
      </c>
      <c r="E144" t="s">
        <v>467</v>
      </c>
      <c r="F144" t="s">
        <v>111</v>
      </c>
      <c r="G144" t="s">
        <v>88</v>
      </c>
      <c r="H144" t="s">
        <v>89</v>
      </c>
      <c r="I144">
        <v>2</v>
      </c>
      <c r="J144" s="2">
        <v>157.43</v>
      </c>
      <c r="K144" s="4">
        <v>0</v>
      </c>
      <c r="L144" t="s">
        <v>90</v>
      </c>
      <c r="M144">
        <v>4</v>
      </c>
      <c r="N144" t="s">
        <v>91</v>
      </c>
      <c r="O144" t="str">
        <f>SUBSTITUTE(PROPER(TRIM(RawSalesTable6[[#This Row],[Channel_Raw]])),"Market Place","Marketplace")</f>
        <v>Online</v>
      </c>
      <c r="P144" t="str">
        <f>TRIM(RawSalesTable6[[#This Row],[Product_ID]])</f>
        <v>P1036</v>
      </c>
      <c r="Q144" t="str">
        <f>TRIM(RawSalesTable6[[#This Row],[Customer_ID]])</f>
        <v>C0096</v>
      </c>
      <c r="R144" s="8" t="str">
        <f>PROPER(TRIM(RawSalesTable6[[#This Row],[Store_Raw]]))</f>
        <v>Montreal Central</v>
      </c>
      <c r="S144" s="8" t="str">
        <f>IF(TRIM(RawSalesTable6[[#This Row],[Payment_Method_Raw]])="","Non renseigné",SUBSTITUTE(PROPER(TRIM(RawSalesTable6[[#This Row],[Payment_Method_Raw]])),"Cc","Credit Card"))</f>
        <v>Paypal</v>
      </c>
      <c r="T144" s="8">
        <f>COUNTIF(A:A,RawSalesTable6[[#This Row],[Order_ID]])</f>
        <v>1</v>
      </c>
      <c r="U144" s="8" t="str">
        <f>TRIM(LEFT(RawSalesTable6[[#This Row],[Customer_Info]],FIND(",",RawSalesTable6[[#This Row],[Customer_Info]])-1))</f>
        <v>Ryan Roy</v>
      </c>
      <c r="V144" s="8" t="str">
        <f>TRIM(MID(RawSalesTable6[[#This Row],[Customer_Info]],FIND(",",RawSalesTable6[[#This Row],[Customer_Info]])+1,FIND(",",RawSalesTable6[[#This Row],[Customer_Info]],FIND(",",RawSalesTable6[[#This Row],[Customer_Info]])+1)-FIND(",",RawSalesTable6[[#This Row],[Customer_Info]])-1))</f>
        <v>Laval</v>
      </c>
      <c r="W144" s="8" t="str">
        <f>TRIM(RIGHT(RawSalesTable6[[#This Row],[Customer_Info]],LEN(RawSalesTable6[[#This Row],[Customer_Info]])-FIND(",",RawSalesTable6[[#This Row],[Customer_Info]],FIND(",",RawSalesTable6[[#This Row],[Customer_Info]])+1)))</f>
        <v>Corporate</v>
      </c>
      <c r="X144" s="8" t="str">
        <f>VLOOKUP(RawSalesTable6[[#This Row],[Product_ID_Clean]],ProductsTable[],2,FALSE)</f>
        <v>Power Bank</v>
      </c>
      <c r="Y144" s="8" t="str">
        <f>VLOOKUP(RawSalesTable6[[#This Row],[Product_ID_Clean]],ProductsTable[],3,FALSE)</f>
        <v>Accessories</v>
      </c>
      <c r="Z144" s="8">
        <f>VLOOKUP(RawSalesTable6[[#This Row],[Product_ID_Clean]],ProductsTable[],5,FALSE)</f>
        <v>76.97</v>
      </c>
      <c r="AA144" s="8">
        <f>RawSalesTable6[[#This Row],[Unit_Price]]*RawSalesTable6[[#This Row],[Quantity]]</f>
        <v>314.86</v>
      </c>
      <c r="AB144" s="8">
        <f>RawSalesTable6[[#This Row],[Gross_Sales]]*RawSalesTable6[[#This Row],[Discount_Pct]]</f>
        <v>0</v>
      </c>
      <c r="AC144" s="8">
        <f>RawSalesTable6[[#This Row],[Gross_Sales]]-RawSalesTable6[[#This Row],[Discount_Amount]]</f>
        <v>314.86</v>
      </c>
      <c r="AD144" s="8">
        <f>RawSalesTable6[[#This Row],[Unit_Cost]]*RawSalesTable6[[#This Row],[Quantity]]</f>
        <v>153.94</v>
      </c>
      <c r="AE144" s="8">
        <f>RawSalesTable6[[#This Row],[Net_Sales]]-RawSalesTable6[[#This Row],[Total_Cost]]</f>
        <v>160.92000000000002</v>
      </c>
      <c r="AF144" s="9">
        <f>RawSalesTable6[[#This Row],[Profit]]/RawSalesTable6[[#This Row],[Net_Sales]]</f>
        <v>0.51108429143111223</v>
      </c>
      <c r="AG144" s="8">
        <f>YEAR(RawSalesTable6[[#This Row],[Order_Date]])</f>
        <v>2025</v>
      </c>
      <c r="AH144" s="8">
        <f>MONTH(RawSalesTable6[[#This Row],[Order_Date]])</f>
        <v>12</v>
      </c>
      <c r="AI144" s="8" t="str">
        <f>TEXT(RawSalesTable6[[#This Row],[Order_Date]],"mmmm")</f>
        <v>décembre</v>
      </c>
      <c r="AJ144" s="8" t="str">
        <f>IF(RawSalesTable6[[#This Row],[Month_Number]]&lt;=3,"Q1",IF(RawSalesTable6[[#This Row],[Month_Number]]&lt;=6,"Q2",IF(RawSalesTable6[[#This Row],[Month_Number]]&lt;=9,"Q3","Q4")))</f>
        <v>Q4</v>
      </c>
      <c r="AK144" s="8" t="str">
        <f>VLOOKUP(RawSalesTable6[[#This Row],[Customer_ID_Clean]],CustomersTable[],4,FALSE)</f>
        <v>Quebec</v>
      </c>
      <c r="AL144" s="8">
        <f>IF(RawSalesTable6[[#This Row],[Return_Status]]="Yes",1,0)</f>
        <v>0</v>
      </c>
    </row>
    <row r="145" spans="1:38">
      <c r="A145" t="s">
        <v>468</v>
      </c>
      <c r="B145" s="3">
        <v>45714</v>
      </c>
      <c r="C145" t="s">
        <v>322</v>
      </c>
      <c r="D145" t="s">
        <v>469</v>
      </c>
      <c r="E145" t="s">
        <v>470</v>
      </c>
      <c r="F145" t="s">
        <v>145</v>
      </c>
      <c r="G145" t="s">
        <v>171</v>
      </c>
      <c r="H145" t="s">
        <v>89</v>
      </c>
      <c r="I145">
        <v>1</v>
      </c>
      <c r="J145" s="2">
        <v>90.42</v>
      </c>
      <c r="K145" s="4">
        <v>0.05</v>
      </c>
      <c r="L145" t="s">
        <v>106</v>
      </c>
      <c r="M145">
        <v>1</v>
      </c>
      <c r="N145" t="s">
        <v>91</v>
      </c>
      <c r="O145" t="str">
        <f>SUBSTITUTE(PROPER(TRIM(RawSalesTable6[[#This Row],[Channel_Raw]])),"Market Place","Marketplace")</f>
        <v>Online</v>
      </c>
      <c r="P145" t="str">
        <f>TRIM(RawSalesTable6[[#This Row],[Product_ID]])</f>
        <v>P1035</v>
      </c>
      <c r="Q145" t="str">
        <f>TRIM(RawSalesTable6[[#This Row],[Customer_ID]])</f>
        <v>C0119</v>
      </c>
      <c r="R145" s="8" t="str">
        <f>PROPER(TRIM(RawSalesTable6[[#This Row],[Store_Raw]]))</f>
        <v>Calgary North</v>
      </c>
      <c r="S145" s="8" t="str">
        <f>IF(TRIM(RawSalesTable6[[#This Row],[Payment_Method_Raw]])="","Non renseigné",SUBSTITUTE(PROPER(TRIM(RawSalesTable6[[#This Row],[Payment_Method_Raw]])),"Cc","Credit Card"))</f>
        <v>Credit Card</v>
      </c>
      <c r="T145" s="8">
        <f>COUNTIF(A:A,RawSalesTable6[[#This Row],[Order_ID]])</f>
        <v>1</v>
      </c>
      <c r="U145" s="8" t="str">
        <f>TRIM(LEFT(RawSalesTable6[[#This Row],[Customer_Info]],FIND(",",RawSalesTable6[[#This Row],[Customer_Info]])-1))</f>
        <v>Liam Chen</v>
      </c>
      <c r="V145" s="8" t="str">
        <f>TRIM(MID(RawSalesTable6[[#This Row],[Customer_Info]],FIND(",",RawSalesTable6[[#This Row],[Customer_Info]])+1,FIND(",",RawSalesTable6[[#This Row],[Customer_Info]],FIND(",",RawSalesTable6[[#This Row],[Customer_Info]])+1)-FIND(",",RawSalesTable6[[#This Row],[Customer_Info]])-1))</f>
        <v>Winnipeg</v>
      </c>
      <c r="W145" s="8" t="str">
        <f>TRIM(RIGHT(RawSalesTable6[[#This Row],[Customer_Info]],LEN(RawSalesTable6[[#This Row],[Customer_Info]])-FIND(",",RawSalesTable6[[#This Row],[Customer_Info]],FIND(",",RawSalesTable6[[#This Row],[Customer_Info]])+1)))</f>
        <v>Consumer</v>
      </c>
      <c r="X145" s="8" t="str">
        <f>VLOOKUP(RawSalesTable6[[#This Row],[Product_ID_Clean]],ProductsTable[],2,FALSE)</f>
        <v>Phone Stand</v>
      </c>
      <c r="Y145" s="8" t="str">
        <f>VLOOKUP(RawSalesTable6[[#This Row],[Product_ID_Clean]],ProductsTable[],3,FALSE)</f>
        <v>Accessories</v>
      </c>
      <c r="Z145" s="8">
        <f>VLOOKUP(RawSalesTable6[[#This Row],[Product_ID_Clean]],ProductsTable[],5,FALSE)</f>
        <v>59.85</v>
      </c>
      <c r="AA145" s="8">
        <f>RawSalesTable6[[#This Row],[Unit_Price]]*RawSalesTable6[[#This Row],[Quantity]]</f>
        <v>90.42</v>
      </c>
      <c r="AB145" s="8">
        <f>RawSalesTable6[[#This Row],[Gross_Sales]]*RawSalesTable6[[#This Row],[Discount_Pct]]</f>
        <v>4.5209999999999999</v>
      </c>
      <c r="AC145" s="8">
        <f>RawSalesTable6[[#This Row],[Gross_Sales]]-RawSalesTable6[[#This Row],[Discount_Amount]]</f>
        <v>85.899000000000001</v>
      </c>
      <c r="AD145" s="8">
        <f>RawSalesTable6[[#This Row],[Unit_Cost]]*RawSalesTable6[[#This Row],[Quantity]]</f>
        <v>59.85</v>
      </c>
      <c r="AE145" s="8">
        <f>RawSalesTable6[[#This Row],[Net_Sales]]-RawSalesTable6[[#This Row],[Total_Cost]]</f>
        <v>26.048999999999999</v>
      </c>
      <c r="AF145" s="9">
        <f>RawSalesTable6[[#This Row],[Profit]]/RawSalesTable6[[#This Row],[Net_Sales]]</f>
        <v>0.30325149303251492</v>
      </c>
      <c r="AG145" s="8">
        <f>YEAR(RawSalesTable6[[#This Row],[Order_Date]])</f>
        <v>2025</v>
      </c>
      <c r="AH145" s="8">
        <f>MONTH(RawSalesTable6[[#This Row],[Order_Date]])</f>
        <v>2</v>
      </c>
      <c r="AI145" s="8" t="str">
        <f>TEXT(RawSalesTable6[[#This Row],[Order_Date]],"mmmm")</f>
        <v>février</v>
      </c>
      <c r="AJ145" s="8" t="str">
        <f>IF(RawSalesTable6[[#This Row],[Month_Number]]&lt;=3,"Q1",IF(RawSalesTable6[[#This Row],[Month_Number]]&lt;=6,"Q2",IF(RawSalesTable6[[#This Row],[Month_Number]]&lt;=9,"Q3","Q4")))</f>
        <v>Q1</v>
      </c>
      <c r="AK145" s="8" t="str">
        <f>VLOOKUP(RawSalesTable6[[#This Row],[Customer_ID_Clean]],CustomersTable[],4,FALSE)</f>
        <v>Manitoba</v>
      </c>
      <c r="AL145" s="8">
        <f>IF(RawSalesTable6[[#This Row],[Return_Status]]="Yes",1,0)</f>
        <v>0</v>
      </c>
    </row>
    <row r="146" spans="1:38">
      <c r="A146" t="s">
        <v>471</v>
      </c>
      <c r="B146" s="3">
        <v>45824</v>
      </c>
      <c r="C146" t="s">
        <v>472</v>
      </c>
      <c r="D146" t="s">
        <v>261</v>
      </c>
      <c r="E146" t="s">
        <v>473</v>
      </c>
      <c r="F146" t="s">
        <v>111</v>
      </c>
      <c r="G146" t="s">
        <v>96</v>
      </c>
      <c r="H146" t="s">
        <v>89</v>
      </c>
      <c r="I146">
        <v>1</v>
      </c>
      <c r="J146" s="2">
        <v>237.95</v>
      </c>
      <c r="K146" s="4">
        <v>0.1</v>
      </c>
      <c r="L146" t="s">
        <v>106</v>
      </c>
      <c r="M146">
        <v>4</v>
      </c>
      <c r="N146" t="s">
        <v>91</v>
      </c>
      <c r="O146" t="str">
        <f>SUBSTITUTE(PROPER(TRIM(RawSalesTable6[[#This Row],[Channel_Raw]])),"Market Place","Marketplace")</f>
        <v>Online</v>
      </c>
      <c r="P146" t="str">
        <f>TRIM(RawSalesTable6[[#This Row],[Product_ID]])</f>
        <v>P1031</v>
      </c>
      <c r="Q146" t="str">
        <f>TRIM(RawSalesTable6[[#This Row],[Customer_ID]])</f>
        <v>C0018</v>
      </c>
      <c r="R146" s="8" t="str">
        <f>PROPER(TRIM(RawSalesTable6[[#This Row],[Store_Raw]]))</f>
        <v>Montreal Central</v>
      </c>
      <c r="S146" s="8" t="str">
        <f>IF(TRIM(RawSalesTable6[[#This Row],[Payment_Method_Raw]])="","Non renseigné",SUBSTITUTE(PROPER(TRIM(RawSalesTable6[[#This Row],[Payment_Method_Raw]])),"Cc","Credit Card"))</f>
        <v>Credit Card</v>
      </c>
      <c r="T146" s="8">
        <f>COUNTIF(A:A,RawSalesTable6[[#This Row],[Order_ID]])</f>
        <v>1</v>
      </c>
      <c r="U146" s="8" t="str">
        <f>TRIM(LEFT(RawSalesTable6[[#This Row],[Customer_Info]],FIND(",",RawSalesTable6[[#This Row],[Customer_Info]])-1))</f>
        <v>Sophia Tremblay</v>
      </c>
      <c r="V146" s="8" t="str">
        <f>TRIM(MID(RawSalesTable6[[#This Row],[Customer_Info]],FIND(",",RawSalesTable6[[#This Row],[Customer_Info]])+1,FIND(",",RawSalesTable6[[#This Row],[Customer_Info]],FIND(",",RawSalesTable6[[#This Row],[Customer_Info]])+1)-FIND(",",RawSalesTable6[[#This Row],[Customer_Info]])-1))</f>
        <v>Laval</v>
      </c>
      <c r="W146" s="8" t="str">
        <f>TRIM(RIGHT(RawSalesTable6[[#This Row],[Customer_Info]],LEN(RawSalesTable6[[#This Row],[Customer_Info]])-FIND(",",RawSalesTable6[[#This Row],[Customer_Info]],FIND(",",RawSalesTable6[[#This Row],[Customer_Info]])+1)))</f>
        <v>Small Business</v>
      </c>
      <c r="X146" s="8" t="str">
        <f>VLOOKUP(RawSalesTable6[[#This Row],[Product_ID_Clean]],ProductsTable[],2,FALSE)</f>
        <v>Dumbbell Set</v>
      </c>
      <c r="Y146" s="8" t="str">
        <f>VLOOKUP(RawSalesTable6[[#This Row],[Product_ID_Clean]],ProductsTable[],3,FALSE)</f>
        <v>Fitness</v>
      </c>
      <c r="Z146" s="8">
        <f>VLOOKUP(RawSalesTable6[[#This Row],[Product_ID_Clean]],ProductsTable[],5,FALSE)</f>
        <v>131.72999999999999</v>
      </c>
      <c r="AA146" s="8">
        <f>RawSalesTable6[[#This Row],[Unit_Price]]*RawSalesTable6[[#This Row],[Quantity]]</f>
        <v>237.95</v>
      </c>
      <c r="AB146" s="8">
        <f>RawSalesTable6[[#This Row],[Gross_Sales]]*RawSalesTable6[[#This Row],[Discount_Pct]]</f>
        <v>23.795000000000002</v>
      </c>
      <c r="AC146" s="8">
        <f>RawSalesTable6[[#This Row],[Gross_Sales]]-RawSalesTable6[[#This Row],[Discount_Amount]]</f>
        <v>214.15499999999997</v>
      </c>
      <c r="AD146" s="8">
        <f>RawSalesTable6[[#This Row],[Unit_Cost]]*RawSalesTable6[[#This Row],[Quantity]]</f>
        <v>131.72999999999999</v>
      </c>
      <c r="AE146" s="8">
        <f>RawSalesTable6[[#This Row],[Net_Sales]]-RawSalesTable6[[#This Row],[Total_Cost]]</f>
        <v>82.424999999999983</v>
      </c>
      <c r="AF146" s="9">
        <f>RawSalesTable6[[#This Row],[Profit]]/RawSalesTable6[[#This Row],[Net_Sales]]</f>
        <v>0.38488477971562651</v>
      </c>
      <c r="AG146" s="8">
        <f>YEAR(RawSalesTable6[[#This Row],[Order_Date]])</f>
        <v>2025</v>
      </c>
      <c r="AH146" s="8">
        <f>MONTH(RawSalesTable6[[#This Row],[Order_Date]])</f>
        <v>6</v>
      </c>
      <c r="AI146" s="8" t="str">
        <f>TEXT(RawSalesTable6[[#This Row],[Order_Date]],"mmmm")</f>
        <v>juin</v>
      </c>
      <c r="AJ146" s="8" t="str">
        <f>IF(RawSalesTable6[[#This Row],[Month_Number]]&lt;=3,"Q1",IF(RawSalesTable6[[#This Row],[Month_Number]]&lt;=6,"Q2",IF(RawSalesTable6[[#This Row],[Month_Number]]&lt;=9,"Q3","Q4")))</f>
        <v>Q2</v>
      </c>
      <c r="AK146" s="8" t="str">
        <f>VLOOKUP(RawSalesTable6[[#This Row],[Customer_ID_Clean]],CustomersTable[],4,FALSE)</f>
        <v>Quebec</v>
      </c>
      <c r="AL146" s="8">
        <f>IF(RawSalesTable6[[#This Row],[Return_Status]]="Yes",1,0)</f>
        <v>0</v>
      </c>
    </row>
    <row r="147" spans="1:38">
      <c r="A147" t="s">
        <v>474</v>
      </c>
      <c r="B147" s="3">
        <v>45968</v>
      </c>
      <c r="C147" t="s">
        <v>128</v>
      </c>
      <c r="D147" t="s">
        <v>231</v>
      </c>
      <c r="E147" t="s">
        <v>129</v>
      </c>
      <c r="F147" t="s">
        <v>116</v>
      </c>
      <c r="G147" t="s">
        <v>183</v>
      </c>
      <c r="H147" t="s">
        <v>97</v>
      </c>
      <c r="I147">
        <v>1</v>
      </c>
      <c r="J147" s="2">
        <v>353.49</v>
      </c>
      <c r="K147" s="4">
        <v>0.1</v>
      </c>
      <c r="L147" t="s">
        <v>98</v>
      </c>
      <c r="M147">
        <v>2</v>
      </c>
      <c r="N147" t="s">
        <v>91</v>
      </c>
      <c r="O147" t="str">
        <f>SUBSTITUTE(PROPER(TRIM(RawSalesTable6[[#This Row],[Channel_Raw]])),"Market Place","Marketplace")</f>
        <v>Retail Store</v>
      </c>
      <c r="P147" t="str">
        <f>TRIM(RawSalesTable6[[#This Row],[Product_ID]])</f>
        <v>P1037</v>
      </c>
      <c r="Q147" t="str">
        <f>TRIM(RawSalesTable6[[#This Row],[Customer_ID]])</f>
        <v>C0015</v>
      </c>
      <c r="R147" s="8" t="str">
        <f>PROPER(TRIM(RawSalesTable6[[#This Row],[Store_Raw]]))</f>
        <v>Toronto Downtown</v>
      </c>
      <c r="S147" s="8" t="str">
        <f>IF(TRIM(RawSalesTable6[[#This Row],[Payment_Method_Raw]])="","Non renseigné",SUBSTITUTE(PROPER(TRIM(RawSalesTable6[[#This Row],[Payment_Method_Raw]])),"Cc","Credit Card"))</f>
        <v>Debit Card</v>
      </c>
      <c r="T147" s="8">
        <f>COUNTIF(A:A,RawSalesTable6[[#This Row],[Order_ID]])</f>
        <v>1</v>
      </c>
      <c r="U147" s="8" t="str">
        <f>TRIM(LEFT(RawSalesTable6[[#This Row],[Customer_Info]],FIND(",",RawSalesTable6[[#This Row],[Customer_Info]])-1))</f>
        <v>Zoe Singh</v>
      </c>
      <c r="V147" s="8" t="str">
        <f>TRIM(MID(RawSalesTable6[[#This Row],[Customer_Info]],FIND(",",RawSalesTable6[[#This Row],[Customer_Info]])+1,FIND(",",RawSalesTable6[[#This Row],[Customer_Info]],FIND(",",RawSalesTable6[[#This Row],[Customer_Info]])+1)-FIND(",",RawSalesTable6[[#This Row],[Customer_Info]])-1))</f>
        <v>Halifax</v>
      </c>
      <c r="W147" s="8" t="str">
        <f>TRIM(RIGHT(RawSalesTable6[[#This Row],[Customer_Info]],LEN(RawSalesTable6[[#This Row],[Customer_Info]])-FIND(",",RawSalesTable6[[#This Row],[Customer_Info]],FIND(",",RawSalesTable6[[#This Row],[Customer_Info]])+1)))</f>
        <v>Consumer</v>
      </c>
      <c r="X147" s="8" t="str">
        <f>VLOOKUP(RawSalesTable6[[#This Row],[Product_ID_Clean]],ProductsTable[],2,FALSE)</f>
        <v>Cable Set</v>
      </c>
      <c r="Y147" s="8" t="str">
        <f>VLOOKUP(RawSalesTable6[[#This Row],[Product_ID_Clean]],ProductsTable[],3,FALSE)</f>
        <v>Accessories</v>
      </c>
      <c r="Z147" s="8">
        <f>VLOOKUP(RawSalesTable6[[#This Row],[Product_ID_Clean]],ProductsTable[],5,FALSE)</f>
        <v>200.16</v>
      </c>
      <c r="AA147" s="8">
        <f>RawSalesTable6[[#This Row],[Unit_Price]]*RawSalesTable6[[#This Row],[Quantity]]</f>
        <v>353.49</v>
      </c>
      <c r="AB147" s="8">
        <f>RawSalesTable6[[#This Row],[Gross_Sales]]*RawSalesTable6[[#This Row],[Discount_Pct]]</f>
        <v>35.349000000000004</v>
      </c>
      <c r="AC147" s="8">
        <f>RawSalesTable6[[#This Row],[Gross_Sales]]-RawSalesTable6[[#This Row],[Discount_Amount]]</f>
        <v>318.14100000000002</v>
      </c>
      <c r="AD147" s="8">
        <f>RawSalesTable6[[#This Row],[Unit_Cost]]*RawSalesTable6[[#This Row],[Quantity]]</f>
        <v>200.16</v>
      </c>
      <c r="AE147" s="8">
        <f>RawSalesTable6[[#This Row],[Net_Sales]]-RawSalesTable6[[#This Row],[Total_Cost]]</f>
        <v>117.98100000000002</v>
      </c>
      <c r="AF147" s="9">
        <f>RawSalesTable6[[#This Row],[Profit]]/RawSalesTable6[[#This Row],[Net_Sales]]</f>
        <v>0.37084500268748766</v>
      </c>
      <c r="AG147" s="8">
        <f>YEAR(RawSalesTable6[[#This Row],[Order_Date]])</f>
        <v>2025</v>
      </c>
      <c r="AH147" s="8">
        <f>MONTH(RawSalesTable6[[#This Row],[Order_Date]])</f>
        <v>11</v>
      </c>
      <c r="AI147" s="8" t="str">
        <f>TEXT(RawSalesTable6[[#This Row],[Order_Date]],"mmmm")</f>
        <v>novembre</v>
      </c>
      <c r="AJ147" s="8" t="str">
        <f>IF(RawSalesTable6[[#This Row],[Month_Number]]&lt;=3,"Q1",IF(RawSalesTable6[[#This Row],[Month_Number]]&lt;=6,"Q2",IF(RawSalesTable6[[#This Row],[Month_Number]]&lt;=9,"Q3","Q4")))</f>
        <v>Q4</v>
      </c>
      <c r="AK147" s="8" t="str">
        <f>VLOOKUP(RawSalesTable6[[#This Row],[Customer_ID_Clean]],CustomersTable[],4,FALSE)</f>
        <v>Nova Scotia</v>
      </c>
      <c r="AL147" s="8">
        <f>IF(RawSalesTable6[[#This Row],[Return_Status]]="Yes",1,0)</f>
        <v>0</v>
      </c>
    </row>
    <row r="148" spans="1:38">
      <c r="A148" t="s">
        <v>475</v>
      </c>
      <c r="B148" s="3">
        <v>45935</v>
      </c>
      <c r="C148" t="s">
        <v>410</v>
      </c>
      <c r="D148" t="s">
        <v>244</v>
      </c>
      <c r="E148" t="s">
        <v>411</v>
      </c>
      <c r="F148" t="s">
        <v>116</v>
      </c>
      <c r="G148" t="s">
        <v>122</v>
      </c>
      <c r="H148" t="s">
        <v>97</v>
      </c>
      <c r="I148">
        <v>1</v>
      </c>
      <c r="J148" s="2">
        <v>226.32</v>
      </c>
      <c r="K148" s="4">
        <v>0.05</v>
      </c>
      <c r="L148" t="s">
        <v>106</v>
      </c>
      <c r="M148">
        <v>4</v>
      </c>
      <c r="N148" t="s">
        <v>91</v>
      </c>
      <c r="O148" t="str">
        <f>SUBSTITUTE(PROPER(TRIM(RawSalesTable6[[#This Row],[Channel_Raw]])),"Market Place","Marketplace")</f>
        <v>Retail Store</v>
      </c>
      <c r="P148" t="str">
        <f>TRIM(RawSalesTable6[[#This Row],[Product_ID]])</f>
        <v>P1005</v>
      </c>
      <c r="Q148" t="str">
        <f>TRIM(RawSalesTable6[[#This Row],[Customer_ID]])</f>
        <v>C0093</v>
      </c>
      <c r="R148" s="8" t="str">
        <f>PROPER(TRIM(RawSalesTable6[[#This Row],[Store_Raw]]))</f>
        <v>Toronto Downtown</v>
      </c>
      <c r="S148" s="8" t="str">
        <f>IF(TRIM(RawSalesTable6[[#This Row],[Payment_Method_Raw]])="","Non renseigné",SUBSTITUTE(PROPER(TRIM(RawSalesTable6[[#This Row],[Payment_Method_Raw]])),"Cc","Credit Card"))</f>
        <v>Credit Card</v>
      </c>
      <c r="T148" s="8">
        <f>COUNTIF(A:A,RawSalesTable6[[#This Row],[Order_ID]])</f>
        <v>1</v>
      </c>
      <c r="U148" s="8" t="str">
        <f>TRIM(LEFT(RawSalesTable6[[#This Row],[Customer_Info]],FIND(",",RawSalesTable6[[#This Row],[Customer_Info]])-1))</f>
        <v>Ethan Roy</v>
      </c>
      <c r="V148" s="8" t="str">
        <f>TRIM(MID(RawSalesTable6[[#This Row],[Customer_Info]],FIND(",",RawSalesTable6[[#This Row],[Customer_Info]])+1,FIND(",",RawSalesTable6[[#This Row],[Customer_Info]],FIND(",",RawSalesTable6[[#This Row],[Customer_Info]])+1)-FIND(",",RawSalesTable6[[#This Row],[Customer_Info]])-1))</f>
        <v>Winnipeg</v>
      </c>
      <c r="W148" s="8" t="str">
        <f>TRIM(RIGHT(RawSalesTable6[[#This Row],[Customer_Info]],LEN(RawSalesTable6[[#This Row],[Customer_Info]])-FIND(",",RawSalesTable6[[#This Row],[Customer_Info]],FIND(",",RawSalesTable6[[#This Row],[Customer_Info]])+1)))</f>
        <v>Consumer</v>
      </c>
      <c r="X148" s="8" t="str">
        <f>VLOOKUP(RawSalesTable6[[#This Row],[Product_ID_Clean]],ProductsTable[],2,FALSE)</f>
        <v>Portable SSD</v>
      </c>
      <c r="Y148" s="8" t="str">
        <f>VLOOKUP(RawSalesTable6[[#This Row],[Product_ID_Clean]],ProductsTable[],3,FALSE)</f>
        <v>Electronics</v>
      </c>
      <c r="Z148" s="8">
        <f>VLOOKUP(RawSalesTable6[[#This Row],[Product_ID_Clean]],ProductsTable[],5,FALSE)</f>
        <v>131.19</v>
      </c>
      <c r="AA148" s="8">
        <f>RawSalesTable6[[#This Row],[Unit_Price]]*RawSalesTable6[[#This Row],[Quantity]]</f>
        <v>226.32</v>
      </c>
      <c r="AB148" s="8">
        <f>RawSalesTable6[[#This Row],[Gross_Sales]]*RawSalesTable6[[#This Row],[Discount_Pct]]</f>
        <v>11.316000000000001</v>
      </c>
      <c r="AC148" s="8">
        <f>RawSalesTable6[[#This Row],[Gross_Sales]]-RawSalesTable6[[#This Row],[Discount_Amount]]</f>
        <v>215.00399999999999</v>
      </c>
      <c r="AD148" s="8">
        <f>RawSalesTable6[[#This Row],[Unit_Cost]]*RawSalesTable6[[#This Row],[Quantity]]</f>
        <v>131.19</v>
      </c>
      <c r="AE148" s="8">
        <f>RawSalesTable6[[#This Row],[Net_Sales]]-RawSalesTable6[[#This Row],[Total_Cost]]</f>
        <v>83.813999999999993</v>
      </c>
      <c r="AF148" s="9">
        <f>RawSalesTable6[[#This Row],[Profit]]/RawSalesTable6[[#This Row],[Net_Sales]]</f>
        <v>0.38982530557571021</v>
      </c>
      <c r="AG148" s="8">
        <f>YEAR(RawSalesTable6[[#This Row],[Order_Date]])</f>
        <v>2025</v>
      </c>
      <c r="AH148" s="8">
        <f>MONTH(RawSalesTable6[[#This Row],[Order_Date]])</f>
        <v>10</v>
      </c>
      <c r="AI148" s="8" t="str">
        <f>TEXT(RawSalesTable6[[#This Row],[Order_Date]],"mmmm")</f>
        <v>octobre</v>
      </c>
      <c r="AJ148" s="8" t="str">
        <f>IF(RawSalesTable6[[#This Row],[Month_Number]]&lt;=3,"Q1",IF(RawSalesTable6[[#This Row],[Month_Number]]&lt;=6,"Q2",IF(RawSalesTable6[[#This Row],[Month_Number]]&lt;=9,"Q3","Q4")))</f>
        <v>Q4</v>
      </c>
      <c r="AK148" s="8" t="str">
        <f>VLOOKUP(RawSalesTable6[[#This Row],[Customer_ID_Clean]],CustomersTable[],4,FALSE)</f>
        <v>Manitoba</v>
      </c>
      <c r="AL148" s="8">
        <f>IF(RawSalesTable6[[#This Row],[Return_Status]]="Yes",1,0)</f>
        <v>0</v>
      </c>
    </row>
    <row r="149" spans="1:38">
      <c r="A149" t="s">
        <v>476</v>
      </c>
      <c r="B149" s="3">
        <v>45883</v>
      </c>
      <c r="C149" t="s">
        <v>305</v>
      </c>
      <c r="D149" t="s">
        <v>136</v>
      </c>
      <c r="E149" t="s">
        <v>306</v>
      </c>
      <c r="F149" t="s">
        <v>111</v>
      </c>
      <c r="G149" t="s">
        <v>130</v>
      </c>
      <c r="H149" t="s">
        <v>89</v>
      </c>
      <c r="I149">
        <v>1</v>
      </c>
      <c r="J149" s="2">
        <v>157.91999999999999</v>
      </c>
      <c r="K149" s="4">
        <v>0</v>
      </c>
      <c r="L149" t="s">
        <v>98</v>
      </c>
      <c r="M149">
        <v>1</v>
      </c>
      <c r="N149" t="s">
        <v>91</v>
      </c>
      <c r="O149" t="str">
        <f>SUBSTITUTE(PROPER(TRIM(RawSalesTable6[[#This Row],[Channel_Raw]])),"Market Place","Marketplace")</f>
        <v>Online</v>
      </c>
      <c r="P149" t="str">
        <f>TRIM(RawSalesTable6[[#This Row],[Product_ID]])</f>
        <v>P1003</v>
      </c>
      <c r="Q149" t="str">
        <f>TRIM(RawSalesTable6[[#This Row],[Customer_ID]])</f>
        <v>C0055</v>
      </c>
      <c r="R149" s="8" t="str">
        <f>PROPER(TRIM(RawSalesTable6[[#This Row],[Store_Raw]]))</f>
        <v>Montreal Central</v>
      </c>
      <c r="S149" s="8" t="str">
        <f>IF(TRIM(RawSalesTable6[[#This Row],[Payment_Method_Raw]])="","Non renseigné",SUBSTITUTE(PROPER(TRIM(RawSalesTable6[[#This Row],[Payment_Method_Raw]])),"Cc","Credit Card"))</f>
        <v>Debit Card</v>
      </c>
      <c r="T149" s="8">
        <f>COUNTIF(A:A,RawSalesTable6[[#This Row],[Order_ID]])</f>
        <v>1</v>
      </c>
      <c r="U149" s="8" t="str">
        <f>TRIM(LEFT(RawSalesTable6[[#This Row],[Customer_Info]],FIND(",",RawSalesTable6[[#This Row],[Customer_Info]])-1))</f>
        <v>Sarah Scott</v>
      </c>
      <c r="V149" s="8" t="str">
        <f>TRIM(MID(RawSalesTable6[[#This Row],[Customer_Info]],FIND(",",RawSalesTable6[[#This Row],[Customer_Info]])+1,FIND(",",RawSalesTable6[[#This Row],[Customer_Info]],FIND(",",RawSalesTable6[[#This Row],[Customer_Info]])+1)-FIND(",",RawSalesTable6[[#This Row],[Customer_Info]])-1))</f>
        <v>Surrey</v>
      </c>
      <c r="W149" s="8" t="str">
        <f>TRIM(RIGHT(RawSalesTable6[[#This Row],[Customer_Info]],LEN(RawSalesTable6[[#This Row],[Customer_Info]])-FIND(",",RawSalesTable6[[#This Row],[Customer_Info]],FIND(",",RawSalesTable6[[#This Row],[Customer_Info]])+1)))</f>
        <v>Consumer</v>
      </c>
      <c r="X149" s="8" t="str">
        <f>VLOOKUP(RawSalesTable6[[#This Row],[Product_ID_Clean]],ProductsTable[],2,FALSE)</f>
        <v>Mouse</v>
      </c>
      <c r="Y149" s="8" t="str">
        <f>VLOOKUP(RawSalesTable6[[#This Row],[Product_ID_Clean]],ProductsTable[],3,FALSE)</f>
        <v>Electronics</v>
      </c>
      <c r="Z149" s="8">
        <f>VLOOKUP(RawSalesTable6[[#This Row],[Product_ID_Clean]],ProductsTable[],5,FALSE)</f>
        <v>106.4</v>
      </c>
      <c r="AA149" s="8">
        <f>RawSalesTable6[[#This Row],[Unit_Price]]*RawSalesTable6[[#This Row],[Quantity]]</f>
        <v>157.91999999999999</v>
      </c>
      <c r="AB149" s="8">
        <f>RawSalesTable6[[#This Row],[Gross_Sales]]*RawSalesTable6[[#This Row],[Discount_Pct]]</f>
        <v>0</v>
      </c>
      <c r="AC149" s="8">
        <f>RawSalesTable6[[#This Row],[Gross_Sales]]-RawSalesTable6[[#This Row],[Discount_Amount]]</f>
        <v>157.91999999999999</v>
      </c>
      <c r="AD149" s="8">
        <f>RawSalesTable6[[#This Row],[Unit_Cost]]*RawSalesTable6[[#This Row],[Quantity]]</f>
        <v>106.4</v>
      </c>
      <c r="AE149" s="8">
        <f>RawSalesTable6[[#This Row],[Net_Sales]]-RawSalesTable6[[#This Row],[Total_Cost]]</f>
        <v>51.519999999999982</v>
      </c>
      <c r="AF149" s="9">
        <f>RawSalesTable6[[#This Row],[Profit]]/RawSalesTable6[[#This Row],[Net_Sales]]</f>
        <v>0.32624113475177297</v>
      </c>
      <c r="AG149" s="8">
        <f>YEAR(RawSalesTable6[[#This Row],[Order_Date]])</f>
        <v>2025</v>
      </c>
      <c r="AH149" s="8">
        <f>MONTH(RawSalesTable6[[#This Row],[Order_Date]])</f>
        <v>8</v>
      </c>
      <c r="AI149" s="8" t="str">
        <f>TEXT(RawSalesTable6[[#This Row],[Order_Date]],"mmmm")</f>
        <v>août</v>
      </c>
      <c r="AJ149" s="8" t="str">
        <f>IF(RawSalesTable6[[#This Row],[Month_Number]]&lt;=3,"Q1",IF(RawSalesTable6[[#This Row],[Month_Number]]&lt;=6,"Q2",IF(RawSalesTable6[[#This Row],[Month_Number]]&lt;=9,"Q3","Q4")))</f>
        <v>Q3</v>
      </c>
      <c r="AK149" s="8" t="str">
        <f>VLOOKUP(RawSalesTable6[[#This Row],[Customer_ID_Clean]],CustomersTable[],4,FALSE)</f>
        <v>British Columbia</v>
      </c>
      <c r="AL149" s="8">
        <f>IF(RawSalesTable6[[#This Row],[Return_Status]]="Yes",1,0)</f>
        <v>0</v>
      </c>
    </row>
    <row r="150" spans="1:38">
      <c r="A150" t="s">
        <v>477</v>
      </c>
      <c r="B150" s="3">
        <v>45909</v>
      </c>
      <c r="C150" t="s">
        <v>319</v>
      </c>
      <c r="D150" t="s">
        <v>109</v>
      </c>
      <c r="E150" t="s">
        <v>320</v>
      </c>
      <c r="F150" t="s">
        <v>145</v>
      </c>
      <c r="G150" t="s">
        <v>96</v>
      </c>
      <c r="H150" t="s">
        <v>478</v>
      </c>
      <c r="I150">
        <v>1</v>
      </c>
      <c r="J150" s="2">
        <v>204.49</v>
      </c>
      <c r="K150" s="4">
        <v>0.1</v>
      </c>
      <c r="L150" t="s">
        <v>106</v>
      </c>
      <c r="M150">
        <v>6</v>
      </c>
      <c r="N150" t="s">
        <v>91</v>
      </c>
      <c r="O150" t="str">
        <f>SUBSTITUTE(PROPER(TRIM(RawSalesTable6[[#This Row],[Channel_Raw]])),"Market Place","Marketplace")</f>
        <v>Marketplace</v>
      </c>
      <c r="P150" t="str">
        <f>TRIM(RawSalesTable6[[#This Row],[Product_ID]])</f>
        <v>P1032</v>
      </c>
      <c r="Q150" t="str">
        <f>TRIM(RawSalesTable6[[#This Row],[Customer_ID]])</f>
        <v>C0013</v>
      </c>
      <c r="R150" s="8" t="str">
        <f>PROPER(TRIM(RawSalesTable6[[#This Row],[Store_Raw]]))</f>
        <v>Calgary North</v>
      </c>
      <c r="S150" s="8" t="str">
        <f>IF(TRIM(RawSalesTable6[[#This Row],[Payment_Method_Raw]])="","Non renseigné",SUBSTITUTE(PROPER(TRIM(RawSalesTable6[[#This Row],[Payment_Method_Raw]])),"Cc","Credit Card"))</f>
        <v>Credit Card</v>
      </c>
      <c r="T150" s="8">
        <f>COUNTIF(A:A,RawSalesTable6[[#This Row],[Order_ID]])</f>
        <v>1</v>
      </c>
      <c r="U150" s="8" t="str">
        <f>TRIM(LEFT(RawSalesTable6[[#This Row],[Customer_Info]],FIND(",",RawSalesTable6[[#This Row],[Customer_Info]])-1))</f>
        <v>Amelia Martin</v>
      </c>
      <c r="V150" s="8" t="str">
        <f>TRIM(MID(RawSalesTable6[[#This Row],[Customer_Info]],FIND(",",RawSalesTable6[[#This Row],[Customer_Info]])+1,FIND(",",RawSalesTable6[[#This Row],[Customer_Info]],FIND(",",RawSalesTable6[[#This Row],[Customer_Info]])+1)-FIND(",",RawSalesTable6[[#This Row],[Customer_Info]])-1))</f>
        <v>Quebec City</v>
      </c>
      <c r="W150" s="8" t="str">
        <f>TRIM(RIGHT(RawSalesTable6[[#This Row],[Customer_Info]],LEN(RawSalesTable6[[#This Row],[Customer_Info]])-FIND(",",RawSalesTable6[[#This Row],[Customer_Info]],FIND(",",RawSalesTable6[[#This Row],[Customer_Info]])+1)))</f>
        <v>Small Business</v>
      </c>
      <c r="X150" s="8" t="str">
        <f>VLOOKUP(RawSalesTable6[[#This Row],[Product_ID_Clean]],ProductsTable[],2,FALSE)</f>
        <v>Gym Bag</v>
      </c>
      <c r="Y150" s="8" t="str">
        <f>VLOOKUP(RawSalesTable6[[#This Row],[Product_ID_Clean]],ProductsTable[],3,FALSE)</f>
        <v>Fitness</v>
      </c>
      <c r="Z150" s="8">
        <f>VLOOKUP(RawSalesTable6[[#This Row],[Product_ID_Clean]],ProductsTable[],5,FALSE)</f>
        <v>132.72</v>
      </c>
      <c r="AA150" s="8">
        <f>RawSalesTable6[[#This Row],[Unit_Price]]*RawSalesTable6[[#This Row],[Quantity]]</f>
        <v>204.49</v>
      </c>
      <c r="AB150" s="8">
        <f>RawSalesTable6[[#This Row],[Gross_Sales]]*RawSalesTable6[[#This Row],[Discount_Pct]]</f>
        <v>20.449000000000002</v>
      </c>
      <c r="AC150" s="8">
        <f>RawSalesTable6[[#This Row],[Gross_Sales]]-RawSalesTable6[[#This Row],[Discount_Amount]]</f>
        <v>184.041</v>
      </c>
      <c r="AD150" s="8">
        <f>RawSalesTable6[[#This Row],[Unit_Cost]]*RawSalesTable6[[#This Row],[Quantity]]</f>
        <v>132.72</v>
      </c>
      <c r="AE150" s="8">
        <f>RawSalesTable6[[#This Row],[Net_Sales]]-RawSalesTable6[[#This Row],[Total_Cost]]</f>
        <v>51.320999999999998</v>
      </c>
      <c r="AF150" s="9">
        <f>RawSalesTable6[[#This Row],[Profit]]/RawSalesTable6[[#This Row],[Net_Sales]]</f>
        <v>0.27885634179340474</v>
      </c>
      <c r="AG150" s="8">
        <f>YEAR(RawSalesTable6[[#This Row],[Order_Date]])</f>
        <v>2025</v>
      </c>
      <c r="AH150" s="8">
        <f>MONTH(RawSalesTable6[[#This Row],[Order_Date]])</f>
        <v>9</v>
      </c>
      <c r="AI150" s="8" t="str">
        <f>TEXT(RawSalesTable6[[#This Row],[Order_Date]],"mmmm")</f>
        <v>septembre</v>
      </c>
      <c r="AJ150" s="8" t="str">
        <f>IF(RawSalesTable6[[#This Row],[Month_Number]]&lt;=3,"Q1",IF(RawSalesTable6[[#This Row],[Month_Number]]&lt;=6,"Q2",IF(RawSalesTable6[[#This Row],[Month_Number]]&lt;=9,"Q3","Q4")))</f>
        <v>Q3</v>
      </c>
      <c r="AK150" s="8" t="str">
        <f>VLOOKUP(RawSalesTable6[[#This Row],[Customer_ID_Clean]],CustomersTable[],4,FALSE)</f>
        <v>Quebec</v>
      </c>
      <c r="AL150" s="8">
        <f>IF(RawSalesTable6[[#This Row],[Return_Status]]="Yes",1,0)</f>
        <v>0</v>
      </c>
    </row>
    <row r="151" spans="1:38">
      <c r="A151" t="s">
        <v>479</v>
      </c>
      <c r="B151" s="3">
        <v>45985</v>
      </c>
      <c r="C151" t="s">
        <v>480</v>
      </c>
      <c r="D151" t="s">
        <v>85</v>
      </c>
      <c r="E151" t="s">
        <v>481</v>
      </c>
      <c r="F151" t="s">
        <v>111</v>
      </c>
      <c r="G151" t="s">
        <v>130</v>
      </c>
      <c r="H151" t="s">
        <v>246</v>
      </c>
      <c r="I151">
        <v>1</v>
      </c>
      <c r="J151" s="2">
        <v>299.81</v>
      </c>
      <c r="K151" s="4">
        <v>0.2</v>
      </c>
      <c r="L151" t="s">
        <v>106</v>
      </c>
      <c r="M151">
        <v>4</v>
      </c>
      <c r="N151" t="s">
        <v>91</v>
      </c>
      <c r="O151" t="str">
        <f>SUBSTITUTE(PROPER(TRIM(RawSalesTable6[[#This Row],[Channel_Raw]])),"Market Place","Marketplace")</f>
        <v>Retail Store</v>
      </c>
      <c r="P151" t="str">
        <f>TRIM(RawSalesTable6[[#This Row],[Product_ID]])</f>
        <v>P1025</v>
      </c>
      <c r="Q151" t="str">
        <f>TRIM(RawSalesTable6[[#This Row],[Customer_ID]])</f>
        <v>C0053</v>
      </c>
      <c r="R151" s="8" t="str">
        <f>PROPER(TRIM(RawSalesTable6[[#This Row],[Store_Raw]]))</f>
        <v>Montreal Central</v>
      </c>
      <c r="S151" s="8" t="str">
        <f>IF(TRIM(RawSalesTable6[[#This Row],[Payment_Method_Raw]])="","Non renseigné",SUBSTITUTE(PROPER(TRIM(RawSalesTable6[[#This Row],[Payment_Method_Raw]])),"Cc","Credit Card"))</f>
        <v>Credit Card</v>
      </c>
      <c r="T151" s="8">
        <f>COUNTIF(A:A,RawSalesTable6[[#This Row],[Order_ID]])</f>
        <v>1</v>
      </c>
      <c r="U151" s="8" t="str">
        <f>TRIM(LEFT(RawSalesTable6[[#This Row],[Customer_Info]],FIND(",",RawSalesTable6[[#This Row],[Customer_Info]])-1))</f>
        <v>Ryan Lee</v>
      </c>
      <c r="V151" s="8" t="str">
        <f>TRIM(MID(RawSalesTable6[[#This Row],[Customer_Info]],FIND(",",RawSalesTable6[[#This Row],[Customer_Info]])+1,FIND(",",RawSalesTable6[[#This Row],[Customer_Info]],FIND(",",RawSalesTable6[[#This Row],[Customer_Info]])+1)-FIND(",",RawSalesTable6[[#This Row],[Customer_Info]])-1))</f>
        <v>Laval</v>
      </c>
      <c r="W151" s="8" t="str">
        <f>TRIM(RIGHT(RawSalesTable6[[#This Row],[Customer_Info]],LEN(RawSalesTable6[[#This Row],[Customer_Info]])-FIND(",",RawSalesTable6[[#This Row],[Customer_Info]],FIND(",",RawSalesTable6[[#This Row],[Customer_Info]])+1)))</f>
        <v>Consumer</v>
      </c>
      <c r="X151" s="8" t="str">
        <f>VLOOKUP(RawSalesTable6[[#This Row],[Product_ID_Clean]],ProductsTable[],2,FALSE)</f>
        <v>Yoga Mat</v>
      </c>
      <c r="Y151" s="8" t="str">
        <f>VLOOKUP(RawSalesTable6[[#This Row],[Product_ID_Clean]],ProductsTable[],3,FALSE)</f>
        <v>Fitness</v>
      </c>
      <c r="Z151" s="8">
        <f>VLOOKUP(RawSalesTable6[[#This Row],[Product_ID_Clean]],ProductsTable[],5,FALSE)</f>
        <v>197.33</v>
      </c>
      <c r="AA151" s="8">
        <f>RawSalesTable6[[#This Row],[Unit_Price]]*RawSalesTable6[[#This Row],[Quantity]]</f>
        <v>299.81</v>
      </c>
      <c r="AB151" s="8">
        <f>RawSalesTable6[[#This Row],[Gross_Sales]]*RawSalesTable6[[#This Row],[Discount_Pct]]</f>
        <v>59.962000000000003</v>
      </c>
      <c r="AC151" s="8">
        <f>RawSalesTable6[[#This Row],[Gross_Sales]]-RawSalesTable6[[#This Row],[Discount_Amount]]</f>
        <v>239.84800000000001</v>
      </c>
      <c r="AD151" s="8">
        <f>RawSalesTable6[[#This Row],[Unit_Cost]]*RawSalesTable6[[#This Row],[Quantity]]</f>
        <v>197.33</v>
      </c>
      <c r="AE151" s="8">
        <f>RawSalesTable6[[#This Row],[Net_Sales]]-RawSalesTable6[[#This Row],[Total_Cost]]</f>
        <v>42.518000000000001</v>
      </c>
      <c r="AF151" s="9">
        <f>RawSalesTable6[[#This Row],[Profit]]/RawSalesTable6[[#This Row],[Net_Sales]]</f>
        <v>0.17727060471632033</v>
      </c>
      <c r="AG151" s="8">
        <f>YEAR(RawSalesTable6[[#This Row],[Order_Date]])</f>
        <v>2025</v>
      </c>
      <c r="AH151" s="8">
        <f>MONTH(RawSalesTable6[[#This Row],[Order_Date]])</f>
        <v>11</v>
      </c>
      <c r="AI151" s="8" t="str">
        <f>TEXT(RawSalesTable6[[#This Row],[Order_Date]],"mmmm")</f>
        <v>novembre</v>
      </c>
      <c r="AJ151" s="8" t="str">
        <f>IF(RawSalesTable6[[#This Row],[Month_Number]]&lt;=3,"Q1",IF(RawSalesTable6[[#This Row],[Month_Number]]&lt;=6,"Q2",IF(RawSalesTable6[[#This Row],[Month_Number]]&lt;=9,"Q3","Q4")))</f>
        <v>Q4</v>
      </c>
      <c r="AK151" s="8" t="str">
        <f>VLOOKUP(RawSalesTable6[[#This Row],[Customer_ID_Clean]],CustomersTable[],4,FALSE)</f>
        <v>Quebec</v>
      </c>
      <c r="AL151" s="8">
        <f>IF(RawSalesTable6[[#This Row],[Return_Status]]="Yes",1,0)</f>
        <v>0</v>
      </c>
    </row>
    <row r="152" spans="1:38">
      <c r="A152" t="s">
        <v>482</v>
      </c>
      <c r="B152" s="3">
        <v>45864</v>
      </c>
      <c r="C152" t="s">
        <v>322</v>
      </c>
      <c r="D152" t="s">
        <v>165</v>
      </c>
      <c r="E152" t="s">
        <v>470</v>
      </c>
      <c r="F152" t="s">
        <v>87</v>
      </c>
      <c r="G152" t="s">
        <v>104</v>
      </c>
      <c r="H152" t="s">
        <v>89</v>
      </c>
      <c r="I152">
        <v>1</v>
      </c>
      <c r="J152" s="2">
        <v>99.03</v>
      </c>
      <c r="K152" s="4">
        <v>0.15</v>
      </c>
      <c r="L152" t="s">
        <v>106</v>
      </c>
      <c r="M152">
        <v>6</v>
      </c>
      <c r="N152" t="s">
        <v>91</v>
      </c>
      <c r="O152" t="str">
        <f>SUBSTITUTE(PROPER(TRIM(RawSalesTable6[[#This Row],[Channel_Raw]])),"Market Place","Marketplace")</f>
        <v>Online</v>
      </c>
      <c r="P152" t="str">
        <f>TRIM(RawSalesTable6[[#This Row],[Product_ID]])</f>
        <v>P1024</v>
      </c>
      <c r="Q152" t="str">
        <f>TRIM(RawSalesTable6[[#This Row],[Customer_ID]])</f>
        <v>C0119</v>
      </c>
      <c r="R152" s="8" t="str">
        <f>PROPER(TRIM(RawSalesTable6[[#This Row],[Store_Raw]]))</f>
        <v>Online Fulfillment</v>
      </c>
      <c r="S152" s="8" t="str">
        <f>IF(TRIM(RawSalesTable6[[#This Row],[Payment_Method_Raw]])="","Non renseigné",SUBSTITUTE(PROPER(TRIM(RawSalesTable6[[#This Row],[Payment_Method_Raw]])),"Cc","Credit Card"))</f>
        <v>Credit Card</v>
      </c>
      <c r="T152" s="8">
        <f>COUNTIF(A:A,RawSalesTable6[[#This Row],[Order_ID]])</f>
        <v>1</v>
      </c>
      <c r="U152" s="8" t="str">
        <f>TRIM(LEFT(RawSalesTable6[[#This Row],[Customer_Info]],FIND(",",RawSalesTable6[[#This Row],[Customer_Info]])-1))</f>
        <v>Liam Chen</v>
      </c>
      <c r="V152" s="8" t="str">
        <f>TRIM(MID(RawSalesTable6[[#This Row],[Customer_Info]],FIND(",",RawSalesTable6[[#This Row],[Customer_Info]])+1,FIND(",",RawSalesTable6[[#This Row],[Customer_Info]],FIND(",",RawSalesTable6[[#This Row],[Customer_Info]])+1)-FIND(",",RawSalesTable6[[#This Row],[Customer_Info]])-1))</f>
        <v>Winnipeg</v>
      </c>
      <c r="W152" s="8" t="str">
        <f>TRIM(RIGHT(RawSalesTable6[[#This Row],[Customer_Info]],LEN(RawSalesTable6[[#This Row],[Customer_Info]])-FIND(",",RawSalesTable6[[#This Row],[Customer_Info]],FIND(",",RawSalesTable6[[#This Row],[Customer_Info]])+1)))</f>
        <v>Consumer</v>
      </c>
      <c r="X152" s="8" t="str">
        <f>VLOOKUP(RawSalesTable6[[#This Row],[Product_ID_Clean]],ProductsTable[],2,FALSE)</f>
        <v>Food Scale</v>
      </c>
      <c r="Y152" s="8" t="str">
        <f>VLOOKUP(RawSalesTable6[[#This Row],[Product_ID_Clean]],ProductsTable[],3,FALSE)</f>
        <v>Home</v>
      </c>
      <c r="Z152" s="8">
        <f>VLOOKUP(RawSalesTable6[[#This Row],[Product_ID_Clean]],ProductsTable[],5,FALSE)</f>
        <v>46.07</v>
      </c>
      <c r="AA152" s="8">
        <f>RawSalesTable6[[#This Row],[Unit_Price]]*RawSalesTable6[[#This Row],[Quantity]]</f>
        <v>99.03</v>
      </c>
      <c r="AB152" s="8">
        <f>RawSalesTable6[[#This Row],[Gross_Sales]]*RawSalesTable6[[#This Row],[Discount_Pct]]</f>
        <v>14.8545</v>
      </c>
      <c r="AC152" s="8">
        <f>RawSalesTable6[[#This Row],[Gross_Sales]]-RawSalesTable6[[#This Row],[Discount_Amount]]</f>
        <v>84.1755</v>
      </c>
      <c r="AD152" s="8">
        <f>RawSalesTable6[[#This Row],[Unit_Cost]]*RawSalesTable6[[#This Row],[Quantity]]</f>
        <v>46.07</v>
      </c>
      <c r="AE152" s="8">
        <f>RawSalesTable6[[#This Row],[Net_Sales]]-RawSalesTable6[[#This Row],[Total_Cost]]</f>
        <v>38.105499999999999</v>
      </c>
      <c r="AF152" s="9">
        <f>RawSalesTable6[[#This Row],[Profit]]/RawSalesTable6[[#This Row],[Net_Sales]]</f>
        <v>0.45269110370594767</v>
      </c>
      <c r="AG152" s="8">
        <f>YEAR(RawSalesTable6[[#This Row],[Order_Date]])</f>
        <v>2025</v>
      </c>
      <c r="AH152" s="8">
        <f>MONTH(RawSalesTable6[[#This Row],[Order_Date]])</f>
        <v>7</v>
      </c>
      <c r="AI152" s="8" t="str">
        <f>TEXT(RawSalesTable6[[#This Row],[Order_Date]],"mmmm")</f>
        <v>juillet</v>
      </c>
      <c r="AJ152" s="8" t="str">
        <f>IF(RawSalesTable6[[#This Row],[Month_Number]]&lt;=3,"Q1",IF(RawSalesTable6[[#This Row],[Month_Number]]&lt;=6,"Q2",IF(RawSalesTable6[[#This Row],[Month_Number]]&lt;=9,"Q3","Q4")))</f>
        <v>Q3</v>
      </c>
      <c r="AK152" s="8" t="str">
        <f>VLOOKUP(RawSalesTable6[[#This Row],[Customer_ID_Clean]],CustomersTable[],4,FALSE)</f>
        <v>Manitoba</v>
      </c>
      <c r="AL152" s="8">
        <f>IF(RawSalesTable6[[#This Row],[Return_Status]]="Yes",1,0)</f>
        <v>0</v>
      </c>
    </row>
    <row r="153" spans="1:38">
      <c r="A153" t="s">
        <v>483</v>
      </c>
      <c r="B153" s="3">
        <v>45768</v>
      </c>
      <c r="C153" t="s">
        <v>330</v>
      </c>
      <c r="D153" t="s">
        <v>255</v>
      </c>
      <c r="E153" t="s">
        <v>424</v>
      </c>
      <c r="F153" t="s">
        <v>111</v>
      </c>
      <c r="G153" t="s">
        <v>88</v>
      </c>
      <c r="H153" t="s">
        <v>89</v>
      </c>
      <c r="I153">
        <v>2</v>
      </c>
      <c r="J153" s="2">
        <v>233.12</v>
      </c>
      <c r="K153" s="4">
        <v>0</v>
      </c>
      <c r="L153" t="s">
        <v>90</v>
      </c>
      <c r="M153">
        <v>3</v>
      </c>
      <c r="N153" t="s">
        <v>147</v>
      </c>
      <c r="O153" t="str">
        <f>SUBSTITUTE(PROPER(TRIM(RawSalesTable6[[#This Row],[Channel_Raw]])),"Market Place","Marketplace")</f>
        <v>Online</v>
      </c>
      <c r="P153" t="str">
        <f>TRIM(RawSalesTable6[[#This Row],[Product_ID]])</f>
        <v>P1014</v>
      </c>
      <c r="Q153" t="str">
        <f>TRIM(RawSalesTable6[[#This Row],[Customer_ID]])</f>
        <v>C0108</v>
      </c>
      <c r="R153" s="8" t="str">
        <f>PROPER(TRIM(RawSalesTable6[[#This Row],[Store_Raw]]))</f>
        <v>Montreal Central</v>
      </c>
      <c r="S153" s="8" t="str">
        <f>IF(TRIM(RawSalesTable6[[#This Row],[Payment_Method_Raw]])="","Non renseigné",SUBSTITUTE(PROPER(TRIM(RawSalesTable6[[#This Row],[Payment_Method_Raw]])),"Cc","Credit Card"))</f>
        <v>Paypal</v>
      </c>
      <c r="T153" s="8">
        <f>COUNTIF(A:A,RawSalesTable6[[#This Row],[Order_ID]])</f>
        <v>1</v>
      </c>
      <c r="U153" s="8" t="str">
        <f>TRIM(LEFT(RawSalesTable6[[#This Row],[Customer_Info]],FIND(",",RawSalesTable6[[#This Row],[Customer_Info]])-1))</f>
        <v>Noah Lee</v>
      </c>
      <c r="V153" s="8" t="str">
        <f>TRIM(MID(RawSalesTable6[[#This Row],[Customer_Info]],FIND(",",RawSalesTable6[[#This Row],[Customer_Info]])+1,FIND(",",RawSalesTable6[[#This Row],[Customer_Info]],FIND(",",RawSalesTable6[[#This Row],[Customer_Info]])+1)-FIND(",",RawSalesTable6[[#This Row],[Customer_Info]])-1))</f>
        <v>Surrey</v>
      </c>
      <c r="W153" s="8" t="str">
        <f>TRIM(RIGHT(RawSalesTable6[[#This Row],[Customer_Info]],LEN(RawSalesTable6[[#This Row],[Customer_Info]])-FIND(",",RawSalesTable6[[#This Row],[Customer_Info]],FIND(",",RawSalesTable6[[#This Row],[Customer_Info]])+1)))</f>
        <v>Consumer</v>
      </c>
      <c r="X153" s="8" t="str">
        <f>VLOOKUP(RawSalesTable6[[#This Row],[Product_ID_Clean]],ProductsTable[],2,FALSE)</f>
        <v>Document Shredder</v>
      </c>
      <c r="Y153" s="8" t="str">
        <f>VLOOKUP(RawSalesTable6[[#This Row],[Product_ID_Clean]],ProductsTable[],3,FALSE)</f>
        <v>Office</v>
      </c>
      <c r="Z153" s="8">
        <f>VLOOKUP(RawSalesTable6[[#This Row],[Product_ID_Clean]],ProductsTable[],5,FALSE)</f>
        <v>117.65</v>
      </c>
      <c r="AA153" s="8">
        <f>RawSalesTable6[[#This Row],[Unit_Price]]*RawSalesTable6[[#This Row],[Quantity]]</f>
        <v>466.24</v>
      </c>
      <c r="AB153" s="8">
        <f>RawSalesTable6[[#This Row],[Gross_Sales]]*RawSalesTable6[[#This Row],[Discount_Pct]]</f>
        <v>0</v>
      </c>
      <c r="AC153" s="8">
        <f>RawSalesTable6[[#This Row],[Gross_Sales]]-RawSalesTable6[[#This Row],[Discount_Amount]]</f>
        <v>466.24</v>
      </c>
      <c r="AD153" s="8">
        <f>RawSalesTable6[[#This Row],[Unit_Cost]]*RawSalesTable6[[#This Row],[Quantity]]</f>
        <v>235.3</v>
      </c>
      <c r="AE153" s="8">
        <f>RawSalesTable6[[#This Row],[Net_Sales]]-RawSalesTable6[[#This Row],[Total_Cost]]</f>
        <v>230.94</v>
      </c>
      <c r="AF153" s="9">
        <f>RawSalesTable6[[#This Row],[Profit]]/RawSalesTable6[[#This Row],[Net_Sales]]</f>
        <v>0.49532429649965681</v>
      </c>
      <c r="AG153" s="8">
        <f>YEAR(RawSalesTable6[[#This Row],[Order_Date]])</f>
        <v>2025</v>
      </c>
      <c r="AH153" s="8">
        <f>MONTH(RawSalesTable6[[#This Row],[Order_Date]])</f>
        <v>4</v>
      </c>
      <c r="AI153" s="8" t="str">
        <f>TEXT(RawSalesTable6[[#This Row],[Order_Date]],"mmmm")</f>
        <v>avril</v>
      </c>
      <c r="AJ153" s="8" t="str">
        <f>IF(RawSalesTable6[[#This Row],[Month_Number]]&lt;=3,"Q1",IF(RawSalesTable6[[#This Row],[Month_Number]]&lt;=6,"Q2",IF(RawSalesTable6[[#This Row],[Month_Number]]&lt;=9,"Q3","Q4")))</f>
        <v>Q2</v>
      </c>
      <c r="AK153" s="8" t="str">
        <f>VLOOKUP(RawSalesTable6[[#This Row],[Customer_ID_Clean]],CustomersTable[],4,FALSE)</f>
        <v>British Columbia</v>
      </c>
      <c r="AL153" s="8">
        <f>IF(RawSalesTable6[[#This Row],[Return_Status]]="Yes",1,0)</f>
        <v>1</v>
      </c>
    </row>
    <row r="154" spans="1:38">
      <c r="A154" t="s">
        <v>484</v>
      </c>
      <c r="B154" s="3">
        <v>45886</v>
      </c>
      <c r="C154" t="s">
        <v>313</v>
      </c>
      <c r="D154" t="s">
        <v>114</v>
      </c>
      <c r="E154" t="s">
        <v>314</v>
      </c>
      <c r="F154" t="s">
        <v>103</v>
      </c>
      <c r="G154" t="s">
        <v>96</v>
      </c>
      <c r="H154" t="s">
        <v>89</v>
      </c>
      <c r="I154">
        <v>2</v>
      </c>
      <c r="J154" s="2">
        <v>151.72</v>
      </c>
      <c r="K154" s="4">
        <v>0</v>
      </c>
      <c r="L154" t="s">
        <v>98</v>
      </c>
      <c r="M154">
        <v>6</v>
      </c>
      <c r="N154" t="s">
        <v>91</v>
      </c>
      <c r="O154" t="str">
        <f>SUBSTITUTE(PROPER(TRIM(RawSalesTable6[[#This Row],[Channel_Raw]])),"Market Place","Marketplace")</f>
        <v>Online</v>
      </c>
      <c r="P154" t="str">
        <f>TRIM(RawSalesTable6[[#This Row],[Product_ID]])</f>
        <v>P1034</v>
      </c>
      <c r="Q154" t="str">
        <f>TRIM(RawSalesTable6[[#This Row],[Customer_ID]])</f>
        <v>C0080</v>
      </c>
      <c r="R154" s="8" t="str">
        <f>PROPER(TRIM(RawSalesTable6[[#This Row],[Store_Raw]]))</f>
        <v>Vancouver West</v>
      </c>
      <c r="S154" s="8" t="str">
        <f>IF(TRIM(RawSalesTable6[[#This Row],[Payment_Method_Raw]])="","Non renseigné",SUBSTITUTE(PROPER(TRIM(RawSalesTable6[[#This Row],[Payment_Method_Raw]])),"Cc","Credit Card"))</f>
        <v>Debit Card</v>
      </c>
      <c r="T154" s="8">
        <f>COUNTIF(A:A,RawSalesTable6[[#This Row],[Order_ID]])</f>
        <v>1</v>
      </c>
      <c r="U154" s="8" t="str">
        <f>TRIM(LEFT(RawSalesTable6[[#This Row],[Customer_Info]],FIND(",",RawSalesTable6[[#This Row],[Customer_Info]])-1))</f>
        <v>Sarah Smith</v>
      </c>
      <c r="V154" s="8" t="str">
        <f>TRIM(MID(RawSalesTable6[[#This Row],[Customer_Info]],FIND(",",RawSalesTable6[[#This Row],[Customer_Info]])+1,FIND(",",RawSalesTable6[[#This Row],[Customer_Info]],FIND(",",RawSalesTable6[[#This Row],[Customer_Info]])+1)-FIND(",",RawSalesTable6[[#This Row],[Customer_Info]])-1))</f>
        <v>Mississauga</v>
      </c>
      <c r="W154" s="8" t="str">
        <f>TRIM(RIGHT(RawSalesTable6[[#This Row],[Customer_Info]],LEN(RawSalesTable6[[#This Row],[Customer_Info]])-FIND(",",RawSalesTable6[[#This Row],[Customer_Info]],FIND(",",RawSalesTable6[[#This Row],[Customer_Info]])+1)))</f>
        <v>Corporate</v>
      </c>
      <c r="X154" s="8" t="str">
        <f>VLOOKUP(RawSalesTable6[[#This Row],[Product_ID_Clean]],ProductsTable[],2,FALSE)</f>
        <v>Laptop Sleeve</v>
      </c>
      <c r="Y154" s="8" t="str">
        <f>VLOOKUP(RawSalesTable6[[#This Row],[Product_ID_Clean]],ProductsTable[],3,FALSE)</f>
        <v>Accessories</v>
      </c>
      <c r="Z154" s="8">
        <f>VLOOKUP(RawSalesTable6[[#This Row],[Product_ID_Clean]],ProductsTable[],5,FALSE)</f>
        <v>78.95</v>
      </c>
      <c r="AA154" s="8">
        <f>RawSalesTable6[[#This Row],[Unit_Price]]*RawSalesTable6[[#This Row],[Quantity]]</f>
        <v>303.44</v>
      </c>
      <c r="AB154" s="8">
        <f>RawSalesTable6[[#This Row],[Gross_Sales]]*RawSalesTable6[[#This Row],[Discount_Pct]]</f>
        <v>0</v>
      </c>
      <c r="AC154" s="8">
        <f>RawSalesTable6[[#This Row],[Gross_Sales]]-RawSalesTable6[[#This Row],[Discount_Amount]]</f>
        <v>303.44</v>
      </c>
      <c r="AD154" s="8">
        <f>RawSalesTable6[[#This Row],[Unit_Cost]]*RawSalesTable6[[#This Row],[Quantity]]</f>
        <v>157.9</v>
      </c>
      <c r="AE154" s="8">
        <f>RawSalesTable6[[#This Row],[Net_Sales]]-RawSalesTable6[[#This Row],[Total_Cost]]</f>
        <v>145.54</v>
      </c>
      <c r="AF154" s="9">
        <f>RawSalesTable6[[#This Row],[Profit]]/RawSalesTable6[[#This Row],[Net_Sales]]</f>
        <v>0.47963353546005799</v>
      </c>
      <c r="AG154" s="8">
        <f>YEAR(RawSalesTable6[[#This Row],[Order_Date]])</f>
        <v>2025</v>
      </c>
      <c r="AH154" s="8">
        <f>MONTH(RawSalesTable6[[#This Row],[Order_Date]])</f>
        <v>8</v>
      </c>
      <c r="AI154" s="8" t="str">
        <f>TEXT(RawSalesTable6[[#This Row],[Order_Date]],"mmmm")</f>
        <v>août</v>
      </c>
      <c r="AJ154" s="8" t="str">
        <f>IF(RawSalesTable6[[#This Row],[Month_Number]]&lt;=3,"Q1",IF(RawSalesTable6[[#This Row],[Month_Number]]&lt;=6,"Q2",IF(RawSalesTable6[[#This Row],[Month_Number]]&lt;=9,"Q3","Q4")))</f>
        <v>Q3</v>
      </c>
      <c r="AK154" s="8" t="str">
        <f>VLOOKUP(RawSalesTable6[[#This Row],[Customer_ID_Clean]],CustomersTable[],4,FALSE)</f>
        <v>Ontario</v>
      </c>
      <c r="AL154" s="8">
        <f>IF(RawSalesTable6[[#This Row],[Return_Status]]="Yes",1,0)</f>
        <v>0</v>
      </c>
    </row>
    <row r="155" spans="1:38">
      <c r="A155" t="s">
        <v>485</v>
      </c>
      <c r="B155" s="3">
        <v>45741</v>
      </c>
      <c r="C155" t="s">
        <v>273</v>
      </c>
      <c r="D155" t="s">
        <v>249</v>
      </c>
      <c r="E155" t="s">
        <v>274</v>
      </c>
      <c r="F155" t="s">
        <v>116</v>
      </c>
      <c r="G155" t="s">
        <v>183</v>
      </c>
      <c r="H155" t="s">
        <v>97</v>
      </c>
      <c r="I155">
        <v>1</v>
      </c>
      <c r="J155" s="2">
        <v>396.12</v>
      </c>
      <c r="K155" s="4">
        <v>0</v>
      </c>
      <c r="L155" t="s">
        <v>98</v>
      </c>
      <c r="M155">
        <v>4</v>
      </c>
      <c r="N155" t="s">
        <v>91</v>
      </c>
      <c r="O155" t="str">
        <f>SUBSTITUTE(PROPER(TRIM(RawSalesTable6[[#This Row],[Channel_Raw]])),"Market Place","Marketplace")</f>
        <v>Retail Store</v>
      </c>
      <c r="P155" t="str">
        <f>TRIM(RawSalesTable6[[#This Row],[Product_ID]])</f>
        <v>P1022</v>
      </c>
      <c r="Q155" t="str">
        <f>TRIM(RawSalesTable6[[#This Row],[Customer_ID]])</f>
        <v>C0066</v>
      </c>
      <c r="R155" s="8" t="str">
        <f>PROPER(TRIM(RawSalesTable6[[#This Row],[Store_Raw]]))</f>
        <v>Toronto Downtown</v>
      </c>
      <c r="S155" s="8" t="str">
        <f>IF(TRIM(RawSalesTable6[[#This Row],[Payment_Method_Raw]])="","Non renseigné",SUBSTITUTE(PROPER(TRIM(RawSalesTable6[[#This Row],[Payment_Method_Raw]])),"Cc","Credit Card"))</f>
        <v>Debit Card</v>
      </c>
      <c r="T155" s="8">
        <f>COUNTIF(A:A,RawSalesTable6[[#This Row],[Order_ID]])</f>
        <v>1</v>
      </c>
      <c r="U155" s="8" t="str">
        <f>TRIM(LEFT(RawSalesTable6[[#This Row],[Customer_Info]],FIND(",",RawSalesTable6[[#This Row],[Customer_Info]])-1))</f>
        <v>Noah Clark</v>
      </c>
      <c r="V155" s="8" t="str">
        <f>TRIM(MID(RawSalesTable6[[#This Row],[Customer_Info]],FIND(",",RawSalesTable6[[#This Row],[Customer_Info]])+1,FIND(",",RawSalesTable6[[#This Row],[Customer_Info]],FIND(",",RawSalesTable6[[#This Row],[Customer_Info]])+1)-FIND(",",RawSalesTable6[[#This Row],[Customer_Info]])-1))</f>
        <v>Laval</v>
      </c>
      <c r="W155" s="8" t="str">
        <f>TRIM(RIGHT(RawSalesTable6[[#This Row],[Customer_Info]],LEN(RawSalesTable6[[#This Row],[Customer_Info]])-FIND(",",RawSalesTable6[[#This Row],[Customer_Info]],FIND(",",RawSalesTable6[[#This Row],[Customer_Info]])+1)))</f>
        <v>Consumer</v>
      </c>
      <c r="X155" s="8" t="str">
        <f>VLOOKUP(RawSalesTable6[[#This Row],[Product_ID_Clean]],ProductsTable[],2,FALSE)</f>
        <v>Humidifier</v>
      </c>
      <c r="Y155" s="8" t="str">
        <f>VLOOKUP(RawSalesTable6[[#This Row],[Product_ID_Clean]],ProductsTable[],3,FALSE)</f>
        <v>Home</v>
      </c>
      <c r="Z155" s="8">
        <f>VLOOKUP(RawSalesTable6[[#This Row],[Product_ID_Clean]],ProductsTable[],5,FALSE)</f>
        <v>239.67</v>
      </c>
      <c r="AA155" s="8">
        <f>RawSalesTable6[[#This Row],[Unit_Price]]*RawSalesTable6[[#This Row],[Quantity]]</f>
        <v>396.12</v>
      </c>
      <c r="AB155" s="8">
        <f>RawSalesTable6[[#This Row],[Gross_Sales]]*RawSalesTable6[[#This Row],[Discount_Pct]]</f>
        <v>0</v>
      </c>
      <c r="AC155" s="8">
        <f>RawSalesTable6[[#This Row],[Gross_Sales]]-RawSalesTable6[[#This Row],[Discount_Amount]]</f>
        <v>396.12</v>
      </c>
      <c r="AD155" s="8">
        <f>RawSalesTable6[[#This Row],[Unit_Cost]]*RawSalesTable6[[#This Row],[Quantity]]</f>
        <v>239.67</v>
      </c>
      <c r="AE155" s="8">
        <f>RawSalesTable6[[#This Row],[Net_Sales]]-RawSalesTable6[[#This Row],[Total_Cost]]</f>
        <v>156.45000000000002</v>
      </c>
      <c r="AF155" s="9">
        <f>RawSalesTable6[[#This Row],[Profit]]/RawSalesTable6[[#This Row],[Net_Sales]]</f>
        <v>0.39495607391699489</v>
      </c>
      <c r="AG155" s="8">
        <f>YEAR(RawSalesTable6[[#This Row],[Order_Date]])</f>
        <v>2025</v>
      </c>
      <c r="AH155" s="8">
        <f>MONTH(RawSalesTable6[[#This Row],[Order_Date]])</f>
        <v>3</v>
      </c>
      <c r="AI155" s="8" t="str">
        <f>TEXT(RawSalesTable6[[#This Row],[Order_Date]],"mmmm")</f>
        <v>mars</v>
      </c>
      <c r="AJ155" s="8" t="str">
        <f>IF(RawSalesTable6[[#This Row],[Month_Number]]&lt;=3,"Q1",IF(RawSalesTable6[[#This Row],[Month_Number]]&lt;=6,"Q2",IF(RawSalesTable6[[#This Row],[Month_Number]]&lt;=9,"Q3","Q4")))</f>
        <v>Q1</v>
      </c>
      <c r="AK155" s="8" t="str">
        <f>VLOOKUP(RawSalesTable6[[#This Row],[Customer_ID_Clean]],CustomersTable[],4,FALSE)</f>
        <v>Quebec</v>
      </c>
      <c r="AL155" s="8">
        <f>IF(RawSalesTable6[[#This Row],[Return_Status]]="Yes",1,0)</f>
        <v>0</v>
      </c>
    </row>
    <row r="156" spans="1:38">
      <c r="A156" t="s">
        <v>486</v>
      </c>
      <c r="B156" s="3">
        <v>45687</v>
      </c>
      <c r="C156" t="s">
        <v>487</v>
      </c>
      <c r="D156" t="s">
        <v>133</v>
      </c>
      <c r="E156" t="s">
        <v>488</v>
      </c>
      <c r="F156" t="s">
        <v>145</v>
      </c>
      <c r="G156" t="s">
        <v>96</v>
      </c>
      <c r="H156" t="s">
        <v>89</v>
      </c>
      <c r="I156">
        <v>3</v>
      </c>
      <c r="J156" s="2">
        <v>341.51</v>
      </c>
      <c r="K156" s="4">
        <v>0.25</v>
      </c>
      <c r="L156" t="s">
        <v>98</v>
      </c>
      <c r="M156">
        <v>8</v>
      </c>
      <c r="N156" t="s">
        <v>91</v>
      </c>
      <c r="O156" t="str">
        <f>SUBSTITUTE(PROPER(TRIM(RawSalesTable6[[#This Row],[Channel_Raw]])),"Market Place","Marketplace")</f>
        <v>Online</v>
      </c>
      <c r="P156" t="str">
        <f>TRIM(RawSalesTable6[[#This Row],[Product_ID]])</f>
        <v>P1039</v>
      </c>
      <c r="Q156" t="str">
        <f>TRIM(RawSalesTable6[[#This Row],[Customer_ID]])</f>
        <v>C0105</v>
      </c>
      <c r="R156" s="8" t="str">
        <f>PROPER(TRIM(RawSalesTable6[[#This Row],[Store_Raw]]))</f>
        <v>Calgary North</v>
      </c>
      <c r="S156" s="8" t="str">
        <f>IF(TRIM(RawSalesTable6[[#This Row],[Payment_Method_Raw]])="","Non renseigné",SUBSTITUTE(PROPER(TRIM(RawSalesTable6[[#This Row],[Payment_Method_Raw]])),"Cc","Credit Card"))</f>
        <v>Debit Card</v>
      </c>
      <c r="T156" s="8">
        <f>COUNTIF(A:A,RawSalesTable6[[#This Row],[Order_ID]])</f>
        <v>1</v>
      </c>
      <c r="U156" s="8" t="str">
        <f>TRIM(LEFT(RawSalesTable6[[#This Row],[Customer_Info]],FIND(",",RawSalesTable6[[#This Row],[Customer_Info]])-1))</f>
        <v>Liam Martin</v>
      </c>
      <c r="V156" s="8" t="str">
        <f>TRIM(MID(RawSalesTable6[[#This Row],[Customer_Info]],FIND(",",RawSalesTable6[[#This Row],[Customer_Info]])+1,FIND(",",RawSalesTable6[[#This Row],[Customer_Info]],FIND(",",RawSalesTable6[[#This Row],[Customer_Info]])+1)-FIND(",",RawSalesTable6[[#This Row],[Customer_Info]])-1))</f>
        <v>Calgary</v>
      </c>
      <c r="W156" s="8" t="str">
        <f>TRIM(RIGHT(RawSalesTable6[[#This Row],[Customer_Info]],LEN(RawSalesTable6[[#This Row],[Customer_Info]])-FIND(",",RawSalesTable6[[#This Row],[Customer_Info]],FIND(",",RawSalesTable6[[#This Row],[Customer_Info]])+1)))</f>
        <v>Consumer</v>
      </c>
      <c r="X156" s="8" t="str">
        <f>VLOOKUP(RawSalesTable6[[#This Row],[Product_ID_Clean]],ProductsTable[],2,FALSE)</f>
        <v>Travel Adapter</v>
      </c>
      <c r="Y156" s="8" t="str">
        <f>VLOOKUP(RawSalesTable6[[#This Row],[Product_ID_Clean]],ProductsTable[],3,FALSE)</f>
        <v>Accessories</v>
      </c>
      <c r="Z156" s="8">
        <f>VLOOKUP(RawSalesTable6[[#This Row],[Product_ID_Clean]],ProductsTable[],5,FALSE)</f>
        <v>229.86</v>
      </c>
      <c r="AA156" s="8">
        <f>RawSalesTable6[[#This Row],[Unit_Price]]*RawSalesTable6[[#This Row],[Quantity]]</f>
        <v>1024.53</v>
      </c>
      <c r="AB156" s="8">
        <f>RawSalesTable6[[#This Row],[Gross_Sales]]*RawSalesTable6[[#This Row],[Discount_Pct]]</f>
        <v>256.13249999999999</v>
      </c>
      <c r="AC156" s="8">
        <f>RawSalesTable6[[#This Row],[Gross_Sales]]-RawSalesTable6[[#This Row],[Discount_Amount]]</f>
        <v>768.39750000000004</v>
      </c>
      <c r="AD156" s="8">
        <f>RawSalesTable6[[#This Row],[Unit_Cost]]*RawSalesTable6[[#This Row],[Quantity]]</f>
        <v>689.58</v>
      </c>
      <c r="AE156" s="8">
        <f>RawSalesTable6[[#This Row],[Net_Sales]]-RawSalesTable6[[#This Row],[Total_Cost]]</f>
        <v>78.817499999999995</v>
      </c>
      <c r="AF156" s="9">
        <f>RawSalesTable6[[#This Row],[Profit]]/RawSalesTable6[[#This Row],[Net_Sales]]</f>
        <v>0.10257386313724341</v>
      </c>
      <c r="AG156" s="8">
        <f>YEAR(RawSalesTable6[[#This Row],[Order_Date]])</f>
        <v>2025</v>
      </c>
      <c r="AH156" s="8">
        <f>MONTH(RawSalesTable6[[#This Row],[Order_Date]])</f>
        <v>1</v>
      </c>
      <c r="AI156" s="8" t="str">
        <f>TEXT(RawSalesTable6[[#This Row],[Order_Date]],"mmmm")</f>
        <v>janvier</v>
      </c>
      <c r="AJ156" s="8" t="str">
        <f>IF(RawSalesTable6[[#This Row],[Month_Number]]&lt;=3,"Q1",IF(RawSalesTable6[[#This Row],[Month_Number]]&lt;=6,"Q2",IF(RawSalesTable6[[#This Row],[Month_Number]]&lt;=9,"Q3","Q4")))</f>
        <v>Q1</v>
      </c>
      <c r="AK156" s="8" t="str">
        <f>VLOOKUP(RawSalesTable6[[#This Row],[Customer_ID_Clean]],CustomersTable[],4,FALSE)</f>
        <v>Alberta</v>
      </c>
      <c r="AL156" s="8">
        <f>IF(RawSalesTable6[[#This Row],[Return_Status]]="Yes",1,0)</f>
        <v>0</v>
      </c>
    </row>
    <row r="157" spans="1:38">
      <c r="A157" t="s">
        <v>489</v>
      </c>
      <c r="B157" s="3">
        <v>45906</v>
      </c>
      <c r="C157" t="s">
        <v>366</v>
      </c>
      <c r="D157" t="s">
        <v>85</v>
      </c>
      <c r="E157" t="s">
        <v>367</v>
      </c>
      <c r="F157" t="s">
        <v>103</v>
      </c>
      <c r="G157" t="s">
        <v>122</v>
      </c>
      <c r="H157" t="s">
        <v>97</v>
      </c>
      <c r="I157">
        <v>1</v>
      </c>
      <c r="J157" s="2">
        <v>320.8</v>
      </c>
      <c r="K157" s="4">
        <v>0.15</v>
      </c>
      <c r="L157" t="s">
        <v>106</v>
      </c>
      <c r="M157">
        <v>2</v>
      </c>
      <c r="N157" t="s">
        <v>91</v>
      </c>
      <c r="O157" t="str">
        <f>SUBSTITUTE(PROPER(TRIM(RawSalesTable6[[#This Row],[Channel_Raw]])),"Market Place","Marketplace")</f>
        <v>Retail Store</v>
      </c>
      <c r="P157" t="str">
        <f>TRIM(RawSalesTable6[[#This Row],[Product_ID]])</f>
        <v>P1025</v>
      </c>
      <c r="Q157" t="str">
        <f>TRIM(RawSalesTable6[[#This Row],[Customer_ID]])</f>
        <v>C0117</v>
      </c>
      <c r="R157" s="8" t="str">
        <f>PROPER(TRIM(RawSalesTable6[[#This Row],[Store_Raw]]))</f>
        <v>Vancouver West</v>
      </c>
      <c r="S157" s="8" t="str">
        <f>IF(TRIM(RawSalesTable6[[#This Row],[Payment_Method_Raw]])="","Non renseigné",SUBSTITUTE(PROPER(TRIM(RawSalesTable6[[#This Row],[Payment_Method_Raw]])),"Cc","Credit Card"))</f>
        <v>Credit Card</v>
      </c>
      <c r="T157" s="8">
        <f>COUNTIF(A:A,RawSalesTable6[[#This Row],[Order_ID]])</f>
        <v>1</v>
      </c>
      <c r="U157" s="8" t="str">
        <f>TRIM(LEFT(RawSalesTable6[[#This Row],[Customer_Info]],FIND(",",RawSalesTable6[[#This Row],[Customer_Info]])-1))</f>
        <v>Ethan Hall</v>
      </c>
      <c r="V157" s="8" t="str">
        <f>TRIM(MID(RawSalesTable6[[#This Row],[Customer_Info]],FIND(",",RawSalesTable6[[#This Row],[Customer_Info]])+1,FIND(",",RawSalesTable6[[#This Row],[Customer_Info]],FIND(",",RawSalesTable6[[#This Row],[Customer_Info]])+1)-FIND(",",RawSalesTable6[[#This Row],[Customer_Info]])-1))</f>
        <v>Vancouver</v>
      </c>
      <c r="W157" s="8" t="str">
        <f>TRIM(RIGHT(RawSalesTable6[[#This Row],[Customer_Info]],LEN(RawSalesTable6[[#This Row],[Customer_Info]])-FIND(",",RawSalesTable6[[#This Row],[Customer_Info]],FIND(",",RawSalesTable6[[#This Row],[Customer_Info]])+1)))</f>
        <v>Consumer</v>
      </c>
      <c r="X157" s="8" t="str">
        <f>VLOOKUP(RawSalesTable6[[#This Row],[Product_ID_Clean]],ProductsTable[],2,FALSE)</f>
        <v>Yoga Mat</v>
      </c>
      <c r="Y157" s="8" t="str">
        <f>VLOOKUP(RawSalesTable6[[#This Row],[Product_ID_Clean]],ProductsTable[],3,FALSE)</f>
        <v>Fitness</v>
      </c>
      <c r="Z157" s="8">
        <f>VLOOKUP(RawSalesTable6[[#This Row],[Product_ID_Clean]],ProductsTable[],5,FALSE)</f>
        <v>197.33</v>
      </c>
      <c r="AA157" s="8">
        <f>RawSalesTable6[[#This Row],[Unit_Price]]*RawSalesTable6[[#This Row],[Quantity]]</f>
        <v>320.8</v>
      </c>
      <c r="AB157" s="8">
        <f>RawSalesTable6[[#This Row],[Gross_Sales]]*RawSalesTable6[[#This Row],[Discount_Pct]]</f>
        <v>48.12</v>
      </c>
      <c r="AC157" s="8">
        <f>RawSalesTable6[[#This Row],[Gross_Sales]]-RawSalesTable6[[#This Row],[Discount_Amount]]</f>
        <v>272.68</v>
      </c>
      <c r="AD157" s="8">
        <f>RawSalesTable6[[#This Row],[Unit_Cost]]*RawSalesTable6[[#This Row],[Quantity]]</f>
        <v>197.33</v>
      </c>
      <c r="AE157" s="8">
        <f>RawSalesTable6[[#This Row],[Net_Sales]]-RawSalesTable6[[#This Row],[Total_Cost]]</f>
        <v>75.349999999999994</v>
      </c>
      <c r="AF157" s="9">
        <f>RawSalesTable6[[#This Row],[Profit]]/RawSalesTable6[[#This Row],[Net_Sales]]</f>
        <v>0.27633123074666271</v>
      </c>
      <c r="AG157" s="8">
        <f>YEAR(RawSalesTable6[[#This Row],[Order_Date]])</f>
        <v>2025</v>
      </c>
      <c r="AH157" s="8">
        <f>MONTH(RawSalesTable6[[#This Row],[Order_Date]])</f>
        <v>9</v>
      </c>
      <c r="AI157" s="8" t="str">
        <f>TEXT(RawSalesTable6[[#This Row],[Order_Date]],"mmmm")</f>
        <v>septembre</v>
      </c>
      <c r="AJ157" s="8" t="str">
        <f>IF(RawSalesTable6[[#This Row],[Month_Number]]&lt;=3,"Q1",IF(RawSalesTable6[[#This Row],[Month_Number]]&lt;=6,"Q2",IF(RawSalesTable6[[#This Row],[Month_Number]]&lt;=9,"Q3","Q4")))</f>
        <v>Q3</v>
      </c>
      <c r="AK157" s="8" t="str">
        <f>VLOOKUP(RawSalesTable6[[#This Row],[Customer_ID_Clean]],CustomersTable[],4,FALSE)</f>
        <v>British Columbia</v>
      </c>
      <c r="AL157" s="8">
        <f>IF(RawSalesTable6[[#This Row],[Return_Status]]="Yes",1,0)</f>
        <v>0</v>
      </c>
    </row>
    <row r="158" spans="1:38">
      <c r="A158" t="s">
        <v>490</v>
      </c>
      <c r="B158" s="3">
        <v>45714</v>
      </c>
      <c r="C158" t="s">
        <v>491</v>
      </c>
      <c r="D158" t="s">
        <v>85</v>
      </c>
      <c r="E158" t="s">
        <v>492</v>
      </c>
      <c r="F158" t="s">
        <v>103</v>
      </c>
      <c r="G158" t="s">
        <v>183</v>
      </c>
      <c r="H158" t="s">
        <v>97</v>
      </c>
      <c r="I158">
        <v>3</v>
      </c>
      <c r="J158" s="2">
        <v>317.19</v>
      </c>
      <c r="K158" s="4">
        <v>0.1</v>
      </c>
      <c r="L158" t="s">
        <v>106</v>
      </c>
      <c r="M158">
        <v>4</v>
      </c>
      <c r="N158" t="s">
        <v>91</v>
      </c>
      <c r="O158" t="str">
        <f>SUBSTITUTE(PROPER(TRIM(RawSalesTable6[[#This Row],[Channel_Raw]])),"Market Place","Marketplace")</f>
        <v>Retail Store</v>
      </c>
      <c r="P158" t="str">
        <f>TRIM(RawSalesTable6[[#This Row],[Product_ID]])</f>
        <v>P1025</v>
      </c>
      <c r="Q158" t="str">
        <f>TRIM(RawSalesTable6[[#This Row],[Customer_ID]])</f>
        <v>C0045</v>
      </c>
      <c r="R158" s="8" t="str">
        <f>PROPER(TRIM(RawSalesTable6[[#This Row],[Store_Raw]]))</f>
        <v>Vancouver West</v>
      </c>
      <c r="S158" s="8" t="str">
        <f>IF(TRIM(RawSalesTable6[[#This Row],[Payment_Method_Raw]])="","Non renseigné",SUBSTITUTE(PROPER(TRIM(RawSalesTable6[[#This Row],[Payment_Method_Raw]])),"Cc","Credit Card"))</f>
        <v>Credit Card</v>
      </c>
      <c r="T158" s="8">
        <f>COUNTIF(A:A,RawSalesTable6[[#This Row],[Order_ID]])</f>
        <v>1</v>
      </c>
      <c r="U158" s="8" t="str">
        <f>TRIM(LEFT(RawSalesTable6[[#This Row],[Customer_Info]],FIND(",",RawSalesTable6[[#This Row],[Customer_Info]])-1))</f>
        <v>Lucas Chen</v>
      </c>
      <c r="V158" s="8" t="str">
        <f>TRIM(MID(RawSalesTable6[[#This Row],[Customer_Info]],FIND(",",RawSalesTable6[[#This Row],[Customer_Info]])+1,FIND(",",RawSalesTable6[[#This Row],[Customer_Info]],FIND(",",RawSalesTable6[[#This Row],[Customer_Info]])+1)-FIND(",",RawSalesTable6[[#This Row],[Customer_Info]])-1))</f>
        <v>Ottawa</v>
      </c>
      <c r="W158" s="8" t="str">
        <f>TRIM(RIGHT(RawSalesTable6[[#This Row],[Customer_Info]],LEN(RawSalesTable6[[#This Row],[Customer_Info]])-FIND(",",RawSalesTable6[[#This Row],[Customer_Info]],FIND(",",RawSalesTable6[[#This Row],[Customer_Info]])+1)))</f>
        <v>Corporate</v>
      </c>
      <c r="X158" s="8" t="str">
        <f>VLOOKUP(RawSalesTable6[[#This Row],[Product_ID_Clean]],ProductsTable[],2,FALSE)</f>
        <v>Yoga Mat</v>
      </c>
      <c r="Y158" s="8" t="str">
        <f>VLOOKUP(RawSalesTable6[[#This Row],[Product_ID_Clean]],ProductsTable[],3,FALSE)</f>
        <v>Fitness</v>
      </c>
      <c r="Z158" s="8">
        <f>VLOOKUP(RawSalesTable6[[#This Row],[Product_ID_Clean]],ProductsTable[],5,FALSE)</f>
        <v>197.33</v>
      </c>
      <c r="AA158" s="8">
        <f>RawSalesTable6[[#This Row],[Unit_Price]]*RawSalesTable6[[#This Row],[Quantity]]</f>
        <v>951.56999999999994</v>
      </c>
      <c r="AB158" s="8">
        <f>RawSalesTable6[[#This Row],[Gross_Sales]]*RawSalesTable6[[#This Row],[Discount_Pct]]</f>
        <v>95.156999999999996</v>
      </c>
      <c r="AC158" s="8">
        <f>RawSalesTable6[[#This Row],[Gross_Sales]]-RawSalesTable6[[#This Row],[Discount_Amount]]</f>
        <v>856.4129999999999</v>
      </c>
      <c r="AD158" s="8">
        <f>RawSalesTable6[[#This Row],[Unit_Cost]]*RawSalesTable6[[#This Row],[Quantity]]</f>
        <v>591.99</v>
      </c>
      <c r="AE158" s="8">
        <f>RawSalesTable6[[#This Row],[Net_Sales]]-RawSalesTable6[[#This Row],[Total_Cost]]</f>
        <v>264.42299999999989</v>
      </c>
      <c r="AF158" s="9">
        <f>RawSalesTable6[[#This Row],[Profit]]/RawSalesTable6[[#This Row],[Net_Sales]]</f>
        <v>0.30875640607977684</v>
      </c>
      <c r="AG158" s="8">
        <f>YEAR(RawSalesTable6[[#This Row],[Order_Date]])</f>
        <v>2025</v>
      </c>
      <c r="AH158" s="8">
        <f>MONTH(RawSalesTable6[[#This Row],[Order_Date]])</f>
        <v>2</v>
      </c>
      <c r="AI158" s="8" t="str">
        <f>TEXT(RawSalesTable6[[#This Row],[Order_Date]],"mmmm")</f>
        <v>février</v>
      </c>
      <c r="AJ158" s="8" t="str">
        <f>IF(RawSalesTable6[[#This Row],[Month_Number]]&lt;=3,"Q1",IF(RawSalesTable6[[#This Row],[Month_Number]]&lt;=6,"Q2",IF(RawSalesTable6[[#This Row],[Month_Number]]&lt;=9,"Q3","Q4")))</f>
        <v>Q1</v>
      </c>
      <c r="AK158" s="8" t="str">
        <f>VLOOKUP(RawSalesTable6[[#This Row],[Customer_ID_Clean]],CustomersTable[],4,FALSE)</f>
        <v>Ontario</v>
      </c>
      <c r="AL158" s="8">
        <f>IF(RawSalesTable6[[#This Row],[Return_Status]]="Yes",1,0)</f>
        <v>0</v>
      </c>
    </row>
    <row r="159" spans="1:38">
      <c r="A159" t="s">
        <v>493</v>
      </c>
      <c r="B159" s="3">
        <v>45693</v>
      </c>
      <c r="C159" t="s">
        <v>494</v>
      </c>
      <c r="D159" t="s">
        <v>181</v>
      </c>
      <c r="E159" t="s">
        <v>495</v>
      </c>
      <c r="F159" t="s">
        <v>103</v>
      </c>
      <c r="G159" t="s">
        <v>96</v>
      </c>
      <c r="H159" t="s">
        <v>105</v>
      </c>
      <c r="I159">
        <v>1</v>
      </c>
      <c r="J159" s="2">
        <v>357.14</v>
      </c>
      <c r="K159" s="4">
        <v>0</v>
      </c>
      <c r="L159" t="s">
        <v>432</v>
      </c>
      <c r="M159">
        <v>2</v>
      </c>
      <c r="N159" t="s">
        <v>91</v>
      </c>
      <c r="O159" t="str">
        <f>SUBSTITUTE(PROPER(TRIM(RawSalesTable6[[#This Row],[Channel_Raw]])),"Market Place","Marketplace")</f>
        <v>Marketplace</v>
      </c>
      <c r="P159" t="str">
        <f>TRIM(RawSalesTable6[[#This Row],[Product_ID]])</f>
        <v>P1007</v>
      </c>
      <c r="Q159" t="str">
        <f>TRIM(RawSalesTable6[[#This Row],[Customer_ID]])</f>
        <v>C0017</v>
      </c>
      <c r="R159" s="8" t="str">
        <f>PROPER(TRIM(RawSalesTable6[[#This Row],[Store_Raw]]))</f>
        <v>Vancouver West</v>
      </c>
      <c r="S159" s="8" t="str">
        <f>IF(TRIM(RawSalesTable6[[#This Row],[Payment_Method_Raw]])="","Non renseigné",SUBSTITUTE(PROPER(TRIM(RawSalesTable6[[#This Row],[Payment_Method_Raw]])),"Cc","Credit Card"))</f>
        <v>Paypal</v>
      </c>
      <c r="T159" s="8">
        <f>COUNTIF(A:A,RawSalesTable6[[#This Row],[Order_ID]])</f>
        <v>1</v>
      </c>
      <c r="U159" s="8" t="str">
        <f>TRIM(LEFT(RawSalesTable6[[#This Row],[Customer_Info]],FIND(",",RawSalesTable6[[#This Row],[Customer_Info]])-1))</f>
        <v>Yasmine Khan</v>
      </c>
      <c r="V159" s="8" t="str">
        <f>TRIM(MID(RawSalesTable6[[#This Row],[Customer_Info]],FIND(",",RawSalesTable6[[#This Row],[Customer_Info]])+1,FIND(",",RawSalesTable6[[#This Row],[Customer_Info]],FIND(",",RawSalesTable6[[#This Row],[Customer_Info]])+1)-FIND(",",RawSalesTable6[[#This Row],[Customer_Info]])-1))</f>
        <v>Mississauga</v>
      </c>
      <c r="W159" s="8" t="str">
        <f>TRIM(RIGHT(RawSalesTable6[[#This Row],[Customer_Info]],LEN(RawSalesTable6[[#This Row],[Customer_Info]])-FIND(",",RawSalesTable6[[#This Row],[Customer_Info]],FIND(",",RawSalesTable6[[#This Row],[Customer_Info]])+1)))</f>
        <v>Corporate</v>
      </c>
      <c r="X159" s="8" t="str">
        <f>VLOOKUP(RawSalesTable6[[#This Row],[Product_ID_Clean]],ProductsTable[],2,FALSE)</f>
        <v>Monitor</v>
      </c>
      <c r="Y159" s="8" t="str">
        <f>VLOOKUP(RawSalesTable6[[#This Row],[Product_ID_Clean]],ProductsTable[],3,FALSE)</f>
        <v>Electronics</v>
      </c>
      <c r="Z159" s="8">
        <f>VLOOKUP(RawSalesTable6[[#This Row],[Product_ID_Clean]],ProductsTable[],5,FALSE)</f>
        <v>224.47</v>
      </c>
      <c r="AA159" s="8">
        <f>RawSalesTable6[[#This Row],[Unit_Price]]*RawSalesTable6[[#This Row],[Quantity]]</f>
        <v>357.14</v>
      </c>
      <c r="AB159" s="8">
        <f>RawSalesTable6[[#This Row],[Gross_Sales]]*RawSalesTable6[[#This Row],[Discount_Pct]]</f>
        <v>0</v>
      </c>
      <c r="AC159" s="8">
        <f>RawSalesTable6[[#This Row],[Gross_Sales]]-RawSalesTable6[[#This Row],[Discount_Amount]]</f>
        <v>357.14</v>
      </c>
      <c r="AD159" s="8">
        <f>RawSalesTable6[[#This Row],[Unit_Cost]]*RawSalesTable6[[#This Row],[Quantity]]</f>
        <v>224.47</v>
      </c>
      <c r="AE159" s="8">
        <f>RawSalesTable6[[#This Row],[Net_Sales]]-RawSalesTable6[[#This Row],[Total_Cost]]</f>
        <v>132.66999999999999</v>
      </c>
      <c r="AF159" s="9">
        <f>RawSalesTable6[[#This Row],[Profit]]/RawSalesTable6[[#This Row],[Net_Sales]]</f>
        <v>0.37147897183177464</v>
      </c>
      <c r="AG159" s="8">
        <f>YEAR(RawSalesTable6[[#This Row],[Order_Date]])</f>
        <v>2025</v>
      </c>
      <c r="AH159" s="8">
        <f>MONTH(RawSalesTable6[[#This Row],[Order_Date]])</f>
        <v>2</v>
      </c>
      <c r="AI159" s="8" t="str">
        <f>TEXT(RawSalesTable6[[#This Row],[Order_Date]],"mmmm")</f>
        <v>février</v>
      </c>
      <c r="AJ159" s="8" t="str">
        <f>IF(RawSalesTable6[[#This Row],[Month_Number]]&lt;=3,"Q1",IF(RawSalesTable6[[#This Row],[Month_Number]]&lt;=6,"Q2",IF(RawSalesTable6[[#This Row],[Month_Number]]&lt;=9,"Q3","Q4")))</f>
        <v>Q1</v>
      </c>
      <c r="AK159" s="8" t="str">
        <f>VLOOKUP(RawSalesTable6[[#This Row],[Customer_ID_Clean]],CustomersTable[],4,FALSE)</f>
        <v>Ontario</v>
      </c>
      <c r="AL159" s="8">
        <f>IF(RawSalesTable6[[#This Row],[Return_Status]]="Yes",1,0)</f>
        <v>0</v>
      </c>
    </row>
    <row r="160" spans="1:38">
      <c r="A160" t="s">
        <v>496</v>
      </c>
      <c r="B160" s="3">
        <v>45659</v>
      </c>
      <c r="C160" t="s">
        <v>497</v>
      </c>
      <c r="D160" t="s">
        <v>210</v>
      </c>
      <c r="E160" t="s">
        <v>498</v>
      </c>
      <c r="F160" t="s">
        <v>145</v>
      </c>
      <c r="G160" t="s">
        <v>130</v>
      </c>
      <c r="H160" t="s">
        <v>105</v>
      </c>
      <c r="I160">
        <v>1</v>
      </c>
      <c r="J160" s="2">
        <v>325.73</v>
      </c>
      <c r="K160" s="4">
        <v>0</v>
      </c>
      <c r="L160" t="s">
        <v>106</v>
      </c>
      <c r="M160">
        <v>2</v>
      </c>
      <c r="N160" t="s">
        <v>91</v>
      </c>
      <c r="O160" t="str">
        <f>SUBSTITUTE(PROPER(TRIM(RawSalesTable6[[#This Row],[Channel_Raw]])),"Market Place","Marketplace")</f>
        <v>Marketplace</v>
      </c>
      <c r="P160" t="str">
        <f>TRIM(RawSalesTable6[[#This Row],[Product_ID]])</f>
        <v>P1040</v>
      </c>
      <c r="Q160" t="str">
        <f>TRIM(RawSalesTable6[[#This Row],[Customer_ID]])</f>
        <v>C0022</v>
      </c>
      <c r="R160" s="8" t="str">
        <f>PROPER(TRIM(RawSalesTable6[[#This Row],[Store_Raw]]))</f>
        <v>Calgary North</v>
      </c>
      <c r="S160" s="8" t="str">
        <f>IF(TRIM(RawSalesTable6[[#This Row],[Payment_Method_Raw]])="","Non renseigné",SUBSTITUTE(PROPER(TRIM(RawSalesTable6[[#This Row],[Payment_Method_Raw]])),"Cc","Credit Card"))</f>
        <v>Credit Card</v>
      </c>
      <c r="T160" s="8">
        <f>COUNTIF(A:A,RawSalesTable6[[#This Row],[Order_ID]])</f>
        <v>1</v>
      </c>
      <c r="U160" s="8" t="str">
        <f>TRIM(LEFT(RawSalesTable6[[#This Row],[Customer_Info]],FIND(",",RawSalesTable6[[#This Row],[Customer_Info]])-1))</f>
        <v>Adam White</v>
      </c>
      <c r="V160" s="8" t="str">
        <f>TRIM(MID(RawSalesTable6[[#This Row],[Customer_Info]],FIND(",",RawSalesTable6[[#This Row],[Customer_Info]])+1,FIND(",",RawSalesTable6[[#This Row],[Customer_Info]],FIND(",",RawSalesTable6[[#This Row],[Customer_Info]])+1)-FIND(",",RawSalesTable6[[#This Row],[Customer_Info]])-1))</f>
        <v>Victoria</v>
      </c>
      <c r="W160" s="8" t="str">
        <f>TRIM(RIGHT(RawSalesTable6[[#This Row],[Customer_Info]],LEN(RawSalesTable6[[#This Row],[Customer_Info]])-FIND(",",RawSalesTable6[[#This Row],[Customer_Info]],FIND(",",RawSalesTable6[[#This Row],[Customer_Info]])+1)))</f>
        <v>Consumer</v>
      </c>
      <c r="X160" s="8" t="str">
        <f>VLOOKUP(RawSalesTable6[[#This Row],[Product_ID_Clean]],ProductsTable[],2,FALSE)</f>
        <v>Desk Pad</v>
      </c>
      <c r="Y160" s="8" t="str">
        <f>VLOOKUP(RawSalesTable6[[#This Row],[Product_ID_Clean]],ProductsTable[],3,FALSE)</f>
        <v>Accessories</v>
      </c>
      <c r="Z160" s="8">
        <f>VLOOKUP(RawSalesTable6[[#This Row],[Product_ID_Clean]],ProductsTable[],5,FALSE)</f>
        <v>177.57</v>
      </c>
      <c r="AA160" s="8">
        <f>RawSalesTable6[[#This Row],[Unit_Price]]*RawSalesTable6[[#This Row],[Quantity]]</f>
        <v>325.73</v>
      </c>
      <c r="AB160" s="8">
        <f>RawSalesTable6[[#This Row],[Gross_Sales]]*RawSalesTable6[[#This Row],[Discount_Pct]]</f>
        <v>0</v>
      </c>
      <c r="AC160" s="8">
        <f>RawSalesTable6[[#This Row],[Gross_Sales]]-RawSalesTable6[[#This Row],[Discount_Amount]]</f>
        <v>325.73</v>
      </c>
      <c r="AD160" s="8">
        <f>RawSalesTable6[[#This Row],[Unit_Cost]]*RawSalesTable6[[#This Row],[Quantity]]</f>
        <v>177.57</v>
      </c>
      <c r="AE160" s="8">
        <f>RawSalesTable6[[#This Row],[Net_Sales]]-RawSalesTable6[[#This Row],[Total_Cost]]</f>
        <v>148.16000000000003</v>
      </c>
      <c r="AF160" s="9">
        <f>RawSalesTable6[[#This Row],[Profit]]/RawSalesTable6[[#This Row],[Net_Sales]]</f>
        <v>0.45485524821170914</v>
      </c>
      <c r="AG160" s="8">
        <f>YEAR(RawSalesTable6[[#This Row],[Order_Date]])</f>
        <v>2025</v>
      </c>
      <c r="AH160" s="8">
        <f>MONTH(RawSalesTable6[[#This Row],[Order_Date]])</f>
        <v>1</v>
      </c>
      <c r="AI160" s="8" t="str">
        <f>TEXT(RawSalesTable6[[#This Row],[Order_Date]],"mmmm")</f>
        <v>janvier</v>
      </c>
      <c r="AJ160" s="8" t="str">
        <f>IF(RawSalesTable6[[#This Row],[Month_Number]]&lt;=3,"Q1",IF(RawSalesTable6[[#This Row],[Month_Number]]&lt;=6,"Q2",IF(RawSalesTable6[[#This Row],[Month_Number]]&lt;=9,"Q3","Q4")))</f>
        <v>Q1</v>
      </c>
      <c r="AK160" s="8" t="str">
        <f>VLOOKUP(RawSalesTable6[[#This Row],[Customer_ID_Clean]],CustomersTable[],4,FALSE)</f>
        <v>British Columbia</v>
      </c>
      <c r="AL160" s="8">
        <f>IF(RawSalesTable6[[#This Row],[Return_Status]]="Yes",1,0)</f>
        <v>0</v>
      </c>
    </row>
    <row r="161" spans="1:38">
      <c r="A161" t="s">
        <v>499</v>
      </c>
      <c r="B161" s="3">
        <v>45998</v>
      </c>
      <c r="C161" t="s">
        <v>500</v>
      </c>
      <c r="D161" t="s">
        <v>125</v>
      </c>
      <c r="E161" t="s">
        <v>501</v>
      </c>
      <c r="F161" t="s">
        <v>111</v>
      </c>
      <c r="G161" t="s">
        <v>171</v>
      </c>
      <c r="H161" t="s">
        <v>89</v>
      </c>
      <c r="I161">
        <v>1</v>
      </c>
      <c r="J161" s="2">
        <v>55.34</v>
      </c>
      <c r="K161" s="4">
        <v>0.25</v>
      </c>
      <c r="L161" t="s">
        <v>106</v>
      </c>
      <c r="M161">
        <v>5</v>
      </c>
      <c r="N161" t="s">
        <v>91</v>
      </c>
      <c r="O161" t="str">
        <f>SUBSTITUTE(PROPER(TRIM(RawSalesTable6[[#This Row],[Channel_Raw]])),"Market Place","Marketplace")</f>
        <v>Online</v>
      </c>
      <c r="P161" t="str">
        <f>TRIM(RawSalesTable6[[#This Row],[Product_ID]])</f>
        <v>P1027</v>
      </c>
      <c r="Q161" t="str">
        <f>TRIM(RawSalesTable6[[#This Row],[Customer_ID]])</f>
        <v>C0059</v>
      </c>
      <c r="R161" s="8" t="str">
        <f>PROPER(TRIM(RawSalesTable6[[#This Row],[Store_Raw]]))</f>
        <v>Montreal Central</v>
      </c>
      <c r="S161" s="8" t="str">
        <f>IF(TRIM(RawSalesTable6[[#This Row],[Payment_Method_Raw]])="","Non renseigné",SUBSTITUTE(PROPER(TRIM(RawSalesTable6[[#This Row],[Payment_Method_Raw]])),"Cc","Credit Card"))</f>
        <v>Credit Card</v>
      </c>
      <c r="T161" s="8">
        <f>COUNTIF(A:A,RawSalesTable6[[#This Row],[Order_ID]])</f>
        <v>1</v>
      </c>
      <c r="U161" s="8" t="str">
        <f>TRIM(LEFT(RawSalesTable6[[#This Row],[Customer_Info]],FIND(",",RawSalesTable6[[#This Row],[Customer_Info]])-1))</f>
        <v>Lucas Chen</v>
      </c>
      <c r="V161" s="8" t="str">
        <f>TRIM(MID(RawSalesTable6[[#This Row],[Customer_Info]],FIND(",",RawSalesTable6[[#This Row],[Customer_Info]])+1,FIND(",",RawSalesTable6[[#This Row],[Customer_Info]],FIND(",",RawSalesTable6[[#This Row],[Customer_Info]])+1)-FIND(",",RawSalesTable6[[#This Row],[Customer_Info]])-1))</f>
        <v>Vancouver</v>
      </c>
      <c r="W161" s="8" t="str">
        <f>TRIM(RIGHT(RawSalesTable6[[#This Row],[Customer_Info]],LEN(RawSalesTable6[[#This Row],[Customer_Info]])-FIND(",",RawSalesTable6[[#This Row],[Customer_Info]],FIND(",",RawSalesTable6[[#This Row],[Customer_Info]])+1)))</f>
        <v>Corporate</v>
      </c>
      <c r="X161" s="8" t="str">
        <f>VLOOKUP(RawSalesTable6[[#This Row],[Product_ID_Clean]],ProductsTable[],2,FALSE)</f>
        <v>Kettlebell</v>
      </c>
      <c r="Y161" s="8" t="str">
        <f>VLOOKUP(RawSalesTable6[[#This Row],[Product_ID_Clean]],ProductsTable[],3,FALSE)</f>
        <v>Fitness</v>
      </c>
      <c r="Z161" s="8">
        <f>VLOOKUP(RawSalesTable6[[#This Row],[Product_ID_Clean]],ProductsTable[],5,FALSE)</f>
        <v>25.97</v>
      </c>
      <c r="AA161" s="8">
        <f>RawSalesTable6[[#This Row],[Unit_Price]]*RawSalesTable6[[#This Row],[Quantity]]</f>
        <v>55.34</v>
      </c>
      <c r="AB161" s="8">
        <f>RawSalesTable6[[#This Row],[Gross_Sales]]*RawSalesTable6[[#This Row],[Discount_Pct]]</f>
        <v>13.835000000000001</v>
      </c>
      <c r="AC161" s="8">
        <f>RawSalesTable6[[#This Row],[Gross_Sales]]-RawSalesTable6[[#This Row],[Discount_Amount]]</f>
        <v>41.505000000000003</v>
      </c>
      <c r="AD161" s="8">
        <f>RawSalesTable6[[#This Row],[Unit_Cost]]*RawSalesTable6[[#This Row],[Quantity]]</f>
        <v>25.97</v>
      </c>
      <c r="AE161" s="8">
        <f>RawSalesTable6[[#This Row],[Net_Sales]]-RawSalesTable6[[#This Row],[Total_Cost]]</f>
        <v>15.535000000000004</v>
      </c>
      <c r="AF161" s="9">
        <f>RawSalesTable6[[#This Row],[Profit]]/RawSalesTable6[[#This Row],[Net_Sales]]</f>
        <v>0.37429225394530785</v>
      </c>
      <c r="AG161" s="8">
        <f>YEAR(RawSalesTable6[[#This Row],[Order_Date]])</f>
        <v>2025</v>
      </c>
      <c r="AH161" s="8">
        <f>MONTH(RawSalesTable6[[#This Row],[Order_Date]])</f>
        <v>12</v>
      </c>
      <c r="AI161" s="8" t="str">
        <f>TEXT(RawSalesTable6[[#This Row],[Order_Date]],"mmmm")</f>
        <v>décembre</v>
      </c>
      <c r="AJ161" s="8" t="str">
        <f>IF(RawSalesTable6[[#This Row],[Month_Number]]&lt;=3,"Q1",IF(RawSalesTable6[[#This Row],[Month_Number]]&lt;=6,"Q2",IF(RawSalesTable6[[#This Row],[Month_Number]]&lt;=9,"Q3","Q4")))</f>
        <v>Q4</v>
      </c>
      <c r="AK161" s="8" t="str">
        <f>VLOOKUP(RawSalesTable6[[#This Row],[Customer_ID_Clean]],CustomersTable[],4,FALSE)</f>
        <v>British Columbia</v>
      </c>
      <c r="AL161" s="8">
        <f>IF(RawSalesTable6[[#This Row],[Return_Status]]="Yes",1,0)</f>
        <v>0</v>
      </c>
    </row>
    <row r="162" spans="1:38">
      <c r="A162" t="s">
        <v>502</v>
      </c>
      <c r="B162" s="3">
        <v>45955</v>
      </c>
      <c r="C162" t="s">
        <v>173</v>
      </c>
      <c r="D162" t="s">
        <v>503</v>
      </c>
      <c r="E162" t="s">
        <v>175</v>
      </c>
      <c r="F162" t="s">
        <v>116</v>
      </c>
      <c r="G162" t="s">
        <v>96</v>
      </c>
      <c r="H162" t="s">
        <v>246</v>
      </c>
      <c r="I162">
        <v>1</v>
      </c>
      <c r="J162" s="2">
        <v>129.55000000000001</v>
      </c>
      <c r="K162" s="4">
        <v>0.15</v>
      </c>
      <c r="L162" t="s">
        <v>504</v>
      </c>
      <c r="M162">
        <v>2</v>
      </c>
      <c r="N162" t="s">
        <v>91</v>
      </c>
      <c r="O162" t="str">
        <f>SUBSTITUTE(PROPER(TRIM(RawSalesTable6[[#This Row],[Channel_Raw]])),"Market Place","Marketplace")</f>
        <v>Retail Store</v>
      </c>
      <c r="P162" t="str">
        <f>TRIM(RawSalesTable6[[#This Row],[Product_ID]])</f>
        <v>P1013</v>
      </c>
      <c r="Q162" t="str">
        <f>TRIM(RawSalesTable6[[#This Row],[Customer_ID]])</f>
        <v>C0077</v>
      </c>
      <c r="R162" s="8" t="str">
        <f>PROPER(TRIM(RawSalesTable6[[#This Row],[Store_Raw]]))</f>
        <v>Toronto Downtown</v>
      </c>
      <c r="S162" s="8" t="str">
        <f>IF(TRIM(RawSalesTable6[[#This Row],[Payment_Method_Raw]])="","Non renseigné",SUBSTITUTE(PROPER(TRIM(RawSalesTable6[[#This Row],[Payment_Method_Raw]])),"Cc","Credit Card"))</f>
        <v>Debit Card</v>
      </c>
      <c r="T162" s="8">
        <f>COUNTIF(A:A,RawSalesTable6[[#This Row],[Order_ID]])</f>
        <v>1</v>
      </c>
      <c r="U162" s="8" t="str">
        <f>TRIM(LEFT(RawSalesTable6[[#This Row],[Customer_Info]],FIND(",",RawSalesTable6[[#This Row],[Customer_Info]])-1))</f>
        <v>Amine Taylor</v>
      </c>
      <c r="V162" s="8" t="str">
        <f>TRIM(MID(RawSalesTable6[[#This Row],[Customer_Info]],FIND(",",RawSalesTable6[[#This Row],[Customer_Info]])+1,FIND(",",RawSalesTable6[[#This Row],[Customer_Info]],FIND(",",RawSalesTable6[[#This Row],[Customer_Info]])+1)-FIND(",",RawSalesTable6[[#This Row],[Customer_Info]])-1))</f>
        <v>Surrey</v>
      </c>
      <c r="W162" s="8" t="str">
        <f>TRIM(RIGHT(RawSalesTable6[[#This Row],[Customer_Info]],LEN(RawSalesTable6[[#This Row],[Customer_Info]])-FIND(",",RawSalesTable6[[#This Row],[Customer_Info]],FIND(",",RawSalesTable6[[#This Row],[Customer_Info]])+1)))</f>
        <v>Small Business</v>
      </c>
      <c r="X162" s="8" t="str">
        <f>VLOOKUP(RawSalesTable6[[#This Row],[Product_ID_Clean]],ProductsTable[],2,FALSE)</f>
        <v>Whiteboard</v>
      </c>
      <c r="Y162" s="8" t="str">
        <f>VLOOKUP(RawSalesTable6[[#This Row],[Product_ID_Clean]],ProductsTable[],3,FALSE)</f>
        <v>Office</v>
      </c>
      <c r="Z162" s="8">
        <f>VLOOKUP(RawSalesTable6[[#This Row],[Product_ID_Clean]],ProductsTable[],5,FALSE)</f>
        <v>85.73</v>
      </c>
      <c r="AA162" s="8">
        <f>RawSalesTable6[[#This Row],[Unit_Price]]*RawSalesTable6[[#This Row],[Quantity]]</f>
        <v>129.55000000000001</v>
      </c>
      <c r="AB162" s="8">
        <f>RawSalesTable6[[#This Row],[Gross_Sales]]*RawSalesTable6[[#This Row],[Discount_Pct]]</f>
        <v>19.432500000000001</v>
      </c>
      <c r="AC162" s="8">
        <f>RawSalesTable6[[#This Row],[Gross_Sales]]-RawSalesTable6[[#This Row],[Discount_Amount]]</f>
        <v>110.11750000000001</v>
      </c>
      <c r="AD162" s="8">
        <f>RawSalesTable6[[#This Row],[Unit_Cost]]*RawSalesTable6[[#This Row],[Quantity]]</f>
        <v>85.73</v>
      </c>
      <c r="AE162" s="8">
        <f>RawSalesTable6[[#This Row],[Net_Sales]]-RawSalesTable6[[#This Row],[Total_Cost]]</f>
        <v>24.387500000000003</v>
      </c>
      <c r="AF162" s="9">
        <f>RawSalesTable6[[#This Row],[Profit]]/RawSalesTable6[[#This Row],[Net_Sales]]</f>
        <v>0.22146797738779034</v>
      </c>
      <c r="AG162" s="8">
        <f>YEAR(RawSalesTable6[[#This Row],[Order_Date]])</f>
        <v>2025</v>
      </c>
      <c r="AH162" s="8">
        <f>MONTH(RawSalesTable6[[#This Row],[Order_Date]])</f>
        <v>10</v>
      </c>
      <c r="AI162" s="8" t="str">
        <f>TEXT(RawSalesTable6[[#This Row],[Order_Date]],"mmmm")</f>
        <v>octobre</v>
      </c>
      <c r="AJ162" s="8" t="str">
        <f>IF(RawSalesTable6[[#This Row],[Month_Number]]&lt;=3,"Q1",IF(RawSalesTable6[[#This Row],[Month_Number]]&lt;=6,"Q2",IF(RawSalesTable6[[#This Row],[Month_Number]]&lt;=9,"Q3","Q4")))</f>
        <v>Q4</v>
      </c>
      <c r="AK162" s="8" t="str">
        <f>VLOOKUP(RawSalesTable6[[#This Row],[Customer_ID_Clean]],CustomersTable[],4,FALSE)</f>
        <v>British Columbia</v>
      </c>
      <c r="AL162" s="8">
        <f>IF(RawSalesTable6[[#This Row],[Return_Status]]="Yes",1,0)</f>
        <v>0</v>
      </c>
    </row>
    <row r="163" spans="1:38">
      <c r="A163" t="s">
        <v>505</v>
      </c>
      <c r="B163" s="3">
        <v>45685</v>
      </c>
      <c r="C163" t="s">
        <v>220</v>
      </c>
      <c r="D163" t="s">
        <v>139</v>
      </c>
      <c r="E163" t="s">
        <v>222</v>
      </c>
      <c r="F163" t="s">
        <v>145</v>
      </c>
      <c r="G163" t="s">
        <v>122</v>
      </c>
      <c r="H163" t="s">
        <v>89</v>
      </c>
      <c r="I163">
        <v>1</v>
      </c>
      <c r="J163" s="2">
        <v>82.85</v>
      </c>
      <c r="K163" s="4">
        <v>0</v>
      </c>
      <c r="L163" t="s">
        <v>98</v>
      </c>
      <c r="M163">
        <v>2</v>
      </c>
      <c r="N163" t="s">
        <v>91</v>
      </c>
      <c r="O163" t="str">
        <f>SUBSTITUTE(PROPER(TRIM(RawSalesTable6[[#This Row],[Channel_Raw]])),"Market Place","Marketplace")</f>
        <v>Online</v>
      </c>
      <c r="P163" t="str">
        <f>TRIM(RawSalesTable6[[#This Row],[Product_ID]])</f>
        <v>P1012</v>
      </c>
      <c r="Q163" t="str">
        <f>TRIM(RawSalesTable6[[#This Row],[Customer_ID]])</f>
        <v>C0067</v>
      </c>
      <c r="R163" s="8" t="str">
        <f>PROPER(TRIM(RawSalesTable6[[#This Row],[Store_Raw]]))</f>
        <v>Calgary North</v>
      </c>
      <c r="S163" s="8" t="str">
        <f>IF(TRIM(RawSalesTable6[[#This Row],[Payment_Method_Raw]])="","Non renseigné",SUBSTITUTE(PROPER(TRIM(RawSalesTable6[[#This Row],[Payment_Method_Raw]])),"Cc","Credit Card"))</f>
        <v>Debit Card</v>
      </c>
      <c r="T163" s="8">
        <f>COUNTIF(A:A,RawSalesTable6[[#This Row],[Order_ID]])</f>
        <v>1</v>
      </c>
      <c r="U163" s="8" t="str">
        <f>TRIM(LEFT(RawSalesTable6[[#This Row],[Customer_Info]],FIND(",",RawSalesTable6[[#This Row],[Customer_Info]])-1))</f>
        <v>Leo Bennett</v>
      </c>
      <c r="V163" s="8" t="str">
        <f>TRIM(MID(RawSalesTable6[[#This Row],[Customer_Info]],FIND(",",RawSalesTable6[[#This Row],[Customer_Info]])+1,FIND(",",RawSalesTable6[[#This Row],[Customer_Info]],FIND(",",RawSalesTable6[[#This Row],[Customer_Info]])+1)-FIND(",",RawSalesTable6[[#This Row],[Customer_Info]])-1))</f>
        <v>Mississauga</v>
      </c>
      <c r="W163" s="8" t="str">
        <f>TRIM(RIGHT(RawSalesTable6[[#This Row],[Customer_Info]],LEN(RawSalesTable6[[#This Row],[Customer_Info]])-FIND(",",RawSalesTable6[[#This Row],[Customer_Info]],FIND(",",RawSalesTable6[[#This Row],[Customer_Info]])+1)))</f>
        <v>Consumer</v>
      </c>
      <c r="X163" s="8" t="str">
        <f>VLOOKUP(RawSalesTable6[[#This Row],[Product_ID_Clean]],ProductsTable[],2,FALSE)</f>
        <v>Standing Desk</v>
      </c>
      <c r="Y163" s="8" t="str">
        <f>VLOOKUP(RawSalesTable6[[#This Row],[Product_ID_Clean]],ProductsTable[],3,FALSE)</f>
        <v>Office</v>
      </c>
      <c r="Z163" s="8">
        <f>VLOOKUP(RawSalesTable6[[#This Row],[Product_ID_Clean]],ProductsTable[],5,FALSE)</f>
        <v>45.17</v>
      </c>
      <c r="AA163" s="8">
        <f>RawSalesTable6[[#This Row],[Unit_Price]]*RawSalesTable6[[#This Row],[Quantity]]</f>
        <v>82.85</v>
      </c>
      <c r="AB163" s="8">
        <f>RawSalesTable6[[#This Row],[Gross_Sales]]*RawSalesTable6[[#This Row],[Discount_Pct]]</f>
        <v>0</v>
      </c>
      <c r="AC163" s="8">
        <f>RawSalesTable6[[#This Row],[Gross_Sales]]-RawSalesTable6[[#This Row],[Discount_Amount]]</f>
        <v>82.85</v>
      </c>
      <c r="AD163" s="8">
        <f>RawSalesTable6[[#This Row],[Unit_Cost]]*RawSalesTable6[[#This Row],[Quantity]]</f>
        <v>45.17</v>
      </c>
      <c r="AE163" s="8">
        <f>RawSalesTable6[[#This Row],[Net_Sales]]-RawSalesTable6[[#This Row],[Total_Cost]]</f>
        <v>37.679999999999993</v>
      </c>
      <c r="AF163" s="9">
        <f>RawSalesTable6[[#This Row],[Profit]]/RawSalesTable6[[#This Row],[Net_Sales]]</f>
        <v>0.45479782739891367</v>
      </c>
      <c r="AG163" s="8">
        <f>YEAR(RawSalesTable6[[#This Row],[Order_Date]])</f>
        <v>2025</v>
      </c>
      <c r="AH163" s="8">
        <f>MONTH(RawSalesTable6[[#This Row],[Order_Date]])</f>
        <v>1</v>
      </c>
      <c r="AI163" s="8" t="str">
        <f>TEXT(RawSalesTable6[[#This Row],[Order_Date]],"mmmm")</f>
        <v>janvier</v>
      </c>
      <c r="AJ163" s="8" t="str">
        <f>IF(RawSalesTable6[[#This Row],[Month_Number]]&lt;=3,"Q1",IF(RawSalesTable6[[#This Row],[Month_Number]]&lt;=6,"Q2",IF(RawSalesTable6[[#This Row],[Month_Number]]&lt;=9,"Q3","Q4")))</f>
        <v>Q1</v>
      </c>
      <c r="AK163" s="8" t="str">
        <f>VLOOKUP(RawSalesTable6[[#This Row],[Customer_ID_Clean]],CustomersTable[],4,FALSE)</f>
        <v>Ontario</v>
      </c>
      <c r="AL163" s="8">
        <f>IF(RawSalesTable6[[#This Row],[Return_Status]]="Yes",1,0)</f>
        <v>0</v>
      </c>
    </row>
    <row r="164" spans="1:38">
      <c r="A164" t="s">
        <v>506</v>
      </c>
      <c r="B164" s="3">
        <v>45771</v>
      </c>
      <c r="C164" t="s">
        <v>507</v>
      </c>
      <c r="D164" t="s">
        <v>133</v>
      </c>
      <c r="E164" t="s">
        <v>508</v>
      </c>
      <c r="F164" t="s">
        <v>145</v>
      </c>
      <c r="G164" t="s">
        <v>130</v>
      </c>
      <c r="H164" t="s">
        <v>97</v>
      </c>
      <c r="I164">
        <v>1</v>
      </c>
      <c r="J164" s="2">
        <v>324.77999999999997</v>
      </c>
      <c r="K164" s="4">
        <v>0</v>
      </c>
      <c r="L164" t="s">
        <v>106</v>
      </c>
      <c r="M164">
        <v>3</v>
      </c>
      <c r="N164" t="s">
        <v>91</v>
      </c>
      <c r="O164" t="str">
        <f>SUBSTITUTE(PROPER(TRIM(RawSalesTable6[[#This Row],[Channel_Raw]])),"Market Place","Marketplace")</f>
        <v>Retail Store</v>
      </c>
      <c r="P164" t="str">
        <f>TRIM(RawSalesTable6[[#This Row],[Product_ID]])</f>
        <v>P1039</v>
      </c>
      <c r="Q164" t="str">
        <f>TRIM(RawSalesTable6[[#This Row],[Customer_ID]])</f>
        <v>C0078</v>
      </c>
      <c r="R164" s="8" t="str">
        <f>PROPER(TRIM(RawSalesTable6[[#This Row],[Store_Raw]]))</f>
        <v>Calgary North</v>
      </c>
      <c r="S164" s="8" t="str">
        <f>IF(TRIM(RawSalesTable6[[#This Row],[Payment_Method_Raw]])="","Non renseigné",SUBSTITUTE(PROPER(TRIM(RawSalesTable6[[#This Row],[Payment_Method_Raw]])),"Cc","Credit Card"))</f>
        <v>Credit Card</v>
      </c>
      <c r="T164" s="8">
        <f>COUNTIF(A:A,RawSalesTable6[[#This Row],[Order_ID]])</f>
        <v>1</v>
      </c>
      <c r="U164" s="8" t="str">
        <f>TRIM(LEFT(RawSalesTable6[[#This Row],[Customer_Info]],FIND(",",RawSalesTable6[[#This Row],[Customer_Info]])-1))</f>
        <v>Sarah Smith</v>
      </c>
      <c r="V164" s="8" t="str">
        <f>TRIM(MID(RawSalesTable6[[#This Row],[Customer_Info]],FIND(",",RawSalesTable6[[#This Row],[Customer_Info]])+1,FIND(",",RawSalesTable6[[#This Row],[Customer_Info]],FIND(",",RawSalesTable6[[#This Row],[Customer_Info]])+1)-FIND(",",RawSalesTable6[[#This Row],[Customer_Info]])-1))</f>
        <v>Edmonton</v>
      </c>
      <c r="W164" s="8" t="str">
        <f>TRIM(RIGHT(RawSalesTable6[[#This Row],[Customer_Info]],LEN(RawSalesTable6[[#This Row],[Customer_Info]])-FIND(",",RawSalesTable6[[#This Row],[Customer_Info]],FIND(",",RawSalesTable6[[#This Row],[Customer_Info]])+1)))</f>
        <v>Corporate</v>
      </c>
      <c r="X164" s="8" t="str">
        <f>VLOOKUP(RawSalesTable6[[#This Row],[Product_ID_Clean]],ProductsTable[],2,FALSE)</f>
        <v>Travel Adapter</v>
      </c>
      <c r="Y164" s="8" t="str">
        <f>VLOOKUP(RawSalesTable6[[#This Row],[Product_ID_Clean]],ProductsTable[],3,FALSE)</f>
        <v>Accessories</v>
      </c>
      <c r="Z164" s="8">
        <f>VLOOKUP(RawSalesTable6[[#This Row],[Product_ID_Clean]],ProductsTable[],5,FALSE)</f>
        <v>229.86</v>
      </c>
      <c r="AA164" s="8">
        <f>RawSalesTable6[[#This Row],[Unit_Price]]*RawSalesTable6[[#This Row],[Quantity]]</f>
        <v>324.77999999999997</v>
      </c>
      <c r="AB164" s="8">
        <f>RawSalesTable6[[#This Row],[Gross_Sales]]*RawSalesTable6[[#This Row],[Discount_Pct]]</f>
        <v>0</v>
      </c>
      <c r="AC164" s="8">
        <f>RawSalesTable6[[#This Row],[Gross_Sales]]-RawSalesTable6[[#This Row],[Discount_Amount]]</f>
        <v>324.77999999999997</v>
      </c>
      <c r="AD164" s="8">
        <f>RawSalesTable6[[#This Row],[Unit_Cost]]*RawSalesTable6[[#This Row],[Quantity]]</f>
        <v>229.86</v>
      </c>
      <c r="AE164" s="8">
        <f>RawSalesTable6[[#This Row],[Net_Sales]]-RawSalesTable6[[#This Row],[Total_Cost]]</f>
        <v>94.919999999999959</v>
      </c>
      <c r="AF164" s="9">
        <f>RawSalesTable6[[#This Row],[Profit]]/RawSalesTable6[[#This Row],[Net_Sales]]</f>
        <v>0.2922593755773138</v>
      </c>
      <c r="AG164" s="8">
        <f>YEAR(RawSalesTable6[[#This Row],[Order_Date]])</f>
        <v>2025</v>
      </c>
      <c r="AH164" s="8">
        <f>MONTH(RawSalesTable6[[#This Row],[Order_Date]])</f>
        <v>4</v>
      </c>
      <c r="AI164" s="8" t="str">
        <f>TEXT(RawSalesTable6[[#This Row],[Order_Date]],"mmmm")</f>
        <v>avril</v>
      </c>
      <c r="AJ164" s="8" t="str">
        <f>IF(RawSalesTable6[[#This Row],[Month_Number]]&lt;=3,"Q1",IF(RawSalesTable6[[#This Row],[Month_Number]]&lt;=6,"Q2",IF(RawSalesTable6[[#This Row],[Month_Number]]&lt;=9,"Q3","Q4")))</f>
        <v>Q2</v>
      </c>
      <c r="AK164" s="8" t="str">
        <f>VLOOKUP(RawSalesTable6[[#This Row],[Customer_ID_Clean]],CustomersTable[],4,FALSE)</f>
        <v>Alberta</v>
      </c>
      <c r="AL164" s="8">
        <f>IF(RawSalesTable6[[#This Row],[Return_Status]]="Yes",1,0)</f>
        <v>0</v>
      </c>
    </row>
    <row r="165" spans="1:38">
      <c r="A165" t="s">
        <v>509</v>
      </c>
      <c r="B165" s="3">
        <v>45757</v>
      </c>
      <c r="C165" t="s">
        <v>427</v>
      </c>
      <c r="D165" t="s">
        <v>323</v>
      </c>
      <c r="E165" t="s">
        <v>428</v>
      </c>
      <c r="F165" t="s">
        <v>103</v>
      </c>
      <c r="G165" t="s">
        <v>117</v>
      </c>
      <c r="H165" t="s">
        <v>97</v>
      </c>
      <c r="I165">
        <v>1</v>
      </c>
      <c r="J165" s="2">
        <v>316.97000000000003</v>
      </c>
      <c r="K165" s="4">
        <v>0.05</v>
      </c>
      <c r="L165" t="s">
        <v>98</v>
      </c>
      <c r="M165">
        <v>4</v>
      </c>
      <c r="N165" t="s">
        <v>91</v>
      </c>
      <c r="O165" t="str">
        <f>SUBSTITUTE(PROPER(TRIM(RawSalesTable6[[#This Row],[Channel_Raw]])),"Market Place","Marketplace")</f>
        <v>Retail Store</v>
      </c>
      <c r="P165" t="str">
        <f>TRIM(RawSalesTable6[[#This Row],[Product_ID]])</f>
        <v>P1023</v>
      </c>
      <c r="Q165" t="str">
        <f>TRIM(RawSalesTable6[[#This Row],[Customer_ID]])</f>
        <v>C0062</v>
      </c>
      <c r="R165" s="8" t="str">
        <f>PROPER(TRIM(RawSalesTable6[[#This Row],[Store_Raw]]))</f>
        <v>Vancouver West</v>
      </c>
      <c r="S165" s="8" t="str">
        <f>IF(TRIM(RawSalesTable6[[#This Row],[Payment_Method_Raw]])="","Non renseigné",SUBSTITUTE(PROPER(TRIM(RawSalesTable6[[#This Row],[Payment_Method_Raw]])),"Cc","Credit Card"))</f>
        <v>Debit Card</v>
      </c>
      <c r="T165" s="8">
        <f>COUNTIF(A:A,RawSalesTable6[[#This Row],[Order_ID]])</f>
        <v>1</v>
      </c>
      <c r="U165" s="8" t="str">
        <f>TRIM(LEFT(RawSalesTable6[[#This Row],[Customer_Info]],FIND(",",RawSalesTable6[[#This Row],[Customer_Info]])-1))</f>
        <v>Yasmine Scott</v>
      </c>
      <c r="V165" s="8" t="str">
        <f>TRIM(MID(RawSalesTable6[[#This Row],[Customer_Info]],FIND(",",RawSalesTable6[[#This Row],[Customer_Info]])+1,FIND(",",RawSalesTable6[[#This Row],[Customer_Info]],FIND(",",RawSalesTable6[[#This Row],[Customer_Info]])+1)-FIND(",",RawSalesTable6[[#This Row],[Customer_Info]])-1))</f>
        <v>Toronto</v>
      </c>
      <c r="W165" s="8" t="str">
        <f>TRIM(RIGHT(RawSalesTable6[[#This Row],[Customer_Info]],LEN(RawSalesTable6[[#This Row],[Customer_Info]])-FIND(",",RawSalesTable6[[#This Row],[Customer_Info]],FIND(",",RawSalesTable6[[#This Row],[Customer_Info]])+1)))</f>
        <v>Consumer</v>
      </c>
      <c r="X165" s="8" t="str">
        <f>VLOOKUP(RawSalesTable6[[#This Row],[Product_ID_Clean]],ProductsTable[],2,FALSE)</f>
        <v>Toaster</v>
      </c>
      <c r="Y165" s="8" t="str">
        <f>VLOOKUP(RawSalesTable6[[#This Row],[Product_ID_Clean]],ProductsTable[],3,FALSE)</f>
        <v>Home</v>
      </c>
      <c r="Z165" s="8">
        <f>VLOOKUP(RawSalesTable6[[#This Row],[Product_ID_Clean]],ProductsTable[],5,FALSE)</f>
        <v>152.88</v>
      </c>
      <c r="AA165" s="8">
        <f>RawSalesTable6[[#This Row],[Unit_Price]]*RawSalesTable6[[#This Row],[Quantity]]</f>
        <v>316.97000000000003</v>
      </c>
      <c r="AB165" s="8">
        <f>RawSalesTable6[[#This Row],[Gross_Sales]]*RawSalesTable6[[#This Row],[Discount_Pct]]</f>
        <v>15.848500000000001</v>
      </c>
      <c r="AC165" s="8">
        <f>RawSalesTable6[[#This Row],[Gross_Sales]]-RawSalesTable6[[#This Row],[Discount_Amount]]</f>
        <v>301.12150000000003</v>
      </c>
      <c r="AD165" s="8">
        <f>RawSalesTable6[[#This Row],[Unit_Cost]]*RawSalesTable6[[#This Row],[Quantity]]</f>
        <v>152.88</v>
      </c>
      <c r="AE165" s="8">
        <f>RawSalesTable6[[#This Row],[Net_Sales]]-RawSalesTable6[[#This Row],[Total_Cost]]</f>
        <v>148.24150000000003</v>
      </c>
      <c r="AF165" s="9">
        <f>RawSalesTable6[[#This Row],[Profit]]/RawSalesTable6[[#This Row],[Net_Sales]]</f>
        <v>0.49229795946154631</v>
      </c>
      <c r="AG165" s="8">
        <f>YEAR(RawSalesTable6[[#This Row],[Order_Date]])</f>
        <v>2025</v>
      </c>
      <c r="AH165" s="8">
        <f>MONTH(RawSalesTable6[[#This Row],[Order_Date]])</f>
        <v>4</v>
      </c>
      <c r="AI165" s="8" t="str">
        <f>TEXT(RawSalesTable6[[#This Row],[Order_Date]],"mmmm")</f>
        <v>avril</v>
      </c>
      <c r="AJ165" s="8" t="str">
        <f>IF(RawSalesTable6[[#This Row],[Month_Number]]&lt;=3,"Q1",IF(RawSalesTable6[[#This Row],[Month_Number]]&lt;=6,"Q2",IF(RawSalesTable6[[#This Row],[Month_Number]]&lt;=9,"Q3","Q4")))</f>
        <v>Q2</v>
      </c>
      <c r="AK165" s="8" t="str">
        <f>VLOOKUP(RawSalesTable6[[#This Row],[Customer_ID_Clean]],CustomersTable[],4,FALSE)</f>
        <v>Ontario</v>
      </c>
      <c r="AL165" s="8">
        <f>IF(RawSalesTable6[[#This Row],[Return_Status]]="Yes",1,0)</f>
        <v>0</v>
      </c>
    </row>
    <row r="166" spans="1:38">
      <c r="A166" t="s">
        <v>510</v>
      </c>
      <c r="B166" s="3">
        <v>45996</v>
      </c>
      <c r="C166" t="s">
        <v>371</v>
      </c>
      <c r="D166" t="s">
        <v>277</v>
      </c>
      <c r="E166" t="s">
        <v>372</v>
      </c>
      <c r="F166" t="s">
        <v>87</v>
      </c>
      <c r="G166" t="s">
        <v>88</v>
      </c>
      <c r="H166" t="s">
        <v>89</v>
      </c>
      <c r="I166">
        <v>1</v>
      </c>
      <c r="J166" s="2">
        <v>393.54</v>
      </c>
      <c r="K166" s="4">
        <v>0.15</v>
      </c>
      <c r="L166" t="s">
        <v>90</v>
      </c>
      <c r="M166">
        <v>9</v>
      </c>
      <c r="N166" t="s">
        <v>91</v>
      </c>
      <c r="O166" t="str">
        <f>SUBSTITUTE(PROPER(TRIM(RawSalesTable6[[#This Row],[Channel_Raw]])),"Market Place","Marketplace")</f>
        <v>Online</v>
      </c>
      <c r="P166" t="str">
        <f>TRIM(RawSalesTable6[[#This Row],[Product_ID]])</f>
        <v>P1001</v>
      </c>
      <c r="Q166" t="str">
        <f>TRIM(RawSalesTable6[[#This Row],[Customer_ID]])</f>
        <v>C0049</v>
      </c>
      <c r="R166" s="8" t="str">
        <f>PROPER(TRIM(RawSalesTable6[[#This Row],[Store_Raw]]))</f>
        <v>Online Fulfillment</v>
      </c>
      <c r="S166" s="8" t="str">
        <f>IF(TRIM(RawSalesTable6[[#This Row],[Payment_Method_Raw]])="","Non renseigné",SUBSTITUTE(PROPER(TRIM(RawSalesTable6[[#This Row],[Payment_Method_Raw]])),"Cc","Credit Card"))</f>
        <v>Paypal</v>
      </c>
      <c r="T166" s="8">
        <f>COUNTIF(A:A,RawSalesTable6[[#This Row],[Order_ID]])</f>
        <v>1</v>
      </c>
      <c r="U166" s="8" t="str">
        <f>TRIM(LEFT(RawSalesTable6[[#This Row],[Customer_Info]],FIND(",",RawSalesTable6[[#This Row],[Customer_Info]])-1))</f>
        <v>Olivia Scott</v>
      </c>
      <c r="V166" s="8" t="str">
        <f>TRIM(MID(RawSalesTable6[[#This Row],[Customer_Info]],FIND(",",RawSalesTable6[[#This Row],[Customer_Info]])+1,FIND(",",RawSalesTable6[[#This Row],[Customer_Info]],FIND(",",RawSalesTable6[[#This Row],[Customer_Info]])+1)-FIND(",",RawSalesTable6[[#This Row],[Customer_Info]])-1))</f>
        <v>Quebec City</v>
      </c>
      <c r="W166" s="8" t="str">
        <f>TRIM(RIGHT(RawSalesTable6[[#This Row],[Customer_Info]],LEN(RawSalesTable6[[#This Row],[Customer_Info]])-FIND(",",RawSalesTable6[[#This Row],[Customer_Info]],FIND(",",RawSalesTable6[[#This Row],[Customer_Info]])+1)))</f>
        <v>Consumer</v>
      </c>
      <c r="X166" s="8" t="str">
        <f>VLOOKUP(RawSalesTable6[[#This Row],[Product_ID_Clean]],ProductsTable[],2,FALSE)</f>
        <v>Headphones</v>
      </c>
      <c r="Y166" s="8" t="str">
        <f>VLOOKUP(RawSalesTable6[[#This Row],[Product_ID_Clean]],ProductsTable[],3,FALSE)</f>
        <v>Electronics</v>
      </c>
      <c r="Z166" s="8">
        <f>VLOOKUP(RawSalesTable6[[#This Row],[Product_ID_Clean]],ProductsTable[],5,FALSE)</f>
        <v>254.6</v>
      </c>
      <c r="AA166" s="8">
        <f>RawSalesTable6[[#This Row],[Unit_Price]]*RawSalesTable6[[#This Row],[Quantity]]</f>
        <v>393.54</v>
      </c>
      <c r="AB166" s="8">
        <f>RawSalesTable6[[#This Row],[Gross_Sales]]*RawSalesTable6[[#This Row],[Discount_Pct]]</f>
        <v>59.030999999999999</v>
      </c>
      <c r="AC166" s="8">
        <f>RawSalesTable6[[#This Row],[Gross_Sales]]-RawSalesTable6[[#This Row],[Discount_Amount]]</f>
        <v>334.50900000000001</v>
      </c>
      <c r="AD166" s="8">
        <f>RawSalesTable6[[#This Row],[Unit_Cost]]*RawSalesTable6[[#This Row],[Quantity]]</f>
        <v>254.6</v>
      </c>
      <c r="AE166" s="8">
        <f>RawSalesTable6[[#This Row],[Net_Sales]]-RawSalesTable6[[#This Row],[Total_Cost]]</f>
        <v>79.90900000000002</v>
      </c>
      <c r="AF166" s="9">
        <f>RawSalesTable6[[#This Row],[Profit]]/RawSalesTable6[[#This Row],[Net_Sales]]</f>
        <v>0.23888445452887669</v>
      </c>
      <c r="AG166" s="8">
        <f>YEAR(RawSalesTable6[[#This Row],[Order_Date]])</f>
        <v>2025</v>
      </c>
      <c r="AH166" s="8">
        <f>MONTH(RawSalesTable6[[#This Row],[Order_Date]])</f>
        <v>12</v>
      </c>
      <c r="AI166" s="8" t="str">
        <f>TEXT(RawSalesTable6[[#This Row],[Order_Date]],"mmmm")</f>
        <v>décembre</v>
      </c>
      <c r="AJ166" s="8" t="str">
        <f>IF(RawSalesTable6[[#This Row],[Month_Number]]&lt;=3,"Q1",IF(RawSalesTable6[[#This Row],[Month_Number]]&lt;=6,"Q2",IF(RawSalesTable6[[#This Row],[Month_Number]]&lt;=9,"Q3","Q4")))</f>
        <v>Q4</v>
      </c>
      <c r="AK166" s="8" t="str">
        <f>VLOOKUP(RawSalesTable6[[#This Row],[Customer_ID_Clean]],CustomersTable[],4,FALSE)</f>
        <v>Quebec</v>
      </c>
      <c r="AL166" s="8">
        <f>IF(RawSalesTable6[[#This Row],[Return_Status]]="Yes",1,0)</f>
        <v>0</v>
      </c>
    </row>
    <row r="167" spans="1:38">
      <c r="A167" t="s">
        <v>511</v>
      </c>
      <c r="B167" s="3">
        <v>45933</v>
      </c>
      <c r="C167" t="s">
        <v>512</v>
      </c>
      <c r="D167" t="s">
        <v>152</v>
      </c>
      <c r="E167" t="s">
        <v>513</v>
      </c>
      <c r="F167" t="s">
        <v>111</v>
      </c>
      <c r="G167" t="s">
        <v>117</v>
      </c>
      <c r="H167" t="s">
        <v>89</v>
      </c>
      <c r="I167">
        <v>5</v>
      </c>
      <c r="J167" s="2">
        <v>136.16999999999999</v>
      </c>
      <c r="K167" s="4">
        <v>0.15</v>
      </c>
      <c r="L167" t="s">
        <v>106</v>
      </c>
      <c r="M167">
        <v>8</v>
      </c>
      <c r="N167" t="s">
        <v>147</v>
      </c>
      <c r="O167" t="str">
        <f>SUBSTITUTE(PROPER(TRIM(RawSalesTable6[[#This Row],[Channel_Raw]])),"Market Place","Marketplace")</f>
        <v>Online</v>
      </c>
      <c r="P167" t="str">
        <f>TRIM(RawSalesTable6[[#This Row],[Product_ID]])</f>
        <v>P1008</v>
      </c>
      <c r="Q167" t="str">
        <f>TRIM(RawSalesTable6[[#This Row],[Customer_ID]])</f>
        <v>C0082</v>
      </c>
      <c r="R167" s="8" t="str">
        <f>PROPER(TRIM(RawSalesTable6[[#This Row],[Store_Raw]]))</f>
        <v>Montreal Central</v>
      </c>
      <c r="S167" s="8" t="str">
        <f>IF(TRIM(RawSalesTable6[[#This Row],[Payment_Method_Raw]])="","Non renseigné",SUBSTITUTE(PROPER(TRIM(RawSalesTable6[[#This Row],[Payment_Method_Raw]])),"Cc","Credit Card"))</f>
        <v>Credit Card</v>
      </c>
      <c r="T167" s="8">
        <f>COUNTIF(A:A,RawSalesTable6[[#This Row],[Order_ID]])</f>
        <v>1</v>
      </c>
      <c r="U167" s="8" t="str">
        <f>TRIM(LEFT(RawSalesTable6[[#This Row],[Customer_Info]],FIND(",",RawSalesTable6[[#This Row],[Customer_Info]])-1))</f>
        <v>Ryan King</v>
      </c>
      <c r="V167" s="8" t="str">
        <f>TRIM(MID(RawSalesTable6[[#This Row],[Customer_Info]],FIND(",",RawSalesTable6[[#This Row],[Customer_Info]])+1,FIND(",",RawSalesTable6[[#This Row],[Customer_Info]],FIND(",",RawSalesTable6[[#This Row],[Customer_Info]])+1)-FIND(",",RawSalesTable6[[#This Row],[Customer_Info]])-1))</f>
        <v>Winnipeg</v>
      </c>
      <c r="W167" s="8" t="str">
        <f>TRIM(RIGHT(RawSalesTable6[[#This Row],[Customer_Info]],LEN(RawSalesTable6[[#This Row],[Customer_Info]])-FIND(",",RawSalesTable6[[#This Row],[Customer_Info]],FIND(",",RawSalesTable6[[#This Row],[Customer_Info]])+1)))</f>
        <v>Small Business</v>
      </c>
      <c r="X167" s="8" t="str">
        <f>VLOOKUP(RawSalesTable6[[#This Row],[Product_ID_Clean]],ProductsTable[],2,FALSE)</f>
        <v>Smart Speaker</v>
      </c>
      <c r="Y167" s="8" t="str">
        <f>VLOOKUP(RawSalesTable6[[#This Row],[Product_ID_Clean]],ProductsTable[],3,FALSE)</f>
        <v>Electronics</v>
      </c>
      <c r="Z167" s="8">
        <f>VLOOKUP(RawSalesTable6[[#This Row],[Product_ID_Clean]],ProductsTable[],5,FALSE)</f>
        <v>69</v>
      </c>
      <c r="AA167" s="8">
        <f>RawSalesTable6[[#This Row],[Unit_Price]]*RawSalesTable6[[#This Row],[Quantity]]</f>
        <v>680.84999999999991</v>
      </c>
      <c r="AB167" s="8">
        <f>RawSalesTable6[[#This Row],[Gross_Sales]]*RawSalesTable6[[#This Row],[Discount_Pct]]</f>
        <v>102.12749999999998</v>
      </c>
      <c r="AC167" s="8">
        <f>RawSalesTable6[[#This Row],[Gross_Sales]]-RawSalesTable6[[#This Row],[Discount_Amount]]</f>
        <v>578.72249999999997</v>
      </c>
      <c r="AD167" s="8">
        <f>RawSalesTable6[[#This Row],[Unit_Cost]]*RawSalesTable6[[#This Row],[Quantity]]</f>
        <v>345</v>
      </c>
      <c r="AE167" s="8">
        <f>RawSalesTable6[[#This Row],[Net_Sales]]-RawSalesTable6[[#This Row],[Total_Cost]]</f>
        <v>233.72249999999997</v>
      </c>
      <c r="AF167" s="9">
        <f>RawSalesTable6[[#This Row],[Profit]]/RawSalesTable6[[#This Row],[Net_Sales]]</f>
        <v>0.40385936264790118</v>
      </c>
      <c r="AG167" s="8">
        <f>YEAR(RawSalesTable6[[#This Row],[Order_Date]])</f>
        <v>2025</v>
      </c>
      <c r="AH167" s="8">
        <f>MONTH(RawSalesTable6[[#This Row],[Order_Date]])</f>
        <v>10</v>
      </c>
      <c r="AI167" s="8" t="str">
        <f>TEXT(RawSalesTable6[[#This Row],[Order_Date]],"mmmm")</f>
        <v>octobre</v>
      </c>
      <c r="AJ167" s="8" t="str">
        <f>IF(RawSalesTable6[[#This Row],[Month_Number]]&lt;=3,"Q1",IF(RawSalesTable6[[#This Row],[Month_Number]]&lt;=6,"Q2",IF(RawSalesTable6[[#This Row],[Month_Number]]&lt;=9,"Q3","Q4")))</f>
        <v>Q4</v>
      </c>
      <c r="AK167" s="8" t="str">
        <f>VLOOKUP(RawSalesTable6[[#This Row],[Customer_ID_Clean]],CustomersTable[],4,FALSE)</f>
        <v>Manitoba</v>
      </c>
      <c r="AL167" s="8">
        <f>IF(RawSalesTable6[[#This Row],[Return_Status]]="Yes",1,0)</f>
        <v>1</v>
      </c>
    </row>
    <row r="168" spans="1:38">
      <c r="A168" t="s">
        <v>514</v>
      </c>
      <c r="B168" s="3">
        <v>45913</v>
      </c>
      <c r="C168" t="s">
        <v>138</v>
      </c>
      <c r="D168" t="s">
        <v>157</v>
      </c>
      <c r="E168" t="s">
        <v>140</v>
      </c>
      <c r="F168" t="s">
        <v>103</v>
      </c>
      <c r="G168" t="s">
        <v>130</v>
      </c>
      <c r="H168" t="s">
        <v>97</v>
      </c>
      <c r="I168">
        <v>3</v>
      </c>
      <c r="J168" s="2">
        <v>305.98</v>
      </c>
      <c r="K168" s="4">
        <v>0.15</v>
      </c>
      <c r="L168" t="s">
        <v>106</v>
      </c>
      <c r="M168">
        <v>0</v>
      </c>
      <c r="N168" t="s">
        <v>91</v>
      </c>
      <c r="O168" t="str">
        <f>SUBSTITUTE(PROPER(TRIM(RawSalesTable6[[#This Row],[Channel_Raw]])),"Market Place","Marketplace")</f>
        <v>Retail Store</v>
      </c>
      <c r="P168" t="str">
        <f>TRIM(RawSalesTable6[[#This Row],[Product_ID]])</f>
        <v>P1009</v>
      </c>
      <c r="Q168" t="str">
        <f>TRIM(RawSalesTable6[[#This Row],[Customer_ID]])</f>
        <v>C0106</v>
      </c>
      <c r="R168" s="8" t="str">
        <f>PROPER(TRIM(RawSalesTable6[[#This Row],[Store_Raw]]))</f>
        <v>Vancouver West</v>
      </c>
      <c r="S168" s="8" t="str">
        <f>IF(TRIM(RawSalesTable6[[#This Row],[Payment_Method_Raw]])="","Non renseigné",SUBSTITUTE(PROPER(TRIM(RawSalesTable6[[#This Row],[Payment_Method_Raw]])),"Cc","Credit Card"))</f>
        <v>Credit Card</v>
      </c>
      <c r="T168" s="8">
        <f>COUNTIF(A:A,RawSalesTable6[[#This Row],[Order_ID]])</f>
        <v>1</v>
      </c>
      <c r="U168" s="8" t="str">
        <f>TRIM(LEFT(RawSalesTable6[[#This Row],[Customer_Info]],FIND(",",RawSalesTable6[[#This Row],[Customer_Info]])-1))</f>
        <v>Liam Gagnon</v>
      </c>
      <c r="V168" s="8" t="str">
        <f>TRIM(MID(RawSalesTable6[[#This Row],[Customer_Info]],FIND(",",RawSalesTable6[[#This Row],[Customer_Info]])+1,FIND(",",RawSalesTable6[[#This Row],[Customer_Info]],FIND(",",RawSalesTable6[[#This Row],[Customer_Info]])+1)-FIND(",",RawSalesTable6[[#This Row],[Customer_Info]])-1))</f>
        <v>Ottawa</v>
      </c>
      <c r="W168" s="8" t="str">
        <f>TRIM(RIGHT(RawSalesTable6[[#This Row],[Customer_Info]],LEN(RawSalesTable6[[#This Row],[Customer_Info]])-FIND(",",RawSalesTable6[[#This Row],[Customer_Info]],FIND(",",RawSalesTable6[[#This Row],[Customer_Info]])+1)))</f>
        <v>Small Business</v>
      </c>
      <c r="X168" s="8" t="str">
        <f>VLOOKUP(RawSalesTable6[[#This Row],[Product_ID_Clean]],ProductsTable[],2,FALSE)</f>
        <v>Notebook</v>
      </c>
      <c r="Y168" s="8" t="str">
        <f>VLOOKUP(RawSalesTable6[[#This Row],[Product_ID_Clean]],ProductsTable[],3,FALSE)</f>
        <v>Office</v>
      </c>
      <c r="Z168" s="8">
        <f>VLOOKUP(RawSalesTable6[[#This Row],[Product_ID_Clean]],ProductsTable[],5,FALSE)</f>
        <v>176.13</v>
      </c>
      <c r="AA168" s="8">
        <f>RawSalesTable6[[#This Row],[Unit_Price]]*RawSalesTable6[[#This Row],[Quantity]]</f>
        <v>917.94</v>
      </c>
      <c r="AB168" s="8">
        <f>RawSalesTable6[[#This Row],[Gross_Sales]]*RawSalesTable6[[#This Row],[Discount_Pct]]</f>
        <v>137.691</v>
      </c>
      <c r="AC168" s="8">
        <f>RawSalesTable6[[#This Row],[Gross_Sales]]-RawSalesTable6[[#This Row],[Discount_Amount]]</f>
        <v>780.24900000000002</v>
      </c>
      <c r="AD168" s="8">
        <f>RawSalesTable6[[#This Row],[Unit_Cost]]*RawSalesTable6[[#This Row],[Quantity]]</f>
        <v>528.39</v>
      </c>
      <c r="AE168" s="8">
        <f>RawSalesTable6[[#This Row],[Net_Sales]]-RawSalesTable6[[#This Row],[Total_Cost]]</f>
        <v>251.85900000000004</v>
      </c>
      <c r="AF168" s="9">
        <f>RawSalesTable6[[#This Row],[Profit]]/RawSalesTable6[[#This Row],[Net_Sales]]</f>
        <v>0.3227931083538717</v>
      </c>
      <c r="AG168" s="8">
        <f>YEAR(RawSalesTable6[[#This Row],[Order_Date]])</f>
        <v>2025</v>
      </c>
      <c r="AH168" s="8">
        <f>MONTH(RawSalesTable6[[#This Row],[Order_Date]])</f>
        <v>9</v>
      </c>
      <c r="AI168" s="8" t="str">
        <f>TEXT(RawSalesTable6[[#This Row],[Order_Date]],"mmmm")</f>
        <v>septembre</v>
      </c>
      <c r="AJ168" s="8" t="str">
        <f>IF(RawSalesTable6[[#This Row],[Month_Number]]&lt;=3,"Q1",IF(RawSalesTable6[[#This Row],[Month_Number]]&lt;=6,"Q2",IF(RawSalesTable6[[#This Row],[Month_Number]]&lt;=9,"Q3","Q4")))</f>
        <v>Q3</v>
      </c>
      <c r="AK168" s="8" t="str">
        <f>VLOOKUP(RawSalesTable6[[#This Row],[Customer_ID_Clean]],CustomersTable[],4,FALSE)</f>
        <v>Ontario</v>
      </c>
      <c r="AL168" s="8">
        <f>IF(RawSalesTable6[[#This Row],[Return_Status]]="Yes",1,0)</f>
        <v>0</v>
      </c>
    </row>
    <row r="169" spans="1:38">
      <c r="A169" t="s">
        <v>515</v>
      </c>
      <c r="B169" s="3">
        <v>45786</v>
      </c>
      <c r="C169" t="s">
        <v>516</v>
      </c>
      <c r="D169" t="s">
        <v>125</v>
      </c>
      <c r="E169" t="s">
        <v>517</v>
      </c>
      <c r="F169" t="s">
        <v>145</v>
      </c>
      <c r="G169" t="s">
        <v>117</v>
      </c>
      <c r="H169" t="s">
        <v>89</v>
      </c>
      <c r="I169">
        <v>2</v>
      </c>
      <c r="J169" s="2">
        <v>58.17</v>
      </c>
      <c r="K169" s="4">
        <v>0</v>
      </c>
      <c r="L169" t="s">
        <v>106</v>
      </c>
      <c r="M169">
        <v>9</v>
      </c>
      <c r="N169" t="s">
        <v>91</v>
      </c>
      <c r="O169" t="str">
        <f>SUBSTITUTE(PROPER(TRIM(RawSalesTable6[[#This Row],[Channel_Raw]])),"Market Place","Marketplace")</f>
        <v>Online</v>
      </c>
      <c r="P169" t="str">
        <f>TRIM(RawSalesTable6[[#This Row],[Product_ID]])</f>
        <v>P1027</v>
      </c>
      <c r="Q169" t="str">
        <f>TRIM(RawSalesTable6[[#This Row],[Customer_ID]])</f>
        <v>C0120</v>
      </c>
      <c r="R169" s="8" t="str">
        <f>PROPER(TRIM(RawSalesTable6[[#This Row],[Store_Raw]]))</f>
        <v>Calgary North</v>
      </c>
      <c r="S169" s="8" t="str">
        <f>IF(TRIM(RawSalesTable6[[#This Row],[Payment_Method_Raw]])="","Non renseigné",SUBSTITUTE(PROPER(TRIM(RawSalesTable6[[#This Row],[Payment_Method_Raw]])),"Cc","Credit Card"))</f>
        <v>Credit Card</v>
      </c>
      <c r="T169" s="8">
        <f>COUNTIF(A:A,RawSalesTable6[[#This Row],[Order_ID]])</f>
        <v>1</v>
      </c>
      <c r="U169" s="8" t="str">
        <f>TRIM(LEFT(RawSalesTable6[[#This Row],[Customer_Info]],FIND(",",RawSalesTable6[[#This Row],[Customer_Info]])-1))</f>
        <v>Ethan King</v>
      </c>
      <c r="V169" s="8" t="str">
        <f>TRIM(MID(RawSalesTable6[[#This Row],[Customer_Info]],FIND(",",RawSalesTable6[[#This Row],[Customer_Info]])+1,FIND(",",RawSalesTable6[[#This Row],[Customer_Info]],FIND(",",RawSalesTable6[[#This Row],[Customer_Info]])+1)-FIND(",",RawSalesTable6[[#This Row],[Customer_Info]])-1))</f>
        <v>Mississauga</v>
      </c>
      <c r="W169" s="8" t="str">
        <f>TRIM(RIGHT(RawSalesTable6[[#This Row],[Customer_Info]],LEN(RawSalesTable6[[#This Row],[Customer_Info]])-FIND(",",RawSalesTable6[[#This Row],[Customer_Info]],FIND(",",RawSalesTable6[[#This Row],[Customer_Info]])+1)))</f>
        <v>Small Business</v>
      </c>
      <c r="X169" s="8" t="str">
        <f>VLOOKUP(RawSalesTable6[[#This Row],[Product_ID_Clean]],ProductsTable[],2,FALSE)</f>
        <v>Kettlebell</v>
      </c>
      <c r="Y169" s="8" t="str">
        <f>VLOOKUP(RawSalesTable6[[#This Row],[Product_ID_Clean]],ProductsTable[],3,FALSE)</f>
        <v>Fitness</v>
      </c>
      <c r="Z169" s="8">
        <f>VLOOKUP(RawSalesTable6[[#This Row],[Product_ID_Clean]],ProductsTable[],5,FALSE)</f>
        <v>25.97</v>
      </c>
      <c r="AA169" s="8">
        <f>RawSalesTable6[[#This Row],[Unit_Price]]*RawSalesTable6[[#This Row],[Quantity]]</f>
        <v>116.34</v>
      </c>
      <c r="AB169" s="8">
        <f>RawSalesTable6[[#This Row],[Gross_Sales]]*RawSalesTable6[[#This Row],[Discount_Pct]]</f>
        <v>0</v>
      </c>
      <c r="AC169" s="8">
        <f>RawSalesTable6[[#This Row],[Gross_Sales]]-RawSalesTable6[[#This Row],[Discount_Amount]]</f>
        <v>116.34</v>
      </c>
      <c r="AD169" s="8">
        <f>RawSalesTable6[[#This Row],[Unit_Cost]]*RawSalesTable6[[#This Row],[Quantity]]</f>
        <v>51.94</v>
      </c>
      <c r="AE169" s="8">
        <f>RawSalesTable6[[#This Row],[Net_Sales]]-RawSalesTable6[[#This Row],[Total_Cost]]</f>
        <v>64.400000000000006</v>
      </c>
      <c r="AF169" s="9">
        <f>RawSalesTable6[[#This Row],[Profit]]/RawSalesTable6[[#This Row],[Net_Sales]]</f>
        <v>0.55354993983152834</v>
      </c>
      <c r="AG169" s="8">
        <f>YEAR(RawSalesTable6[[#This Row],[Order_Date]])</f>
        <v>2025</v>
      </c>
      <c r="AH169" s="8">
        <f>MONTH(RawSalesTable6[[#This Row],[Order_Date]])</f>
        <v>5</v>
      </c>
      <c r="AI169" s="8" t="str">
        <f>TEXT(RawSalesTable6[[#This Row],[Order_Date]],"mmmm")</f>
        <v>mai</v>
      </c>
      <c r="AJ169" s="8" t="str">
        <f>IF(RawSalesTable6[[#This Row],[Month_Number]]&lt;=3,"Q1",IF(RawSalesTable6[[#This Row],[Month_Number]]&lt;=6,"Q2",IF(RawSalesTable6[[#This Row],[Month_Number]]&lt;=9,"Q3","Q4")))</f>
        <v>Q2</v>
      </c>
      <c r="AK169" s="8" t="str">
        <f>VLOOKUP(RawSalesTable6[[#This Row],[Customer_ID_Clean]],CustomersTable[],4,FALSE)</f>
        <v>Ontario</v>
      </c>
      <c r="AL169" s="8">
        <f>IF(RawSalesTable6[[#This Row],[Return_Status]]="Yes",1,0)</f>
        <v>0</v>
      </c>
    </row>
    <row r="170" spans="1:38">
      <c r="A170" t="s">
        <v>518</v>
      </c>
      <c r="B170" s="3">
        <v>45756</v>
      </c>
      <c r="C170" t="s">
        <v>138</v>
      </c>
      <c r="D170" t="s">
        <v>346</v>
      </c>
      <c r="E170" t="s">
        <v>140</v>
      </c>
      <c r="F170" t="s">
        <v>87</v>
      </c>
      <c r="G170" t="s">
        <v>183</v>
      </c>
      <c r="H170" t="s">
        <v>97</v>
      </c>
      <c r="I170">
        <v>2</v>
      </c>
      <c r="J170" s="2">
        <v>247.12</v>
      </c>
      <c r="K170" s="4">
        <v>0.05</v>
      </c>
      <c r="L170" t="s">
        <v>106</v>
      </c>
      <c r="M170">
        <v>4</v>
      </c>
      <c r="N170" t="s">
        <v>91</v>
      </c>
      <c r="O170" t="str">
        <f>SUBSTITUTE(PROPER(TRIM(RawSalesTable6[[#This Row],[Channel_Raw]])),"Market Place","Marketplace")</f>
        <v>Retail Store</v>
      </c>
      <c r="P170" t="str">
        <f>TRIM(RawSalesTable6[[#This Row],[Product_ID]])</f>
        <v>P1030</v>
      </c>
      <c r="Q170" t="str">
        <f>TRIM(RawSalesTable6[[#This Row],[Customer_ID]])</f>
        <v>C0106</v>
      </c>
      <c r="R170" s="8" t="str">
        <f>PROPER(TRIM(RawSalesTable6[[#This Row],[Store_Raw]]))</f>
        <v>Online Fulfillment</v>
      </c>
      <c r="S170" s="8" t="str">
        <f>IF(TRIM(RawSalesTable6[[#This Row],[Payment_Method_Raw]])="","Non renseigné",SUBSTITUTE(PROPER(TRIM(RawSalesTable6[[#This Row],[Payment_Method_Raw]])),"Cc","Credit Card"))</f>
        <v>Credit Card</v>
      </c>
      <c r="T170" s="8">
        <f>COUNTIF(A:A,RawSalesTable6[[#This Row],[Order_ID]])</f>
        <v>1</v>
      </c>
      <c r="U170" s="8" t="str">
        <f>TRIM(LEFT(RawSalesTable6[[#This Row],[Customer_Info]],FIND(",",RawSalesTable6[[#This Row],[Customer_Info]])-1))</f>
        <v>Liam Gagnon</v>
      </c>
      <c r="V170" s="8" t="str">
        <f>TRIM(MID(RawSalesTable6[[#This Row],[Customer_Info]],FIND(",",RawSalesTable6[[#This Row],[Customer_Info]])+1,FIND(",",RawSalesTable6[[#This Row],[Customer_Info]],FIND(",",RawSalesTable6[[#This Row],[Customer_Info]])+1)-FIND(",",RawSalesTable6[[#This Row],[Customer_Info]])-1))</f>
        <v>Ottawa</v>
      </c>
      <c r="W170" s="8" t="str">
        <f>TRIM(RIGHT(RawSalesTable6[[#This Row],[Customer_Info]],LEN(RawSalesTable6[[#This Row],[Customer_Info]])-FIND(",",RawSalesTable6[[#This Row],[Customer_Info]],FIND(",",RawSalesTable6[[#This Row],[Customer_Info]])+1)))</f>
        <v>Small Business</v>
      </c>
      <c r="X170" s="8" t="str">
        <f>VLOOKUP(RawSalesTable6[[#This Row],[Product_ID_Clean]],ProductsTable[],2,FALSE)</f>
        <v>Pull-up Bar</v>
      </c>
      <c r="Y170" s="8" t="str">
        <f>VLOOKUP(RawSalesTable6[[#This Row],[Product_ID_Clean]],ProductsTable[],3,FALSE)</f>
        <v>Fitness</v>
      </c>
      <c r="Z170" s="8">
        <f>VLOOKUP(RawSalesTable6[[#This Row],[Product_ID_Clean]],ProductsTable[],5,FALSE)</f>
        <v>125.4</v>
      </c>
      <c r="AA170" s="8">
        <f>RawSalesTable6[[#This Row],[Unit_Price]]*RawSalesTable6[[#This Row],[Quantity]]</f>
        <v>494.24</v>
      </c>
      <c r="AB170" s="8">
        <f>RawSalesTable6[[#This Row],[Gross_Sales]]*RawSalesTable6[[#This Row],[Discount_Pct]]</f>
        <v>24.712000000000003</v>
      </c>
      <c r="AC170" s="8">
        <f>RawSalesTable6[[#This Row],[Gross_Sales]]-RawSalesTable6[[#This Row],[Discount_Amount]]</f>
        <v>469.52800000000002</v>
      </c>
      <c r="AD170" s="8">
        <f>RawSalesTable6[[#This Row],[Unit_Cost]]*RawSalesTable6[[#This Row],[Quantity]]</f>
        <v>250.8</v>
      </c>
      <c r="AE170" s="8">
        <f>RawSalesTable6[[#This Row],[Net_Sales]]-RawSalesTable6[[#This Row],[Total_Cost]]</f>
        <v>218.72800000000001</v>
      </c>
      <c r="AF170" s="9">
        <f>RawSalesTable6[[#This Row],[Profit]]/RawSalesTable6[[#This Row],[Net_Sales]]</f>
        <v>0.46584655228229199</v>
      </c>
      <c r="AG170" s="8">
        <f>YEAR(RawSalesTable6[[#This Row],[Order_Date]])</f>
        <v>2025</v>
      </c>
      <c r="AH170" s="8">
        <f>MONTH(RawSalesTable6[[#This Row],[Order_Date]])</f>
        <v>4</v>
      </c>
      <c r="AI170" s="8" t="str">
        <f>TEXT(RawSalesTable6[[#This Row],[Order_Date]],"mmmm")</f>
        <v>avril</v>
      </c>
      <c r="AJ170" s="8" t="str">
        <f>IF(RawSalesTable6[[#This Row],[Month_Number]]&lt;=3,"Q1",IF(RawSalesTable6[[#This Row],[Month_Number]]&lt;=6,"Q2",IF(RawSalesTable6[[#This Row],[Month_Number]]&lt;=9,"Q3","Q4")))</f>
        <v>Q2</v>
      </c>
      <c r="AK170" s="8" t="str">
        <f>VLOOKUP(RawSalesTable6[[#This Row],[Customer_ID_Clean]],CustomersTable[],4,FALSE)</f>
        <v>Ontario</v>
      </c>
      <c r="AL170" s="8">
        <f>IF(RawSalesTable6[[#This Row],[Return_Status]]="Yes",1,0)</f>
        <v>0</v>
      </c>
    </row>
    <row r="171" spans="1:38">
      <c r="A171" t="s">
        <v>519</v>
      </c>
      <c r="B171" s="3">
        <v>45801</v>
      </c>
      <c r="C171" t="s">
        <v>453</v>
      </c>
      <c r="D171" t="s">
        <v>520</v>
      </c>
      <c r="E171" t="s">
        <v>454</v>
      </c>
      <c r="F171" t="s">
        <v>103</v>
      </c>
      <c r="G171" t="s">
        <v>104</v>
      </c>
      <c r="H171" t="s">
        <v>97</v>
      </c>
      <c r="I171">
        <v>1</v>
      </c>
      <c r="J171" s="2">
        <v>380.52</v>
      </c>
      <c r="K171" s="4">
        <v>0.05</v>
      </c>
      <c r="L171" t="s">
        <v>521</v>
      </c>
      <c r="M171">
        <v>2</v>
      </c>
      <c r="N171" t="s">
        <v>91</v>
      </c>
      <c r="O171" t="str">
        <f>SUBSTITUTE(PROPER(TRIM(RawSalesTable6[[#This Row],[Channel_Raw]])),"Market Place","Marketplace")</f>
        <v>Retail Store</v>
      </c>
      <c r="P171" t="str">
        <f>TRIM(RawSalesTable6[[#This Row],[Product_ID]])</f>
        <v>P1017</v>
      </c>
      <c r="Q171" t="str">
        <f>TRIM(RawSalesTable6[[#This Row],[Customer_ID]])</f>
        <v>C0070</v>
      </c>
      <c r="R171" s="8" t="str">
        <f>PROPER(TRIM(RawSalesTable6[[#This Row],[Store_Raw]]))</f>
        <v>Vancouver West</v>
      </c>
      <c r="S171" s="8" t="str">
        <f>IF(TRIM(RawSalesTable6[[#This Row],[Payment_Method_Raw]])="","Non renseigné",SUBSTITUTE(PROPER(TRIM(RawSalesTable6[[#This Row],[Payment_Method_Raw]])),"Cc","Credit Card"))</f>
        <v>Debit Card</v>
      </c>
      <c r="T171" s="8">
        <f>COUNTIF(A:A,RawSalesTable6[[#This Row],[Order_ID]])</f>
        <v>1</v>
      </c>
      <c r="U171" s="8" t="str">
        <f>TRIM(LEFT(RawSalesTable6[[#This Row],[Customer_Info]],FIND(",",RawSalesTable6[[#This Row],[Customer_Info]])-1))</f>
        <v>Sophia Young</v>
      </c>
      <c r="V171" s="8" t="str">
        <f>TRIM(MID(RawSalesTable6[[#This Row],[Customer_Info]],FIND(",",RawSalesTable6[[#This Row],[Customer_Info]])+1,FIND(",",RawSalesTable6[[#This Row],[Customer_Info]],FIND(",",RawSalesTable6[[#This Row],[Customer_Info]])+1)-FIND(",",RawSalesTable6[[#This Row],[Customer_Info]])-1))</f>
        <v>Halifax</v>
      </c>
      <c r="W171" s="8" t="str">
        <f>TRIM(RIGHT(RawSalesTable6[[#This Row],[Customer_Info]],LEN(RawSalesTable6[[#This Row],[Customer_Info]])-FIND(",",RawSalesTable6[[#This Row],[Customer_Info]],FIND(",",RawSalesTable6[[#This Row],[Customer_Info]])+1)))</f>
        <v>Corporate</v>
      </c>
      <c r="X171" s="8" t="str">
        <f>VLOOKUP(RawSalesTable6[[#This Row],[Product_ID_Clean]],ProductsTable[],2,FALSE)</f>
        <v>Coffee Maker</v>
      </c>
      <c r="Y171" s="8" t="str">
        <f>VLOOKUP(RawSalesTable6[[#This Row],[Product_ID_Clean]],ProductsTable[],3,FALSE)</f>
        <v>Home</v>
      </c>
      <c r="Z171" s="8">
        <f>VLOOKUP(RawSalesTable6[[#This Row],[Product_ID_Clean]],ProductsTable[],5,FALSE)</f>
        <v>241.16</v>
      </c>
      <c r="AA171" s="8">
        <f>RawSalesTable6[[#This Row],[Unit_Price]]*RawSalesTable6[[#This Row],[Quantity]]</f>
        <v>380.52</v>
      </c>
      <c r="AB171" s="8">
        <f>RawSalesTable6[[#This Row],[Gross_Sales]]*RawSalesTable6[[#This Row],[Discount_Pct]]</f>
        <v>19.026</v>
      </c>
      <c r="AC171" s="8">
        <f>RawSalesTable6[[#This Row],[Gross_Sales]]-RawSalesTable6[[#This Row],[Discount_Amount]]</f>
        <v>361.49399999999997</v>
      </c>
      <c r="AD171" s="8">
        <f>RawSalesTable6[[#This Row],[Unit_Cost]]*RawSalesTable6[[#This Row],[Quantity]]</f>
        <v>241.16</v>
      </c>
      <c r="AE171" s="8">
        <f>RawSalesTable6[[#This Row],[Net_Sales]]-RawSalesTable6[[#This Row],[Total_Cost]]</f>
        <v>120.33399999999997</v>
      </c>
      <c r="AF171" s="9">
        <f>RawSalesTable6[[#This Row],[Profit]]/RawSalesTable6[[#This Row],[Net_Sales]]</f>
        <v>0.33287966051995327</v>
      </c>
      <c r="AG171" s="8">
        <f>YEAR(RawSalesTable6[[#This Row],[Order_Date]])</f>
        <v>2025</v>
      </c>
      <c r="AH171" s="8">
        <f>MONTH(RawSalesTable6[[#This Row],[Order_Date]])</f>
        <v>5</v>
      </c>
      <c r="AI171" s="8" t="str">
        <f>TEXT(RawSalesTable6[[#This Row],[Order_Date]],"mmmm")</f>
        <v>mai</v>
      </c>
      <c r="AJ171" s="8" t="str">
        <f>IF(RawSalesTable6[[#This Row],[Month_Number]]&lt;=3,"Q1",IF(RawSalesTable6[[#This Row],[Month_Number]]&lt;=6,"Q2",IF(RawSalesTable6[[#This Row],[Month_Number]]&lt;=9,"Q3","Q4")))</f>
        <v>Q2</v>
      </c>
      <c r="AK171" s="8" t="str">
        <f>VLOOKUP(RawSalesTable6[[#This Row],[Customer_ID_Clean]],CustomersTable[],4,FALSE)</f>
        <v>Nova Scotia</v>
      </c>
      <c r="AL171" s="8">
        <f>IF(RawSalesTable6[[#This Row],[Return_Status]]="Yes",1,0)</f>
        <v>0</v>
      </c>
    </row>
    <row r="172" spans="1:38">
      <c r="A172" t="s">
        <v>522</v>
      </c>
      <c r="B172" s="3">
        <v>45931</v>
      </c>
      <c r="C172" t="s">
        <v>523</v>
      </c>
      <c r="D172" t="s">
        <v>85</v>
      </c>
      <c r="E172" t="s">
        <v>524</v>
      </c>
      <c r="F172" t="s">
        <v>103</v>
      </c>
      <c r="G172" t="s">
        <v>183</v>
      </c>
      <c r="H172" t="s">
        <v>89</v>
      </c>
      <c r="I172">
        <v>2</v>
      </c>
      <c r="J172" s="2">
        <v>310.64</v>
      </c>
      <c r="K172" s="4">
        <v>0.05</v>
      </c>
      <c r="L172" t="s">
        <v>90</v>
      </c>
      <c r="M172">
        <v>4</v>
      </c>
      <c r="N172" t="s">
        <v>91</v>
      </c>
      <c r="O172" t="str">
        <f>SUBSTITUTE(PROPER(TRIM(RawSalesTable6[[#This Row],[Channel_Raw]])),"Market Place","Marketplace")</f>
        <v>Online</v>
      </c>
      <c r="P172" t="str">
        <f>TRIM(RawSalesTable6[[#This Row],[Product_ID]])</f>
        <v>P1025</v>
      </c>
      <c r="Q172" t="str">
        <f>TRIM(RawSalesTable6[[#This Row],[Customer_ID]])</f>
        <v>C0115</v>
      </c>
      <c r="R172" s="8" t="str">
        <f>PROPER(TRIM(RawSalesTable6[[#This Row],[Store_Raw]]))</f>
        <v>Vancouver West</v>
      </c>
      <c r="S172" s="8" t="str">
        <f>IF(TRIM(RawSalesTable6[[#This Row],[Payment_Method_Raw]])="","Non renseigné",SUBSTITUTE(PROPER(TRIM(RawSalesTable6[[#This Row],[Payment_Method_Raw]])),"Cc","Credit Card"))</f>
        <v>Paypal</v>
      </c>
      <c r="T172" s="8">
        <f>COUNTIF(A:A,RawSalesTable6[[#This Row],[Order_ID]])</f>
        <v>1</v>
      </c>
      <c r="U172" s="8" t="str">
        <f>TRIM(LEFT(RawSalesTable6[[#This Row],[Customer_Info]],FIND(",",RawSalesTable6[[#This Row],[Customer_Info]])-1))</f>
        <v>Nora Lee</v>
      </c>
      <c r="V172" s="8" t="str">
        <f>TRIM(MID(RawSalesTable6[[#This Row],[Customer_Info]],FIND(",",RawSalesTable6[[#This Row],[Customer_Info]])+1,FIND(",",RawSalesTable6[[#This Row],[Customer_Info]],FIND(",",RawSalesTable6[[#This Row],[Customer_Info]])+1)-FIND(",",RawSalesTable6[[#This Row],[Customer_Info]])-1))</f>
        <v>Calgary</v>
      </c>
      <c r="W172" s="8" t="str">
        <f>TRIM(RIGHT(RawSalesTable6[[#This Row],[Customer_Info]],LEN(RawSalesTable6[[#This Row],[Customer_Info]])-FIND(",",RawSalesTable6[[#This Row],[Customer_Info]],FIND(",",RawSalesTable6[[#This Row],[Customer_Info]])+1)))</f>
        <v>Consumer</v>
      </c>
      <c r="X172" s="8" t="str">
        <f>VLOOKUP(RawSalesTable6[[#This Row],[Product_ID_Clean]],ProductsTable[],2,FALSE)</f>
        <v>Yoga Mat</v>
      </c>
      <c r="Y172" s="8" t="str">
        <f>VLOOKUP(RawSalesTable6[[#This Row],[Product_ID_Clean]],ProductsTable[],3,FALSE)</f>
        <v>Fitness</v>
      </c>
      <c r="Z172" s="8">
        <f>VLOOKUP(RawSalesTable6[[#This Row],[Product_ID_Clean]],ProductsTable[],5,FALSE)</f>
        <v>197.33</v>
      </c>
      <c r="AA172" s="8">
        <f>RawSalesTable6[[#This Row],[Unit_Price]]*RawSalesTable6[[#This Row],[Quantity]]</f>
        <v>621.28</v>
      </c>
      <c r="AB172" s="8">
        <f>RawSalesTable6[[#This Row],[Gross_Sales]]*RawSalesTable6[[#This Row],[Discount_Pct]]</f>
        <v>31.064</v>
      </c>
      <c r="AC172" s="8">
        <f>RawSalesTable6[[#This Row],[Gross_Sales]]-RawSalesTable6[[#This Row],[Discount_Amount]]</f>
        <v>590.21600000000001</v>
      </c>
      <c r="AD172" s="8">
        <f>RawSalesTable6[[#This Row],[Unit_Cost]]*RawSalesTable6[[#This Row],[Quantity]]</f>
        <v>394.66</v>
      </c>
      <c r="AE172" s="8">
        <f>RawSalesTable6[[#This Row],[Net_Sales]]-RawSalesTable6[[#This Row],[Total_Cost]]</f>
        <v>195.55599999999998</v>
      </c>
      <c r="AF172" s="9">
        <f>RawSalesTable6[[#This Row],[Profit]]/RawSalesTable6[[#This Row],[Net_Sales]]</f>
        <v>0.33132954714884039</v>
      </c>
      <c r="AG172" s="8">
        <f>YEAR(RawSalesTable6[[#This Row],[Order_Date]])</f>
        <v>2025</v>
      </c>
      <c r="AH172" s="8">
        <f>MONTH(RawSalesTable6[[#This Row],[Order_Date]])</f>
        <v>10</v>
      </c>
      <c r="AI172" s="8" t="str">
        <f>TEXT(RawSalesTable6[[#This Row],[Order_Date]],"mmmm")</f>
        <v>octobre</v>
      </c>
      <c r="AJ172" s="8" t="str">
        <f>IF(RawSalesTable6[[#This Row],[Month_Number]]&lt;=3,"Q1",IF(RawSalesTable6[[#This Row],[Month_Number]]&lt;=6,"Q2",IF(RawSalesTable6[[#This Row],[Month_Number]]&lt;=9,"Q3","Q4")))</f>
        <v>Q4</v>
      </c>
      <c r="AK172" s="8" t="str">
        <f>VLOOKUP(RawSalesTable6[[#This Row],[Customer_ID_Clean]],CustomersTable[],4,FALSE)</f>
        <v>Alberta</v>
      </c>
      <c r="AL172" s="8">
        <f>IF(RawSalesTable6[[#This Row],[Return_Status]]="Yes",1,0)</f>
        <v>0</v>
      </c>
    </row>
    <row r="173" spans="1:38">
      <c r="A173" t="s">
        <v>525</v>
      </c>
      <c r="B173" s="3">
        <v>45732</v>
      </c>
      <c r="C173" t="s">
        <v>151</v>
      </c>
      <c r="D173" t="s">
        <v>143</v>
      </c>
      <c r="E173" t="s">
        <v>153</v>
      </c>
      <c r="F173" t="s">
        <v>103</v>
      </c>
      <c r="G173" t="s">
        <v>96</v>
      </c>
      <c r="H173" t="s">
        <v>89</v>
      </c>
      <c r="I173">
        <v>2</v>
      </c>
      <c r="J173" s="2">
        <v>276.83</v>
      </c>
      <c r="K173" s="4">
        <v>0.05</v>
      </c>
      <c r="L173" t="s">
        <v>98</v>
      </c>
      <c r="M173">
        <v>1</v>
      </c>
      <c r="N173" t="s">
        <v>91</v>
      </c>
      <c r="O173" t="str">
        <f>SUBSTITUTE(PROPER(TRIM(RawSalesTable6[[#This Row],[Channel_Raw]])),"Market Place","Marketplace")</f>
        <v>Online</v>
      </c>
      <c r="P173" t="str">
        <f>TRIM(RawSalesTable6[[#This Row],[Product_ID]])</f>
        <v>P1038</v>
      </c>
      <c r="Q173" t="str">
        <f>TRIM(RawSalesTable6[[#This Row],[Customer_ID]])</f>
        <v>C0014</v>
      </c>
      <c r="R173" s="8" t="str">
        <f>PROPER(TRIM(RawSalesTable6[[#This Row],[Store_Raw]]))</f>
        <v>Vancouver West</v>
      </c>
      <c r="S173" s="8" t="str">
        <f>IF(TRIM(RawSalesTable6[[#This Row],[Payment_Method_Raw]])="","Non renseigné",SUBSTITUTE(PROPER(TRIM(RawSalesTable6[[#This Row],[Payment_Method_Raw]])),"Cc","Credit Card"))</f>
        <v>Debit Card</v>
      </c>
      <c r="T173" s="8">
        <f>COUNTIF(A:A,RawSalesTable6[[#This Row],[Order_ID]])</f>
        <v>1</v>
      </c>
      <c r="U173" s="8" t="str">
        <f>TRIM(LEFT(RawSalesTable6[[#This Row],[Customer_Info]],FIND(",",RawSalesTable6[[#This Row],[Customer_Info]])-1))</f>
        <v>Zoe Scott</v>
      </c>
      <c r="V173" s="8" t="str">
        <f>TRIM(MID(RawSalesTable6[[#This Row],[Customer_Info]],FIND(",",RawSalesTable6[[#This Row],[Customer_Info]])+1,FIND(",",RawSalesTable6[[#This Row],[Customer_Info]],FIND(",",RawSalesTable6[[#This Row],[Customer_Info]])+1)-FIND(",",RawSalesTable6[[#This Row],[Customer_Info]])-1))</f>
        <v>Montreal</v>
      </c>
      <c r="W173" s="8" t="str">
        <f>TRIM(RIGHT(RawSalesTable6[[#This Row],[Customer_Info]],LEN(RawSalesTable6[[#This Row],[Customer_Info]])-FIND(",",RawSalesTable6[[#This Row],[Customer_Info]],FIND(",",RawSalesTable6[[#This Row],[Customer_Info]])+1)))</f>
        <v>Small Business</v>
      </c>
      <c r="X173" s="8" t="str">
        <f>VLOOKUP(RawSalesTable6[[#This Row],[Product_ID_Clean]],ProductsTable[],2,FALSE)</f>
        <v>Water Bottle</v>
      </c>
      <c r="Y173" s="8" t="str">
        <f>VLOOKUP(RawSalesTable6[[#This Row],[Product_ID_Clean]],ProductsTable[],3,FALSE)</f>
        <v>Accessories</v>
      </c>
      <c r="Z173" s="8">
        <f>VLOOKUP(RawSalesTable6[[#This Row],[Product_ID_Clean]],ProductsTable[],5,FALSE)</f>
        <v>119.16</v>
      </c>
      <c r="AA173" s="8">
        <f>RawSalesTable6[[#This Row],[Unit_Price]]*RawSalesTable6[[#This Row],[Quantity]]</f>
        <v>553.66</v>
      </c>
      <c r="AB173" s="8">
        <f>RawSalesTable6[[#This Row],[Gross_Sales]]*RawSalesTable6[[#This Row],[Discount_Pct]]</f>
        <v>27.683</v>
      </c>
      <c r="AC173" s="8">
        <f>RawSalesTable6[[#This Row],[Gross_Sales]]-RawSalesTable6[[#This Row],[Discount_Amount]]</f>
        <v>525.97699999999998</v>
      </c>
      <c r="AD173" s="8">
        <f>RawSalesTable6[[#This Row],[Unit_Cost]]*RawSalesTable6[[#This Row],[Quantity]]</f>
        <v>238.32</v>
      </c>
      <c r="AE173" s="8">
        <f>RawSalesTable6[[#This Row],[Net_Sales]]-RawSalesTable6[[#This Row],[Total_Cost]]</f>
        <v>287.65699999999998</v>
      </c>
      <c r="AF173" s="9">
        <f>RawSalesTable6[[#This Row],[Profit]]/RawSalesTable6[[#This Row],[Net_Sales]]</f>
        <v>0.54690033974869623</v>
      </c>
      <c r="AG173" s="8">
        <f>YEAR(RawSalesTable6[[#This Row],[Order_Date]])</f>
        <v>2025</v>
      </c>
      <c r="AH173" s="8">
        <f>MONTH(RawSalesTable6[[#This Row],[Order_Date]])</f>
        <v>3</v>
      </c>
      <c r="AI173" s="8" t="str">
        <f>TEXT(RawSalesTable6[[#This Row],[Order_Date]],"mmmm")</f>
        <v>mars</v>
      </c>
      <c r="AJ173" s="8" t="str">
        <f>IF(RawSalesTable6[[#This Row],[Month_Number]]&lt;=3,"Q1",IF(RawSalesTable6[[#This Row],[Month_Number]]&lt;=6,"Q2",IF(RawSalesTable6[[#This Row],[Month_Number]]&lt;=9,"Q3","Q4")))</f>
        <v>Q1</v>
      </c>
      <c r="AK173" s="8" t="str">
        <f>VLOOKUP(RawSalesTable6[[#This Row],[Customer_ID_Clean]],CustomersTable[],4,FALSE)</f>
        <v>Quebec</v>
      </c>
      <c r="AL173" s="8">
        <f>IF(RawSalesTable6[[#This Row],[Return_Status]]="Yes",1,0)</f>
        <v>0</v>
      </c>
    </row>
    <row r="174" spans="1:38">
      <c r="A174" t="s">
        <v>526</v>
      </c>
      <c r="B174" s="3">
        <v>45775</v>
      </c>
      <c r="C174" t="s">
        <v>160</v>
      </c>
      <c r="D174" t="s">
        <v>231</v>
      </c>
      <c r="E174" t="s">
        <v>161</v>
      </c>
      <c r="F174" t="s">
        <v>87</v>
      </c>
      <c r="G174" t="s">
        <v>171</v>
      </c>
      <c r="H174" t="s">
        <v>89</v>
      </c>
      <c r="I174">
        <v>1</v>
      </c>
      <c r="J174" s="2">
        <v>344.09</v>
      </c>
      <c r="K174" s="4">
        <v>0.05</v>
      </c>
      <c r="L174" t="s">
        <v>98</v>
      </c>
      <c r="M174">
        <v>6</v>
      </c>
      <c r="N174" t="s">
        <v>91</v>
      </c>
      <c r="O174" t="str">
        <f>SUBSTITUTE(PROPER(TRIM(RawSalesTable6[[#This Row],[Channel_Raw]])),"Market Place","Marketplace")</f>
        <v>Online</v>
      </c>
      <c r="P174" t="str">
        <f>TRIM(RawSalesTable6[[#This Row],[Product_ID]])</f>
        <v>P1037</v>
      </c>
      <c r="Q174" t="str">
        <f>TRIM(RawSalesTable6[[#This Row],[Customer_ID]])</f>
        <v>C0073</v>
      </c>
      <c r="R174" s="8" t="str">
        <f>PROPER(TRIM(RawSalesTable6[[#This Row],[Store_Raw]]))</f>
        <v>Online Fulfillment</v>
      </c>
      <c r="S174" s="8" t="str">
        <f>IF(TRIM(RawSalesTable6[[#This Row],[Payment_Method_Raw]])="","Non renseigné",SUBSTITUTE(PROPER(TRIM(RawSalesTable6[[#This Row],[Payment_Method_Raw]])),"Cc","Credit Card"))</f>
        <v>Debit Card</v>
      </c>
      <c r="T174" s="8">
        <f>COUNTIF(A:A,RawSalesTable6[[#This Row],[Order_ID]])</f>
        <v>1</v>
      </c>
      <c r="U174" s="8" t="str">
        <f>TRIM(LEFT(RawSalesTable6[[#This Row],[Customer_Info]],FIND(",",RawSalesTable6[[#This Row],[Customer_Info]])-1))</f>
        <v>Olivia Singh</v>
      </c>
      <c r="V174" s="8" t="str">
        <f>TRIM(MID(RawSalesTable6[[#This Row],[Customer_Info]],FIND(",",RawSalesTable6[[#This Row],[Customer_Info]])+1,FIND(",",RawSalesTable6[[#This Row],[Customer_Info]],FIND(",",RawSalesTable6[[#This Row],[Customer_Info]])+1)-FIND(",",RawSalesTable6[[#This Row],[Customer_Info]])-1))</f>
        <v>Mississauga</v>
      </c>
      <c r="W174" s="8" t="str">
        <f>TRIM(RIGHT(RawSalesTable6[[#This Row],[Customer_Info]],LEN(RawSalesTable6[[#This Row],[Customer_Info]])-FIND(",",RawSalesTable6[[#This Row],[Customer_Info]],FIND(",",RawSalesTable6[[#This Row],[Customer_Info]])+1)))</f>
        <v>Consumer</v>
      </c>
      <c r="X174" s="8" t="str">
        <f>VLOOKUP(RawSalesTable6[[#This Row],[Product_ID_Clean]],ProductsTable[],2,FALSE)</f>
        <v>Cable Set</v>
      </c>
      <c r="Y174" s="8" t="str">
        <f>VLOOKUP(RawSalesTable6[[#This Row],[Product_ID_Clean]],ProductsTable[],3,FALSE)</f>
        <v>Accessories</v>
      </c>
      <c r="Z174" s="8">
        <f>VLOOKUP(RawSalesTable6[[#This Row],[Product_ID_Clean]],ProductsTable[],5,FALSE)</f>
        <v>200.16</v>
      </c>
      <c r="AA174" s="8">
        <f>RawSalesTable6[[#This Row],[Unit_Price]]*RawSalesTable6[[#This Row],[Quantity]]</f>
        <v>344.09</v>
      </c>
      <c r="AB174" s="8">
        <f>RawSalesTable6[[#This Row],[Gross_Sales]]*RawSalesTable6[[#This Row],[Discount_Pct]]</f>
        <v>17.204499999999999</v>
      </c>
      <c r="AC174" s="8">
        <f>RawSalesTable6[[#This Row],[Gross_Sales]]-RawSalesTable6[[#This Row],[Discount_Amount]]</f>
        <v>326.88549999999998</v>
      </c>
      <c r="AD174" s="8">
        <f>RawSalesTable6[[#This Row],[Unit_Cost]]*RawSalesTable6[[#This Row],[Quantity]]</f>
        <v>200.16</v>
      </c>
      <c r="AE174" s="8">
        <f>RawSalesTable6[[#This Row],[Net_Sales]]-RawSalesTable6[[#This Row],[Total_Cost]]</f>
        <v>126.72549999999998</v>
      </c>
      <c r="AF174" s="9">
        <f>RawSalesTable6[[#This Row],[Profit]]/RawSalesTable6[[#This Row],[Net_Sales]]</f>
        <v>0.3876755010546506</v>
      </c>
      <c r="AG174" s="8">
        <f>YEAR(RawSalesTable6[[#This Row],[Order_Date]])</f>
        <v>2025</v>
      </c>
      <c r="AH174" s="8">
        <f>MONTH(RawSalesTable6[[#This Row],[Order_Date]])</f>
        <v>4</v>
      </c>
      <c r="AI174" s="8" t="str">
        <f>TEXT(RawSalesTable6[[#This Row],[Order_Date]],"mmmm")</f>
        <v>avril</v>
      </c>
      <c r="AJ174" s="8" t="str">
        <f>IF(RawSalesTable6[[#This Row],[Month_Number]]&lt;=3,"Q1",IF(RawSalesTable6[[#This Row],[Month_Number]]&lt;=6,"Q2",IF(RawSalesTable6[[#This Row],[Month_Number]]&lt;=9,"Q3","Q4")))</f>
        <v>Q2</v>
      </c>
      <c r="AK174" s="8" t="str">
        <f>VLOOKUP(RawSalesTable6[[#This Row],[Customer_ID_Clean]],CustomersTable[],4,FALSE)</f>
        <v>Ontario</v>
      </c>
      <c r="AL174" s="8">
        <f>IF(RawSalesTable6[[#This Row],[Return_Status]]="Yes",1,0)</f>
        <v>0</v>
      </c>
    </row>
    <row r="175" spans="1:38">
      <c r="A175" t="s">
        <v>527</v>
      </c>
      <c r="B175" s="3">
        <v>45992</v>
      </c>
      <c r="C175" t="s">
        <v>236</v>
      </c>
      <c r="D175" t="s">
        <v>120</v>
      </c>
      <c r="E175" t="s">
        <v>237</v>
      </c>
      <c r="F175" t="s">
        <v>116</v>
      </c>
      <c r="G175" t="s">
        <v>122</v>
      </c>
      <c r="H175" t="s">
        <v>105</v>
      </c>
      <c r="I175">
        <v>1</v>
      </c>
      <c r="J175" s="2">
        <v>389.99</v>
      </c>
      <c r="K175" s="4">
        <v>0</v>
      </c>
      <c r="L175" t="s">
        <v>90</v>
      </c>
      <c r="M175">
        <v>8</v>
      </c>
      <c r="N175" t="s">
        <v>91</v>
      </c>
      <c r="O175" t="str">
        <f>SUBSTITUTE(PROPER(TRIM(RawSalesTable6[[#This Row],[Channel_Raw]])),"Market Place","Marketplace")</f>
        <v>Marketplace</v>
      </c>
      <c r="P175" t="str">
        <f>TRIM(RawSalesTable6[[#This Row],[Product_ID]])</f>
        <v>P1015</v>
      </c>
      <c r="Q175" t="str">
        <f>TRIM(RawSalesTable6[[#This Row],[Customer_ID]])</f>
        <v>C0102</v>
      </c>
      <c r="R175" s="8" t="str">
        <f>PROPER(TRIM(RawSalesTable6[[#This Row],[Store_Raw]]))</f>
        <v>Toronto Downtown</v>
      </c>
      <c r="S175" s="8" t="str">
        <f>IF(TRIM(RawSalesTable6[[#This Row],[Payment_Method_Raw]])="","Non renseigné",SUBSTITUTE(PROPER(TRIM(RawSalesTable6[[#This Row],[Payment_Method_Raw]])),"Cc","Credit Card"))</f>
        <v>Paypal</v>
      </c>
      <c r="T175" s="8">
        <f>COUNTIF(A:A,RawSalesTable6[[#This Row],[Order_ID]])</f>
        <v>1</v>
      </c>
      <c r="U175" s="8" t="str">
        <f>TRIM(LEFT(RawSalesTable6[[#This Row],[Customer_Info]],FIND(",",RawSalesTable6[[#This Row],[Customer_Info]])-1))</f>
        <v>Adam Roy</v>
      </c>
      <c r="V175" s="8" t="str">
        <f>TRIM(MID(RawSalesTable6[[#This Row],[Customer_Info]],FIND(",",RawSalesTable6[[#This Row],[Customer_Info]])+1,FIND(",",RawSalesTable6[[#This Row],[Customer_Info]],FIND(",",RawSalesTable6[[#This Row],[Customer_Info]])+1)-FIND(",",RawSalesTable6[[#This Row],[Customer_Info]])-1))</f>
        <v>Edmonton</v>
      </c>
      <c r="W175" s="8" t="str">
        <f>TRIM(RIGHT(RawSalesTable6[[#This Row],[Customer_Info]],LEN(RawSalesTable6[[#This Row],[Customer_Info]])-FIND(",",RawSalesTable6[[#This Row],[Customer_Info]],FIND(",",RawSalesTable6[[#This Row],[Customer_Info]])+1)))</f>
        <v>Corporate</v>
      </c>
      <c r="X175" s="8" t="str">
        <f>VLOOKUP(RawSalesTable6[[#This Row],[Product_ID_Clean]],ProductsTable[],2,FALSE)</f>
        <v>Desk Organizer</v>
      </c>
      <c r="Y175" s="8" t="str">
        <f>VLOOKUP(RawSalesTable6[[#This Row],[Product_ID_Clean]],ProductsTable[],3,FALSE)</f>
        <v>Office</v>
      </c>
      <c r="Z175" s="8">
        <f>VLOOKUP(RawSalesTable6[[#This Row],[Product_ID_Clean]],ProductsTable[],5,FALSE)</f>
        <v>235.76</v>
      </c>
      <c r="AA175" s="8">
        <f>RawSalesTable6[[#This Row],[Unit_Price]]*RawSalesTable6[[#This Row],[Quantity]]</f>
        <v>389.99</v>
      </c>
      <c r="AB175" s="8">
        <f>RawSalesTable6[[#This Row],[Gross_Sales]]*RawSalesTable6[[#This Row],[Discount_Pct]]</f>
        <v>0</v>
      </c>
      <c r="AC175" s="8">
        <f>RawSalesTable6[[#This Row],[Gross_Sales]]-RawSalesTable6[[#This Row],[Discount_Amount]]</f>
        <v>389.99</v>
      </c>
      <c r="AD175" s="8">
        <f>RawSalesTable6[[#This Row],[Unit_Cost]]*RawSalesTable6[[#This Row],[Quantity]]</f>
        <v>235.76</v>
      </c>
      <c r="AE175" s="8">
        <f>RawSalesTable6[[#This Row],[Net_Sales]]-RawSalesTable6[[#This Row],[Total_Cost]]</f>
        <v>154.23000000000002</v>
      </c>
      <c r="AF175" s="9">
        <f>RawSalesTable6[[#This Row],[Profit]]/RawSalesTable6[[#This Row],[Net_Sales]]</f>
        <v>0.39547167876099393</v>
      </c>
      <c r="AG175" s="8">
        <f>YEAR(RawSalesTable6[[#This Row],[Order_Date]])</f>
        <v>2025</v>
      </c>
      <c r="AH175" s="8">
        <f>MONTH(RawSalesTable6[[#This Row],[Order_Date]])</f>
        <v>12</v>
      </c>
      <c r="AI175" s="8" t="str">
        <f>TEXT(RawSalesTable6[[#This Row],[Order_Date]],"mmmm")</f>
        <v>décembre</v>
      </c>
      <c r="AJ175" s="8" t="str">
        <f>IF(RawSalesTable6[[#This Row],[Month_Number]]&lt;=3,"Q1",IF(RawSalesTable6[[#This Row],[Month_Number]]&lt;=6,"Q2",IF(RawSalesTable6[[#This Row],[Month_Number]]&lt;=9,"Q3","Q4")))</f>
        <v>Q4</v>
      </c>
      <c r="AK175" s="8" t="str">
        <f>VLOOKUP(RawSalesTable6[[#This Row],[Customer_ID_Clean]],CustomersTable[],4,FALSE)</f>
        <v>Alberta</v>
      </c>
      <c r="AL175" s="8">
        <f>IF(RawSalesTable6[[#This Row],[Return_Status]]="Yes",1,0)</f>
        <v>0</v>
      </c>
    </row>
    <row r="176" spans="1:38">
      <c r="A176" t="s">
        <v>528</v>
      </c>
      <c r="B176" s="3">
        <v>45752</v>
      </c>
      <c r="C176" t="s">
        <v>466</v>
      </c>
      <c r="D176" t="s">
        <v>101</v>
      </c>
      <c r="E176" t="s">
        <v>467</v>
      </c>
      <c r="F176" t="s">
        <v>116</v>
      </c>
      <c r="G176" t="s">
        <v>171</v>
      </c>
      <c r="H176" t="s">
        <v>89</v>
      </c>
      <c r="I176">
        <v>4</v>
      </c>
      <c r="J176" s="2">
        <v>308.58999999999997</v>
      </c>
      <c r="K176" s="4">
        <v>0</v>
      </c>
      <c r="L176" t="s">
        <v>98</v>
      </c>
      <c r="M176">
        <v>1</v>
      </c>
      <c r="N176" t="s">
        <v>91</v>
      </c>
      <c r="O176" t="str">
        <f>SUBSTITUTE(PROPER(TRIM(RawSalesTable6[[#This Row],[Channel_Raw]])),"Market Place","Marketplace")</f>
        <v>Online</v>
      </c>
      <c r="P176" t="str">
        <f>TRIM(RawSalesTable6[[#This Row],[Product_ID]])</f>
        <v>P1021</v>
      </c>
      <c r="Q176" t="str">
        <f>TRIM(RawSalesTable6[[#This Row],[Customer_ID]])</f>
        <v>C0096</v>
      </c>
      <c r="R176" s="8" t="str">
        <f>PROPER(TRIM(RawSalesTable6[[#This Row],[Store_Raw]]))</f>
        <v>Toronto Downtown</v>
      </c>
      <c r="S176" s="8" t="str">
        <f>IF(TRIM(RawSalesTable6[[#This Row],[Payment_Method_Raw]])="","Non renseigné",SUBSTITUTE(PROPER(TRIM(RawSalesTable6[[#This Row],[Payment_Method_Raw]])),"Cc","Credit Card"))</f>
        <v>Debit Card</v>
      </c>
      <c r="T176" s="8">
        <f>COUNTIF(A:A,RawSalesTable6[[#This Row],[Order_ID]])</f>
        <v>1</v>
      </c>
      <c r="U176" s="8" t="str">
        <f>TRIM(LEFT(RawSalesTable6[[#This Row],[Customer_Info]],FIND(",",RawSalesTable6[[#This Row],[Customer_Info]])-1))</f>
        <v>Ryan Roy</v>
      </c>
      <c r="V176" s="8" t="str">
        <f>TRIM(MID(RawSalesTable6[[#This Row],[Customer_Info]],FIND(",",RawSalesTable6[[#This Row],[Customer_Info]])+1,FIND(",",RawSalesTable6[[#This Row],[Customer_Info]],FIND(",",RawSalesTable6[[#This Row],[Customer_Info]])+1)-FIND(",",RawSalesTable6[[#This Row],[Customer_Info]])-1))</f>
        <v>Laval</v>
      </c>
      <c r="W176" s="8" t="str">
        <f>TRIM(RIGHT(RawSalesTable6[[#This Row],[Customer_Info]],LEN(RawSalesTable6[[#This Row],[Customer_Info]])-FIND(",",RawSalesTable6[[#This Row],[Customer_Info]],FIND(",",RawSalesTable6[[#This Row],[Customer_Info]])+1)))</f>
        <v>Corporate</v>
      </c>
      <c r="X176" s="8" t="str">
        <f>VLOOKUP(RawSalesTable6[[#This Row],[Product_ID_Clean]],ProductsTable[],2,FALSE)</f>
        <v>Kettle</v>
      </c>
      <c r="Y176" s="8" t="str">
        <f>VLOOKUP(RawSalesTable6[[#This Row],[Product_ID_Clean]],ProductsTable[],3,FALSE)</f>
        <v>Home</v>
      </c>
      <c r="Z176" s="8">
        <f>VLOOKUP(RawSalesTable6[[#This Row],[Product_ID_Clean]],ProductsTable[],5,FALSE)</f>
        <v>139.86000000000001</v>
      </c>
      <c r="AA176" s="8">
        <f>RawSalesTable6[[#This Row],[Unit_Price]]*RawSalesTable6[[#This Row],[Quantity]]</f>
        <v>1234.3599999999999</v>
      </c>
      <c r="AB176" s="8">
        <f>RawSalesTable6[[#This Row],[Gross_Sales]]*RawSalesTable6[[#This Row],[Discount_Pct]]</f>
        <v>0</v>
      </c>
      <c r="AC176" s="8">
        <f>RawSalesTable6[[#This Row],[Gross_Sales]]-RawSalesTable6[[#This Row],[Discount_Amount]]</f>
        <v>1234.3599999999999</v>
      </c>
      <c r="AD176" s="8">
        <f>RawSalesTable6[[#This Row],[Unit_Cost]]*RawSalesTable6[[#This Row],[Quantity]]</f>
        <v>559.44000000000005</v>
      </c>
      <c r="AE176" s="8">
        <f>RawSalesTable6[[#This Row],[Net_Sales]]-RawSalesTable6[[#This Row],[Total_Cost]]</f>
        <v>674.91999999999985</v>
      </c>
      <c r="AF176" s="9">
        <f>RawSalesTable6[[#This Row],[Profit]]/RawSalesTable6[[#This Row],[Net_Sales]]</f>
        <v>0.54677727729349612</v>
      </c>
      <c r="AG176" s="8">
        <f>YEAR(RawSalesTable6[[#This Row],[Order_Date]])</f>
        <v>2025</v>
      </c>
      <c r="AH176" s="8">
        <f>MONTH(RawSalesTable6[[#This Row],[Order_Date]])</f>
        <v>4</v>
      </c>
      <c r="AI176" s="8" t="str">
        <f>TEXT(RawSalesTable6[[#This Row],[Order_Date]],"mmmm")</f>
        <v>avril</v>
      </c>
      <c r="AJ176" s="8" t="str">
        <f>IF(RawSalesTable6[[#This Row],[Month_Number]]&lt;=3,"Q1",IF(RawSalesTable6[[#This Row],[Month_Number]]&lt;=6,"Q2",IF(RawSalesTable6[[#This Row],[Month_Number]]&lt;=9,"Q3","Q4")))</f>
        <v>Q2</v>
      </c>
      <c r="AK176" s="8" t="str">
        <f>VLOOKUP(RawSalesTable6[[#This Row],[Customer_ID_Clean]],CustomersTable[],4,FALSE)</f>
        <v>Quebec</v>
      </c>
      <c r="AL176" s="8">
        <f>IF(RawSalesTable6[[#This Row],[Return_Status]]="Yes",1,0)</f>
        <v>0</v>
      </c>
    </row>
    <row r="177" spans="1:38">
      <c r="A177" t="s">
        <v>529</v>
      </c>
      <c r="B177" s="3">
        <v>45686</v>
      </c>
      <c r="C177" t="s">
        <v>108</v>
      </c>
      <c r="D177" t="s">
        <v>520</v>
      </c>
      <c r="E177" t="s">
        <v>110</v>
      </c>
      <c r="F177" t="s">
        <v>111</v>
      </c>
      <c r="G177" t="s">
        <v>122</v>
      </c>
      <c r="H177" t="s">
        <v>97</v>
      </c>
      <c r="I177">
        <v>1</v>
      </c>
      <c r="J177" s="2">
        <v>372.42</v>
      </c>
      <c r="K177" s="4">
        <v>0</v>
      </c>
      <c r="L177" t="s">
        <v>90</v>
      </c>
      <c r="M177">
        <v>1</v>
      </c>
      <c r="N177" t="s">
        <v>91</v>
      </c>
      <c r="O177" t="str">
        <f>SUBSTITUTE(PROPER(TRIM(RawSalesTable6[[#This Row],[Channel_Raw]])),"Market Place","Marketplace")</f>
        <v>Retail Store</v>
      </c>
      <c r="P177" t="str">
        <f>TRIM(RawSalesTable6[[#This Row],[Product_ID]])</f>
        <v>P1017</v>
      </c>
      <c r="Q177" t="str">
        <f>TRIM(RawSalesTable6[[#This Row],[Customer_ID]])</f>
        <v>C0071</v>
      </c>
      <c r="R177" s="8" t="str">
        <f>PROPER(TRIM(RawSalesTable6[[#This Row],[Store_Raw]]))</f>
        <v>Montreal Central</v>
      </c>
      <c r="S177" s="8" t="str">
        <f>IF(TRIM(RawSalesTable6[[#This Row],[Payment_Method_Raw]])="","Non renseigné",SUBSTITUTE(PROPER(TRIM(RawSalesTable6[[#This Row],[Payment_Method_Raw]])),"Cc","Credit Card"))</f>
        <v>Paypal</v>
      </c>
      <c r="T177" s="8">
        <f>COUNTIF(A:A,RawSalesTable6[[#This Row],[Order_ID]])</f>
        <v>1</v>
      </c>
      <c r="U177" s="8" t="str">
        <f>TRIM(LEFT(RawSalesTable6[[#This Row],[Customer_Info]],FIND(",",RawSalesTable6[[#This Row],[Customer_Info]])-1))</f>
        <v>Ethan Lee</v>
      </c>
      <c r="V177" s="8" t="str">
        <f>TRIM(MID(RawSalesTable6[[#This Row],[Customer_Info]],FIND(",",RawSalesTable6[[#This Row],[Customer_Info]])+1,FIND(",",RawSalesTable6[[#This Row],[Customer_Info]],FIND(",",RawSalesTable6[[#This Row],[Customer_Info]])+1)-FIND(",",RawSalesTable6[[#This Row],[Customer_Info]])-1))</f>
        <v>Surrey</v>
      </c>
      <c r="W177" s="8" t="str">
        <f>TRIM(RIGHT(RawSalesTable6[[#This Row],[Customer_Info]],LEN(RawSalesTable6[[#This Row],[Customer_Info]])-FIND(",",RawSalesTable6[[#This Row],[Customer_Info]],FIND(",",RawSalesTable6[[#This Row],[Customer_Info]])+1)))</f>
        <v>Consumer</v>
      </c>
      <c r="X177" s="8" t="str">
        <f>VLOOKUP(RawSalesTable6[[#This Row],[Product_ID_Clean]],ProductsTable[],2,FALSE)</f>
        <v>Coffee Maker</v>
      </c>
      <c r="Y177" s="8" t="str">
        <f>VLOOKUP(RawSalesTable6[[#This Row],[Product_ID_Clean]],ProductsTable[],3,FALSE)</f>
        <v>Home</v>
      </c>
      <c r="Z177" s="8">
        <f>VLOOKUP(RawSalesTable6[[#This Row],[Product_ID_Clean]],ProductsTable[],5,FALSE)</f>
        <v>241.16</v>
      </c>
      <c r="AA177" s="8">
        <f>RawSalesTable6[[#This Row],[Unit_Price]]*RawSalesTable6[[#This Row],[Quantity]]</f>
        <v>372.42</v>
      </c>
      <c r="AB177" s="8">
        <f>RawSalesTable6[[#This Row],[Gross_Sales]]*RawSalesTable6[[#This Row],[Discount_Pct]]</f>
        <v>0</v>
      </c>
      <c r="AC177" s="8">
        <f>RawSalesTable6[[#This Row],[Gross_Sales]]-RawSalesTable6[[#This Row],[Discount_Amount]]</f>
        <v>372.42</v>
      </c>
      <c r="AD177" s="8">
        <f>RawSalesTable6[[#This Row],[Unit_Cost]]*RawSalesTable6[[#This Row],[Quantity]]</f>
        <v>241.16</v>
      </c>
      <c r="AE177" s="8">
        <f>RawSalesTable6[[#This Row],[Net_Sales]]-RawSalesTable6[[#This Row],[Total_Cost]]</f>
        <v>131.26000000000002</v>
      </c>
      <c r="AF177" s="9">
        <f>RawSalesTable6[[#This Row],[Profit]]/RawSalesTable6[[#This Row],[Net_Sales]]</f>
        <v>0.35245153321518718</v>
      </c>
      <c r="AG177" s="8">
        <f>YEAR(RawSalesTable6[[#This Row],[Order_Date]])</f>
        <v>2025</v>
      </c>
      <c r="AH177" s="8">
        <f>MONTH(RawSalesTable6[[#This Row],[Order_Date]])</f>
        <v>1</v>
      </c>
      <c r="AI177" s="8" t="str">
        <f>TEXT(RawSalesTable6[[#This Row],[Order_Date]],"mmmm")</f>
        <v>janvier</v>
      </c>
      <c r="AJ177" s="8" t="str">
        <f>IF(RawSalesTable6[[#This Row],[Month_Number]]&lt;=3,"Q1",IF(RawSalesTable6[[#This Row],[Month_Number]]&lt;=6,"Q2",IF(RawSalesTable6[[#This Row],[Month_Number]]&lt;=9,"Q3","Q4")))</f>
        <v>Q1</v>
      </c>
      <c r="AK177" s="8" t="str">
        <f>VLOOKUP(RawSalesTable6[[#This Row],[Customer_ID_Clean]],CustomersTable[],4,FALSE)</f>
        <v>British Columbia</v>
      </c>
      <c r="AL177" s="8">
        <f>IF(RawSalesTable6[[#This Row],[Return_Status]]="Yes",1,0)</f>
        <v>0</v>
      </c>
    </row>
    <row r="178" spans="1:38">
      <c r="A178" t="s">
        <v>530</v>
      </c>
      <c r="B178" s="3">
        <v>45972</v>
      </c>
      <c r="C178" t="s">
        <v>531</v>
      </c>
      <c r="D178" t="s">
        <v>109</v>
      </c>
      <c r="E178" t="s">
        <v>532</v>
      </c>
      <c r="F178" t="s">
        <v>223</v>
      </c>
      <c r="G178" t="s">
        <v>104</v>
      </c>
      <c r="H178" t="s">
        <v>89</v>
      </c>
      <c r="I178">
        <v>1</v>
      </c>
      <c r="J178" s="2">
        <v>210.97</v>
      </c>
      <c r="K178" s="4">
        <v>0.1</v>
      </c>
      <c r="L178" t="s">
        <v>154</v>
      </c>
      <c r="M178">
        <v>9</v>
      </c>
      <c r="N178" t="s">
        <v>91</v>
      </c>
      <c r="O178" t="str">
        <f>SUBSTITUTE(PROPER(TRIM(RawSalesTable6[[#This Row],[Channel_Raw]])),"Market Place","Marketplace")</f>
        <v>Online</v>
      </c>
      <c r="P178" t="str">
        <f>TRIM(RawSalesTable6[[#This Row],[Product_ID]])</f>
        <v>P1032</v>
      </c>
      <c r="Q178" t="str">
        <f>TRIM(RawSalesTable6[[#This Row],[Customer_ID]])</f>
        <v>C0042</v>
      </c>
      <c r="R178" s="8" t="str">
        <f>PROPER(TRIM(RawSalesTable6[[#This Row],[Store_Raw]]))</f>
        <v>Montreal Central</v>
      </c>
      <c r="S178" s="8" t="str">
        <f>IF(TRIM(RawSalesTable6[[#This Row],[Payment_Method_Raw]])="","Non renseigné",SUBSTITUTE(PROPER(TRIM(RawSalesTable6[[#This Row],[Payment_Method_Raw]])),"Cc","Credit Card"))</f>
        <v>Gift Card</v>
      </c>
      <c r="T178" s="8">
        <f>COUNTIF(A:A,RawSalesTable6[[#This Row],[Order_ID]])</f>
        <v>1</v>
      </c>
      <c r="U178" s="8" t="str">
        <f>TRIM(LEFT(RawSalesTable6[[#This Row],[Customer_Info]],FIND(",",RawSalesTable6[[#This Row],[Customer_Info]])-1))</f>
        <v>Emma King</v>
      </c>
      <c r="V178" s="8" t="str">
        <f>TRIM(MID(RawSalesTable6[[#This Row],[Customer_Info]],FIND(",",RawSalesTable6[[#This Row],[Customer_Info]])+1,FIND(",",RawSalesTable6[[#This Row],[Customer_Info]],FIND(",",RawSalesTable6[[#This Row],[Customer_Info]])+1)-FIND(",",RawSalesTable6[[#This Row],[Customer_Info]])-1))</f>
        <v>Quebec City</v>
      </c>
      <c r="W178" s="8" t="str">
        <f>TRIM(RIGHT(RawSalesTable6[[#This Row],[Customer_Info]],LEN(RawSalesTable6[[#This Row],[Customer_Info]])-FIND(",",RawSalesTable6[[#This Row],[Customer_Info]],FIND(",",RawSalesTable6[[#This Row],[Customer_Info]])+1)))</f>
        <v>Consumer</v>
      </c>
      <c r="X178" s="8" t="str">
        <f>VLOOKUP(RawSalesTable6[[#This Row],[Product_ID_Clean]],ProductsTable[],2,FALSE)</f>
        <v>Gym Bag</v>
      </c>
      <c r="Y178" s="8" t="str">
        <f>VLOOKUP(RawSalesTable6[[#This Row],[Product_ID_Clean]],ProductsTable[],3,FALSE)</f>
        <v>Fitness</v>
      </c>
      <c r="Z178" s="8">
        <f>VLOOKUP(RawSalesTable6[[#This Row],[Product_ID_Clean]],ProductsTable[],5,FALSE)</f>
        <v>132.72</v>
      </c>
      <c r="AA178" s="8">
        <f>RawSalesTable6[[#This Row],[Unit_Price]]*RawSalesTable6[[#This Row],[Quantity]]</f>
        <v>210.97</v>
      </c>
      <c r="AB178" s="8">
        <f>RawSalesTable6[[#This Row],[Gross_Sales]]*RawSalesTable6[[#This Row],[Discount_Pct]]</f>
        <v>21.097000000000001</v>
      </c>
      <c r="AC178" s="8">
        <f>RawSalesTable6[[#This Row],[Gross_Sales]]-RawSalesTable6[[#This Row],[Discount_Amount]]</f>
        <v>189.87299999999999</v>
      </c>
      <c r="AD178" s="8">
        <f>RawSalesTable6[[#This Row],[Unit_Cost]]*RawSalesTable6[[#This Row],[Quantity]]</f>
        <v>132.72</v>
      </c>
      <c r="AE178" s="8">
        <f>RawSalesTable6[[#This Row],[Net_Sales]]-RawSalesTable6[[#This Row],[Total_Cost]]</f>
        <v>57.152999999999992</v>
      </c>
      <c r="AF178" s="9">
        <f>RawSalesTable6[[#This Row],[Profit]]/RawSalesTable6[[#This Row],[Net_Sales]]</f>
        <v>0.30100646221421684</v>
      </c>
      <c r="AG178" s="8">
        <f>YEAR(RawSalesTable6[[#This Row],[Order_Date]])</f>
        <v>2025</v>
      </c>
      <c r="AH178" s="8">
        <f>MONTH(RawSalesTable6[[#This Row],[Order_Date]])</f>
        <v>11</v>
      </c>
      <c r="AI178" s="8" t="str">
        <f>TEXT(RawSalesTable6[[#This Row],[Order_Date]],"mmmm")</f>
        <v>novembre</v>
      </c>
      <c r="AJ178" s="8" t="str">
        <f>IF(RawSalesTable6[[#This Row],[Month_Number]]&lt;=3,"Q1",IF(RawSalesTable6[[#This Row],[Month_Number]]&lt;=6,"Q2",IF(RawSalesTable6[[#This Row],[Month_Number]]&lt;=9,"Q3","Q4")))</f>
        <v>Q4</v>
      </c>
      <c r="AK178" s="8" t="str">
        <f>VLOOKUP(RawSalesTable6[[#This Row],[Customer_ID_Clean]],CustomersTable[],4,FALSE)</f>
        <v>Quebec</v>
      </c>
      <c r="AL178" s="8">
        <f>IF(RawSalesTable6[[#This Row],[Return_Status]]="Yes",1,0)</f>
        <v>0</v>
      </c>
    </row>
    <row r="179" spans="1:38">
      <c r="A179" t="s">
        <v>533</v>
      </c>
      <c r="B179" s="3">
        <v>45676</v>
      </c>
      <c r="C179" t="s">
        <v>265</v>
      </c>
      <c r="D179" t="s">
        <v>133</v>
      </c>
      <c r="E179" t="s">
        <v>266</v>
      </c>
      <c r="F179" t="s">
        <v>116</v>
      </c>
      <c r="G179" t="s">
        <v>117</v>
      </c>
      <c r="H179" t="s">
        <v>89</v>
      </c>
      <c r="I179">
        <v>3</v>
      </c>
      <c r="J179" s="2">
        <v>341.63</v>
      </c>
      <c r="K179" s="4">
        <v>0</v>
      </c>
      <c r="L179" t="s">
        <v>106</v>
      </c>
      <c r="M179">
        <v>3</v>
      </c>
      <c r="N179" t="s">
        <v>91</v>
      </c>
      <c r="O179" t="str">
        <f>SUBSTITUTE(PROPER(TRIM(RawSalesTable6[[#This Row],[Channel_Raw]])),"Market Place","Marketplace")</f>
        <v>Online</v>
      </c>
      <c r="P179" t="str">
        <f>TRIM(RawSalesTable6[[#This Row],[Product_ID]])</f>
        <v>P1039</v>
      </c>
      <c r="Q179" t="str">
        <f>TRIM(RawSalesTable6[[#This Row],[Customer_ID]])</f>
        <v>C0020</v>
      </c>
      <c r="R179" s="8" t="str">
        <f>PROPER(TRIM(RawSalesTable6[[#This Row],[Store_Raw]]))</f>
        <v>Toronto Downtown</v>
      </c>
      <c r="S179" s="8" t="str">
        <f>IF(TRIM(RawSalesTable6[[#This Row],[Payment_Method_Raw]])="","Non renseigné",SUBSTITUTE(PROPER(TRIM(RawSalesTable6[[#This Row],[Payment_Method_Raw]])),"Cc","Credit Card"))</f>
        <v>Credit Card</v>
      </c>
      <c r="T179" s="8">
        <f>COUNTIF(A:A,RawSalesTable6[[#This Row],[Order_ID]])</f>
        <v>1</v>
      </c>
      <c r="U179" s="8" t="str">
        <f>TRIM(LEFT(RawSalesTable6[[#This Row],[Customer_Info]],FIND(",",RawSalesTable6[[#This Row],[Customer_Info]])-1))</f>
        <v>Nora Khan</v>
      </c>
      <c r="V179" s="8" t="str">
        <f>TRIM(MID(RawSalesTable6[[#This Row],[Customer_Info]],FIND(",",RawSalesTable6[[#This Row],[Customer_Info]])+1,FIND(",",RawSalesTable6[[#This Row],[Customer_Info]],FIND(",",RawSalesTable6[[#This Row],[Customer_Info]])+1)-FIND(",",RawSalesTable6[[#This Row],[Customer_Info]])-1))</f>
        <v>Mississauga</v>
      </c>
      <c r="W179" s="8" t="str">
        <f>TRIM(RIGHT(RawSalesTable6[[#This Row],[Customer_Info]],LEN(RawSalesTable6[[#This Row],[Customer_Info]])-FIND(",",RawSalesTable6[[#This Row],[Customer_Info]],FIND(",",RawSalesTable6[[#This Row],[Customer_Info]])+1)))</f>
        <v>Consumer</v>
      </c>
      <c r="X179" s="8" t="str">
        <f>VLOOKUP(RawSalesTable6[[#This Row],[Product_ID_Clean]],ProductsTable[],2,FALSE)</f>
        <v>Travel Adapter</v>
      </c>
      <c r="Y179" s="8" t="str">
        <f>VLOOKUP(RawSalesTable6[[#This Row],[Product_ID_Clean]],ProductsTable[],3,FALSE)</f>
        <v>Accessories</v>
      </c>
      <c r="Z179" s="8">
        <f>VLOOKUP(RawSalesTable6[[#This Row],[Product_ID_Clean]],ProductsTable[],5,FALSE)</f>
        <v>229.86</v>
      </c>
      <c r="AA179" s="8">
        <f>RawSalesTable6[[#This Row],[Unit_Price]]*RawSalesTable6[[#This Row],[Quantity]]</f>
        <v>1024.8899999999999</v>
      </c>
      <c r="AB179" s="8">
        <f>RawSalesTable6[[#This Row],[Gross_Sales]]*RawSalesTable6[[#This Row],[Discount_Pct]]</f>
        <v>0</v>
      </c>
      <c r="AC179" s="8">
        <f>RawSalesTable6[[#This Row],[Gross_Sales]]-RawSalesTable6[[#This Row],[Discount_Amount]]</f>
        <v>1024.8899999999999</v>
      </c>
      <c r="AD179" s="8">
        <f>RawSalesTable6[[#This Row],[Unit_Cost]]*RawSalesTable6[[#This Row],[Quantity]]</f>
        <v>689.58</v>
      </c>
      <c r="AE179" s="8">
        <f>RawSalesTable6[[#This Row],[Net_Sales]]-RawSalesTable6[[#This Row],[Total_Cost]]</f>
        <v>335.30999999999983</v>
      </c>
      <c r="AF179" s="9">
        <f>RawSalesTable6[[#This Row],[Profit]]/RawSalesTable6[[#This Row],[Net_Sales]]</f>
        <v>0.32716681790240892</v>
      </c>
      <c r="AG179" s="8">
        <f>YEAR(RawSalesTable6[[#This Row],[Order_Date]])</f>
        <v>2025</v>
      </c>
      <c r="AH179" s="8">
        <f>MONTH(RawSalesTable6[[#This Row],[Order_Date]])</f>
        <v>1</v>
      </c>
      <c r="AI179" s="8" t="str">
        <f>TEXT(RawSalesTable6[[#This Row],[Order_Date]],"mmmm")</f>
        <v>janvier</v>
      </c>
      <c r="AJ179" s="8" t="str">
        <f>IF(RawSalesTable6[[#This Row],[Month_Number]]&lt;=3,"Q1",IF(RawSalesTable6[[#This Row],[Month_Number]]&lt;=6,"Q2",IF(RawSalesTable6[[#This Row],[Month_Number]]&lt;=9,"Q3","Q4")))</f>
        <v>Q1</v>
      </c>
      <c r="AK179" s="8" t="str">
        <f>VLOOKUP(RawSalesTable6[[#This Row],[Customer_ID_Clean]],CustomersTable[],4,FALSE)</f>
        <v>Ontario</v>
      </c>
      <c r="AL179" s="8">
        <f>IF(RawSalesTable6[[#This Row],[Return_Status]]="Yes",1,0)</f>
        <v>0</v>
      </c>
    </row>
    <row r="180" spans="1:38">
      <c r="A180" t="s">
        <v>534</v>
      </c>
      <c r="B180" s="3">
        <v>45910</v>
      </c>
      <c r="C180" t="s">
        <v>286</v>
      </c>
      <c r="D180" t="s">
        <v>114</v>
      </c>
      <c r="E180" t="s">
        <v>287</v>
      </c>
      <c r="F180" t="s">
        <v>103</v>
      </c>
      <c r="G180" t="s">
        <v>104</v>
      </c>
      <c r="H180" t="s">
        <v>89</v>
      </c>
      <c r="I180">
        <v>3</v>
      </c>
      <c r="J180" s="2">
        <v>142.11000000000001</v>
      </c>
      <c r="K180" s="4">
        <v>0.05</v>
      </c>
      <c r="L180" t="s">
        <v>106</v>
      </c>
      <c r="M180">
        <v>1</v>
      </c>
      <c r="N180" t="s">
        <v>91</v>
      </c>
      <c r="O180" t="str">
        <f>SUBSTITUTE(PROPER(TRIM(RawSalesTable6[[#This Row],[Channel_Raw]])),"Market Place","Marketplace")</f>
        <v>Online</v>
      </c>
      <c r="P180" t="str">
        <f>TRIM(RawSalesTable6[[#This Row],[Product_ID]])</f>
        <v>P1034</v>
      </c>
      <c r="Q180" t="str">
        <f>TRIM(RawSalesTable6[[#This Row],[Customer_ID]])</f>
        <v>C0098</v>
      </c>
      <c r="R180" s="8" t="str">
        <f>PROPER(TRIM(RawSalesTable6[[#This Row],[Store_Raw]]))</f>
        <v>Vancouver West</v>
      </c>
      <c r="S180" s="8" t="str">
        <f>IF(TRIM(RawSalesTable6[[#This Row],[Payment_Method_Raw]])="","Non renseigné",SUBSTITUTE(PROPER(TRIM(RawSalesTable6[[#This Row],[Payment_Method_Raw]])),"Cc","Credit Card"))</f>
        <v>Credit Card</v>
      </c>
      <c r="T180" s="8">
        <f>COUNTIF(A:A,RawSalesTable6[[#This Row],[Order_ID]])</f>
        <v>1</v>
      </c>
      <c r="U180" s="8" t="str">
        <f>TRIM(LEFT(RawSalesTable6[[#This Row],[Customer_Info]],FIND(",",RawSalesTable6[[#This Row],[Customer_Info]])-1))</f>
        <v>Nora Young</v>
      </c>
      <c r="V180" s="8" t="str">
        <f>TRIM(MID(RawSalesTable6[[#This Row],[Customer_Info]],FIND(",",RawSalesTable6[[#This Row],[Customer_Info]])+1,FIND(",",RawSalesTable6[[#This Row],[Customer_Info]],FIND(",",RawSalesTable6[[#This Row],[Customer_Info]])+1)-FIND(",",RawSalesTable6[[#This Row],[Customer_Info]])-1))</f>
        <v>Winnipeg</v>
      </c>
      <c r="W180" s="8" t="str">
        <f>TRIM(RIGHT(RawSalesTable6[[#This Row],[Customer_Info]],LEN(RawSalesTable6[[#This Row],[Customer_Info]])-FIND(",",RawSalesTable6[[#This Row],[Customer_Info]],FIND(",",RawSalesTable6[[#This Row],[Customer_Info]])+1)))</f>
        <v>Consumer</v>
      </c>
      <c r="X180" s="8" t="str">
        <f>VLOOKUP(RawSalesTable6[[#This Row],[Product_ID_Clean]],ProductsTable[],2,FALSE)</f>
        <v>Laptop Sleeve</v>
      </c>
      <c r="Y180" s="8" t="str">
        <f>VLOOKUP(RawSalesTable6[[#This Row],[Product_ID_Clean]],ProductsTable[],3,FALSE)</f>
        <v>Accessories</v>
      </c>
      <c r="Z180" s="8">
        <f>VLOOKUP(RawSalesTable6[[#This Row],[Product_ID_Clean]],ProductsTable[],5,FALSE)</f>
        <v>78.95</v>
      </c>
      <c r="AA180" s="8">
        <f>RawSalesTable6[[#This Row],[Unit_Price]]*RawSalesTable6[[#This Row],[Quantity]]</f>
        <v>426.33000000000004</v>
      </c>
      <c r="AB180" s="8">
        <f>RawSalesTable6[[#This Row],[Gross_Sales]]*RawSalesTable6[[#This Row],[Discount_Pct]]</f>
        <v>21.316500000000005</v>
      </c>
      <c r="AC180" s="8">
        <f>RawSalesTable6[[#This Row],[Gross_Sales]]-RawSalesTable6[[#This Row],[Discount_Amount]]</f>
        <v>405.01350000000002</v>
      </c>
      <c r="AD180" s="8">
        <f>RawSalesTable6[[#This Row],[Unit_Cost]]*RawSalesTable6[[#This Row],[Quantity]]</f>
        <v>236.85000000000002</v>
      </c>
      <c r="AE180" s="8">
        <f>RawSalesTable6[[#This Row],[Net_Sales]]-RawSalesTable6[[#This Row],[Total_Cost]]</f>
        <v>168.1635</v>
      </c>
      <c r="AF180" s="9">
        <f>RawSalesTable6[[#This Row],[Profit]]/RawSalesTable6[[#This Row],[Net_Sales]]</f>
        <v>0.41520467836257308</v>
      </c>
      <c r="AG180" s="8">
        <f>YEAR(RawSalesTable6[[#This Row],[Order_Date]])</f>
        <v>2025</v>
      </c>
      <c r="AH180" s="8">
        <f>MONTH(RawSalesTable6[[#This Row],[Order_Date]])</f>
        <v>9</v>
      </c>
      <c r="AI180" s="8" t="str">
        <f>TEXT(RawSalesTable6[[#This Row],[Order_Date]],"mmmm")</f>
        <v>septembre</v>
      </c>
      <c r="AJ180" s="8" t="str">
        <f>IF(RawSalesTable6[[#This Row],[Month_Number]]&lt;=3,"Q1",IF(RawSalesTable6[[#This Row],[Month_Number]]&lt;=6,"Q2",IF(RawSalesTable6[[#This Row],[Month_Number]]&lt;=9,"Q3","Q4")))</f>
        <v>Q3</v>
      </c>
      <c r="AK180" s="8" t="str">
        <f>VLOOKUP(RawSalesTable6[[#This Row],[Customer_ID_Clean]],CustomersTable[],4,FALSE)</f>
        <v>Manitoba</v>
      </c>
      <c r="AL180" s="8">
        <f>IF(RawSalesTable6[[#This Row],[Return_Status]]="Yes",1,0)</f>
        <v>0</v>
      </c>
    </row>
    <row r="181" spans="1:38">
      <c r="A181" t="s">
        <v>535</v>
      </c>
      <c r="B181" s="3">
        <v>45799</v>
      </c>
      <c r="C181" t="s">
        <v>536</v>
      </c>
      <c r="D181" t="s">
        <v>210</v>
      </c>
      <c r="E181" t="s">
        <v>431</v>
      </c>
      <c r="F181" t="s">
        <v>103</v>
      </c>
      <c r="G181" t="s">
        <v>130</v>
      </c>
      <c r="H181" t="s">
        <v>97</v>
      </c>
      <c r="I181">
        <v>2</v>
      </c>
      <c r="J181" s="2">
        <v>309.12</v>
      </c>
      <c r="K181" s="4">
        <v>0.05</v>
      </c>
      <c r="L181" t="s">
        <v>98</v>
      </c>
      <c r="M181">
        <v>3</v>
      </c>
      <c r="N181" t="s">
        <v>147</v>
      </c>
      <c r="O181" t="str">
        <f>SUBSTITUTE(PROPER(TRIM(RawSalesTable6[[#This Row],[Channel_Raw]])),"Market Place","Marketplace")</f>
        <v>Retail Store</v>
      </c>
      <c r="P181" t="str">
        <f>TRIM(RawSalesTable6[[#This Row],[Product_ID]])</f>
        <v>P1040</v>
      </c>
      <c r="Q181" t="str">
        <f>TRIM(RawSalesTable6[[#This Row],[Customer_ID]])</f>
        <v>C0039</v>
      </c>
      <c r="R181" s="8" t="str">
        <f>PROPER(TRIM(RawSalesTable6[[#This Row],[Store_Raw]]))</f>
        <v>Vancouver West</v>
      </c>
      <c r="S181" s="8" t="str">
        <f>IF(TRIM(RawSalesTable6[[#This Row],[Payment_Method_Raw]])="","Non renseigné",SUBSTITUTE(PROPER(TRIM(RawSalesTable6[[#This Row],[Payment_Method_Raw]])),"Cc","Credit Card"))</f>
        <v>Debit Card</v>
      </c>
      <c r="T181" s="8">
        <f>COUNTIF(A:A,RawSalesTable6[[#This Row],[Order_ID]])</f>
        <v>1</v>
      </c>
      <c r="U181" s="8" t="str">
        <f>TRIM(LEFT(RawSalesTable6[[#This Row],[Customer_Info]],FIND(",",RawSalesTable6[[#This Row],[Customer_Info]])-1))</f>
        <v>Sarah Wilson</v>
      </c>
      <c r="V181" s="8" t="str">
        <f>TRIM(MID(RawSalesTable6[[#This Row],[Customer_Info]],FIND(",",RawSalesTable6[[#This Row],[Customer_Info]])+1,FIND(",",RawSalesTable6[[#This Row],[Customer_Info]],FIND(",",RawSalesTable6[[#This Row],[Customer_Info]])+1)-FIND(",",RawSalesTable6[[#This Row],[Customer_Info]])-1))</f>
        <v>Halifax</v>
      </c>
      <c r="W181" s="8" t="str">
        <f>TRIM(RIGHT(RawSalesTable6[[#This Row],[Customer_Info]],LEN(RawSalesTable6[[#This Row],[Customer_Info]])-FIND(",",RawSalesTable6[[#This Row],[Customer_Info]],FIND(",",RawSalesTable6[[#This Row],[Customer_Info]])+1)))</f>
        <v>Consumer</v>
      </c>
      <c r="X181" s="8" t="str">
        <f>VLOOKUP(RawSalesTable6[[#This Row],[Product_ID_Clean]],ProductsTable[],2,FALSE)</f>
        <v>Desk Pad</v>
      </c>
      <c r="Y181" s="8" t="str">
        <f>VLOOKUP(RawSalesTable6[[#This Row],[Product_ID_Clean]],ProductsTable[],3,FALSE)</f>
        <v>Accessories</v>
      </c>
      <c r="Z181" s="8">
        <f>VLOOKUP(RawSalesTable6[[#This Row],[Product_ID_Clean]],ProductsTable[],5,FALSE)</f>
        <v>177.57</v>
      </c>
      <c r="AA181" s="8">
        <f>RawSalesTable6[[#This Row],[Unit_Price]]*RawSalesTable6[[#This Row],[Quantity]]</f>
        <v>618.24</v>
      </c>
      <c r="AB181" s="8">
        <f>RawSalesTable6[[#This Row],[Gross_Sales]]*RawSalesTable6[[#This Row],[Discount_Pct]]</f>
        <v>30.912000000000003</v>
      </c>
      <c r="AC181" s="8">
        <f>RawSalesTable6[[#This Row],[Gross_Sales]]-RawSalesTable6[[#This Row],[Discount_Amount]]</f>
        <v>587.32799999999997</v>
      </c>
      <c r="AD181" s="8">
        <f>RawSalesTable6[[#This Row],[Unit_Cost]]*RawSalesTable6[[#This Row],[Quantity]]</f>
        <v>355.14</v>
      </c>
      <c r="AE181" s="8">
        <f>RawSalesTable6[[#This Row],[Net_Sales]]-RawSalesTable6[[#This Row],[Total_Cost]]</f>
        <v>232.18799999999999</v>
      </c>
      <c r="AF181" s="9">
        <f>RawSalesTable6[[#This Row],[Profit]]/RawSalesTable6[[#This Row],[Net_Sales]]</f>
        <v>0.3953293559986924</v>
      </c>
      <c r="AG181" s="8">
        <f>YEAR(RawSalesTable6[[#This Row],[Order_Date]])</f>
        <v>2025</v>
      </c>
      <c r="AH181" s="8">
        <f>MONTH(RawSalesTable6[[#This Row],[Order_Date]])</f>
        <v>5</v>
      </c>
      <c r="AI181" s="8" t="str">
        <f>TEXT(RawSalesTable6[[#This Row],[Order_Date]],"mmmm")</f>
        <v>mai</v>
      </c>
      <c r="AJ181" s="8" t="str">
        <f>IF(RawSalesTable6[[#This Row],[Month_Number]]&lt;=3,"Q1",IF(RawSalesTable6[[#This Row],[Month_Number]]&lt;=6,"Q2",IF(RawSalesTable6[[#This Row],[Month_Number]]&lt;=9,"Q3","Q4")))</f>
        <v>Q2</v>
      </c>
      <c r="AK181" s="8" t="str">
        <f>VLOOKUP(RawSalesTable6[[#This Row],[Customer_ID_Clean]],CustomersTable[],4,FALSE)</f>
        <v>Nova Scotia</v>
      </c>
      <c r="AL181" s="8">
        <f>IF(RawSalesTable6[[#This Row],[Return_Status]]="Yes",1,0)</f>
        <v>1</v>
      </c>
    </row>
    <row r="182" spans="1:38">
      <c r="A182" t="s">
        <v>537</v>
      </c>
      <c r="B182" s="3">
        <v>45933</v>
      </c>
      <c r="C182" t="s">
        <v>538</v>
      </c>
      <c r="D182" t="s">
        <v>165</v>
      </c>
      <c r="E182" t="s">
        <v>539</v>
      </c>
      <c r="F182" t="s">
        <v>111</v>
      </c>
      <c r="G182" t="s">
        <v>171</v>
      </c>
      <c r="H182" t="s">
        <v>89</v>
      </c>
      <c r="I182">
        <v>1</v>
      </c>
      <c r="J182" s="2">
        <v>104.87</v>
      </c>
      <c r="K182" s="4">
        <v>0.1</v>
      </c>
      <c r="L182" t="s">
        <v>106</v>
      </c>
      <c r="M182">
        <v>5</v>
      </c>
      <c r="N182" t="s">
        <v>91</v>
      </c>
      <c r="O182" t="str">
        <f>SUBSTITUTE(PROPER(TRIM(RawSalesTable6[[#This Row],[Channel_Raw]])),"Market Place","Marketplace")</f>
        <v>Online</v>
      </c>
      <c r="P182" t="str">
        <f>TRIM(RawSalesTable6[[#This Row],[Product_ID]])</f>
        <v>P1024</v>
      </c>
      <c r="Q182" t="str">
        <f>TRIM(RawSalesTable6[[#This Row],[Customer_ID]])</f>
        <v>C0086</v>
      </c>
      <c r="R182" s="8" t="str">
        <f>PROPER(TRIM(RawSalesTable6[[#This Row],[Store_Raw]]))</f>
        <v>Montreal Central</v>
      </c>
      <c r="S182" s="8" t="str">
        <f>IF(TRIM(RawSalesTable6[[#This Row],[Payment_Method_Raw]])="","Non renseigné",SUBSTITUTE(PROPER(TRIM(RawSalesTable6[[#This Row],[Payment_Method_Raw]])),"Cc","Credit Card"))</f>
        <v>Credit Card</v>
      </c>
      <c r="T182" s="8">
        <f>COUNTIF(A:A,RawSalesTable6[[#This Row],[Order_ID]])</f>
        <v>1</v>
      </c>
      <c r="U182" s="8" t="str">
        <f>TRIM(LEFT(RawSalesTable6[[#This Row],[Customer_Info]],FIND(",",RawSalesTable6[[#This Row],[Customer_Info]])-1))</f>
        <v>Adam Gagnon</v>
      </c>
      <c r="V182" s="8" t="str">
        <f>TRIM(MID(RawSalesTable6[[#This Row],[Customer_Info]],FIND(",",RawSalesTable6[[#This Row],[Customer_Info]])+1,FIND(",",RawSalesTable6[[#This Row],[Customer_Info]],FIND(",",RawSalesTable6[[#This Row],[Customer_Info]])+1)-FIND(",",RawSalesTable6[[#This Row],[Customer_Info]])-1))</f>
        <v>Winnipeg</v>
      </c>
      <c r="W182" s="8" t="str">
        <f>TRIM(RIGHT(RawSalesTable6[[#This Row],[Customer_Info]],LEN(RawSalesTable6[[#This Row],[Customer_Info]])-FIND(",",RawSalesTable6[[#This Row],[Customer_Info]],FIND(",",RawSalesTable6[[#This Row],[Customer_Info]])+1)))</f>
        <v>Consumer</v>
      </c>
      <c r="X182" s="8" t="str">
        <f>VLOOKUP(RawSalesTable6[[#This Row],[Product_ID_Clean]],ProductsTable[],2,FALSE)</f>
        <v>Food Scale</v>
      </c>
      <c r="Y182" s="8" t="str">
        <f>VLOOKUP(RawSalesTable6[[#This Row],[Product_ID_Clean]],ProductsTable[],3,FALSE)</f>
        <v>Home</v>
      </c>
      <c r="Z182" s="8">
        <f>VLOOKUP(RawSalesTable6[[#This Row],[Product_ID_Clean]],ProductsTable[],5,FALSE)</f>
        <v>46.07</v>
      </c>
      <c r="AA182" s="8">
        <f>RawSalesTable6[[#This Row],[Unit_Price]]*RawSalesTable6[[#This Row],[Quantity]]</f>
        <v>104.87</v>
      </c>
      <c r="AB182" s="8">
        <f>RawSalesTable6[[#This Row],[Gross_Sales]]*RawSalesTable6[[#This Row],[Discount_Pct]]</f>
        <v>10.487000000000002</v>
      </c>
      <c r="AC182" s="8">
        <f>RawSalesTable6[[#This Row],[Gross_Sales]]-RawSalesTable6[[#This Row],[Discount_Amount]]</f>
        <v>94.38300000000001</v>
      </c>
      <c r="AD182" s="8">
        <f>RawSalesTable6[[#This Row],[Unit_Cost]]*RawSalesTable6[[#This Row],[Quantity]]</f>
        <v>46.07</v>
      </c>
      <c r="AE182" s="8">
        <f>RawSalesTable6[[#This Row],[Net_Sales]]-RawSalesTable6[[#This Row],[Total_Cost]]</f>
        <v>48.313000000000009</v>
      </c>
      <c r="AF182" s="9">
        <f>RawSalesTable6[[#This Row],[Profit]]/RawSalesTable6[[#This Row],[Net_Sales]]</f>
        <v>0.51188243645571774</v>
      </c>
      <c r="AG182" s="8">
        <f>YEAR(RawSalesTable6[[#This Row],[Order_Date]])</f>
        <v>2025</v>
      </c>
      <c r="AH182" s="8">
        <f>MONTH(RawSalesTable6[[#This Row],[Order_Date]])</f>
        <v>10</v>
      </c>
      <c r="AI182" s="8" t="str">
        <f>TEXT(RawSalesTable6[[#This Row],[Order_Date]],"mmmm")</f>
        <v>octobre</v>
      </c>
      <c r="AJ182" s="8" t="str">
        <f>IF(RawSalesTable6[[#This Row],[Month_Number]]&lt;=3,"Q1",IF(RawSalesTable6[[#This Row],[Month_Number]]&lt;=6,"Q2",IF(RawSalesTable6[[#This Row],[Month_Number]]&lt;=9,"Q3","Q4")))</f>
        <v>Q4</v>
      </c>
      <c r="AK182" s="8" t="str">
        <f>VLOOKUP(RawSalesTable6[[#This Row],[Customer_ID_Clean]],CustomersTable[],4,FALSE)</f>
        <v>Manitoba</v>
      </c>
      <c r="AL182" s="8">
        <f>IF(RawSalesTable6[[#This Row],[Return_Status]]="Yes",1,0)</f>
        <v>0</v>
      </c>
    </row>
    <row r="183" spans="1:38">
      <c r="A183" t="s">
        <v>540</v>
      </c>
      <c r="B183" s="3">
        <v>45875</v>
      </c>
      <c r="C183" t="s">
        <v>410</v>
      </c>
      <c r="D183" t="s">
        <v>503</v>
      </c>
      <c r="E183" t="s">
        <v>411</v>
      </c>
      <c r="F183" t="s">
        <v>87</v>
      </c>
      <c r="G183" t="s">
        <v>130</v>
      </c>
      <c r="H183" t="s">
        <v>89</v>
      </c>
      <c r="I183">
        <v>1</v>
      </c>
      <c r="J183" s="2">
        <v>128.6</v>
      </c>
      <c r="K183" s="4">
        <v>0.05</v>
      </c>
      <c r="L183" t="s">
        <v>90</v>
      </c>
      <c r="M183">
        <v>3</v>
      </c>
      <c r="N183" t="s">
        <v>91</v>
      </c>
      <c r="O183" t="str">
        <f>SUBSTITUTE(PROPER(TRIM(RawSalesTable6[[#This Row],[Channel_Raw]])),"Market Place","Marketplace")</f>
        <v>Online</v>
      </c>
      <c r="P183" t="str">
        <f>TRIM(RawSalesTable6[[#This Row],[Product_ID]])</f>
        <v>P1013</v>
      </c>
      <c r="Q183" t="str">
        <f>TRIM(RawSalesTable6[[#This Row],[Customer_ID]])</f>
        <v>C0093</v>
      </c>
      <c r="R183" s="8" t="str">
        <f>PROPER(TRIM(RawSalesTable6[[#This Row],[Store_Raw]]))</f>
        <v>Online Fulfillment</v>
      </c>
      <c r="S183" s="8" t="str">
        <f>IF(TRIM(RawSalesTable6[[#This Row],[Payment_Method_Raw]])="","Non renseigné",SUBSTITUTE(PROPER(TRIM(RawSalesTable6[[#This Row],[Payment_Method_Raw]])),"Cc","Credit Card"))</f>
        <v>Paypal</v>
      </c>
      <c r="T183" s="8">
        <f>COUNTIF(A:A,RawSalesTable6[[#This Row],[Order_ID]])</f>
        <v>1</v>
      </c>
      <c r="U183" s="8" t="str">
        <f>TRIM(LEFT(RawSalesTable6[[#This Row],[Customer_Info]],FIND(",",RawSalesTable6[[#This Row],[Customer_Info]])-1))</f>
        <v>Ethan Roy</v>
      </c>
      <c r="V183" s="8" t="str">
        <f>TRIM(MID(RawSalesTable6[[#This Row],[Customer_Info]],FIND(",",RawSalesTable6[[#This Row],[Customer_Info]])+1,FIND(",",RawSalesTable6[[#This Row],[Customer_Info]],FIND(",",RawSalesTable6[[#This Row],[Customer_Info]])+1)-FIND(",",RawSalesTable6[[#This Row],[Customer_Info]])-1))</f>
        <v>Winnipeg</v>
      </c>
      <c r="W183" s="8" t="str">
        <f>TRIM(RIGHT(RawSalesTable6[[#This Row],[Customer_Info]],LEN(RawSalesTable6[[#This Row],[Customer_Info]])-FIND(",",RawSalesTable6[[#This Row],[Customer_Info]],FIND(",",RawSalesTable6[[#This Row],[Customer_Info]])+1)))</f>
        <v>Consumer</v>
      </c>
      <c r="X183" s="8" t="str">
        <f>VLOOKUP(RawSalesTable6[[#This Row],[Product_ID_Clean]],ProductsTable[],2,FALSE)</f>
        <v>Whiteboard</v>
      </c>
      <c r="Y183" s="8" t="str">
        <f>VLOOKUP(RawSalesTable6[[#This Row],[Product_ID_Clean]],ProductsTable[],3,FALSE)</f>
        <v>Office</v>
      </c>
      <c r="Z183" s="8">
        <f>VLOOKUP(RawSalesTable6[[#This Row],[Product_ID_Clean]],ProductsTable[],5,FALSE)</f>
        <v>85.73</v>
      </c>
      <c r="AA183" s="8">
        <f>RawSalesTable6[[#This Row],[Unit_Price]]*RawSalesTable6[[#This Row],[Quantity]]</f>
        <v>128.6</v>
      </c>
      <c r="AB183" s="8">
        <f>RawSalesTable6[[#This Row],[Gross_Sales]]*RawSalesTable6[[#This Row],[Discount_Pct]]</f>
        <v>6.43</v>
      </c>
      <c r="AC183" s="8">
        <f>RawSalesTable6[[#This Row],[Gross_Sales]]-RawSalesTable6[[#This Row],[Discount_Amount]]</f>
        <v>122.16999999999999</v>
      </c>
      <c r="AD183" s="8">
        <f>RawSalesTable6[[#This Row],[Unit_Cost]]*RawSalesTable6[[#This Row],[Quantity]]</f>
        <v>85.73</v>
      </c>
      <c r="AE183" s="8">
        <f>RawSalesTable6[[#This Row],[Net_Sales]]-RawSalesTable6[[#This Row],[Total_Cost]]</f>
        <v>36.439999999999984</v>
      </c>
      <c r="AF183" s="9">
        <f>RawSalesTable6[[#This Row],[Profit]]/RawSalesTable6[[#This Row],[Net_Sales]]</f>
        <v>0.29827289842023402</v>
      </c>
      <c r="AG183" s="8">
        <f>YEAR(RawSalesTable6[[#This Row],[Order_Date]])</f>
        <v>2025</v>
      </c>
      <c r="AH183" s="8">
        <f>MONTH(RawSalesTable6[[#This Row],[Order_Date]])</f>
        <v>8</v>
      </c>
      <c r="AI183" s="8" t="str">
        <f>TEXT(RawSalesTable6[[#This Row],[Order_Date]],"mmmm")</f>
        <v>août</v>
      </c>
      <c r="AJ183" s="8" t="str">
        <f>IF(RawSalesTable6[[#This Row],[Month_Number]]&lt;=3,"Q1",IF(RawSalesTable6[[#This Row],[Month_Number]]&lt;=6,"Q2",IF(RawSalesTable6[[#This Row],[Month_Number]]&lt;=9,"Q3","Q4")))</f>
        <v>Q3</v>
      </c>
      <c r="AK183" s="8" t="str">
        <f>VLOOKUP(RawSalesTable6[[#This Row],[Customer_ID_Clean]],CustomersTable[],4,FALSE)</f>
        <v>Manitoba</v>
      </c>
      <c r="AL183" s="8">
        <f>IF(RawSalesTable6[[#This Row],[Return_Status]]="Yes",1,0)</f>
        <v>0</v>
      </c>
    </row>
    <row r="184" spans="1:38">
      <c r="A184" t="s">
        <v>541</v>
      </c>
      <c r="B184" s="3">
        <v>45948</v>
      </c>
      <c r="C184" t="s">
        <v>160</v>
      </c>
      <c r="D184" t="s">
        <v>244</v>
      </c>
      <c r="E184" t="s">
        <v>161</v>
      </c>
      <c r="F184" t="s">
        <v>87</v>
      </c>
      <c r="G184" t="s">
        <v>171</v>
      </c>
      <c r="H184" t="s">
        <v>97</v>
      </c>
      <c r="I184">
        <v>1</v>
      </c>
      <c r="J184" s="2">
        <v>252.34</v>
      </c>
      <c r="K184" s="4">
        <v>0.2</v>
      </c>
      <c r="L184" t="s">
        <v>90</v>
      </c>
      <c r="M184">
        <v>4</v>
      </c>
      <c r="N184" t="s">
        <v>147</v>
      </c>
      <c r="O184" t="str">
        <f>SUBSTITUTE(PROPER(TRIM(RawSalesTable6[[#This Row],[Channel_Raw]])),"Market Place","Marketplace")</f>
        <v>Retail Store</v>
      </c>
      <c r="P184" t="str">
        <f>TRIM(RawSalesTable6[[#This Row],[Product_ID]])</f>
        <v>P1005</v>
      </c>
      <c r="Q184" t="str">
        <f>TRIM(RawSalesTable6[[#This Row],[Customer_ID]])</f>
        <v>C0073</v>
      </c>
      <c r="R184" s="8" t="str">
        <f>PROPER(TRIM(RawSalesTable6[[#This Row],[Store_Raw]]))</f>
        <v>Online Fulfillment</v>
      </c>
      <c r="S184" s="8" t="str">
        <f>IF(TRIM(RawSalesTable6[[#This Row],[Payment_Method_Raw]])="","Non renseigné",SUBSTITUTE(PROPER(TRIM(RawSalesTable6[[#This Row],[Payment_Method_Raw]])),"Cc","Credit Card"))</f>
        <v>Paypal</v>
      </c>
      <c r="T184" s="8">
        <f>COUNTIF(A:A,RawSalesTable6[[#This Row],[Order_ID]])</f>
        <v>1</v>
      </c>
      <c r="U184" s="8" t="str">
        <f>TRIM(LEFT(RawSalesTable6[[#This Row],[Customer_Info]],FIND(",",RawSalesTable6[[#This Row],[Customer_Info]])-1))</f>
        <v>Olivia Singh</v>
      </c>
      <c r="V184" s="8" t="str">
        <f>TRIM(MID(RawSalesTable6[[#This Row],[Customer_Info]],FIND(",",RawSalesTable6[[#This Row],[Customer_Info]])+1,FIND(",",RawSalesTable6[[#This Row],[Customer_Info]],FIND(",",RawSalesTable6[[#This Row],[Customer_Info]])+1)-FIND(",",RawSalesTable6[[#This Row],[Customer_Info]])-1))</f>
        <v>Mississauga</v>
      </c>
      <c r="W184" s="8" t="str">
        <f>TRIM(RIGHT(RawSalesTable6[[#This Row],[Customer_Info]],LEN(RawSalesTable6[[#This Row],[Customer_Info]])-FIND(",",RawSalesTable6[[#This Row],[Customer_Info]],FIND(",",RawSalesTable6[[#This Row],[Customer_Info]])+1)))</f>
        <v>Consumer</v>
      </c>
      <c r="X184" s="8" t="str">
        <f>VLOOKUP(RawSalesTable6[[#This Row],[Product_ID_Clean]],ProductsTable[],2,FALSE)</f>
        <v>Portable SSD</v>
      </c>
      <c r="Y184" s="8" t="str">
        <f>VLOOKUP(RawSalesTable6[[#This Row],[Product_ID_Clean]],ProductsTable[],3,FALSE)</f>
        <v>Electronics</v>
      </c>
      <c r="Z184" s="8">
        <f>VLOOKUP(RawSalesTable6[[#This Row],[Product_ID_Clean]],ProductsTable[],5,FALSE)</f>
        <v>131.19</v>
      </c>
      <c r="AA184" s="8">
        <f>RawSalesTable6[[#This Row],[Unit_Price]]*RawSalesTable6[[#This Row],[Quantity]]</f>
        <v>252.34</v>
      </c>
      <c r="AB184" s="8">
        <f>RawSalesTable6[[#This Row],[Gross_Sales]]*RawSalesTable6[[#This Row],[Discount_Pct]]</f>
        <v>50.468000000000004</v>
      </c>
      <c r="AC184" s="8">
        <f>RawSalesTable6[[#This Row],[Gross_Sales]]-RawSalesTable6[[#This Row],[Discount_Amount]]</f>
        <v>201.87200000000001</v>
      </c>
      <c r="AD184" s="8">
        <f>RawSalesTable6[[#This Row],[Unit_Cost]]*RawSalesTable6[[#This Row],[Quantity]]</f>
        <v>131.19</v>
      </c>
      <c r="AE184" s="8">
        <f>RawSalesTable6[[#This Row],[Net_Sales]]-RawSalesTable6[[#This Row],[Total_Cost]]</f>
        <v>70.682000000000016</v>
      </c>
      <c r="AF184" s="9">
        <f>RawSalesTable6[[#This Row],[Profit]]/RawSalesTable6[[#This Row],[Net_Sales]]</f>
        <v>0.35013275739082195</v>
      </c>
      <c r="AG184" s="8">
        <f>YEAR(RawSalesTable6[[#This Row],[Order_Date]])</f>
        <v>2025</v>
      </c>
      <c r="AH184" s="8">
        <f>MONTH(RawSalesTable6[[#This Row],[Order_Date]])</f>
        <v>10</v>
      </c>
      <c r="AI184" s="8" t="str">
        <f>TEXT(RawSalesTable6[[#This Row],[Order_Date]],"mmmm")</f>
        <v>octobre</v>
      </c>
      <c r="AJ184" s="8" t="str">
        <f>IF(RawSalesTable6[[#This Row],[Month_Number]]&lt;=3,"Q1",IF(RawSalesTable6[[#This Row],[Month_Number]]&lt;=6,"Q2",IF(RawSalesTable6[[#This Row],[Month_Number]]&lt;=9,"Q3","Q4")))</f>
        <v>Q4</v>
      </c>
      <c r="AK184" s="8" t="str">
        <f>VLOOKUP(RawSalesTable6[[#This Row],[Customer_ID_Clean]],CustomersTable[],4,FALSE)</f>
        <v>Ontario</v>
      </c>
      <c r="AL184" s="8">
        <f>IF(RawSalesTable6[[#This Row],[Return_Status]]="Yes",1,0)</f>
        <v>1</v>
      </c>
    </row>
    <row r="185" spans="1:38">
      <c r="A185" t="s">
        <v>542</v>
      </c>
      <c r="B185" s="3">
        <v>45864</v>
      </c>
      <c r="C185" t="s">
        <v>543</v>
      </c>
      <c r="D185" t="s">
        <v>165</v>
      </c>
      <c r="E185" t="s">
        <v>544</v>
      </c>
      <c r="F185" t="s">
        <v>145</v>
      </c>
      <c r="G185" t="s">
        <v>122</v>
      </c>
      <c r="H185" t="s">
        <v>89</v>
      </c>
      <c r="I185">
        <v>3</v>
      </c>
      <c r="J185" s="2">
        <v>107.18</v>
      </c>
      <c r="K185" s="4">
        <v>0</v>
      </c>
      <c r="L185" t="s">
        <v>98</v>
      </c>
      <c r="M185">
        <v>5</v>
      </c>
      <c r="N185" t="s">
        <v>91</v>
      </c>
      <c r="O185" t="str">
        <f>SUBSTITUTE(PROPER(TRIM(RawSalesTable6[[#This Row],[Channel_Raw]])),"Market Place","Marketplace")</f>
        <v>Online</v>
      </c>
      <c r="P185" t="str">
        <f>TRIM(RawSalesTable6[[#This Row],[Product_ID]])</f>
        <v>P1024</v>
      </c>
      <c r="Q185" t="str">
        <f>TRIM(RawSalesTable6[[#This Row],[Customer_ID]])</f>
        <v>C0031</v>
      </c>
      <c r="R185" s="8" t="str">
        <f>PROPER(TRIM(RawSalesTable6[[#This Row],[Store_Raw]]))</f>
        <v>Calgary North</v>
      </c>
      <c r="S185" s="8" t="str">
        <f>IF(TRIM(RawSalesTable6[[#This Row],[Payment_Method_Raw]])="","Non renseigné",SUBSTITUTE(PROPER(TRIM(RawSalesTable6[[#This Row],[Payment_Method_Raw]])),"Cc","Credit Card"))</f>
        <v>Debit Card</v>
      </c>
      <c r="T185" s="8">
        <f>COUNTIF(A:A,RawSalesTable6[[#This Row],[Order_ID]])</f>
        <v>1</v>
      </c>
      <c r="U185" s="8" t="str">
        <f>TRIM(LEFT(RawSalesTable6[[#This Row],[Customer_Info]],FIND(",",RawSalesTable6[[#This Row],[Customer_Info]])-1))</f>
        <v>Leo Gagnon</v>
      </c>
      <c r="V185" s="8" t="str">
        <f>TRIM(MID(RawSalesTable6[[#This Row],[Customer_Info]],FIND(",",RawSalesTable6[[#This Row],[Customer_Info]])+1,FIND(",",RawSalesTable6[[#This Row],[Customer_Info]],FIND(",",RawSalesTable6[[#This Row],[Customer_Info]])+1)-FIND(",",RawSalesTable6[[#This Row],[Customer_Info]])-1))</f>
        <v>Surrey</v>
      </c>
      <c r="W185" s="8" t="str">
        <f>TRIM(RIGHT(RawSalesTable6[[#This Row],[Customer_Info]],LEN(RawSalesTable6[[#This Row],[Customer_Info]])-FIND(",",RawSalesTable6[[#This Row],[Customer_Info]],FIND(",",RawSalesTable6[[#This Row],[Customer_Info]])+1)))</f>
        <v>Small Business</v>
      </c>
      <c r="X185" s="8" t="str">
        <f>VLOOKUP(RawSalesTable6[[#This Row],[Product_ID_Clean]],ProductsTable[],2,FALSE)</f>
        <v>Food Scale</v>
      </c>
      <c r="Y185" s="8" t="str">
        <f>VLOOKUP(RawSalesTable6[[#This Row],[Product_ID_Clean]],ProductsTable[],3,FALSE)</f>
        <v>Home</v>
      </c>
      <c r="Z185" s="8">
        <f>VLOOKUP(RawSalesTable6[[#This Row],[Product_ID_Clean]],ProductsTable[],5,FALSE)</f>
        <v>46.07</v>
      </c>
      <c r="AA185" s="8">
        <f>RawSalesTable6[[#This Row],[Unit_Price]]*RawSalesTable6[[#This Row],[Quantity]]</f>
        <v>321.54000000000002</v>
      </c>
      <c r="AB185" s="8">
        <f>RawSalesTable6[[#This Row],[Gross_Sales]]*RawSalesTable6[[#This Row],[Discount_Pct]]</f>
        <v>0</v>
      </c>
      <c r="AC185" s="8">
        <f>RawSalesTable6[[#This Row],[Gross_Sales]]-RawSalesTable6[[#This Row],[Discount_Amount]]</f>
        <v>321.54000000000002</v>
      </c>
      <c r="AD185" s="8">
        <f>RawSalesTable6[[#This Row],[Unit_Cost]]*RawSalesTable6[[#This Row],[Quantity]]</f>
        <v>138.21</v>
      </c>
      <c r="AE185" s="8">
        <f>RawSalesTable6[[#This Row],[Net_Sales]]-RawSalesTable6[[#This Row],[Total_Cost]]</f>
        <v>183.33</v>
      </c>
      <c r="AF185" s="9">
        <f>RawSalesTable6[[#This Row],[Profit]]/RawSalesTable6[[#This Row],[Net_Sales]]</f>
        <v>0.5701623437208434</v>
      </c>
      <c r="AG185" s="8">
        <f>YEAR(RawSalesTable6[[#This Row],[Order_Date]])</f>
        <v>2025</v>
      </c>
      <c r="AH185" s="8">
        <f>MONTH(RawSalesTable6[[#This Row],[Order_Date]])</f>
        <v>7</v>
      </c>
      <c r="AI185" s="8" t="str">
        <f>TEXT(RawSalesTable6[[#This Row],[Order_Date]],"mmmm")</f>
        <v>juillet</v>
      </c>
      <c r="AJ185" s="8" t="str">
        <f>IF(RawSalesTable6[[#This Row],[Month_Number]]&lt;=3,"Q1",IF(RawSalesTable6[[#This Row],[Month_Number]]&lt;=6,"Q2",IF(RawSalesTable6[[#This Row],[Month_Number]]&lt;=9,"Q3","Q4")))</f>
        <v>Q3</v>
      </c>
      <c r="AK185" s="8" t="str">
        <f>VLOOKUP(RawSalesTable6[[#This Row],[Customer_ID_Clean]],CustomersTable[],4,FALSE)</f>
        <v>British Columbia</v>
      </c>
      <c r="AL185" s="8">
        <f>IF(RawSalesTable6[[#This Row],[Return_Status]]="Yes",1,0)</f>
        <v>0</v>
      </c>
    </row>
    <row r="186" spans="1:38">
      <c r="A186" t="s">
        <v>545</v>
      </c>
      <c r="B186" s="3">
        <v>45981</v>
      </c>
      <c r="C186" t="s">
        <v>430</v>
      </c>
      <c r="D186" t="s">
        <v>85</v>
      </c>
      <c r="E186" t="s">
        <v>431</v>
      </c>
      <c r="F186" t="s">
        <v>103</v>
      </c>
      <c r="G186" t="s">
        <v>171</v>
      </c>
      <c r="H186" t="s">
        <v>105</v>
      </c>
      <c r="I186">
        <v>3</v>
      </c>
      <c r="J186" s="2">
        <v>306.68</v>
      </c>
      <c r="K186" s="4">
        <v>0.1</v>
      </c>
      <c r="L186" t="s">
        <v>90</v>
      </c>
      <c r="M186">
        <v>8</v>
      </c>
      <c r="N186" t="s">
        <v>91</v>
      </c>
      <c r="O186" t="str">
        <f>SUBSTITUTE(PROPER(TRIM(RawSalesTable6[[#This Row],[Channel_Raw]])),"Market Place","Marketplace")</f>
        <v>Marketplace</v>
      </c>
      <c r="P186" t="str">
        <f>TRIM(RawSalesTable6[[#This Row],[Product_ID]])</f>
        <v>P1025</v>
      </c>
      <c r="Q186" t="str">
        <f>TRIM(RawSalesTable6[[#This Row],[Customer_ID]])</f>
        <v>C0056</v>
      </c>
      <c r="R186" s="8" t="str">
        <f>PROPER(TRIM(RawSalesTable6[[#This Row],[Store_Raw]]))</f>
        <v>Vancouver West</v>
      </c>
      <c r="S186" s="8" t="str">
        <f>IF(TRIM(RawSalesTable6[[#This Row],[Payment_Method_Raw]])="","Non renseigné",SUBSTITUTE(PROPER(TRIM(RawSalesTable6[[#This Row],[Payment_Method_Raw]])),"Cc","Credit Card"))</f>
        <v>Paypal</v>
      </c>
      <c r="T186" s="8">
        <f>COUNTIF(A:A,RawSalesTable6[[#This Row],[Order_ID]])</f>
        <v>1</v>
      </c>
      <c r="U186" s="8" t="str">
        <f>TRIM(LEFT(RawSalesTable6[[#This Row],[Customer_Info]],FIND(",",RawSalesTable6[[#This Row],[Customer_Info]])-1))</f>
        <v>Sarah Wilson</v>
      </c>
      <c r="V186" s="8" t="str">
        <f>TRIM(MID(RawSalesTable6[[#This Row],[Customer_Info]],FIND(",",RawSalesTable6[[#This Row],[Customer_Info]])+1,FIND(",",RawSalesTable6[[#This Row],[Customer_Info]],FIND(",",RawSalesTable6[[#This Row],[Customer_Info]])+1)-FIND(",",RawSalesTable6[[#This Row],[Customer_Info]])-1))</f>
        <v>Halifax</v>
      </c>
      <c r="W186" s="8" t="str">
        <f>TRIM(RIGHT(RawSalesTable6[[#This Row],[Customer_Info]],LEN(RawSalesTable6[[#This Row],[Customer_Info]])-FIND(",",RawSalesTable6[[#This Row],[Customer_Info]],FIND(",",RawSalesTable6[[#This Row],[Customer_Info]])+1)))</f>
        <v>Consumer</v>
      </c>
      <c r="X186" s="8" t="str">
        <f>VLOOKUP(RawSalesTable6[[#This Row],[Product_ID_Clean]],ProductsTable[],2,FALSE)</f>
        <v>Yoga Mat</v>
      </c>
      <c r="Y186" s="8" t="str">
        <f>VLOOKUP(RawSalesTable6[[#This Row],[Product_ID_Clean]],ProductsTable[],3,FALSE)</f>
        <v>Fitness</v>
      </c>
      <c r="Z186" s="8">
        <f>VLOOKUP(RawSalesTable6[[#This Row],[Product_ID_Clean]],ProductsTable[],5,FALSE)</f>
        <v>197.33</v>
      </c>
      <c r="AA186" s="8">
        <f>RawSalesTable6[[#This Row],[Unit_Price]]*RawSalesTable6[[#This Row],[Quantity]]</f>
        <v>920.04</v>
      </c>
      <c r="AB186" s="8">
        <f>RawSalesTable6[[#This Row],[Gross_Sales]]*RawSalesTable6[[#This Row],[Discount_Pct]]</f>
        <v>92.004000000000005</v>
      </c>
      <c r="AC186" s="8">
        <f>RawSalesTable6[[#This Row],[Gross_Sales]]-RawSalesTable6[[#This Row],[Discount_Amount]]</f>
        <v>828.03599999999994</v>
      </c>
      <c r="AD186" s="8">
        <f>RawSalesTable6[[#This Row],[Unit_Cost]]*RawSalesTable6[[#This Row],[Quantity]]</f>
        <v>591.99</v>
      </c>
      <c r="AE186" s="8">
        <f>RawSalesTable6[[#This Row],[Net_Sales]]-RawSalesTable6[[#This Row],[Total_Cost]]</f>
        <v>236.04599999999994</v>
      </c>
      <c r="AF186" s="9">
        <f>RawSalesTable6[[#This Row],[Profit]]/RawSalesTable6[[#This Row],[Net_Sales]]</f>
        <v>0.2850673159138008</v>
      </c>
      <c r="AG186" s="8">
        <f>YEAR(RawSalesTable6[[#This Row],[Order_Date]])</f>
        <v>2025</v>
      </c>
      <c r="AH186" s="8">
        <f>MONTH(RawSalesTable6[[#This Row],[Order_Date]])</f>
        <v>11</v>
      </c>
      <c r="AI186" s="8" t="str">
        <f>TEXT(RawSalesTable6[[#This Row],[Order_Date]],"mmmm")</f>
        <v>novembre</v>
      </c>
      <c r="AJ186" s="8" t="str">
        <f>IF(RawSalesTable6[[#This Row],[Month_Number]]&lt;=3,"Q1",IF(RawSalesTable6[[#This Row],[Month_Number]]&lt;=6,"Q2",IF(RawSalesTable6[[#This Row],[Month_Number]]&lt;=9,"Q3","Q4")))</f>
        <v>Q4</v>
      </c>
      <c r="AK186" s="8" t="str">
        <f>VLOOKUP(RawSalesTable6[[#This Row],[Customer_ID_Clean]],CustomersTable[],4,FALSE)</f>
        <v>Nova Scotia</v>
      </c>
      <c r="AL186" s="8">
        <f>IF(RawSalesTable6[[#This Row],[Return_Status]]="Yes",1,0)</f>
        <v>0</v>
      </c>
    </row>
    <row r="187" spans="1:38">
      <c r="A187" t="s">
        <v>546</v>
      </c>
      <c r="B187" s="3">
        <v>45897</v>
      </c>
      <c r="C187" t="s">
        <v>313</v>
      </c>
      <c r="D187" t="s">
        <v>94</v>
      </c>
      <c r="E187" t="s">
        <v>314</v>
      </c>
      <c r="F187" t="s">
        <v>145</v>
      </c>
      <c r="G187" t="s">
        <v>122</v>
      </c>
      <c r="H187" t="s">
        <v>97</v>
      </c>
      <c r="I187">
        <v>1</v>
      </c>
      <c r="J187" s="2">
        <v>317.25</v>
      </c>
      <c r="K187" s="4">
        <v>0</v>
      </c>
      <c r="L187" t="s">
        <v>106</v>
      </c>
      <c r="M187">
        <v>4</v>
      </c>
      <c r="N187" t="s">
        <v>91</v>
      </c>
      <c r="O187" t="str">
        <f>SUBSTITUTE(PROPER(TRIM(RawSalesTable6[[#This Row],[Channel_Raw]])),"Market Place","Marketplace")</f>
        <v>Retail Store</v>
      </c>
      <c r="P187" t="str">
        <f>TRIM(RawSalesTable6[[#This Row],[Product_ID]])</f>
        <v>P1033</v>
      </c>
      <c r="Q187" t="str">
        <f>TRIM(RawSalesTable6[[#This Row],[Customer_ID]])</f>
        <v>C0080</v>
      </c>
      <c r="R187" s="8" t="str">
        <f>PROPER(TRIM(RawSalesTable6[[#This Row],[Store_Raw]]))</f>
        <v>Calgary North</v>
      </c>
      <c r="S187" s="8" t="str">
        <f>IF(TRIM(RawSalesTable6[[#This Row],[Payment_Method_Raw]])="","Non renseigné",SUBSTITUTE(PROPER(TRIM(RawSalesTable6[[#This Row],[Payment_Method_Raw]])),"Cc","Credit Card"))</f>
        <v>Credit Card</v>
      </c>
      <c r="T187" s="8">
        <f>COUNTIF(A:A,RawSalesTable6[[#This Row],[Order_ID]])</f>
        <v>1</v>
      </c>
      <c r="U187" s="8" t="str">
        <f>TRIM(LEFT(RawSalesTable6[[#This Row],[Customer_Info]],FIND(",",RawSalesTable6[[#This Row],[Customer_Info]])-1))</f>
        <v>Sarah Smith</v>
      </c>
      <c r="V187" s="8" t="str">
        <f>TRIM(MID(RawSalesTable6[[#This Row],[Customer_Info]],FIND(",",RawSalesTable6[[#This Row],[Customer_Info]])+1,FIND(",",RawSalesTable6[[#This Row],[Customer_Info]],FIND(",",RawSalesTable6[[#This Row],[Customer_Info]])+1)-FIND(",",RawSalesTable6[[#This Row],[Customer_Info]])-1))</f>
        <v>Mississauga</v>
      </c>
      <c r="W187" s="8" t="str">
        <f>TRIM(RIGHT(RawSalesTable6[[#This Row],[Customer_Info]],LEN(RawSalesTable6[[#This Row],[Customer_Info]])-FIND(",",RawSalesTable6[[#This Row],[Customer_Info]],FIND(",",RawSalesTable6[[#This Row],[Customer_Info]])+1)))</f>
        <v>Corporate</v>
      </c>
      <c r="X187" s="8" t="str">
        <f>VLOOKUP(RawSalesTable6[[#This Row],[Product_ID_Clean]],ProductsTable[],2,FALSE)</f>
        <v>Backpack</v>
      </c>
      <c r="Y187" s="8" t="str">
        <f>VLOOKUP(RawSalesTable6[[#This Row],[Product_ID_Clean]],ProductsTable[],3,FALSE)</f>
        <v>Accessories</v>
      </c>
      <c r="Z187" s="8">
        <f>VLOOKUP(RawSalesTable6[[#This Row],[Product_ID_Clean]],ProductsTable[],5,FALSE)</f>
        <v>152.55000000000001</v>
      </c>
      <c r="AA187" s="8">
        <f>RawSalesTable6[[#This Row],[Unit_Price]]*RawSalesTable6[[#This Row],[Quantity]]</f>
        <v>317.25</v>
      </c>
      <c r="AB187" s="8">
        <f>RawSalesTable6[[#This Row],[Gross_Sales]]*RawSalesTable6[[#This Row],[Discount_Pct]]</f>
        <v>0</v>
      </c>
      <c r="AC187" s="8">
        <f>RawSalesTable6[[#This Row],[Gross_Sales]]-RawSalesTable6[[#This Row],[Discount_Amount]]</f>
        <v>317.25</v>
      </c>
      <c r="AD187" s="8">
        <f>RawSalesTable6[[#This Row],[Unit_Cost]]*RawSalesTable6[[#This Row],[Quantity]]</f>
        <v>152.55000000000001</v>
      </c>
      <c r="AE187" s="8">
        <f>RawSalesTable6[[#This Row],[Net_Sales]]-RawSalesTable6[[#This Row],[Total_Cost]]</f>
        <v>164.7</v>
      </c>
      <c r="AF187" s="9">
        <f>RawSalesTable6[[#This Row],[Profit]]/RawSalesTable6[[#This Row],[Net_Sales]]</f>
        <v>0.51914893617021274</v>
      </c>
      <c r="AG187" s="8">
        <f>YEAR(RawSalesTable6[[#This Row],[Order_Date]])</f>
        <v>2025</v>
      </c>
      <c r="AH187" s="8">
        <f>MONTH(RawSalesTable6[[#This Row],[Order_Date]])</f>
        <v>8</v>
      </c>
      <c r="AI187" s="8" t="str">
        <f>TEXT(RawSalesTable6[[#This Row],[Order_Date]],"mmmm")</f>
        <v>août</v>
      </c>
      <c r="AJ187" s="8" t="str">
        <f>IF(RawSalesTable6[[#This Row],[Month_Number]]&lt;=3,"Q1",IF(RawSalesTable6[[#This Row],[Month_Number]]&lt;=6,"Q2",IF(RawSalesTable6[[#This Row],[Month_Number]]&lt;=9,"Q3","Q4")))</f>
        <v>Q3</v>
      </c>
      <c r="AK187" s="8" t="str">
        <f>VLOOKUP(RawSalesTable6[[#This Row],[Customer_ID_Clean]],CustomersTable[],4,FALSE)</f>
        <v>Ontario</v>
      </c>
      <c r="AL187" s="8">
        <f>IF(RawSalesTable6[[#This Row],[Return_Status]]="Yes",1,0)</f>
        <v>0</v>
      </c>
    </row>
    <row r="188" spans="1:38">
      <c r="A188" t="s">
        <v>547</v>
      </c>
      <c r="B188" s="3">
        <v>45948</v>
      </c>
      <c r="C188" t="s">
        <v>548</v>
      </c>
      <c r="D188" t="s">
        <v>125</v>
      </c>
      <c r="E188" t="s">
        <v>549</v>
      </c>
      <c r="F188" t="s">
        <v>87</v>
      </c>
      <c r="G188" t="s">
        <v>88</v>
      </c>
      <c r="H188" t="s">
        <v>97</v>
      </c>
      <c r="I188">
        <v>5</v>
      </c>
      <c r="J188" s="2">
        <v>54.02</v>
      </c>
      <c r="K188" s="4">
        <v>0.2</v>
      </c>
      <c r="L188" t="s">
        <v>253</v>
      </c>
      <c r="M188">
        <v>3</v>
      </c>
      <c r="N188" t="s">
        <v>147</v>
      </c>
      <c r="O188" t="str">
        <f>SUBSTITUTE(PROPER(TRIM(RawSalesTable6[[#This Row],[Channel_Raw]])),"Market Place","Marketplace")</f>
        <v>Retail Store</v>
      </c>
      <c r="P188" t="str">
        <f>TRIM(RawSalesTable6[[#This Row],[Product_ID]])</f>
        <v>P1027</v>
      </c>
      <c r="Q188" t="str">
        <f>TRIM(RawSalesTable6[[#This Row],[Customer_ID]])</f>
        <v>C0099</v>
      </c>
      <c r="R188" s="8" t="str">
        <f>PROPER(TRIM(RawSalesTable6[[#This Row],[Store_Raw]]))</f>
        <v>Online Fulfillment</v>
      </c>
      <c r="S188" s="8" t="str">
        <f>IF(TRIM(RawSalesTable6[[#This Row],[Payment_Method_Raw]])="","Non renseigné",SUBSTITUTE(PROPER(TRIM(RawSalesTable6[[#This Row],[Payment_Method_Raw]])),"Cc","Credit Card"))</f>
        <v>Credit Card</v>
      </c>
      <c r="T188" s="8">
        <f>COUNTIF(A:A,RawSalesTable6[[#This Row],[Order_ID]])</f>
        <v>1</v>
      </c>
      <c r="U188" s="8" t="str">
        <f>TRIM(LEFT(RawSalesTable6[[#This Row],[Customer_Info]],FIND(",",RawSalesTable6[[#This Row],[Customer_Info]])-1))</f>
        <v>Amine Gagnon</v>
      </c>
      <c r="V188" s="8" t="str">
        <f>TRIM(MID(RawSalesTable6[[#This Row],[Customer_Info]],FIND(",",RawSalesTable6[[#This Row],[Customer_Info]])+1,FIND(",",RawSalesTable6[[#This Row],[Customer_Info]],FIND(",",RawSalesTable6[[#This Row],[Customer_Info]])+1)-FIND(",",RawSalesTable6[[#This Row],[Customer_Info]])-1))</f>
        <v>Laval</v>
      </c>
      <c r="W188" s="8" t="str">
        <f>TRIM(RIGHT(RawSalesTable6[[#This Row],[Customer_Info]],LEN(RawSalesTable6[[#This Row],[Customer_Info]])-FIND(",",RawSalesTable6[[#This Row],[Customer_Info]],FIND(",",RawSalesTable6[[#This Row],[Customer_Info]])+1)))</f>
        <v>Small Business</v>
      </c>
      <c r="X188" s="8" t="str">
        <f>VLOOKUP(RawSalesTable6[[#This Row],[Product_ID_Clean]],ProductsTable[],2,FALSE)</f>
        <v>Kettlebell</v>
      </c>
      <c r="Y188" s="8" t="str">
        <f>VLOOKUP(RawSalesTable6[[#This Row],[Product_ID_Clean]],ProductsTable[],3,FALSE)</f>
        <v>Fitness</v>
      </c>
      <c r="Z188" s="8">
        <f>VLOOKUP(RawSalesTable6[[#This Row],[Product_ID_Clean]],ProductsTable[],5,FALSE)</f>
        <v>25.97</v>
      </c>
      <c r="AA188" s="8">
        <f>RawSalesTable6[[#This Row],[Unit_Price]]*RawSalesTable6[[#This Row],[Quantity]]</f>
        <v>270.10000000000002</v>
      </c>
      <c r="AB188" s="8">
        <f>RawSalesTable6[[#This Row],[Gross_Sales]]*RawSalesTable6[[#This Row],[Discount_Pct]]</f>
        <v>54.02000000000001</v>
      </c>
      <c r="AC188" s="8">
        <f>RawSalesTable6[[#This Row],[Gross_Sales]]-RawSalesTable6[[#This Row],[Discount_Amount]]</f>
        <v>216.08</v>
      </c>
      <c r="AD188" s="8">
        <f>RawSalesTable6[[#This Row],[Unit_Cost]]*RawSalesTable6[[#This Row],[Quantity]]</f>
        <v>129.85</v>
      </c>
      <c r="AE188" s="8">
        <f>RawSalesTable6[[#This Row],[Net_Sales]]-RawSalesTable6[[#This Row],[Total_Cost]]</f>
        <v>86.230000000000018</v>
      </c>
      <c r="AF188" s="9">
        <f>RawSalesTable6[[#This Row],[Profit]]/RawSalesTable6[[#This Row],[Net_Sales]]</f>
        <v>0.3990651610514625</v>
      </c>
      <c r="AG188" s="8">
        <f>YEAR(RawSalesTable6[[#This Row],[Order_Date]])</f>
        <v>2025</v>
      </c>
      <c r="AH188" s="8">
        <f>MONTH(RawSalesTable6[[#This Row],[Order_Date]])</f>
        <v>10</v>
      </c>
      <c r="AI188" s="8" t="str">
        <f>TEXT(RawSalesTable6[[#This Row],[Order_Date]],"mmmm")</f>
        <v>octobre</v>
      </c>
      <c r="AJ188" s="8" t="str">
        <f>IF(RawSalesTable6[[#This Row],[Month_Number]]&lt;=3,"Q1",IF(RawSalesTable6[[#This Row],[Month_Number]]&lt;=6,"Q2",IF(RawSalesTable6[[#This Row],[Month_Number]]&lt;=9,"Q3","Q4")))</f>
        <v>Q4</v>
      </c>
      <c r="AK188" s="8" t="str">
        <f>VLOOKUP(RawSalesTable6[[#This Row],[Customer_ID_Clean]],CustomersTable[],4,FALSE)</f>
        <v>Quebec</v>
      </c>
      <c r="AL188" s="8">
        <f>IF(RawSalesTable6[[#This Row],[Return_Status]]="Yes",1,0)</f>
        <v>1</v>
      </c>
    </row>
    <row r="189" spans="1:38">
      <c r="A189" t="s">
        <v>550</v>
      </c>
      <c r="B189" s="3">
        <v>45889</v>
      </c>
      <c r="C189" t="s">
        <v>551</v>
      </c>
      <c r="D189" t="s">
        <v>94</v>
      </c>
      <c r="E189" t="s">
        <v>552</v>
      </c>
      <c r="F189" t="s">
        <v>116</v>
      </c>
      <c r="G189" t="s">
        <v>117</v>
      </c>
      <c r="H189" t="s">
        <v>105</v>
      </c>
      <c r="I189">
        <v>3</v>
      </c>
      <c r="J189" s="2">
        <v>294.42</v>
      </c>
      <c r="K189" s="4">
        <v>0.05</v>
      </c>
      <c r="L189" t="s">
        <v>90</v>
      </c>
      <c r="M189">
        <v>3</v>
      </c>
      <c r="N189" t="s">
        <v>91</v>
      </c>
      <c r="O189" t="str">
        <f>SUBSTITUTE(PROPER(TRIM(RawSalesTable6[[#This Row],[Channel_Raw]])),"Market Place","Marketplace")</f>
        <v>Marketplace</v>
      </c>
      <c r="P189" t="str">
        <f>TRIM(RawSalesTable6[[#This Row],[Product_ID]])</f>
        <v>P1033</v>
      </c>
      <c r="Q189" t="str">
        <f>TRIM(RawSalesTable6[[#This Row],[Customer_ID]])</f>
        <v>C0094</v>
      </c>
      <c r="R189" s="8" t="str">
        <f>PROPER(TRIM(RawSalesTable6[[#This Row],[Store_Raw]]))</f>
        <v>Toronto Downtown</v>
      </c>
      <c r="S189" s="8" t="str">
        <f>IF(TRIM(RawSalesTable6[[#This Row],[Payment_Method_Raw]])="","Non renseigné",SUBSTITUTE(PROPER(TRIM(RawSalesTable6[[#This Row],[Payment_Method_Raw]])),"Cc","Credit Card"))</f>
        <v>Paypal</v>
      </c>
      <c r="T189" s="8">
        <f>COUNTIF(A:A,RawSalesTable6[[#This Row],[Order_ID]])</f>
        <v>1</v>
      </c>
      <c r="U189" s="8" t="str">
        <f>TRIM(LEFT(RawSalesTable6[[#This Row],[Customer_Info]],FIND(",",RawSalesTable6[[#This Row],[Customer_Info]])-1))</f>
        <v>Mia Singh</v>
      </c>
      <c r="V189" s="8" t="str">
        <f>TRIM(MID(RawSalesTable6[[#This Row],[Customer_Info]],FIND(",",RawSalesTable6[[#This Row],[Customer_Info]])+1,FIND(",",RawSalesTable6[[#This Row],[Customer_Info]],FIND(",",RawSalesTable6[[#This Row],[Customer_Info]])+1)-FIND(",",RawSalesTable6[[#This Row],[Customer_Info]])-1))</f>
        <v>Quebec City</v>
      </c>
      <c r="W189" s="8" t="str">
        <f>TRIM(RIGHT(RawSalesTable6[[#This Row],[Customer_Info]],LEN(RawSalesTable6[[#This Row],[Customer_Info]])-FIND(",",RawSalesTable6[[#This Row],[Customer_Info]],FIND(",",RawSalesTable6[[#This Row],[Customer_Info]])+1)))</f>
        <v>Consumer</v>
      </c>
      <c r="X189" s="8" t="str">
        <f>VLOOKUP(RawSalesTable6[[#This Row],[Product_ID_Clean]],ProductsTable[],2,FALSE)</f>
        <v>Backpack</v>
      </c>
      <c r="Y189" s="8" t="str">
        <f>VLOOKUP(RawSalesTable6[[#This Row],[Product_ID_Clean]],ProductsTable[],3,FALSE)</f>
        <v>Accessories</v>
      </c>
      <c r="Z189" s="8">
        <f>VLOOKUP(RawSalesTable6[[#This Row],[Product_ID_Clean]],ProductsTable[],5,FALSE)</f>
        <v>152.55000000000001</v>
      </c>
      <c r="AA189" s="8">
        <f>RawSalesTable6[[#This Row],[Unit_Price]]*RawSalesTable6[[#This Row],[Quantity]]</f>
        <v>883.26</v>
      </c>
      <c r="AB189" s="8">
        <f>RawSalesTable6[[#This Row],[Gross_Sales]]*RawSalesTable6[[#This Row],[Discount_Pct]]</f>
        <v>44.163000000000004</v>
      </c>
      <c r="AC189" s="8">
        <f>RawSalesTable6[[#This Row],[Gross_Sales]]-RawSalesTable6[[#This Row],[Discount_Amount]]</f>
        <v>839.09699999999998</v>
      </c>
      <c r="AD189" s="8">
        <f>RawSalesTable6[[#This Row],[Unit_Cost]]*RawSalesTable6[[#This Row],[Quantity]]</f>
        <v>457.65000000000003</v>
      </c>
      <c r="AE189" s="8">
        <f>RawSalesTable6[[#This Row],[Net_Sales]]-RawSalesTable6[[#This Row],[Total_Cost]]</f>
        <v>381.44699999999995</v>
      </c>
      <c r="AF189" s="9">
        <f>RawSalesTable6[[#This Row],[Profit]]/RawSalesTable6[[#This Row],[Net_Sales]]</f>
        <v>0.45459225810603537</v>
      </c>
      <c r="AG189" s="8">
        <f>YEAR(RawSalesTable6[[#This Row],[Order_Date]])</f>
        <v>2025</v>
      </c>
      <c r="AH189" s="8">
        <f>MONTH(RawSalesTable6[[#This Row],[Order_Date]])</f>
        <v>8</v>
      </c>
      <c r="AI189" s="8" t="str">
        <f>TEXT(RawSalesTable6[[#This Row],[Order_Date]],"mmmm")</f>
        <v>août</v>
      </c>
      <c r="AJ189" s="8" t="str">
        <f>IF(RawSalesTable6[[#This Row],[Month_Number]]&lt;=3,"Q1",IF(RawSalesTable6[[#This Row],[Month_Number]]&lt;=6,"Q2",IF(RawSalesTable6[[#This Row],[Month_Number]]&lt;=9,"Q3","Q4")))</f>
        <v>Q3</v>
      </c>
      <c r="AK189" s="8" t="str">
        <f>VLOOKUP(RawSalesTable6[[#This Row],[Customer_ID_Clean]],CustomersTable[],4,FALSE)</f>
        <v>Quebec</v>
      </c>
      <c r="AL189" s="8">
        <f>IF(RawSalesTable6[[#This Row],[Return_Status]]="Yes",1,0)</f>
        <v>0</v>
      </c>
    </row>
    <row r="190" spans="1:38">
      <c r="A190" t="s">
        <v>553</v>
      </c>
      <c r="B190" s="3">
        <v>45998</v>
      </c>
      <c r="C190" t="s">
        <v>531</v>
      </c>
      <c r="D190" t="s">
        <v>323</v>
      </c>
      <c r="E190" t="s">
        <v>532</v>
      </c>
      <c r="F190" t="s">
        <v>111</v>
      </c>
      <c r="G190" t="s">
        <v>117</v>
      </c>
      <c r="H190" t="s">
        <v>308</v>
      </c>
      <c r="I190">
        <v>3</v>
      </c>
      <c r="J190" s="2">
        <v>327.55</v>
      </c>
      <c r="K190" s="4">
        <v>0.05</v>
      </c>
      <c r="L190" t="s">
        <v>90</v>
      </c>
      <c r="M190">
        <v>1</v>
      </c>
      <c r="N190" t="s">
        <v>91</v>
      </c>
      <c r="O190" t="str">
        <f>SUBSTITUTE(PROPER(TRIM(RawSalesTable6[[#This Row],[Channel_Raw]])),"Market Place","Marketplace")</f>
        <v>Online</v>
      </c>
      <c r="P190" t="str">
        <f>TRIM(RawSalesTable6[[#This Row],[Product_ID]])</f>
        <v>P1023</v>
      </c>
      <c r="Q190" t="str">
        <f>TRIM(RawSalesTable6[[#This Row],[Customer_ID]])</f>
        <v>C0042</v>
      </c>
      <c r="R190" s="8" t="str">
        <f>PROPER(TRIM(RawSalesTable6[[#This Row],[Store_Raw]]))</f>
        <v>Montreal Central</v>
      </c>
      <c r="S190" s="8" t="str">
        <f>IF(TRIM(RawSalesTable6[[#This Row],[Payment_Method_Raw]])="","Non renseigné",SUBSTITUTE(PROPER(TRIM(RawSalesTable6[[#This Row],[Payment_Method_Raw]])),"Cc","Credit Card"))</f>
        <v>Paypal</v>
      </c>
      <c r="T190" s="8">
        <f>COUNTIF(A:A,RawSalesTable6[[#This Row],[Order_ID]])</f>
        <v>1</v>
      </c>
      <c r="U190" s="8" t="str">
        <f>TRIM(LEFT(RawSalesTable6[[#This Row],[Customer_Info]],FIND(",",RawSalesTable6[[#This Row],[Customer_Info]])-1))</f>
        <v>Emma King</v>
      </c>
      <c r="V190" s="8" t="str">
        <f>TRIM(MID(RawSalesTable6[[#This Row],[Customer_Info]],FIND(",",RawSalesTable6[[#This Row],[Customer_Info]])+1,FIND(",",RawSalesTable6[[#This Row],[Customer_Info]],FIND(",",RawSalesTable6[[#This Row],[Customer_Info]])+1)-FIND(",",RawSalesTable6[[#This Row],[Customer_Info]])-1))</f>
        <v>Quebec City</v>
      </c>
      <c r="W190" s="8" t="str">
        <f>TRIM(RIGHT(RawSalesTable6[[#This Row],[Customer_Info]],LEN(RawSalesTable6[[#This Row],[Customer_Info]])-FIND(",",RawSalesTable6[[#This Row],[Customer_Info]],FIND(",",RawSalesTable6[[#This Row],[Customer_Info]])+1)))</f>
        <v>Consumer</v>
      </c>
      <c r="X190" s="8" t="str">
        <f>VLOOKUP(RawSalesTable6[[#This Row],[Product_ID_Clean]],ProductsTable[],2,FALSE)</f>
        <v>Toaster</v>
      </c>
      <c r="Y190" s="8" t="str">
        <f>VLOOKUP(RawSalesTable6[[#This Row],[Product_ID_Clean]],ProductsTable[],3,FALSE)</f>
        <v>Home</v>
      </c>
      <c r="Z190" s="8">
        <f>VLOOKUP(RawSalesTable6[[#This Row],[Product_ID_Clean]],ProductsTable[],5,FALSE)</f>
        <v>152.88</v>
      </c>
      <c r="AA190" s="8">
        <f>RawSalesTable6[[#This Row],[Unit_Price]]*RawSalesTable6[[#This Row],[Quantity]]</f>
        <v>982.65000000000009</v>
      </c>
      <c r="AB190" s="8">
        <f>RawSalesTable6[[#This Row],[Gross_Sales]]*RawSalesTable6[[#This Row],[Discount_Pct]]</f>
        <v>49.132500000000007</v>
      </c>
      <c r="AC190" s="8">
        <f>RawSalesTable6[[#This Row],[Gross_Sales]]-RawSalesTable6[[#This Row],[Discount_Amount]]</f>
        <v>933.51750000000004</v>
      </c>
      <c r="AD190" s="8">
        <f>RawSalesTable6[[#This Row],[Unit_Cost]]*RawSalesTable6[[#This Row],[Quantity]]</f>
        <v>458.64</v>
      </c>
      <c r="AE190" s="8">
        <f>RawSalesTable6[[#This Row],[Net_Sales]]-RawSalesTable6[[#This Row],[Total_Cost]]</f>
        <v>474.87750000000005</v>
      </c>
      <c r="AF190" s="9">
        <f>RawSalesTable6[[#This Row],[Profit]]/RawSalesTable6[[#This Row],[Net_Sales]]</f>
        <v>0.50869694462074899</v>
      </c>
      <c r="AG190" s="8">
        <f>YEAR(RawSalesTable6[[#This Row],[Order_Date]])</f>
        <v>2025</v>
      </c>
      <c r="AH190" s="8">
        <f>MONTH(RawSalesTable6[[#This Row],[Order_Date]])</f>
        <v>12</v>
      </c>
      <c r="AI190" s="8" t="str">
        <f>TEXT(RawSalesTable6[[#This Row],[Order_Date]],"mmmm")</f>
        <v>décembre</v>
      </c>
      <c r="AJ190" s="8" t="str">
        <f>IF(RawSalesTable6[[#This Row],[Month_Number]]&lt;=3,"Q1",IF(RawSalesTable6[[#This Row],[Month_Number]]&lt;=6,"Q2",IF(RawSalesTable6[[#This Row],[Month_Number]]&lt;=9,"Q3","Q4")))</f>
        <v>Q4</v>
      </c>
      <c r="AK190" s="8" t="str">
        <f>VLOOKUP(RawSalesTable6[[#This Row],[Customer_ID_Clean]],CustomersTable[],4,FALSE)</f>
        <v>Quebec</v>
      </c>
      <c r="AL190" s="8">
        <f>IF(RawSalesTable6[[#This Row],[Return_Status]]="Yes",1,0)</f>
        <v>0</v>
      </c>
    </row>
    <row r="191" spans="1:38">
      <c r="A191" t="s">
        <v>554</v>
      </c>
      <c r="B191" s="3">
        <v>45980</v>
      </c>
      <c r="C191" t="s">
        <v>239</v>
      </c>
      <c r="D191" t="s">
        <v>303</v>
      </c>
      <c r="E191" t="s">
        <v>240</v>
      </c>
      <c r="F191" t="s">
        <v>111</v>
      </c>
      <c r="G191" t="s">
        <v>88</v>
      </c>
      <c r="H191" t="s">
        <v>89</v>
      </c>
      <c r="I191">
        <v>1</v>
      </c>
      <c r="J191" s="2">
        <v>165.76</v>
      </c>
      <c r="K191" s="4">
        <v>0</v>
      </c>
      <c r="L191" t="s">
        <v>106</v>
      </c>
      <c r="M191">
        <v>2</v>
      </c>
      <c r="N191" t="s">
        <v>91</v>
      </c>
      <c r="O191" t="str">
        <f>SUBSTITUTE(PROPER(TRIM(RawSalesTable6[[#This Row],[Channel_Raw]])),"Market Place","Marketplace")</f>
        <v>Online</v>
      </c>
      <c r="P191" t="str">
        <f>TRIM(RawSalesTable6[[#This Row],[Product_ID]])</f>
        <v>P1036</v>
      </c>
      <c r="Q191" t="str">
        <f>TRIM(RawSalesTable6[[#This Row],[Customer_ID]])</f>
        <v>C0089</v>
      </c>
      <c r="R191" s="8" t="str">
        <f>PROPER(TRIM(RawSalesTable6[[#This Row],[Store_Raw]]))</f>
        <v>Montreal Central</v>
      </c>
      <c r="S191" s="8" t="str">
        <f>IF(TRIM(RawSalesTable6[[#This Row],[Payment_Method_Raw]])="","Non renseigné",SUBSTITUTE(PROPER(TRIM(RawSalesTable6[[#This Row],[Payment_Method_Raw]])),"Cc","Credit Card"))</f>
        <v>Credit Card</v>
      </c>
      <c r="T191" s="8">
        <f>COUNTIF(A:A,RawSalesTable6[[#This Row],[Order_ID]])</f>
        <v>1</v>
      </c>
      <c r="U191" s="8" t="str">
        <f>TRIM(LEFT(RawSalesTable6[[#This Row],[Customer_Info]],FIND(",",RawSalesTable6[[#This Row],[Customer_Info]])-1))</f>
        <v>Lucas Martin</v>
      </c>
      <c r="V191" s="8" t="str">
        <f>TRIM(MID(RawSalesTable6[[#This Row],[Customer_Info]],FIND(",",RawSalesTable6[[#This Row],[Customer_Info]])+1,FIND(",",RawSalesTable6[[#This Row],[Customer_Info]],FIND(",",RawSalesTable6[[#This Row],[Customer_Info]])+1)-FIND(",",RawSalesTable6[[#This Row],[Customer_Info]])-1))</f>
        <v>Vancouver</v>
      </c>
      <c r="W191" s="8" t="str">
        <f>TRIM(RIGHT(RawSalesTable6[[#This Row],[Customer_Info]],LEN(RawSalesTable6[[#This Row],[Customer_Info]])-FIND(",",RawSalesTable6[[#This Row],[Customer_Info]],FIND(",",RawSalesTable6[[#This Row],[Customer_Info]])+1)))</f>
        <v>Consumer</v>
      </c>
      <c r="X191" s="8" t="str">
        <f>VLOOKUP(RawSalesTable6[[#This Row],[Product_ID_Clean]],ProductsTable[],2,FALSE)</f>
        <v>Power Bank</v>
      </c>
      <c r="Y191" s="8" t="str">
        <f>VLOOKUP(RawSalesTable6[[#This Row],[Product_ID_Clean]],ProductsTable[],3,FALSE)</f>
        <v>Accessories</v>
      </c>
      <c r="Z191" s="8">
        <f>VLOOKUP(RawSalesTable6[[#This Row],[Product_ID_Clean]],ProductsTable[],5,FALSE)</f>
        <v>76.97</v>
      </c>
      <c r="AA191" s="8">
        <f>RawSalesTable6[[#This Row],[Unit_Price]]*RawSalesTable6[[#This Row],[Quantity]]</f>
        <v>165.76</v>
      </c>
      <c r="AB191" s="8">
        <f>RawSalesTable6[[#This Row],[Gross_Sales]]*RawSalesTable6[[#This Row],[Discount_Pct]]</f>
        <v>0</v>
      </c>
      <c r="AC191" s="8">
        <f>RawSalesTable6[[#This Row],[Gross_Sales]]-RawSalesTable6[[#This Row],[Discount_Amount]]</f>
        <v>165.76</v>
      </c>
      <c r="AD191" s="8">
        <f>RawSalesTable6[[#This Row],[Unit_Cost]]*RawSalesTable6[[#This Row],[Quantity]]</f>
        <v>76.97</v>
      </c>
      <c r="AE191" s="8">
        <f>RawSalesTable6[[#This Row],[Net_Sales]]-RawSalesTable6[[#This Row],[Total_Cost]]</f>
        <v>88.789999999999992</v>
      </c>
      <c r="AF191" s="9">
        <f>RawSalesTable6[[#This Row],[Profit]]/RawSalesTable6[[#This Row],[Net_Sales]]</f>
        <v>0.5356539575289575</v>
      </c>
      <c r="AG191" s="8">
        <f>YEAR(RawSalesTable6[[#This Row],[Order_Date]])</f>
        <v>2025</v>
      </c>
      <c r="AH191" s="8">
        <f>MONTH(RawSalesTable6[[#This Row],[Order_Date]])</f>
        <v>11</v>
      </c>
      <c r="AI191" s="8" t="str">
        <f>TEXT(RawSalesTable6[[#This Row],[Order_Date]],"mmmm")</f>
        <v>novembre</v>
      </c>
      <c r="AJ191" s="8" t="str">
        <f>IF(RawSalesTable6[[#This Row],[Month_Number]]&lt;=3,"Q1",IF(RawSalesTable6[[#This Row],[Month_Number]]&lt;=6,"Q2",IF(RawSalesTable6[[#This Row],[Month_Number]]&lt;=9,"Q3","Q4")))</f>
        <v>Q4</v>
      </c>
      <c r="AK191" s="8" t="str">
        <f>VLOOKUP(RawSalesTable6[[#This Row],[Customer_ID_Clean]],CustomersTable[],4,FALSE)</f>
        <v>British Columbia</v>
      </c>
      <c r="AL191" s="8">
        <f>IF(RawSalesTable6[[#This Row],[Return_Status]]="Yes",1,0)</f>
        <v>0</v>
      </c>
    </row>
    <row r="192" spans="1:38">
      <c r="A192" t="s">
        <v>555</v>
      </c>
      <c r="B192" s="3">
        <v>45741</v>
      </c>
      <c r="C192" t="s">
        <v>193</v>
      </c>
      <c r="D192" t="s">
        <v>252</v>
      </c>
      <c r="E192" t="s">
        <v>195</v>
      </c>
      <c r="F192" t="s">
        <v>87</v>
      </c>
      <c r="G192" t="s">
        <v>122</v>
      </c>
      <c r="H192" t="s">
        <v>228</v>
      </c>
      <c r="I192">
        <v>1</v>
      </c>
      <c r="J192" s="2">
        <v>279.27</v>
      </c>
      <c r="K192" s="4">
        <v>0.2</v>
      </c>
      <c r="L192" t="s">
        <v>353</v>
      </c>
      <c r="M192">
        <v>1</v>
      </c>
      <c r="N192" t="s">
        <v>91</v>
      </c>
      <c r="O192" t="str">
        <f>SUBSTITUTE(PROPER(TRIM(RawSalesTable6[[#This Row],[Channel_Raw]])),"Market Place","Marketplace")</f>
        <v>Online</v>
      </c>
      <c r="P192" t="str">
        <f>TRIM(RawSalesTable6[[#This Row],[Product_ID]])</f>
        <v>P1019</v>
      </c>
      <c r="Q192" t="str">
        <f>TRIM(RawSalesTable6[[#This Row],[Customer_ID]])</f>
        <v>C0023</v>
      </c>
      <c r="R192" s="8" t="str">
        <f>PROPER(TRIM(RawSalesTable6[[#This Row],[Store_Raw]]))</f>
        <v>Online Fulfillment</v>
      </c>
      <c r="S192" s="8" t="str">
        <f>IF(TRIM(RawSalesTable6[[#This Row],[Payment_Method_Raw]])="","Non renseigné",SUBSTITUTE(PROPER(TRIM(RawSalesTable6[[#This Row],[Payment_Method_Raw]])),"Cc","Credit Card"))</f>
        <v>Credit Card</v>
      </c>
      <c r="T192" s="8">
        <f>COUNTIF(A:A,RawSalesTable6[[#This Row],[Order_ID]])</f>
        <v>1</v>
      </c>
      <c r="U192" s="8" t="str">
        <f>TRIM(LEFT(RawSalesTable6[[#This Row],[Customer_Info]],FIND(",",RawSalesTable6[[#This Row],[Customer_Info]])-1))</f>
        <v>Ryan Gagnon</v>
      </c>
      <c r="V192" s="8" t="str">
        <f>TRIM(MID(RawSalesTable6[[#This Row],[Customer_Info]],FIND(",",RawSalesTable6[[#This Row],[Customer_Info]])+1,FIND(",",RawSalesTable6[[#This Row],[Customer_Info]],FIND(",",RawSalesTable6[[#This Row],[Customer_Info]])+1)-FIND(",",RawSalesTable6[[#This Row],[Customer_Info]])-1))</f>
        <v>Ottawa</v>
      </c>
      <c r="W192" s="8" t="str">
        <f>TRIM(RIGHT(RawSalesTable6[[#This Row],[Customer_Info]],LEN(RawSalesTable6[[#This Row],[Customer_Info]])-FIND(",",RawSalesTable6[[#This Row],[Customer_Info]],FIND(",",RawSalesTable6[[#This Row],[Customer_Info]])+1)))</f>
        <v>Small Business</v>
      </c>
      <c r="X192" s="8" t="str">
        <f>VLOOKUP(RawSalesTable6[[#This Row],[Product_ID_Clean]],ProductsTable[],2,FALSE)</f>
        <v>Vacuum</v>
      </c>
      <c r="Y192" s="8" t="str">
        <f>VLOOKUP(RawSalesTable6[[#This Row],[Product_ID_Clean]],ProductsTable[],3,FALSE)</f>
        <v>Home</v>
      </c>
      <c r="Z192" s="8">
        <f>VLOOKUP(RawSalesTable6[[#This Row],[Product_ID_Clean]],ProductsTable[],5,FALSE)</f>
        <v>186.94</v>
      </c>
      <c r="AA192" s="8">
        <f>RawSalesTable6[[#This Row],[Unit_Price]]*RawSalesTable6[[#This Row],[Quantity]]</f>
        <v>279.27</v>
      </c>
      <c r="AB192" s="8">
        <f>RawSalesTable6[[#This Row],[Gross_Sales]]*RawSalesTable6[[#This Row],[Discount_Pct]]</f>
        <v>55.853999999999999</v>
      </c>
      <c r="AC192" s="8">
        <f>RawSalesTable6[[#This Row],[Gross_Sales]]-RawSalesTable6[[#This Row],[Discount_Amount]]</f>
        <v>223.416</v>
      </c>
      <c r="AD192" s="8">
        <f>RawSalesTable6[[#This Row],[Unit_Cost]]*RawSalesTable6[[#This Row],[Quantity]]</f>
        <v>186.94</v>
      </c>
      <c r="AE192" s="8">
        <f>RawSalesTable6[[#This Row],[Net_Sales]]-RawSalesTable6[[#This Row],[Total_Cost]]</f>
        <v>36.475999999999999</v>
      </c>
      <c r="AF192" s="9">
        <f>RawSalesTable6[[#This Row],[Profit]]/RawSalesTable6[[#This Row],[Net_Sales]]</f>
        <v>0.16326494073835357</v>
      </c>
      <c r="AG192" s="8">
        <f>YEAR(RawSalesTable6[[#This Row],[Order_Date]])</f>
        <v>2025</v>
      </c>
      <c r="AH192" s="8">
        <f>MONTH(RawSalesTable6[[#This Row],[Order_Date]])</f>
        <v>3</v>
      </c>
      <c r="AI192" s="8" t="str">
        <f>TEXT(RawSalesTable6[[#This Row],[Order_Date]],"mmmm")</f>
        <v>mars</v>
      </c>
      <c r="AJ192" s="8" t="str">
        <f>IF(RawSalesTable6[[#This Row],[Month_Number]]&lt;=3,"Q1",IF(RawSalesTable6[[#This Row],[Month_Number]]&lt;=6,"Q2",IF(RawSalesTable6[[#This Row],[Month_Number]]&lt;=9,"Q3","Q4")))</f>
        <v>Q1</v>
      </c>
      <c r="AK192" s="8" t="str">
        <f>VLOOKUP(RawSalesTable6[[#This Row],[Customer_ID_Clean]],CustomersTable[],4,FALSE)</f>
        <v>Ontario</v>
      </c>
      <c r="AL192" s="8">
        <f>IF(RawSalesTable6[[#This Row],[Return_Status]]="Yes",1,0)</f>
        <v>0</v>
      </c>
    </row>
    <row r="193" spans="1:38">
      <c r="A193" t="s">
        <v>556</v>
      </c>
      <c r="B193" s="3">
        <v>45772</v>
      </c>
      <c r="C193" t="s">
        <v>305</v>
      </c>
      <c r="D193" t="s">
        <v>226</v>
      </c>
      <c r="E193" t="s">
        <v>306</v>
      </c>
      <c r="F193" t="s">
        <v>103</v>
      </c>
      <c r="G193" t="s">
        <v>183</v>
      </c>
      <c r="H193" t="s">
        <v>89</v>
      </c>
      <c r="I193">
        <v>2</v>
      </c>
      <c r="J193" s="2">
        <v>216.07</v>
      </c>
      <c r="K193" s="4">
        <v>0.1</v>
      </c>
      <c r="L193" t="s">
        <v>90</v>
      </c>
      <c r="M193">
        <v>9</v>
      </c>
      <c r="N193" t="s">
        <v>91</v>
      </c>
      <c r="O193" t="str">
        <f>SUBSTITUTE(PROPER(TRIM(RawSalesTable6[[#This Row],[Channel_Raw]])),"Market Place","Marketplace")</f>
        <v>Online</v>
      </c>
      <c r="P193" t="str">
        <f>TRIM(RawSalesTable6[[#This Row],[Product_ID]])</f>
        <v>P1010</v>
      </c>
      <c r="Q193" t="str">
        <f>TRIM(RawSalesTable6[[#This Row],[Customer_ID]])</f>
        <v>C0055</v>
      </c>
      <c r="R193" s="8" t="str">
        <f>PROPER(TRIM(RawSalesTable6[[#This Row],[Store_Raw]]))</f>
        <v>Vancouver West</v>
      </c>
      <c r="S193" s="8" t="str">
        <f>IF(TRIM(RawSalesTable6[[#This Row],[Payment_Method_Raw]])="","Non renseigné",SUBSTITUTE(PROPER(TRIM(RawSalesTable6[[#This Row],[Payment_Method_Raw]])),"Cc","Credit Card"))</f>
        <v>Paypal</v>
      </c>
      <c r="T193" s="8">
        <f>COUNTIF(A:A,RawSalesTable6[[#This Row],[Order_ID]])</f>
        <v>1</v>
      </c>
      <c r="U193" s="8" t="str">
        <f>TRIM(LEFT(RawSalesTable6[[#This Row],[Customer_Info]],FIND(",",RawSalesTable6[[#This Row],[Customer_Info]])-1))</f>
        <v>Sarah Scott</v>
      </c>
      <c r="V193" s="8" t="str">
        <f>TRIM(MID(RawSalesTable6[[#This Row],[Customer_Info]],FIND(",",RawSalesTable6[[#This Row],[Customer_Info]])+1,FIND(",",RawSalesTable6[[#This Row],[Customer_Info]],FIND(",",RawSalesTable6[[#This Row],[Customer_Info]])+1)-FIND(",",RawSalesTable6[[#This Row],[Customer_Info]])-1))</f>
        <v>Surrey</v>
      </c>
      <c r="W193" s="8" t="str">
        <f>TRIM(RIGHT(RawSalesTable6[[#This Row],[Customer_Info]],LEN(RawSalesTable6[[#This Row],[Customer_Info]])-FIND(",",RawSalesTable6[[#This Row],[Customer_Info]],FIND(",",RawSalesTable6[[#This Row],[Customer_Info]])+1)))</f>
        <v>Consumer</v>
      </c>
      <c r="X193" s="8" t="str">
        <f>VLOOKUP(RawSalesTable6[[#This Row],[Product_ID_Clean]],ProductsTable[],2,FALSE)</f>
        <v>Desk Lamp</v>
      </c>
      <c r="Y193" s="8" t="str">
        <f>VLOOKUP(RawSalesTable6[[#This Row],[Product_ID_Clean]],ProductsTable[],3,FALSE)</f>
        <v>Office</v>
      </c>
      <c r="Z193" s="8">
        <f>VLOOKUP(RawSalesTable6[[#This Row],[Product_ID_Clean]],ProductsTable[],5,FALSE)</f>
        <v>127.21</v>
      </c>
      <c r="AA193" s="8">
        <f>RawSalesTable6[[#This Row],[Unit_Price]]*RawSalesTable6[[#This Row],[Quantity]]</f>
        <v>432.14</v>
      </c>
      <c r="AB193" s="8">
        <f>RawSalesTable6[[#This Row],[Gross_Sales]]*RawSalesTable6[[#This Row],[Discount_Pct]]</f>
        <v>43.213999999999999</v>
      </c>
      <c r="AC193" s="8">
        <f>RawSalesTable6[[#This Row],[Gross_Sales]]-RawSalesTable6[[#This Row],[Discount_Amount]]</f>
        <v>388.92599999999999</v>
      </c>
      <c r="AD193" s="8">
        <f>RawSalesTable6[[#This Row],[Unit_Cost]]*RawSalesTable6[[#This Row],[Quantity]]</f>
        <v>254.42</v>
      </c>
      <c r="AE193" s="8">
        <f>RawSalesTable6[[#This Row],[Net_Sales]]-RawSalesTable6[[#This Row],[Total_Cost]]</f>
        <v>134.506</v>
      </c>
      <c r="AF193" s="9">
        <f>RawSalesTable6[[#This Row],[Profit]]/RawSalesTable6[[#This Row],[Net_Sales]]</f>
        <v>0.34583956845261055</v>
      </c>
      <c r="AG193" s="8">
        <f>YEAR(RawSalesTable6[[#This Row],[Order_Date]])</f>
        <v>2025</v>
      </c>
      <c r="AH193" s="8">
        <f>MONTH(RawSalesTable6[[#This Row],[Order_Date]])</f>
        <v>4</v>
      </c>
      <c r="AI193" s="8" t="str">
        <f>TEXT(RawSalesTable6[[#This Row],[Order_Date]],"mmmm")</f>
        <v>avril</v>
      </c>
      <c r="AJ193" s="8" t="str">
        <f>IF(RawSalesTable6[[#This Row],[Month_Number]]&lt;=3,"Q1",IF(RawSalesTable6[[#This Row],[Month_Number]]&lt;=6,"Q2",IF(RawSalesTable6[[#This Row],[Month_Number]]&lt;=9,"Q3","Q4")))</f>
        <v>Q2</v>
      </c>
      <c r="AK193" s="8" t="str">
        <f>VLOOKUP(RawSalesTable6[[#This Row],[Customer_ID_Clean]],CustomersTable[],4,FALSE)</f>
        <v>British Columbia</v>
      </c>
      <c r="AL193" s="8">
        <f>IF(RawSalesTable6[[#This Row],[Return_Status]]="Yes",1,0)</f>
        <v>0</v>
      </c>
    </row>
    <row r="194" spans="1:38">
      <c r="A194" t="s">
        <v>557</v>
      </c>
      <c r="B194" s="3">
        <v>45966</v>
      </c>
      <c r="C194" t="s">
        <v>305</v>
      </c>
      <c r="D194" t="s">
        <v>136</v>
      </c>
      <c r="E194" t="s">
        <v>306</v>
      </c>
      <c r="F194" t="s">
        <v>103</v>
      </c>
      <c r="G194" t="s">
        <v>104</v>
      </c>
      <c r="H194" t="s">
        <v>97</v>
      </c>
      <c r="I194">
        <v>3</v>
      </c>
      <c r="J194" s="2">
        <v>163.24</v>
      </c>
      <c r="K194" s="4">
        <v>0.2</v>
      </c>
      <c r="L194" t="s">
        <v>106</v>
      </c>
      <c r="M194">
        <v>1</v>
      </c>
      <c r="N194" t="s">
        <v>91</v>
      </c>
      <c r="O194" t="str">
        <f>SUBSTITUTE(PROPER(TRIM(RawSalesTable6[[#This Row],[Channel_Raw]])),"Market Place","Marketplace")</f>
        <v>Retail Store</v>
      </c>
      <c r="P194" t="str">
        <f>TRIM(RawSalesTable6[[#This Row],[Product_ID]])</f>
        <v>P1003</v>
      </c>
      <c r="Q194" t="str">
        <f>TRIM(RawSalesTable6[[#This Row],[Customer_ID]])</f>
        <v>C0055</v>
      </c>
      <c r="R194" s="8" t="str">
        <f>PROPER(TRIM(RawSalesTable6[[#This Row],[Store_Raw]]))</f>
        <v>Vancouver West</v>
      </c>
      <c r="S194" s="8" t="str">
        <f>IF(TRIM(RawSalesTable6[[#This Row],[Payment_Method_Raw]])="","Non renseigné",SUBSTITUTE(PROPER(TRIM(RawSalesTable6[[#This Row],[Payment_Method_Raw]])),"Cc","Credit Card"))</f>
        <v>Credit Card</v>
      </c>
      <c r="T194" s="8">
        <f>COUNTIF(A:A,RawSalesTable6[[#This Row],[Order_ID]])</f>
        <v>1</v>
      </c>
      <c r="U194" s="8" t="str">
        <f>TRIM(LEFT(RawSalesTable6[[#This Row],[Customer_Info]],FIND(",",RawSalesTable6[[#This Row],[Customer_Info]])-1))</f>
        <v>Sarah Scott</v>
      </c>
      <c r="V194" s="8" t="str">
        <f>TRIM(MID(RawSalesTable6[[#This Row],[Customer_Info]],FIND(",",RawSalesTable6[[#This Row],[Customer_Info]])+1,FIND(",",RawSalesTable6[[#This Row],[Customer_Info]],FIND(",",RawSalesTable6[[#This Row],[Customer_Info]])+1)-FIND(",",RawSalesTable6[[#This Row],[Customer_Info]])-1))</f>
        <v>Surrey</v>
      </c>
      <c r="W194" s="8" t="str">
        <f>TRIM(RIGHT(RawSalesTable6[[#This Row],[Customer_Info]],LEN(RawSalesTable6[[#This Row],[Customer_Info]])-FIND(",",RawSalesTable6[[#This Row],[Customer_Info]],FIND(",",RawSalesTable6[[#This Row],[Customer_Info]])+1)))</f>
        <v>Consumer</v>
      </c>
      <c r="X194" s="8" t="str">
        <f>VLOOKUP(RawSalesTable6[[#This Row],[Product_ID_Clean]],ProductsTable[],2,FALSE)</f>
        <v>Mouse</v>
      </c>
      <c r="Y194" s="8" t="str">
        <f>VLOOKUP(RawSalesTable6[[#This Row],[Product_ID_Clean]],ProductsTable[],3,FALSE)</f>
        <v>Electronics</v>
      </c>
      <c r="Z194" s="8">
        <f>VLOOKUP(RawSalesTable6[[#This Row],[Product_ID_Clean]],ProductsTable[],5,FALSE)</f>
        <v>106.4</v>
      </c>
      <c r="AA194" s="8">
        <f>RawSalesTable6[[#This Row],[Unit_Price]]*RawSalesTable6[[#This Row],[Quantity]]</f>
        <v>489.72</v>
      </c>
      <c r="AB194" s="8">
        <f>RawSalesTable6[[#This Row],[Gross_Sales]]*RawSalesTable6[[#This Row],[Discount_Pct]]</f>
        <v>97.944000000000017</v>
      </c>
      <c r="AC194" s="8">
        <f>RawSalesTable6[[#This Row],[Gross_Sales]]-RawSalesTable6[[#This Row],[Discount_Amount]]</f>
        <v>391.77600000000001</v>
      </c>
      <c r="AD194" s="8">
        <f>RawSalesTable6[[#This Row],[Unit_Cost]]*RawSalesTable6[[#This Row],[Quantity]]</f>
        <v>319.20000000000005</v>
      </c>
      <c r="AE194" s="8">
        <f>RawSalesTable6[[#This Row],[Net_Sales]]-RawSalesTable6[[#This Row],[Total_Cost]]</f>
        <v>72.575999999999965</v>
      </c>
      <c r="AF194" s="9">
        <f>RawSalesTable6[[#This Row],[Profit]]/RawSalesTable6[[#This Row],[Net_Sales]]</f>
        <v>0.18524871355060024</v>
      </c>
      <c r="AG194" s="8">
        <f>YEAR(RawSalesTable6[[#This Row],[Order_Date]])</f>
        <v>2025</v>
      </c>
      <c r="AH194" s="8">
        <f>MONTH(RawSalesTable6[[#This Row],[Order_Date]])</f>
        <v>11</v>
      </c>
      <c r="AI194" s="8" t="str">
        <f>TEXT(RawSalesTable6[[#This Row],[Order_Date]],"mmmm")</f>
        <v>novembre</v>
      </c>
      <c r="AJ194" s="8" t="str">
        <f>IF(RawSalesTable6[[#This Row],[Month_Number]]&lt;=3,"Q1",IF(RawSalesTable6[[#This Row],[Month_Number]]&lt;=6,"Q2",IF(RawSalesTable6[[#This Row],[Month_Number]]&lt;=9,"Q3","Q4")))</f>
        <v>Q4</v>
      </c>
      <c r="AK194" s="8" t="str">
        <f>VLOOKUP(RawSalesTable6[[#This Row],[Customer_ID_Clean]],CustomersTable[],4,FALSE)</f>
        <v>British Columbia</v>
      </c>
      <c r="AL194" s="8">
        <f>IF(RawSalesTable6[[#This Row],[Return_Status]]="Yes",1,0)</f>
        <v>0</v>
      </c>
    </row>
    <row r="195" spans="1:38">
      <c r="A195" t="s">
        <v>558</v>
      </c>
      <c r="B195" s="3">
        <v>45962</v>
      </c>
      <c r="C195" t="s">
        <v>330</v>
      </c>
      <c r="D195" t="s">
        <v>190</v>
      </c>
      <c r="E195" t="s">
        <v>424</v>
      </c>
      <c r="F195" t="s">
        <v>87</v>
      </c>
      <c r="G195" t="s">
        <v>96</v>
      </c>
      <c r="H195" t="s">
        <v>89</v>
      </c>
      <c r="I195">
        <v>2</v>
      </c>
      <c r="J195" s="2">
        <v>286.33</v>
      </c>
      <c r="K195" s="4">
        <v>0</v>
      </c>
      <c r="L195" t="s">
        <v>106</v>
      </c>
      <c r="M195">
        <v>9</v>
      </c>
      <c r="N195" t="s">
        <v>91</v>
      </c>
      <c r="O195" t="str">
        <f>SUBSTITUTE(PROPER(TRIM(RawSalesTable6[[#This Row],[Channel_Raw]])),"Market Place","Marketplace")</f>
        <v>Online</v>
      </c>
      <c r="P195" t="str">
        <f>TRIM(RawSalesTable6[[#This Row],[Product_ID]])</f>
        <v>P1004</v>
      </c>
      <c r="Q195" t="str">
        <f>TRIM(RawSalesTable6[[#This Row],[Customer_ID]])</f>
        <v>C0108</v>
      </c>
      <c r="R195" s="8" t="str">
        <f>PROPER(TRIM(RawSalesTable6[[#This Row],[Store_Raw]]))</f>
        <v>Online Fulfillment</v>
      </c>
      <c r="S195" s="8" t="str">
        <f>IF(TRIM(RawSalesTable6[[#This Row],[Payment_Method_Raw]])="","Non renseigné",SUBSTITUTE(PROPER(TRIM(RawSalesTable6[[#This Row],[Payment_Method_Raw]])),"Cc","Credit Card"))</f>
        <v>Credit Card</v>
      </c>
      <c r="T195" s="8">
        <f>COUNTIF(A:A,RawSalesTable6[[#This Row],[Order_ID]])</f>
        <v>1</v>
      </c>
      <c r="U195" s="8" t="str">
        <f>TRIM(LEFT(RawSalesTable6[[#This Row],[Customer_Info]],FIND(",",RawSalesTable6[[#This Row],[Customer_Info]])-1))</f>
        <v>Noah Lee</v>
      </c>
      <c r="V195" s="8" t="str">
        <f>TRIM(MID(RawSalesTable6[[#This Row],[Customer_Info]],FIND(",",RawSalesTable6[[#This Row],[Customer_Info]])+1,FIND(",",RawSalesTable6[[#This Row],[Customer_Info]],FIND(",",RawSalesTable6[[#This Row],[Customer_Info]])+1)-FIND(",",RawSalesTable6[[#This Row],[Customer_Info]])-1))</f>
        <v>Surrey</v>
      </c>
      <c r="W195" s="8" t="str">
        <f>TRIM(RIGHT(RawSalesTable6[[#This Row],[Customer_Info]],LEN(RawSalesTable6[[#This Row],[Customer_Info]])-FIND(",",RawSalesTable6[[#This Row],[Customer_Info]],FIND(",",RawSalesTable6[[#This Row],[Customer_Info]])+1)))</f>
        <v>Consumer</v>
      </c>
      <c r="X195" s="8" t="str">
        <f>VLOOKUP(RawSalesTable6[[#This Row],[Product_ID_Clean]],ProductsTable[],2,FALSE)</f>
        <v>Webcam</v>
      </c>
      <c r="Y195" s="8" t="str">
        <f>VLOOKUP(RawSalesTable6[[#This Row],[Product_ID_Clean]],ProductsTable[],3,FALSE)</f>
        <v>Electronics</v>
      </c>
      <c r="Z195" s="8">
        <f>VLOOKUP(RawSalesTable6[[#This Row],[Product_ID_Clean]],ProductsTable[],5,FALSE)</f>
        <v>154.72999999999999</v>
      </c>
      <c r="AA195" s="8">
        <f>RawSalesTable6[[#This Row],[Unit_Price]]*RawSalesTable6[[#This Row],[Quantity]]</f>
        <v>572.66</v>
      </c>
      <c r="AB195" s="8">
        <f>RawSalesTable6[[#This Row],[Gross_Sales]]*RawSalesTable6[[#This Row],[Discount_Pct]]</f>
        <v>0</v>
      </c>
      <c r="AC195" s="8">
        <f>RawSalesTable6[[#This Row],[Gross_Sales]]-RawSalesTable6[[#This Row],[Discount_Amount]]</f>
        <v>572.66</v>
      </c>
      <c r="AD195" s="8">
        <f>RawSalesTable6[[#This Row],[Unit_Cost]]*RawSalesTable6[[#This Row],[Quantity]]</f>
        <v>309.45999999999998</v>
      </c>
      <c r="AE195" s="8">
        <f>RawSalesTable6[[#This Row],[Net_Sales]]-RawSalesTable6[[#This Row],[Total_Cost]]</f>
        <v>263.2</v>
      </c>
      <c r="AF195" s="9">
        <f>RawSalesTable6[[#This Row],[Profit]]/RawSalesTable6[[#This Row],[Net_Sales]]</f>
        <v>0.45960954143820071</v>
      </c>
      <c r="AG195" s="8">
        <f>YEAR(RawSalesTable6[[#This Row],[Order_Date]])</f>
        <v>2025</v>
      </c>
      <c r="AH195" s="8">
        <f>MONTH(RawSalesTable6[[#This Row],[Order_Date]])</f>
        <v>11</v>
      </c>
      <c r="AI195" s="8" t="str">
        <f>TEXT(RawSalesTable6[[#This Row],[Order_Date]],"mmmm")</f>
        <v>novembre</v>
      </c>
      <c r="AJ195" s="8" t="str">
        <f>IF(RawSalesTable6[[#This Row],[Month_Number]]&lt;=3,"Q1",IF(RawSalesTable6[[#This Row],[Month_Number]]&lt;=6,"Q2",IF(RawSalesTable6[[#This Row],[Month_Number]]&lt;=9,"Q3","Q4")))</f>
        <v>Q4</v>
      </c>
      <c r="AK195" s="8" t="str">
        <f>VLOOKUP(RawSalesTable6[[#This Row],[Customer_ID_Clean]],CustomersTable[],4,FALSE)</f>
        <v>British Columbia</v>
      </c>
      <c r="AL195" s="8">
        <f>IF(RawSalesTable6[[#This Row],[Return_Status]]="Yes",1,0)</f>
        <v>0</v>
      </c>
    </row>
    <row r="196" spans="1:38">
      <c r="A196" t="s">
        <v>559</v>
      </c>
      <c r="B196" s="3">
        <v>45940</v>
      </c>
      <c r="C196" t="s">
        <v>239</v>
      </c>
      <c r="D196" t="s">
        <v>323</v>
      </c>
      <c r="E196" t="s">
        <v>560</v>
      </c>
      <c r="F196" t="s">
        <v>116</v>
      </c>
      <c r="G196" t="s">
        <v>88</v>
      </c>
      <c r="H196" t="s">
        <v>105</v>
      </c>
      <c r="I196">
        <v>2</v>
      </c>
      <c r="J196" s="2">
        <v>332.58</v>
      </c>
      <c r="K196" s="4">
        <v>0</v>
      </c>
      <c r="L196" t="s">
        <v>90</v>
      </c>
      <c r="M196">
        <v>2</v>
      </c>
      <c r="N196" t="s">
        <v>91</v>
      </c>
      <c r="O196" t="str">
        <f>SUBSTITUTE(PROPER(TRIM(RawSalesTable6[[#This Row],[Channel_Raw]])),"Market Place","Marketplace")</f>
        <v>Marketplace</v>
      </c>
      <c r="P196" t="str">
        <f>TRIM(RawSalesTable6[[#This Row],[Product_ID]])</f>
        <v>P1023</v>
      </c>
      <c r="Q196" t="str">
        <f>TRIM(RawSalesTable6[[#This Row],[Customer_ID]])</f>
        <v>C0089</v>
      </c>
      <c r="R196" s="8" t="str">
        <f>PROPER(TRIM(RawSalesTable6[[#This Row],[Store_Raw]]))</f>
        <v>Toronto Downtown</v>
      </c>
      <c r="S196" s="8" t="str">
        <f>IF(TRIM(RawSalesTable6[[#This Row],[Payment_Method_Raw]])="","Non renseigné",SUBSTITUTE(PROPER(TRIM(RawSalesTable6[[#This Row],[Payment_Method_Raw]])),"Cc","Credit Card"))</f>
        <v>Paypal</v>
      </c>
      <c r="T196" s="8">
        <f>COUNTIF(A:A,RawSalesTable6[[#This Row],[Order_ID]])</f>
        <v>1</v>
      </c>
      <c r="U196" s="8" t="str">
        <f>TRIM(LEFT(RawSalesTable6[[#This Row],[Customer_Info]],FIND(",",RawSalesTable6[[#This Row],[Customer_Info]])-1))</f>
        <v>Lucas Martin</v>
      </c>
      <c r="V196" s="8" t="str">
        <f>TRIM(MID(RawSalesTable6[[#This Row],[Customer_Info]],FIND(",",RawSalesTable6[[#This Row],[Customer_Info]])+1,FIND(",",RawSalesTable6[[#This Row],[Customer_Info]],FIND(",",RawSalesTable6[[#This Row],[Customer_Info]])+1)-FIND(",",RawSalesTable6[[#This Row],[Customer_Info]])-1))</f>
        <v>Vancouver</v>
      </c>
      <c r="W196" s="8" t="str">
        <f>TRIM(RIGHT(RawSalesTable6[[#This Row],[Customer_Info]],LEN(RawSalesTable6[[#This Row],[Customer_Info]])-FIND(",",RawSalesTable6[[#This Row],[Customer_Info]],FIND(",",RawSalesTable6[[#This Row],[Customer_Info]])+1)))</f>
        <v>Consumer</v>
      </c>
      <c r="X196" s="8" t="str">
        <f>VLOOKUP(RawSalesTable6[[#This Row],[Product_ID_Clean]],ProductsTable[],2,FALSE)</f>
        <v>Toaster</v>
      </c>
      <c r="Y196" s="8" t="str">
        <f>VLOOKUP(RawSalesTable6[[#This Row],[Product_ID_Clean]],ProductsTable[],3,FALSE)</f>
        <v>Home</v>
      </c>
      <c r="Z196" s="8">
        <f>VLOOKUP(RawSalesTable6[[#This Row],[Product_ID_Clean]],ProductsTable[],5,FALSE)</f>
        <v>152.88</v>
      </c>
      <c r="AA196" s="8">
        <f>RawSalesTable6[[#This Row],[Unit_Price]]*RawSalesTable6[[#This Row],[Quantity]]</f>
        <v>665.16</v>
      </c>
      <c r="AB196" s="8">
        <f>RawSalesTable6[[#This Row],[Gross_Sales]]*RawSalesTable6[[#This Row],[Discount_Pct]]</f>
        <v>0</v>
      </c>
      <c r="AC196" s="8">
        <f>RawSalesTable6[[#This Row],[Gross_Sales]]-RawSalesTable6[[#This Row],[Discount_Amount]]</f>
        <v>665.16</v>
      </c>
      <c r="AD196" s="8">
        <f>RawSalesTable6[[#This Row],[Unit_Cost]]*RawSalesTable6[[#This Row],[Quantity]]</f>
        <v>305.76</v>
      </c>
      <c r="AE196" s="8">
        <f>RawSalesTable6[[#This Row],[Net_Sales]]-RawSalesTable6[[#This Row],[Total_Cost]]</f>
        <v>359.4</v>
      </c>
      <c r="AF196" s="9">
        <f>RawSalesTable6[[#This Row],[Profit]]/RawSalesTable6[[#This Row],[Net_Sales]]</f>
        <v>0.5403211257441819</v>
      </c>
      <c r="AG196" s="8">
        <f>YEAR(RawSalesTable6[[#This Row],[Order_Date]])</f>
        <v>2025</v>
      </c>
      <c r="AH196" s="8">
        <f>MONTH(RawSalesTable6[[#This Row],[Order_Date]])</f>
        <v>10</v>
      </c>
      <c r="AI196" s="8" t="str">
        <f>TEXT(RawSalesTable6[[#This Row],[Order_Date]],"mmmm")</f>
        <v>octobre</v>
      </c>
      <c r="AJ196" s="8" t="str">
        <f>IF(RawSalesTable6[[#This Row],[Month_Number]]&lt;=3,"Q1",IF(RawSalesTable6[[#This Row],[Month_Number]]&lt;=6,"Q2",IF(RawSalesTable6[[#This Row],[Month_Number]]&lt;=9,"Q3","Q4")))</f>
        <v>Q4</v>
      </c>
      <c r="AK196" s="8" t="str">
        <f>VLOOKUP(RawSalesTable6[[#This Row],[Customer_ID_Clean]],CustomersTable[],4,FALSE)</f>
        <v>British Columbia</v>
      </c>
      <c r="AL196" s="8">
        <f>IF(RawSalesTable6[[#This Row],[Return_Status]]="Yes",1,0)</f>
        <v>0</v>
      </c>
    </row>
    <row r="197" spans="1:38">
      <c r="A197" t="s">
        <v>561</v>
      </c>
      <c r="B197" s="3">
        <v>45809</v>
      </c>
      <c r="C197" t="s">
        <v>260</v>
      </c>
      <c r="D197" t="s">
        <v>469</v>
      </c>
      <c r="E197" t="s">
        <v>562</v>
      </c>
      <c r="F197" t="s">
        <v>116</v>
      </c>
      <c r="G197" t="s">
        <v>183</v>
      </c>
      <c r="H197" t="s">
        <v>97</v>
      </c>
      <c r="I197">
        <v>5</v>
      </c>
      <c r="J197" s="2">
        <v>88.5</v>
      </c>
      <c r="K197" s="4">
        <v>0</v>
      </c>
      <c r="L197" t="s">
        <v>98</v>
      </c>
      <c r="M197">
        <v>4</v>
      </c>
      <c r="N197" t="s">
        <v>91</v>
      </c>
      <c r="O197" t="str">
        <f>SUBSTITUTE(PROPER(TRIM(RawSalesTable6[[#This Row],[Channel_Raw]])),"Market Place","Marketplace")</f>
        <v>Retail Store</v>
      </c>
      <c r="P197" t="str">
        <f>TRIM(RawSalesTable6[[#This Row],[Product_ID]])</f>
        <v>P1035</v>
      </c>
      <c r="Q197" t="str">
        <f>TRIM(RawSalesTable6[[#This Row],[Customer_ID]])</f>
        <v>C0076</v>
      </c>
      <c r="R197" s="8" t="str">
        <f>PROPER(TRIM(RawSalesTable6[[#This Row],[Store_Raw]]))</f>
        <v>Toronto Downtown</v>
      </c>
      <c r="S197" s="8" t="str">
        <f>IF(TRIM(RawSalesTable6[[#This Row],[Payment_Method_Raw]])="","Non renseigné",SUBSTITUTE(PROPER(TRIM(RawSalesTable6[[#This Row],[Payment_Method_Raw]])),"Cc","Credit Card"))</f>
        <v>Debit Card</v>
      </c>
      <c r="T197" s="8">
        <f>COUNTIF(A:A,RawSalesTable6[[#This Row],[Order_ID]])</f>
        <v>1</v>
      </c>
      <c r="U197" s="8" t="str">
        <f>TRIM(LEFT(RawSalesTable6[[#This Row],[Customer_Info]],FIND(",",RawSalesTable6[[#This Row],[Customer_Info]])-1))</f>
        <v>Maya Taylor</v>
      </c>
      <c r="V197" s="8" t="str">
        <f>TRIM(MID(RawSalesTable6[[#This Row],[Customer_Info]],FIND(",",RawSalesTable6[[#This Row],[Customer_Info]])+1,FIND(",",RawSalesTable6[[#This Row],[Customer_Info]],FIND(",",RawSalesTable6[[#This Row],[Customer_Info]])+1)-FIND(",",RawSalesTable6[[#This Row],[Customer_Info]])-1))</f>
        <v>Saskatoon</v>
      </c>
      <c r="W197" s="8" t="str">
        <f>TRIM(RIGHT(RawSalesTable6[[#This Row],[Customer_Info]],LEN(RawSalesTable6[[#This Row],[Customer_Info]])-FIND(",",RawSalesTable6[[#This Row],[Customer_Info]],FIND(",",RawSalesTable6[[#This Row],[Customer_Info]])+1)))</f>
        <v>Corporate</v>
      </c>
      <c r="X197" s="8" t="str">
        <f>VLOOKUP(RawSalesTable6[[#This Row],[Product_ID_Clean]],ProductsTable[],2,FALSE)</f>
        <v>Phone Stand</v>
      </c>
      <c r="Y197" s="8" t="str">
        <f>VLOOKUP(RawSalesTable6[[#This Row],[Product_ID_Clean]],ProductsTable[],3,FALSE)</f>
        <v>Accessories</v>
      </c>
      <c r="Z197" s="8">
        <f>VLOOKUP(RawSalesTable6[[#This Row],[Product_ID_Clean]],ProductsTable[],5,FALSE)</f>
        <v>59.85</v>
      </c>
      <c r="AA197" s="8">
        <f>RawSalesTable6[[#This Row],[Unit_Price]]*RawSalesTable6[[#This Row],[Quantity]]</f>
        <v>442.5</v>
      </c>
      <c r="AB197" s="8">
        <f>RawSalesTable6[[#This Row],[Gross_Sales]]*RawSalesTable6[[#This Row],[Discount_Pct]]</f>
        <v>0</v>
      </c>
      <c r="AC197" s="8">
        <f>RawSalesTable6[[#This Row],[Gross_Sales]]-RawSalesTable6[[#This Row],[Discount_Amount]]</f>
        <v>442.5</v>
      </c>
      <c r="AD197" s="8">
        <f>RawSalesTable6[[#This Row],[Unit_Cost]]*RawSalesTable6[[#This Row],[Quantity]]</f>
        <v>299.25</v>
      </c>
      <c r="AE197" s="8">
        <f>RawSalesTable6[[#This Row],[Net_Sales]]-RawSalesTable6[[#This Row],[Total_Cost]]</f>
        <v>143.25</v>
      </c>
      <c r="AF197" s="9">
        <f>RawSalesTable6[[#This Row],[Profit]]/RawSalesTable6[[#This Row],[Net_Sales]]</f>
        <v>0.32372881355932204</v>
      </c>
      <c r="AG197" s="8">
        <f>YEAR(RawSalesTable6[[#This Row],[Order_Date]])</f>
        <v>2025</v>
      </c>
      <c r="AH197" s="8">
        <f>MONTH(RawSalesTable6[[#This Row],[Order_Date]])</f>
        <v>6</v>
      </c>
      <c r="AI197" s="8" t="str">
        <f>TEXT(RawSalesTable6[[#This Row],[Order_Date]],"mmmm")</f>
        <v>juin</v>
      </c>
      <c r="AJ197" s="8" t="str">
        <f>IF(RawSalesTable6[[#This Row],[Month_Number]]&lt;=3,"Q1",IF(RawSalesTable6[[#This Row],[Month_Number]]&lt;=6,"Q2",IF(RawSalesTable6[[#This Row],[Month_Number]]&lt;=9,"Q3","Q4")))</f>
        <v>Q2</v>
      </c>
      <c r="AK197" s="8" t="str">
        <f>VLOOKUP(RawSalesTable6[[#This Row],[Customer_ID_Clean]],CustomersTable[],4,FALSE)</f>
        <v>Saskatchewan</v>
      </c>
      <c r="AL197" s="8">
        <f>IF(RawSalesTable6[[#This Row],[Return_Status]]="Yes",1,0)</f>
        <v>0</v>
      </c>
    </row>
    <row r="198" spans="1:38">
      <c r="A198" t="s">
        <v>563</v>
      </c>
      <c r="B198" s="3">
        <v>45728</v>
      </c>
      <c r="C198" t="s">
        <v>564</v>
      </c>
      <c r="D198" t="s">
        <v>221</v>
      </c>
      <c r="E198" t="s">
        <v>565</v>
      </c>
      <c r="F198" t="s">
        <v>111</v>
      </c>
      <c r="G198" t="s">
        <v>96</v>
      </c>
      <c r="H198" t="s">
        <v>308</v>
      </c>
      <c r="I198">
        <v>1</v>
      </c>
      <c r="J198" s="2">
        <v>29.43</v>
      </c>
      <c r="K198" s="4">
        <v>0</v>
      </c>
      <c r="L198" t="s">
        <v>90</v>
      </c>
      <c r="M198">
        <v>6</v>
      </c>
      <c r="N198" t="s">
        <v>91</v>
      </c>
      <c r="O198" t="str">
        <f>SUBSTITUTE(PROPER(TRIM(RawSalesTable6[[#This Row],[Channel_Raw]])),"Market Place","Marketplace")</f>
        <v>Online</v>
      </c>
      <c r="P198" t="str">
        <f>TRIM(RawSalesTable6[[#This Row],[Product_ID]])</f>
        <v>P1018</v>
      </c>
      <c r="Q198" t="str">
        <f>TRIM(RawSalesTable6[[#This Row],[Customer_ID]])</f>
        <v>C0095</v>
      </c>
      <c r="R198" s="8" t="str">
        <f>PROPER(TRIM(RawSalesTable6[[#This Row],[Store_Raw]]))</f>
        <v>Montreal Central</v>
      </c>
      <c r="S198" s="8" t="str">
        <f>IF(TRIM(RawSalesTable6[[#This Row],[Payment_Method_Raw]])="","Non renseigné",SUBSTITUTE(PROPER(TRIM(RawSalesTable6[[#This Row],[Payment_Method_Raw]])),"Cc","Credit Card"))</f>
        <v>Paypal</v>
      </c>
      <c r="T198" s="8">
        <f>COUNTIF(A:A,RawSalesTable6[[#This Row],[Order_ID]])</f>
        <v>1</v>
      </c>
      <c r="U198" s="8" t="str">
        <f>TRIM(LEFT(RawSalesTable6[[#This Row],[Customer_Info]],FIND(",",RawSalesTable6[[#This Row],[Customer_Info]])-1))</f>
        <v>Maya White</v>
      </c>
      <c r="V198" s="8" t="str">
        <f>TRIM(MID(RawSalesTable6[[#This Row],[Customer_Info]],FIND(",",RawSalesTable6[[#This Row],[Customer_Info]])+1,FIND(",",RawSalesTable6[[#This Row],[Customer_Info]],FIND(",",RawSalesTable6[[#This Row],[Customer_Info]])+1)-FIND(",",RawSalesTable6[[#This Row],[Customer_Info]])-1))</f>
        <v>Quebec City</v>
      </c>
      <c r="W198" s="8" t="str">
        <f>TRIM(RIGHT(RawSalesTable6[[#This Row],[Customer_Info]],LEN(RawSalesTable6[[#This Row],[Customer_Info]])-FIND(",",RawSalesTable6[[#This Row],[Customer_Info]],FIND(",",RawSalesTable6[[#This Row],[Customer_Info]])+1)))</f>
        <v>Corporate</v>
      </c>
      <c r="X198" s="8" t="str">
        <f>VLOOKUP(RawSalesTable6[[#This Row],[Product_ID_Clean]],ProductsTable[],2,FALSE)</f>
        <v>Air Fryer</v>
      </c>
      <c r="Y198" s="8" t="str">
        <f>VLOOKUP(RawSalesTable6[[#This Row],[Product_ID_Clean]],ProductsTable[],3,FALSE)</f>
        <v>Home</v>
      </c>
      <c r="Z198" s="8">
        <f>VLOOKUP(RawSalesTable6[[#This Row],[Product_ID_Clean]],ProductsTable[],5,FALSE)</f>
        <v>14.58</v>
      </c>
      <c r="AA198" s="8">
        <f>RawSalesTable6[[#This Row],[Unit_Price]]*RawSalesTable6[[#This Row],[Quantity]]</f>
        <v>29.43</v>
      </c>
      <c r="AB198" s="8">
        <f>RawSalesTable6[[#This Row],[Gross_Sales]]*RawSalesTable6[[#This Row],[Discount_Pct]]</f>
        <v>0</v>
      </c>
      <c r="AC198" s="8">
        <f>RawSalesTable6[[#This Row],[Gross_Sales]]-RawSalesTable6[[#This Row],[Discount_Amount]]</f>
        <v>29.43</v>
      </c>
      <c r="AD198" s="8">
        <f>RawSalesTable6[[#This Row],[Unit_Cost]]*RawSalesTable6[[#This Row],[Quantity]]</f>
        <v>14.58</v>
      </c>
      <c r="AE198" s="8">
        <f>RawSalesTable6[[#This Row],[Net_Sales]]-RawSalesTable6[[#This Row],[Total_Cost]]</f>
        <v>14.85</v>
      </c>
      <c r="AF198" s="9">
        <f>RawSalesTable6[[#This Row],[Profit]]/RawSalesTable6[[#This Row],[Net_Sales]]</f>
        <v>0.50458715596330272</v>
      </c>
      <c r="AG198" s="8">
        <f>YEAR(RawSalesTable6[[#This Row],[Order_Date]])</f>
        <v>2025</v>
      </c>
      <c r="AH198" s="8">
        <f>MONTH(RawSalesTable6[[#This Row],[Order_Date]])</f>
        <v>3</v>
      </c>
      <c r="AI198" s="8" t="str">
        <f>TEXT(RawSalesTable6[[#This Row],[Order_Date]],"mmmm")</f>
        <v>mars</v>
      </c>
      <c r="AJ198" s="8" t="str">
        <f>IF(RawSalesTable6[[#This Row],[Month_Number]]&lt;=3,"Q1",IF(RawSalesTable6[[#This Row],[Month_Number]]&lt;=6,"Q2",IF(RawSalesTable6[[#This Row],[Month_Number]]&lt;=9,"Q3","Q4")))</f>
        <v>Q1</v>
      </c>
      <c r="AK198" s="8" t="str">
        <f>VLOOKUP(RawSalesTable6[[#This Row],[Customer_ID_Clean]],CustomersTable[],4,FALSE)</f>
        <v>Quebec</v>
      </c>
      <c r="AL198" s="8">
        <f>IF(RawSalesTable6[[#This Row],[Return_Status]]="Yes",1,0)</f>
        <v>0</v>
      </c>
    </row>
    <row r="199" spans="1:38">
      <c r="A199" t="s">
        <v>566</v>
      </c>
      <c r="B199" s="3">
        <v>45992</v>
      </c>
      <c r="C199" t="s">
        <v>551</v>
      </c>
      <c r="D199" t="s">
        <v>174</v>
      </c>
      <c r="E199" t="s">
        <v>552</v>
      </c>
      <c r="F199" t="s">
        <v>116</v>
      </c>
      <c r="G199" t="s">
        <v>122</v>
      </c>
      <c r="H199" t="s">
        <v>97</v>
      </c>
      <c r="I199">
        <v>2</v>
      </c>
      <c r="J199" s="2">
        <v>36.86</v>
      </c>
      <c r="K199" s="4">
        <v>0.05</v>
      </c>
      <c r="L199" t="s">
        <v>106</v>
      </c>
      <c r="M199">
        <v>4</v>
      </c>
      <c r="N199" t="s">
        <v>91</v>
      </c>
      <c r="O199" t="str">
        <f>SUBSTITUTE(PROPER(TRIM(RawSalesTable6[[#This Row],[Channel_Raw]])),"Market Place","Marketplace")</f>
        <v>Retail Store</v>
      </c>
      <c r="P199" t="str">
        <f>TRIM(RawSalesTable6[[#This Row],[Product_ID]])</f>
        <v>P1002</v>
      </c>
      <c r="Q199" t="str">
        <f>TRIM(RawSalesTable6[[#This Row],[Customer_ID]])</f>
        <v>C0094</v>
      </c>
      <c r="R199" s="8" t="str">
        <f>PROPER(TRIM(RawSalesTable6[[#This Row],[Store_Raw]]))</f>
        <v>Toronto Downtown</v>
      </c>
      <c r="S199" s="8" t="str">
        <f>IF(TRIM(RawSalesTable6[[#This Row],[Payment_Method_Raw]])="","Non renseigné",SUBSTITUTE(PROPER(TRIM(RawSalesTable6[[#This Row],[Payment_Method_Raw]])),"Cc","Credit Card"))</f>
        <v>Credit Card</v>
      </c>
      <c r="T199" s="8">
        <f>COUNTIF(A:A,RawSalesTable6[[#This Row],[Order_ID]])</f>
        <v>1</v>
      </c>
      <c r="U199" s="8" t="str">
        <f>TRIM(LEFT(RawSalesTable6[[#This Row],[Customer_Info]],FIND(",",RawSalesTable6[[#This Row],[Customer_Info]])-1))</f>
        <v>Mia Singh</v>
      </c>
      <c r="V199" s="8" t="str">
        <f>TRIM(MID(RawSalesTable6[[#This Row],[Customer_Info]],FIND(",",RawSalesTable6[[#This Row],[Customer_Info]])+1,FIND(",",RawSalesTable6[[#This Row],[Customer_Info]],FIND(",",RawSalesTable6[[#This Row],[Customer_Info]])+1)-FIND(",",RawSalesTable6[[#This Row],[Customer_Info]])-1))</f>
        <v>Quebec City</v>
      </c>
      <c r="W199" s="8" t="str">
        <f>TRIM(RIGHT(RawSalesTable6[[#This Row],[Customer_Info]],LEN(RawSalesTable6[[#This Row],[Customer_Info]])-FIND(",",RawSalesTable6[[#This Row],[Customer_Info]],FIND(",",RawSalesTable6[[#This Row],[Customer_Info]])+1)))</f>
        <v>Consumer</v>
      </c>
      <c r="X199" s="8" t="str">
        <f>VLOOKUP(RawSalesTable6[[#This Row],[Product_ID_Clean]],ProductsTable[],2,FALSE)</f>
        <v>Keyboard</v>
      </c>
      <c r="Y199" s="8" t="str">
        <f>VLOOKUP(RawSalesTable6[[#This Row],[Product_ID_Clean]],ProductsTable[],3,FALSE)</f>
        <v>Electronics</v>
      </c>
      <c r="Z199" s="8">
        <f>VLOOKUP(RawSalesTable6[[#This Row],[Product_ID_Clean]],ProductsTable[],5,FALSE)</f>
        <v>23.5</v>
      </c>
      <c r="AA199" s="8">
        <f>RawSalesTable6[[#This Row],[Unit_Price]]*RawSalesTable6[[#This Row],[Quantity]]</f>
        <v>73.72</v>
      </c>
      <c r="AB199" s="8">
        <f>RawSalesTable6[[#This Row],[Gross_Sales]]*RawSalesTable6[[#This Row],[Discount_Pct]]</f>
        <v>3.6859999999999999</v>
      </c>
      <c r="AC199" s="8">
        <f>RawSalesTable6[[#This Row],[Gross_Sales]]-RawSalesTable6[[#This Row],[Discount_Amount]]</f>
        <v>70.033999999999992</v>
      </c>
      <c r="AD199" s="8">
        <f>RawSalesTable6[[#This Row],[Unit_Cost]]*RawSalesTable6[[#This Row],[Quantity]]</f>
        <v>47</v>
      </c>
      <c r="AE199" s="8">
        <f>RawSalesTable6[[#This Row],[Net_Sales]]-RawSalesTable6[[#This Row],[Total_Cost]]</f>
        <v>23.033999999999992</v>
      </c>
      <c r="AF199" s="9">
        <f>RawSalesTable6[[#This Row],[Profit]]/RawSalesTable6[[#This Row],[Net_Sales]]</f>
        <v>0.32889739269497664</v>
      </c>
      <c r="AG199" s="8">
        <f>YEAR(RawSalesTable6[[#This Row],[Order_Date]])</f>
        <v>2025</v>
      </c>
      <c r="AH199" s="8">
        <f>MONTH(RawSalesTable6[[#This Row],[Order_Date]])</f>
        <v>12</v>
      </c>
      <c r="AI199" s="8" t="str">
        <f>TEXT(RawSalesTable6[[#This Row],[Order_Date]],"mmmm")</f>
        <v>décembre</v>
      </c>
      <c r="AJ199" s="8" t="str">
        <f>IF(RawSalesTable6[[#This Row],[Month_Number]]&lt;=3,"Q1",IF(RawSalesTable6[[#This Row],[Month_Number]]&lt;=6,"Q2",IF(RawSalesTable6[[#This Row],[Month_Number]]&lt;=9,"Q3","Q4")))</f>
        <v>Q4</v>
      </c>
      <c r="AK199" s="8" t="str">
        <f>VLOOKUP(RawSalesTable6[[#This Row],[Customer_ID_Clean]],CustomersTable[],4,FALSE)</f>
        <v>Quebec</v>
      </c>
      <c r="AL199" s="8">
        <f>IF(RawSalesTable6[[#This Row],[Return_Status]]="Yes",1,0)</f>
        <v>0</v>
      </c>
    </row>
    <row r="200" spans="1:38">
      <c r="A200" t="s">
        <v>567</v>
      </c>
      <c r="B200" s="3">
        <v>45790</v>
      </c>
      <c r="C200" t="s">
        <v>100</v>
      </c>
      <c r="D200" t="s">
        <v>303</v>
      </c>
      <c r="E200" t="s">
        <v>102</v>
      </c>
      <c r="F200" t="s">
        <v>87</v>
      </c>
      <c r="G200" t="s">
        <v>88</v>
      </c>
      <c r="H200" t="s">
        <v>89</v>
      </c>
      <c r="I200">
        <v>3</v>
      </c>
      <c r="J200" s="2">
        <v>163.46</v>
      </c>
      <c r="K200" s="4">
        <v>0.05</v>
      </c>
      <c r="L200" t="s">
        <v>90</v>
      </c>
      <c r="M200">
        <v>3</v>
      </c>
      <c r="N200" t="s">
        <v>91</v>
      </c>
      <c r="O200" t="str">
        <f>SUBSTITUTE(PROPER(TRIM(RawSalesTable6[[#This Row],[Channel_Raw]])),"Market Place","Marketplace")</f>
        <v>Online</v>
      </c>
      <c r="P200" t="str">
        <f>TRIM(RawSalesTable6[[#This Row],[Product_ID]])</f>
        <v>P1036</v>
      </c>
      <c r="Q200" t="str">
        <f>TRIM(RawSalesTable6[[#This Row],[Customer_ID]])</f>
        <v>C0003</v>
      </c>
      <c r="R200" s="8" t="str">
        <f>PROPER(TRIM(RawSalesTable6[[#This Row],[Store_Raw]]))</f>
        <v>Online Fulfillment</v>
      </c>
      <c r="S200" s="8" t="str">
        <f>IF(TRIM(RawSalesTable6[[#This Row],[Payment_Method_Raw]])="","Non renseigné",SUBSTITUTE(PROPER(TRIM(RawSalesTable6[[#This Row],[Payment_Method_Raw]])),"Cc","Credit Card"))</f>
        <v>Paypal</v>
      </c>
      <c r="T200" s="8">
        <f>COUNTIF(A:A,RawSalesTable6[[#This Row],[Order_ID]])</f>
        <v>1</v>
      </c>
      <c r="U200" s="8" t="str">
        <f>TRIM(LEFT(RawSalesTable6[[#This Row],[Customer_Info]],FIND(",",RawSalesTable6[[#This Row],[Customer_Info]])-1))</f>
        <v>Amelia Young</v>
      </c>
      <c r="V200" s="8" t="str">
        <f>TRIM(MID(RawSalesTable6[[#This Row],[Customer_Info]],FIND(",",RawSalesTable6[[#This Row],[Customer_Info]])+1,FIND(",",RawSalesTable6[[#This Row],[Customer_Info]],FIND(",",RawSalesTable6[[#This Row],[Customer_Info]])+1)-FIND(",",RawSalesTable6[[#This Row],[Customer_Info]])-1))</f>
        <v>Ottawa</v>
      </c>
      <c r="W200" s="8" t="str">
        <f>TRIM(RIGHT(RawSalesTable6[[#This Row],[Customer_Info]],LEN(RawSalesTable6[[#This Row],[Customer_Info]])-FIND(",",RawSalesTable6[[#This Row],[Customer_Info]],FIND(",",RawSalesTable6[[#This Row],[Customer_Info]])+1)))</f>
        <v>Corporate</v>
      </c>
      <c r="X200" s="8" t="str">
        <f>VLOOKUP(RawSalesTable6[[#This Row],[Product_ID_Clean]],ProductsTable[],2,FALSE)</f>
        <v>Power Bank</v>
      </c>
      <c r="Y200" s="8" t="str">
        <f>VLOOKUP(RawSalesTable6[[#This Row],[Product_ID_Clean]],ProductsTable[],3,FALSE)</f>
        <v>Accessories</v>
      </c>
      <c r="Z200" s="8">
        <f>VLOOKUP(RawSalesTable6[[#This Row],[Product_ID_Clean]],ProductsTable[],5,FALSE)</f>
        <v>76.97</v>
      </c>
      <c r="AA200" s="8">
        <f>RawSalesTable6[[#This Row],[Unit_Price]]*RawSalesTable6[[#This Row],[Quantity]]</f>
        <v>490.38</v>
      </c>
      <c r="AB200" s="8">
        <f>RawSalesTable6[[#This Row],[Gross_Sales]]*RawSalesTable6[[#This Row],[Discount_Pct]]</f>
        <v>24.519000000000002</v>
      </c>
      <c r="AC200" s="8">
        <f>RawSalesTable6[[#This Row],[Gross_Sales]]-RawSalesTable6[[#This Row],[Discount_Amount]]</f>
        <v>465.86099999999999</v>
      </c>
      <c r="AD200" s="8">
        <f>RawSalesTable6[[#This Row],[Unit_Cost]]*RawSalesTable6[[#This Row],[Quantity]]</f>
        <v>230.91</v>
      </c>
      <c r="AE200" s="8">
        <f>RawSalesTable6[[#This Row],[Net_Sales]]-RawSalesTable6[[#This Row],[Total_Cost]]</f>
        <v>234.95099999999999</v>
      </c>
      <c r="AF200" s="9">
        <f>RawSalesTable6[[#This Row],[Profit]]/RawSalesTable6[[#This Row],[Net_Sales]]</f>
        <v>0.50433713060333452</v>
      </c>
      <c r="AG200" s="8">
        <f>YEAR(RawSalesTable6[[#This Row],[Order_Date]])</f>
        <v>2025</v>
      </c>
      <c r="AH200" s="8">
        <f>MONTH(RawSalesTable6[[#This Row],[Order_Date]])</f>
        <v>5</v>
      </c>
      <c r="AI200" s="8" t="str">
        <f>TEXT(RawSalesTable6[[#This Row],[Order_Date]],"mmmm")</f>
        <v>mai</v>
      </c>
      <c r="AJ200" s="8" t="str">
        <f>IF(RawSalesTable6[[#This Row],[Month_Number]]&lt;=3,"Q1",IF(RawSalesTable6[[#This Row],[Month_Number]]&lt;=6,"Q2",IF(RawSalesTable6[[#This Row],[Month_Number]]&lt;=9,"Q3","Q4")))</f>
        <v>Q2</v>
      </c>
      <c r="AK200" s="8" t="str">
        <f>VLOOKUP(RawSalesTable6[[#This Row],[Customer_ID_Clean]],CustomersTable[],4,FALSE)</f>
        <v>Ontario</v>
      </c>
      <c r="AL200" s="8">
        <f>IF(RawSalesTable6[[#This Row],[Return_Status]]="Yes",1,0)</f>
        <v>0</v>
      </c>
    </row>
    <row r="201" spans="1:38">
      <c r="A201" t="s">
        <v>568</v>
      </c>
      <c r="B201" s="3">
        <v>45812</v>
      </c>
      <c r="C201" t="s">
        <v>569</v>
      </c>
      <c r="D201" t="s">
        <v>120</v>
      </c>
      <c r="E201" t="s">
        <v>570</v>
      </c>
      <c r="F201" t="s">
        <v>116</v>
      </c>
      <c r="G201" t="s">
        <v>88</v>
      </c>
      <c r="H201" t="s">
        <v>228</v>
      </c>
      <c r="I201">
        <v>2</v>
      </c>
      <c r="J201" s="2">
        <v>388.34</v>
      </c>
      <c r="K201" s="4">
        <v>0.05</v>
      </c>
      <c r="L201" t="s">
        <v>90</v>
      </c>
      <c r="M201">
        <v>5</v>
      </c>
      <c r="N201" t="s">
        <v>147</v>
      </c>
      <c r="O201" t="str">
        <f>SUBSTITUTE(PROPER(TRIM(RawSalesTable6[[#This Row],[Channel_Raw]])),"Market Place","Marketplace")</f>
        <v>Online</v>
      </c>
      <c r="P201" t="str">
        <f>TRIM(RawSalesTable6[[#This Row],[Product_ID]])</f>
        <v>P1015</v>
      </c>
      <c r="Q201" t="str">
        <f>TRIM(RawSalesTable6[[#This Row],[Customer_ID]])</f>
        <v>C0087</v>
      </c>
      <c r="R201" s="8" t="str">
        <f>PROPER(TRIM(RawSalesTable6[[#This Row],[Store_Raw]]))</f>
        <v>Toronto Downtown</v>
      </c>
      <c r="S201" s="8" t="str">
        <f>IF(TRIM(RawSalesTable6[[#This Row],[Payment_Method_Raw]])="","Non renseigné",SUBSTITUTE(PROPER(TRIM(RawSalesTable6[[#This Row],[Payment_Method_Raw]])),"Cc","Credit Card"))</f>
        <v>Paypal</v>
      </c>
      <c r="T201" s="8">
        <f>COUNTIF(A:A,RawSalesTable6[[#This Row],[Order_ID]])</f>
        <v>1</v>
      </c>
      <c r="U201" s="8" t="str">
        <f>TRIM(LEFT(RawSalesTable6[[#This Row],[Customer_Info]],FIND(",",RawSalesTable6[[#This Row],[Customer_Info]])-1))</f>
        <v>Daniel Johnson</v>
      </c>
      <c r="V201" s="8" t="str">
        <f>TRIM(MID(RawSalesTable6[[#This Row],[Customer_Info]],FIND(",",RawSalesTable6[[#This Row],[Customer_Info]])+1,FIND(",",RawSalesTable6[[#This Row],[Customer_Info]],FIND(",",RawSalesTable6[[#This Row],[Customer_Info]])+1)-FIND(",",RawSalesTable6[[#This Row],[Customer_Info]])-1))</f>
        <v>Halifax</v>
      </c>
      <c r="W201" s="8" t="str">
        <f>TRIM(RIGHT(RawSalesTable6[[#This Row],[Customer_Info]],LEN(RawSalesTable6[[#This Row],[Customer_Info]])-FIND(",",RawSalesTable6[[#This Row],[Customer_Info]],FIND(",",RawSalesTable6[[#This Row],[Customer_Info]])+1)))</f>
        <v>Consumer</v>
      </c>
      <c r="X201" s="8" t="str">
        <f>VLOOKUP(RawSalesTable6[[#This Row],[Product_ID_Clean]],ProductsTable[],2,FALSE)</f>
        <v>Desk Organizer</v>
      </c>
      <c r="Y201" s="8" t="str">
        <f>VLOOKUP(RawSalesTable6[[#This Row],[Product_ID_Clean]],ProductsTable[],3,FALSE)</f>
        <v>Office</v>
      </c>
      <c r="Z201" s="8">
        <f>VLOOKUP(RawSalesTable6[[#This Row],[Product_ID_Clean]],ProductsTable[],5,FALSE)</f>
        <v>235.76</v>
      </c>
      <c r="AA201" s="8">
        <f>RawSalesTable6[[#This Row],[Unit_Price]]*RawSalesTable6[[#This Row],[Quantity]]</f>
        <v>776.68</v>
      </c>
      <c r="AB201" s="8">
        <f>RawSalesTable6[[#This Row],[Gross_Sales]]*RawSalesTable6[[#This Row],[Discount_Pct]]</f>
        <v>38.834000000000003</v>
      </c>
      <c r="AC201" s="8">
        <f>RawSalesTable6[[#This Row],[Gross_Sales]]-RawSalesTable6[[#This Row],[Discount_Amount]]</f>
        <v>737.846</v>
      </c>
      <c r="AD201" s="8">
        <f>RawSalesTable6[[#This Row],[Unit_Cost]]*RawSalesTable6[[#This Row],[Quantity]]</f>
        <v>471.52</v>
      </c>
      <c r="AE201" s="8">
        <f>RawSalesTable6[[#This Row],[Net_Sales]]-RawSalesTable6[[#This Row],[Total_Cost]]</f>
        <v>266.32600000000002</v>
      </c>
      <c r="AF201" s="9">
        <f>RawSalesTable6[[#This Row],[Profit]]/RawSalesTable6[[#This Row],[Net_Sales]]</f>
        <v>0.36095065908062118</v>
      </c>
      <c r="AG201" s="8">
        <f>YEAR(RawSalesTable6[[#This Row],[Order_Date]])</f>
        <v>2025</v>
      </c>
      <c r="AH201" s="8">
        <f>MONTH(RawSalesTable6[[#This Row],[Order_Date]])</f>
        <v>6</v>
      </c>
      <c r="AI201" s="8" t="str">
        <f>TEXT(RawSalesTable6[[#This Row],[Order_Date]],"mmmm")</f>
        <v>juin</v>
      </c>
      <c r="AJ201" s="8" t="str">
        <f>IF(RawSalesTable6[[#This Row],[Month_Number]]&lt;=3,"Q1",IF(RawSalesTable6[[#This Row],[Month_Number]]&lt;=6,"Q2",IF(RawSalesTable6[[#This Row],[Month_Number]]&lt;=9,"Q3","Q4")))</f>
        <v>Q2</v>
      </c>
      <c r="AK201" s="8" t="str">
        <f>VLOOKUP(RawSalesTable6[[#This Row],[Customer_ID_Clean]],CustomersTable[],4,FALSE)</f>
        <v>Nova Scotia</v>
      </c>
      <c r="AL201" s="8">
        <f>IF(RawSalesTable6[[#This Row],[Return_Status]]="Yes",1,0)</f>
        <v>1</v>
      </c>
    </row>
    <row r="202" spans="1:38">
      <c r="A202" t="s">
        <v>571</v>
      </c>
      <c r="B202" s="3">
        <v>45691</v>
      </c>
      <c r="C202" t="s">
        <v>119</v>
      </c>
      <c r="D202" t="s">
        <v>165</v>
      </c>
      <c r="E202" t="s">
        <v>121</v>
      </c>
      <c r="F202" t="s">
        <v>103</v>
      </c>
      <c r="G202" t="s">
        <v>130</v>
      </c>
      <c r="H202" t="s">
        <v>89</v>
      </c>
      <c r="I202">
        <v>1</v>
      </c>
      <c r="J202" s="2">
        <v>105.22</v>
      </c>
      <c r="K202" s="4">
        <v>0.15</v>
      </c>
      <c r="L202" t="s">
        <v>106</v>
      </c>
      <c r="M202">
        <v>5</v>
      </c>
      <c r="N202" t="s">
        <v>91</v>
      </c>
      <c r="O202" t="str">
        <f>SUBSTITUTE(PROPER(TRIM(RawSalesTable6[[#This Row],[Channel_Raw]])),"Market Place","Marketplace")</f>
        <v>Online</v>
      </c>
      <c r="P202" t="str">
        <f>TRIM(RawSalesTable6[[#This Row],[Product_ID]])</f>
        <v>P1024</v>
      </c>
      <c r="Q202" t="str">
        <f>TRIM(RawSalesTable6[[#This Row],[Customer_ID]])</f>
        <v>C0057</v>
      </c>
      <c r="R202" s="8" t="str">
        <f>PROPER(TRIM(RawSalesTable6[[#This Row],[Store_Raw]]))</f>
        <v>Vancouver West</v>
      </c>
      <c r="S202" s="8" t="str">
        <f>IF(TRIM(RawSalesTable6[[#This Row],[Payment_Method_Raw]])="","Non renseigné",SUBSTITUTE(PROPER(TRIM(RawSalesTable6[[#This Row],[Payment_Method_Raw]])),"Cc","Credit Card"))</f>
        <v>Credit Card</v>
      </c>
      <c r="T202" s="8">
        <f>COUNTIF(A:A,RawSalesTable6[[#This Row],[Order_ID]])</f>
        <v>1</v>
      </c>
      <c r="U202" s="8" t="str">
        <f>TRIM(LEFT(RawSalesTable6[[#This Row],[Customer_Info]],FIND(",",RawSalesTable6[[#This Row],[Customer_Info]])-1))</f>
        <v>Adam Khan</v>
      </c>
      <c r="V202" s="8" t="str">
        <f>TRIM(MID(RawSalesTable6[[#This Row],[Customer_Info]],FIND(",",RawSalesTable6[[#This Row],[Customer_Info]])+1,FIND(",",RawSalesTable6[[#This Row],[Customer_Info]],FIND(",",RawSalesTable6[[#This Row],[Customer_Info]])+1)-FIND(",",RawSalesTable6[[#This Row],[Customer_Info]])-1))</f>
        <v>Edmonton</v>
      </c>
      <c r="W202" s="8" t="str">
        <f>TRIM(RIGHT(RawSalesTable6[[#This Row],[Customer_Info]],LEN(RawSalesTable6[[#This Row],[Customer_Info]])-FIND(",",RawSalesTable6[[#This Row],[Customer_Info]],FIND(",",RawSalesTable6[[#This Row],[Customer_Info]])+1)))</f>
        <v>Small Business</v>
      </c>
      <c r="X202" s="8" t="str">
        <f>VLOOKUP(RawSalesTable6[[#This Row],[Product_ID_Clean]],ProductsTable[],2,FALSE)</f>
        <v>Food Scale</v>
      </c>
      <c r="Y202" s="8" t="str">
        <f>VLOOKUP(RawSalesTable6[[#This Row],[Product_ID_Clean]],ProductsTable[],3,FALSE)</f>
        <v>Home</v>
      </c>
      <c r="Z202" s="8">
        <f>VLOOKUP(RawSalesTable6[[#This Row],[Product_ID_Clean]],ProductsTable[],5,FALSE)</f>
        <v>46.07</v>
      </c>
      <c r="AA202" s="8">
        <f>RawSalesTable6[[#This Row],[Unit_Price]]*RawSalesTable6[[#This Row],[Quantity]]</f>
        <v>105.22</v>
      </c>
      <c r="AB202" s="8">
        <f>RawSalesTable6[[#This Row],[Gross_Sales]]*RawSalesTable6[[#This Row],[Discount_Pct]]</f>
        <v>15.782999999999999</v>
      </c>
      <c r="AC202" s="8">
        <f>RawSalesTable6[[#This Row],[Gross_Sales]]-RawSalesTable6[[#This Row],[Discount_Amount]]</f>
        <v>89.436999999999998</v>
      </c>
      <c r="AD202" s="8">
        <f>RawSalesTable6[[#This Row],[Unit_Cost]]*RawSalesTable6[[#This Row],[Quantity]]</f>
        <v>46.07</v>
      </c>
      <c r="AE202" s="8">
        <f>RawSalesTable6[[#This Row],[Net_Sales]]-RawSalesTable6[[#This Row],[Total_Cost]]</f>
        <v>43.366999999999997</v>
      </c>
      <c r="AF202" s="9">
        <f>RawSalesTable6[[#This Row],[Profit]]/RawSalesTable6[[#This Row],[Net_Sales]]</f>
        <v>0.48488880440980803</v>
      </c>
      <c r="AG202" s="8">
        <f>YEAR(RawSalesTable6[[#This Row],[Order_Date]])</f>
        <v>2025</v>
      </c>
      <c r="AH202" s="8">
        <f>MONTH(RawSalesTable6[[#This Row],[Order_Date]])</f>
        <v>2</v>
      </c>
      <c r="AI202" s="8" t="str">
        <f>TEXT(RawSalesTable6[[#This Row],[Order_Date]],"mmmm")</f>
        <v>février</v>
      </c>
      <c r="AJ202" s="8" t="str">
        <f>IF(RawSalesTable6[[#This Row],[Month_Number]]&lt;=3,"Q1",IF(RawSalesTable6[[#This Row],[Month_Number]]&lt;=6,"Q2",IF(RawSalesTable6[[#This Row],[Month_Number]]&lt;=9,"Q3","Q4")))</f>
        <v>Q1</v>
      </c>
      <c r="AK202" s="8" t="str">
        <f>VLOOKUP(RawSalesTable6[[#This Row],[Customer_ID_Clean]],CustomersTable[],4,FALSE)</f>
        <v>Alberta</v>
      </c>
      <c r="AL202" s="8">
        <f>IF(RawSalesTable6[[#This Row],[Return_Status]]="Yes",1,0)</f>
        <v>0</v>
      </c>
    </row>
    <row r="203" spans="1:38">
      <c r="A203" t="s">
        <v>572</v>
      </c>
      <c r="B203" s="3">
        <v>45675</v>
      </c>
      <c r="C203" t="s">
        <v>203</v>
      </c>
      <c r="D203" t="s">
        <v>226</v>
      </c>
      <c r="E203" t="s">
        <v>573</v>
      </c>
      <c r="F203" t="s">
        <v>145</v>
      </c>
      <c r="G203" t="s">
        <v>88</v>
      </c>
      <c r="H203" t="s">
        <v>89</v>
      </c>
      <c r="I203">
        <v>1</v>
      </c>
      <c r="J203" s="2">
        <v>211.08</v>
      </c>
      <c r="K203" s="4">
        <v>0.05</v>
      </c>
      <c r="L203" t="s">
        <v>106</v>
      </c>
      <c r="M203">
        <v>4</v>
      </c>
      <c r="N203" t="s">
        <v>91</v>
      </c>
      <c r="O203" t="str">
        <f>SUBSTITUTE(PROPER(TRIM(RawSalesTable6[[#This Row],[Channel_Raw]])),"Market Place","Marketplace")</f>
        <v>Online</v>
      </c>
      <c r="P203" t="str">
        <f>TRIM(RawSalesTable6[[#This Row],[Product_ID]])</f>
        <v>P1010</v>
      </c>
      <c r="Q203" t="str">
        <f>TRIM(RawSalesTable6[[#This Row],[Customer_ID]])</f>
        <v>C0029</v>
      </c>
      <c r="R203" s="8" t="str">
        <f>PROPER(TRIM(RawSalesTable6[[#This Row],[Store_Raw]]))</f>
        <v>Calgary North</v>
      </c>
      <c r="S203" s="8" t="str">
        <f>IF(TRIM(RawSalesTable6[[#This Row],[Payment_Method_Raw]])="","Non renseigné",SUBSTITUTE(PROPER(TRIM(RawSalesTable6[[#This Row],[Payment_Method_Raw]])),"Cc","Credit Card"))</f>
        <v>Credit Card</v>
      </c>
      <c r="T203" s="8">
        <f>COUNTIF(A:A,RawSalesTable6[[#This Row],[Order_ID]])</f>
        <v>1</v>
      </c>
      <c r="U203" s="8" t="str">
        <f>TRIM(LEFT(RawSalesTable6[[#This Row],[Customer_Info]],FIND(",",RawSalesTable6[[#This Row],[Customer_Info]])-1))</f>
        <v>Olivia White</v>
      </c>
      <c r="V203" s="8" t="str">
        <f>TRIM(MID(RawSalesTable6[[#This Row],[Customer_Info]],FIND(",",RawSalesTable6[[#This Row],[Customer_Info]])+1,FIND(",",RawSalesTable6[[#This Row],[Customer_Info]],FIND(",",RawSalesTable6[[#This Row],[Customer_Info]])+1)-FIND(",",RawSalesTable6[[#This Row],[Customer_Info]])-1))</f>
        <v>Victoria</v>
      </c>
      <c r="W203" s="8" t="str">
        <f>TRIM(RIGHT(RawSalesTable6[[#This Row],[Customer_Info]],LEN(RawSalesTable6[[#This Row],[Customer_Info]])-FIND(",",RawSalesTable6[[#This Row],[Customer_Info]],FIND(",",RawSalesTable6[[#This Row],[Customer_Info]])+1)))</f>
        <v>Consumer</v>
      </c>
      <c r="X203" s="8" t="str">
        <f>VLOOKUP(RawSalesTable6[[#This Row],[Product_ID_Clean]],ProductsTable[],2,FALSE)</f>
        <v>Desk Lamp</v>
      </c>
      <c r="Y203" s="8" t="str">
        <f>VLOOKUP(RawSalesTable6[[#This Row],[Product_ID_Clean]],ProductsTable[],3,FALSE)</f>
        <v>Office</v>
      </c>
      <c r="Z203" s="8">
        <f>VLOOKUP(RawSalesTable6[[#This Row],[Product_ID_Clean]],ProductsTable[],5,FALSE)</f>
        <v>127.21</v>
      </c>
      <c r="AA203" s="8">
        <f>RawSalesTable6[[#This Row],[Unit_Price]]*RawSalesTable6[[#This Row],[Quantity]]</f>
        <v>211.08</v>
      </c>
      <c r="AB203" s="8">
        <f>RawSalesTable6[[#This Row],[Gross_Sales]]*RawSalesTable6[[#This Row],[Discount_Pct]]</f>
        <v>10.554000000000002</v>
      </c>
      <c r="AC203" s="8">
        <f>RawSalesTable6[[#This Row],[Gross_Sales]]-RawSalesTable6[[#This Row],[Discount_Amount]]</f>
        <v>200.52600000000001</v>
      </c>
      <c r="AD203" s="8">
        <f>RawSalesTable6[[#This Row],[Unit_Cost]]*RawSalesTable6[[#This Row],[Quantity]]</f>
        <v>127.21</v>
      </c>
      <c r="AE203" s="8">
        <f>RawSalesTable6[[#This Row],[Net_Sales]]-RawSalesTable6[[#This Row],[Total_Cost]]</f>
        <v>73.316000000000017</v>
      </c>
      <c r="AF203" s="9">
        <f>RawSalesTable6[[#This Row],[Profit]]/RawSalesTable6[[#This Row],[Net_Sales]]</f>
        <v>0.36561842354607388</v>
      </c>
      <c r="AG203" s="8">
        <f>YEAR(RawSalesTable6[[#This Row],[Order_Date]])</f>
        <v>2025</v>
      </c>
      <c r="AH203" s="8">
        <f>MONTH(RawSalesTable6[[#This Row],[Order_Date]])</f>
        <v>1</v>
      </c>
      <c r="AI203" s="8" t="str">
        <f>TEXT(RawSalesTable6[[#This Row],[Order_Date]],"mmmm")</f>
        <v>janvier</v>
      </c>
      <c r="AJ203" s="8" t="str">
        <f>IF(RawSalesTable6[[#This Row],[Month_Number]]&lt;=3,"Q1",IF(RawSalesTable6[[#This Row],[Month_Number]]&lt;=6,"Q2",IF(RawSalesTable6[[#This Row],[Month_Number]]&lt;=9,"Q3","Q4")))</f>
        <v>Q1</v>
      </c>
      <c r="AK203" s="8" t="str">
        <f>VLOOKUP(RawSalesTable6[[#This Row],[Customer_ID_Clean]],CustomersTable[],4,FALSE)</f>
        <v>British Columbia</v>
      </c>
      <c r="AL203" s="8">
        <f>IF(RawSalesTable6[[#This Row],[Return_Status]]="Yes",1,0)</f>
        <v>0</v>
      </c>
    </row>
    <row r="204" spans="1:38">
      <c r="A204" t="s">
        <v>574</v>
      </c>
      <c r="B204" s="3">
        <v>45724</v>
      </c>
      <c r="C204" t="s">
        <v>516</v>
      </c>
      <c r="D204" t="s">
        <v>139</v>
      </c>
      <c r="E204" t="s">
        <v>517</v>
      </c>
      <c r="F204" t="s">
        <v>116</v>
      </c>
      <c r="G204" t="s">
        <v>96</v>
      </c>
      <c r="H204" t="s">
        <v>105</v>
      </c>
      <c r="I204">
        <v>3</v>
      </c>
      <c r="J204" s="2">
        <v>79.849999999999994</v>
      </c>
      <c r="K204" s="4">
        <v>0.05</v>
      </c>
      <c r="L204" t="s">
        <v>98</v>
      </c>
      <c r="M204">
        <v>7</v>
      </c>
      <c r="N204" t="s">
        <v>91</v>
      </c>
      <c r="O204" t="str">
        <f>SUBSTITUTE(PROPER(TRIM(RawSalesTable6[[#This Row],[Channel_Raw]])),"Market Place","Marketplace")</f>
        <v>Marketplace</v>
      </c>
      <c r="P204" t="str">
        <f>TRIM(RawSalesTable6[[#This Row],[Product_ID]])</f>
        <v>P1012</v>
      </c>
      <c r="Q204" t="str">
        <f>TRIM(RawSalesTable6[[#This Row],[Customer_ID]])</f>
        <v>C0120</v>
      </c>
      <c r="R204" s="8" t="str">
        <f>PROPER(TRIM(RawSalesTable6[[#This Row],[Store_Raw]]))</f>
        <v>Toronto Downtown</v>
      </c>
      <c r="S204" s="8" t="str">
        <f>IF(TRIM(RawSalesTable6[[#This Row],[Payment_Method_Raw]])="","Non renseigné",SUBSTITUTE(PROPER(TRIM(RawSalesTable6[[#This Row],[Payment_Method_Raw]])),"Cc","Credit Card"))</f>
        <v>Debit Card</v>
      </c>
      <c r="T204" s="8">
        <f>COUNTIF(A:A,RawSalesTable6[[#This Row],[Order_ID]])</f>
        <v>1</v>
      </c>
      <c r="U204" s="8" t="str">
        <f>TRIM(LEFT(RawSalesTable6[[#This Row],[Customer_Info]],FIND(",",RawSalesTable6[[#This Row],[Customer_Info]])-1))</f>
        <v>Ethan King</v>
      </c>
      <c r="V204" s="8" t="str">
        <f>TRIM(MID(RawSalesTable6[[#This Row],[Customer_Info]],FIND(",",RawSalesTable6[[#This Row],[Customer_Info]])+1,FIND(",",RawSalesTable6[[#This Row],[Customer_Info]],FIND(",",RawSalesTable6[[#This Row],[Customer_Info]])+1)-FIND(",",RawSalesTable6[[#This Row],[Customer_Info]])-1))</f>
        <v>Mississauga</v>
      </c>
      <c r="W204" s="8" t="str">
        <f>TRIM(RIGHT(RawSalesTable6[[#This Row],[Customer_Info]],LEN(RawSalesTable6[[#This Row],[Customer_Info]])-FIND(",",RawSalesTable6[[#This Row],[Customer_Info]],FIND(",",RawSalesTable6[[#This Row],[Customer_Info]])+1)))</f>
        <v>Small Business</v>
      </c>
      <c r="X204" s="8" t="str">
        <f>VLOOKUP(RawSalesTable6[[#This Row],[Product_ID_Clean]],ProductsTable[],2,FALSE)</f>
        <v>Standing Desk</v>
      </c>
      <c r="Y204" s="8" t="str">
        <f>VLOOKUP(RawSalesTable6[[#This Row],[Product_ID_Clean]],ProductsTable[],3,FALSE)</f>
        <v>Office</v>
      </c>
      <c r="Z204" s="8">
        <f>VLOOKUP(RawSalesTable6[[#This Row],[Product_ID_Clean]],ProductsTable[],5,FALSE)</f>
        <v>45.17</v>
      </c>
      <c r="AA204" s="8">
        <f>RawSalesTable6[[#This Row],[Unit_Price]]*RawSalesTable6[[#This Row],[Quantity]]</f>
        <v>239.54999999999998</v>
      </c>
      <c r="AB204" s="8">
        <f>RawSalesTable6[[#This Row],[Gross_Sales]]*RawSalesTable6[[#This Row],[Discount_Pct]]</f>
        <v>11.977499999999999</v>
      </c>
      <c r="AC204" s="8">
        <f>RawSalesTable6[[#This Row],[Gross_Sales]]-RawSalesTable6[[#This Row],[Discount_Amount]]</f>
        <v>227.57249999999999</v>
      </c>
      <c r="AD204" s="8">
        <f>RawSalesTable6[[#This Row],[Unit_Cost]]*RawSalesTable6[[#This Row],[Quantity]]</f>
        <v>135.51</v>
      </c>
      <c r="AE204" s="8">
        <f>RawSalesTable6[[#This Row],[Net_Sales]]-RawSalesTable6[[#This Row],[Total_Cost]]</f>
        <v>92.0625</v>
      </c>
      <c r="AF204" s="9">
        <f>RawSalesTable6[[#This Row],[Profit]]/RawSalesTable6[[#This Row],[Net_Sales]]</f>
        <v>0.4045414098803678</v>
      </c>
      <c r="AG204" s="8">
        <f>YEAR(RawSalesTable6[[#This Row],[Order_Date]])</f>
        <v>2025</v>
      </c>
      <c r="AH204" s="8">
        <f>MONTH(RawSalesTable6[[#This Row],[Order_Date]])</f>
        <v>3</v>
      </c>
      <c r="AI204" s="8" t="str">
        <f>TEXT(RawSalesTable6[[#This Row],[Order_Date]],"mmmm")</f>
        <v>mars</v>
      </c>
      <c r="AJ204" s="8" t="str">
        <f>IF(RawSalesTable6[[#This Row],[Month_Number]]&lt;=3,"Q1",IF(RawSalesTable6[[#This Row],[Month_Number]]&lt;=6,"Q2",IF(RawSalesTable6[[#This Row],[Month_Number]]&lt;=9,"Q3","Q4")))</f>
        <v>Q1</v>
      </c>
      <c r="AK204" s="8" t="str">
        <f>VLOOKUP(RawSalesTable6[[#This Row],[Customer_ID_Clean]],CustomersTable[],4,FALSE)</f>
        <v>Ontario</v>
      </c>
      <c r="AL204" s="8">
        <f>IF(RawSalesTable6[[#This Row],[Return_Status]]="Yes",1,0)</f>
        <v>0</v>
      </c>
    </row>
    <row r="205" spans="1:38">
      <c r="A205" t="s">
        <v>575</v>
      </c>
      <c r="B205" s="3">
        <v>45765</v>
      </c>
      <c r="C205" t="s">
        <v>386</v>
      </c>
      <c r="D205" t="s">
        <v>133</v>
      </c>
      <c r="E205" t="s">
        <v>576</v>
      </c>
      <c r="F205" t="s">
        <v>111</v>
      </c>
      <c r="G205" t="s">
        <v>130</v>
      </c>
      <c r="H205" t="s">
        <v>89</v>
      </c>
      <c r="I205">
        <v>3</v>
      </c>
      <c r="J205" s="2">
        <v>342.66</v>
      </c>
      <c r="K205" s="4">
        <v>0</v>
      </c>
      <c r="L205" t="s">
        <v>106</v>
      </c>
      <c r="M205">
        <v>2</v>
      </c>
      <c r="N205" t="s">
        <v>91</v>
      </c>
      <c r="O205" t="str">
        <f>SUBSTITUTE(PROPER(TRIM(RawSalesTable6[[#This Row],[Channel_Raw]])),"Market Place","Marketplace")</f>
        <v>Online</v>
      </c>
      <c r="P205" t="str">
        <f>TRIM(RawSalesTable6[[#This Row],[Product_ID]])</f>
        <v>P1039</v>
      </c>
      <c r="Q205" t="str">
        <f>TRIM(RawSalesTable6[[#This Row],[Customer_ID]])</f>
        <v>C0009</v>
      </c>
      <c r="R205" s="8" t="str">
        <f>PROPER(TRIM(RawSalesTable6[[#This Row],[Store_Raw]]))</f>
        <v>Montreal Central</v>
      </c>
      <c r="S205" s="8" t="str">
        <f>IF(TRIM(RawSalesTable6[[#This Row],[Payment_Method_Raw]])="","Non renseigné",SUBSTITUTE(PROPER(TRIM(RawSalesTable6[[#This Row],[Payment_Method_Raw]])),"Cc","Credit Card"))</f>
        <v>Credit Card</v>
      </c>
      <c r="T205" s="8">
        <f>COUNTIF(A:A,RawSalesTable6[[#This Row],[Order_ID]])</f>
        <v>1</v>
      </c>
      <c r="U205" s="8" t="str">
        <f>TRIM(LEFT(RawSalesTable6[[#This Row],[Customer_Info]],FIND(",",RawSalesTable6[[#This Row],[Customer_Info]])-1))</f>
        <v>Ethan Tremblay</v>
      </c>
      <c r="V205" s="8" t="str">
        <f>TRIM(MID(RawSalesTable6[[#This Row],[Customer_Info]],FIND(",",RawSalesTable6[[#This Row],[Customer_Info]])+1,FIND(",",RawSalesTable6[[#This Row],[Customer_Info]],FIND(",",RawSalesTable6[[#This Row],[Customer_Info]])+1)-FIND(",",RawSalesTable6[[#This Row],[Customer_Info]])-1))</f>
        <v>Mississauga</v>
      </c>
      <c r="W205" s="8" t="str">
        <f>TRIM(RIGHT(RawSalesTable6[[#This Row],[Customer_Info]],LEN(RawSalesTable6[[#This Row],[Customer_Info]])-FIND(",",RawSalesTable6[[#This Row],[Customer_Info]],FIND(",",RawSalesTable6[[#This Row],[Customer_Info]])+1)))</f>
        <v>Corporate</v>
      </c>
      <c r="X205" s="8" t="str">
        <f>VLOOKUP(RawSalesTable6[[#This Row],[Product_ID_Clean]],ProductsTable[],2,FALSE)</f>
        <v>Travel Adapter</v>
      </c>
      <c r="Y205" s="8" t="str">
        <f>VLOOKUP(RawSalesTable6[[#This Row],[Product_ID_Clean]],ProductsTable[],3,FALSE)</f>
        <v>Accessories</v>
      </c>
      <c r="Z205" s="8">
        <f>VLOOKUP(RawSalesTable6[[#This Row],[Product_ID_Clean]],ProductsTable[],5,FALSE)</f>
        <v>229.86</v>
      </c>
      <c r="AA205" s="8">
        <f>RawSalesTable6[[#This Row],[Unit_Price]]*RawSalesTable6[[#This Row],[Quantity]]</f>
        <v>1027.98</v>
      </c>
      <c r="AB205" s="8">
        <f>RawSalesTable6[[#This Row],[Gross_Sales]]*RawSalesTable6[[#This Row],[Discount_Pct]]</f>
        <v>0</v>
      </c>
      <c r="AC205" s="8">
        <f>RawSalesTable6[[#This Row],[Gross_Sales]]-RawSalesTable6[[#This Row],[Discount_Amount]]</f>
        <v>1027.98</v>
      </c>
      <c r="AD205" s="8">
        <f>RawSalesTable6[[#This Row],[Unit_Cost]]*RawSalesTable6[[#This Row],[Quantity]]</f>
        <v>689.58</v>
      </c>
      <c r="AE205" s="8">
        <f>RawSalesTable6[[#This Row],[Net_Sales]]-RawSalesTable6[[#This Row],[Total_Cost]]</f>
        <v>338.4</v>
      </c>
      <c r="AF205" s="9">
        <f>RawSalesTable6[[#This Row],[Profit]]/RawSalesTable6[[#This Row],[Net_Sales]]</f>
        <v>0.32918928383820695</v>
      </c>
      <c r="AG205" s="8">
        <f>YEAR(RawSalesTable6[[#This Row],[Order_Date]])</f>
        <v>2025</v>
      </c>
      <c r="AH205" s="8">
        <f>MONTH(RawSalesTable6[[#This Row],[Order_Date]])</f>
        <v>4</v>
      </c>
      <c r="AI205" s="8" t="str">
        <f>TEXT(RawSalesTable6[[#This Row],[Order_Date]],"mmmm")</f>
        <v>avril</v>
      </c>
      <c r="AJ205" s="8" t="str">
        <f>IF(RawSalesTable6[[#This Row],[Month_Number]]&lt;=3,"Q1",IF(RawSalesTable6[[#This Row],[Month_Number]]&lt;=6,"Q2",IF(RawSalesTable6[[#This Row],[Month_Number]]&lt;=9,"Q3","Q4")))</f>
        <v>Q2</v>
      </c>
      <c r="AK205" s="8" t="str">
        <f>VLOOKUP(RawSalesTable6[[#This Row],[Customer_ID_Clean]],CustomersTable[],4,FALSE)</f>
        <v>Ontario</v>
      </c>
      <c r="AL205" s="8">
        <f>IF(RawSalesTable6[[#This Row],[Return_Status]]="Yes",1,0)</f>
        <v>0</v>
      </c>
    </row>
    <row r="206" spans="1:38">
      <c r="A206" t="s">
        <v>577</v>
      </c>
      <c r="B206" s="3">
        <v>45844</v>
      </c>
      <c r="C206" t="s">
        <v>265</v>
      </c>
      <c r="D206" t="s">
        <v>109</v>
      </c>
      <c r="E206" t="s">
        <v>266</v>
      </c>
      <c r="F206" t="s">
        <v>111</v>
      </c>
      <c r="G206" t="s">
        <v>122</v>
      </c>
      <c r="H206" t="s">
        <v>89</v>
      </c>
      <c r="I206">
        <v>1</v>
      </c>
      <c r="J206" s="2">
        <v>206.56</v>
      </c>
      <c r="K206" s="4">
        <v>0.2</v>
      </c>
      <c r="L206" t="s">
        <v>441</v>
      </c>
      <c r="M206">
        <v>7</v>
      </c>
      <c r="N206" t="s">
        <v>91</v>
      </c>
      <c r="O206" t="str">
        <f>SUBSTITUTE(PROPER(TRIM(RawSalesTable6[[#This Row],[Channel_Raw]])),"Market Place","Marketplace")</f>
        <v>Online</v>
      </c>
      <c r="P206" t="str">
        <f>TRIM(RawSalesTable6[[#This Row],[Product_ID]])</f>
        <v>P1032</v>
      </c>
      <c r="Q206" t="str">
        <f>TRIM(RawSalesTable6[[#This Row],[Customer_ID]])</f>
        <v>C0020</v>
      </c>
      <c r="R206" s="8" t="str">
        <f>PROPER(TRIM(RawSalesTable6[[#This Row],[Store_Raw]]))</f>
        <v>Montreal Central</v>
      </c>
      <c r="S206" s="8" t="str">
        <f>IF(TRIM(RawSalesTable6[[#This Row],[Payment_Method_Raw]])="","Non renseigné",SUBSTITUTE(PROPER(TRIM(RawSalesTable6[[#This Row],[Payment_Method_Raw]])),"Cc","Credit Card"))</f>
        <v>Credit Card</v>
      </c>
      <c r="T206" s="8">
        <f>COUNTIF(A:A,RawSalesTable6[[#This Row],[Order_ID]])</f>
        <v>1</v>
      </c>
      <c r="U206" s="8" t="str">
        <f>TRIM(LEFT(RawSalesTable6[[#This Row],[Customer_Info]],FIND(",",RawSalesTable6[[#This Row],[Customer_Info]])-1))</f>
        <v>Nora Khan</v>
      </c>
      <c r="V206" s="8" t="str">
        <f>TRIM(MID(RawSalesTable6[[#This Row],[Customer_Info]],FIND(",",RawSalesTable6[[#This Row],[Customer_Info]])+1,FIND(",",RawSalesTable6[[#This Row],[Customer_Info]],FIND(",",RawSalesTable6[[#This Row],[Customer_Info]])+1)-FIND(",",RawSalesTable6[[#This Row],[Customer_Info]])-1))</f>
        <v>Mississauga</v>
      </c>
      <c r="W206" s="8" t="str">
        <f>TRIM(RIGHT(RawSalesTable6[[#This Row],[Customer_Info]],LEN(RawSalesTable6[[#This Row],[Customer_Info]])-FIND(",",RawSalesTable6[[#This Row],[Customer_Info]],FIND(",",RawSalesTable6[[#This Row],[Customer_Info]])+1)))</f>
        <v>Consumer</v>
      </c>
      <c r="X206" s="8" t="str">
        <f>VLOOKUP(RawSalesTable6[[#This Row],[Product_ID_Clean]],ProductsTable[],2,FALSE)</f>
        <v>Gym Bag</v>
      </c>
      <c r="Y206" s="8" t="str">
        <f>VLOOKUP(RawSalesTable6[[#This Row],[Product_ID_Clean]],ProductsTable[],3,FALSE)</f>
        <v>Fitness</v>
      </c>
      <c r="Z206" s="8">
        <f>VLOOKUP(RawSalesTable6[[#This Row],[Product_ID_Clean]],ProductsTable[],5,FALSE)</f>
        <v>132.72</v>
      </c>
      <c r="AA206" s="8">
        <f>RawSalesTable6[[#This Row],[Unit_Price]]*RawSalesTable6[[#This Row],[Quantity]]</f>
        <v>206.56</v>
      </c>
      <c r="AB206" s="8">
        <f>RawSalesTable6[[#This Row],[Gross_Sales]]*RawSalesTable6[[#This Row],[Discount_Pct]]</f>
        <v>41.312000000000005</v>
      </c>
      <c r="AC206" s="8">
        <f>RawSalesTable6[[#This Row],[Gross_Sales]]-RawSalesTable6[[#This Row],[Discount_Amount]]</f>
        <v>165.24799999999999</v>
      </c>
      <c r="AD206" s="8">
        <f>RawSalesTable6[[#This Row],[Unit_Cost]]*RawSalesTable6[[#This Row],[Quantity]]</f>
        <v>132.72</v>
      </c>
      <c r="AE206" s="8">
        <f>RawSalesTable6[[#This Row],[Net_Sales]]-RawSalesTable6[[#This Row],[Total_Cost]]</f>
        <v>32.527999999999992</v>
      </c>
      <c r="AF206" s="9">
        <f>RawSalesTable6[[#This Row],[Profit]]/RawSalesTable6[[#This Row],[Net_Sales]]</f>
        <v>0.1968435321456235</v>
      </c>
      <c r="AG206" s="8">
        <f>YEAR(RawSalesTable6[[#This Row],[Order_Date]])</f>
        <v>2025</v>
      </c>
      <c r="AH206" s="8">
        <f>MONTH(RawSalesTable6[[#This Row],[Order_Date]])</f>
        <v>7</v>
      </c>
      <c r="AI206" s="8" t="str">
        <f>TEXT(RawSalesTable6[[#This Row],[Order_Date]],"mmmm")</f>
        <v>juillet</v>
      </c>
      <c r="AJ206" s="8" t="str">
        <f>IF(RawSalesTable6[[#This Row],[Month_Number]]&lt;=3,"Q1",IF(RawSalesTable6[[#This Row],[Month_Number]]&lt;=6,"Q2",IF(RawSalesTable6[[#This Row],[Month_Number]]&lt;=9,"Q3","Q4")))</f>
        <v>Q3</v>
      </c>
      <c r="AK206" s="8" t="str">
        <f>VLOOKUP(RawSalesTable6[[#This Row],[Customer_ID_Clean]],CustomersTable[],4,FALSE)</f>
        <v>Ontario</v>
      </c>
      <c r="AL206" s="8">
        <f>IF(RawSalesTable6[[#This Row],[Return_Status]]="Yes",1,0)</f>
        <v>0</v>
      </c>
    </row>
    <row r="207" spans="1:38">
      <c r="A207" t="s">
        <v>578</v>
      </c>
      <c r="B207" s="3">
        <v>45774</v>
      </c>
      <c r="C207" t="s">
        <v>273</v>
      </c>
      <c r="D207" t="s">
        <v>323</v>
      </c>
      <c r="E207" t="s">
        <v>274</v>
      </c>
      <c r="F207" t="s">
        <v>87</v>
      </c>
      <c r="G207" t="s">
        <v>88</v>
      </c>
      <c r="H207" t="s">
        <v>97</v>
      </c>
      <c r="I207">
        <v>1</v>
      </c>
      <c r="J207" s="2">
        <v>328.44</v>
      </c>
      <c r="K207" s="4">
        <v>0</v>
      </c>
      <c r="L207" t="s">
        <v>106</v>
      </c>
      <c r="M207">
        <v>2</v>
      </c>
      <c r="N207" t="s">
        <v>91</v>
      </c>
      <c r="O207" t="str">
        <f>SUBSTITUTE(PROPER(TRIM(RawSalesTable6[[#This Row],[Channel_Raw]])),"Market Place","Marketplace")</f>
        <v>Retail Store</v>
      </c>
      <c r="P207" t="str">
        <f>TRIM(RawSalesTable6[[#This Row],[Product_ID]])</f>
        <v>P1023</v>
      </c>
      <c r="Q207" t="str">
        <f>TRIM(RawSalesTable6[[#This Row],[Customer_ID]])</f>
        <v>C0066</v>
      </c>
      <c r="R207" s="8" t="str">
        <f>PROPER(TRIM(RawSalesTable6[[#This Row],[Store_Raw]]))</f>
        <v>Online Fulfillment</v>
      </c>
      <c r="S207" s="8" t="str">
        <f>IF(TRIM(RawSalesTable6[[#This Row],[Payment_Method_Raw]])="","Non renseigné",SUBSTITUTE(PROPER(TRIM(RawSalesTable6[[#This Row],[Payment_Method_Raw]])),"Cc","Credit Card"))</f>
        <v>Credit Card</v>
      </c>
      <c r="T207" s="8">
        <f>COUNTIF(A:A,RawSalesTable6[[#This Row],[Order_ID]])</f>
        <v>1</v>
      </c>
      <c r="U207" s="8" t="str">
        <f>TRIM(LEFT(RawSalesTable6[[#This Row],[Customer_Info]],FIND(",",RawSalesTable6[[#This Row],[Customer_Info]])-1))</f>
        <v>Noah Clark</v>
      </c>
      <c r="V207" s="8" t="str">
        <f>TRIM(MID(RawSalesTable6[[#This Row],[Customer_Info]],FIND(",",RawSalesTable6[[#This Row],[Customer_Info]])+1,FIND(",",RawSalesTable6[[#This Row],[Customer_Info]],FIND(",",RawSalesTable6[[#This Row],[Customer_Info]])+1)-FIND(",",RawSalesTable6[[#This Row],[Customer_Info]])-1))</f>
        <v>Laval</v>
      </c>
      <c r="W207" s="8" t="str">
        <f>TRIM(RIGHT(RawSalesTable6[[#This Row],[Customer_Info]],LEN(RawSalesTable6[[#This Row],[Customer_Info]])-FIND(",",RawSalesTable6[[#This Row],[Customer_Info]],FIND(",",RawSalesTable6[[#This Row],[Customer_Info]])+1)))</f>
        <v>Consumer</v>
      </c>
      <c r="X207" s="8" t="str">
        <f>VLOOKUP(RawSalesTable6[[#This Row],[Product_ID_Clean]],ProductsTable[],2,FALSE)</f>
        <v>Toaster</v>
      </c>
      <c r="Y207" s="8" t="str">
        <f>VLOOKUP(RawSalesTable6[[#This Row],[Product_ID_Clean]],ProductsTable[],3,FALSE)</f>
        <v>Home</v>
      </c>
      <c r="Z207" s="8">
        <f>VLOOKUP(RawSalesTable6[[#This Row],[Product_ID_Clean]],ProductsTable[],5,FALSE)</f>
        <v>152.88</v>
      </c>
      <c r="AA207" s="8">
        <f>RawSalesTable6[[#This Row],[Unit_Price]]*RawSalesTable6[[#This Row],[Quantity]]</f>
        <v>328.44</v>
      </c>
      <c r="AB207" s="8">
        <f>RawSalesTable6[[#This Row],[Gross_Sales]]*RawSalesTable6[[#This Row],[Discount_Pct]]</f>
        <v>0</v>
      </c>
      <c r="AC207" s="8">
        <f>RawSalesTable6[[#This Row],[Gross_Sales]]-RawSalesTable6[[#This Row],[Discount_Amount]]</f>
        <v>328.44</v>
      </c>
      <c r="AD207" s="8">
        <f>RawSalesTable6[[#This Row],[Unit_Cost]]*RawSalesTable6[[#This Row],[Quantity]]</f>
        <v>152.88</v>
      </c>
      <c r="AE207" s="8">
        <f>RawSalesTable6[[#This Row],[Net_Sales]]-RawSalesTable6[[#This Row],[Total_Cost]]</f>
        <v>175.56</v>
      </c>
      <c r="AF207" s="9">
        <f>RawSalesTable6[[#This Row],[Profit]]/RawSalesTable6[[#This Row],[Net_Sales]]</f>
        <v>0.53452685421994883</v>
      </c>
      <c r="AG207" s="8">
        <f>YEAR(RawSalesTable6[[#This Row],[Order_Date]])</f>
        <v>2025</v>
      </c>
      <c r="AH207" s="8">
        <f>MONTH(RawSalesTable6[[#This Row],[Order_Date]])</f>
        <v>4</v>
      </c>
      <c r="AI207" s="8" t="str">
        <f>TEXT(RawSalesTable6[[#This Row],[Order_Date]],"mmmm")</f>
        <v>avril</v>
      </c>
      <c r="AJ207" s="8" t="str">
        <f>IF(RawSalesTable6[[#This Row],[Month_Number]]&lt;=3,"Q1",IF(RawSalesTable6[[#This Row],[Month_Number]]&lt;=6,"Q2",IF(RawSalesTable6[[#This Row],[Month_Number]]&lt;=9,"Q3","Q4")))</f>
        <v>Q2</v>
      </c>
      <c r="AK207" s="8" t="str">
        <f>VLOOKUP(RawSalesTable6[[#This Row],[Customer_ID_Clean]],CustomersTable[],4,FALSE)</f>
        <v>Quebec</v>
      </c>
      <c r="AL207" s="8">
        <f>IF(RawSalesTable6[[#This Row],[Return_Status]]="Yes",1,0)</f>
        <v>0</v>
      </c>
    </row>
    <row r="208" spans="1:38">
      <c r="A208" t="s">
        <v>579</v>
      </c>
      <c r="B208" s="3">
        <v>45666</v>
      </c>
      <c r="C208" t="s">
        <v>453</v>
      </c>
      <c r="D208" t="s">
        <v>226</v>
      </c>
      <c r="E208" t="s">
        <v>454</v>
      </c>
      <c r="F208" t="s">
        <v>103</v>
      </c>
      <c r="G208" t="s">
        <v>171</v>
      </c>
      <c r="H208" t="s">
        <v>89</v>
      </c>
      <c r="I208">
        <v>4</v>
      </c>
      <c r="J208" s="2">
        <v>215.38</v>
      </c>
      <c r="K208" s="4">
        <v>0</v>
      </c>
      <c r="L208" t="s">
        <v>106</v>
      </c>
      <c r="M208">
        <v>3</v>
      </c>
      <c r="N208" t="s">
        <v>147</v>
      </c>
      <c r="O208" t="str">
        <f>SUBSTITUTE(PROPER(TRIM(RawSalesTable6[[#This Row],[Channel_Raw]])),"Market Place","Marketplace")</f>
        <v>Online</v>
      </c>
      <c r="P208" t="str">
        <f>TRIM(RawSalesTable6[[#This Row],[Product_ID]])</f>
        <v>P1010</v>
      </c>
      <c r="Q208" t="str">
        <f>TRIM(RawSalesTable6[[#This Row],[Customer_ID]])</f>
        <v>C0070</v>
      </c>
      <c r="R208" s="8" t="str">
        <f>PROPER(TRIM(RawSalesTable6[[#This Row],[Store_Raw]]))</f>
        <v>Vancouver West</v>
      </c>
      <c r="S208" s="8" t="str">
        <f>IF(TRIM(RawSalesTable6[[#This Row],[Payment_Method_Raw]])="","Non renseigné",SUBSTITUTE(PROPER(TRIM(RawSalesTable6[[#This Row],[Payment_Method_Raw]])),"Cc","Credit Card"))</f>
        <v>Credit Card</v>
      </c>
      <c r="T208" s="8">
        <f>COUNTIF(A:A,RawSalesTable6[[#This Row],[Order_ID]])</f>
        <v>1</v>
      </c>
      <c r="U208" s="8" t="str">
        <f>TRIM(LEFT(RawSalesTable6[[#This Row],[Customer_Info]],FIND(",",RawSalesTable6[[#This Row],[Customer_Info]])-1))</f>
        <v>Sophia Young</v>
      </c>
      <c r="V208" s="8" t="str">
        <f>TRIM(MID(RawSalesTable6[[#This Row],[Customer_Info]],FIND(",",RawSalesTable6[[#This Row],[Customer_Info]])+1,FIND(",",RawSalesTable6[[#This Row],[Customer_Info]],FIND(",",RawSalesTable6[[#This Row],[Customer_Info]])+1)-FIND(",",RawSalesTable6[[#This Row],[Customer_Info]])-1))</f>
        <v>Halifax</v>
      </c>
      <c r="W208" s="8" t="str">
        <f>TRIM(RIGHT(RawSalesTable6[[#This Row],[Customer_Info]],LEN(RawSalesTable6[[#This Row],[Customer_Info]])-FIND(",",RawSalesTable6[[#This Row],[Customer_Info]],FIND(",",RawSalesTable6[[#This Row],[Customer_Info]])+1)))</f>
        <v>Corporate</v>
      </c>
      <c r="X208" s="8" t="str">
        <f>VLOOKUP(RawSalesTable6[[#This Row],[Product_ID_Clean]],ProductsTable[],2,FALSE)</f>
        <v>Desk Lamp</v>
      </c>
      <c r="Y208" s="8" t="str">
        <f>VLOOKUP(RawSalesTable6[[#This Row],[Product_ID_Clean]],ProductsTable[],3,FALSE)</f>
        <v>Office</v>
      </c>
      <c r="Z208" s="8">
        <f>VLOOKUP(RawSalesTable6[[#This Row],[Product_ID_Clean]],ProductsTable[],5,FALSE)</f>
        <v>127.21</v>
      </c>
      <c r="AA208" s="8">
        <f>RawSalesTable6[[#This Row],[Unit_Price]]*RawSalesTable6[[#This Row],[Quantity]]</f>
        <v>861.52</v>
      </c>
      <c r="AB208" s="8">
        <f>RawSalesTable6[[#This Row],[Gross_Sales]]*RawSalesTable6[[#This Row],[Discount_Pct]]</f>
        <v>0</v>
      </c>
      <c r="AC208" s="8">
        <f>RawSalesTable6[[#This Row],[Gross_Sales]]-RawSalesTable6[[#This Row],[Discount_Amount]]</f>
        <v>861.52</v>
      </c>
      <c r="AD208" s="8">
        <f>RawSalesTable6[[#This Row],[Unit_Cost]]*RawSalesTable6[[#This Row],[Quantity]]</f>
        <v>508.84</v>
      </c>
      <c r="AE208" s="8">
        <f>RawSalesTable6[[#This Row],[Net_Sales]]-RawSalesTable6[[#This Row],[Total_Cost]]</f>
        <v>352.68</v>
      </c>
      <c r="AF208" s="9">
        <f>RawSalesTable6[[#This Row],[Profit]]/RawSalesTable6[[#This Row],[Net_Sales]]</f>
        <v>0.40936948648899624</v>
      </c>
      <c r="AG208" s="8">
        <f>YEAR(RawSalesTable6[[#This Row],[Order_Date]])</f>
        <v>2025</v>
      </c>
      <c r="AH208" s="8">
        <f>MONTH(RawSalesTable6[[#This Row],[Order_Date]])</f>
        <v>1</v>
      </c>
      <c r="AI208" s="8" t="str">
        <f>TEXT(RawSalesTable6[[#This Row],[Order_Date]],"mmmm")</f>
        <v>janvier</v>
      </c>
      <c r="AJ208" s="8" t="str">
        <f>IF(RawSalesTable6[[#This Row],[Month_Number]]&lt;=3,"Q1",IF(RawSalesTable6[[#This Row],[Month_Number]]&lt;=6,"Q2",IF(RawSalesTable6[[#This Row],[Month_Number]]&lt;=9,"Q3","Q4")))</f>
        <v>Q1</v>
      </c>
      <c r="AK208" s="8" t="str">
        <f>VLOOKUP(RawSalesTable6[[#This Row],[Customer_ID_Clean]],CustomersTable[],4,FALSE)</f>
        <v>Nova Scotia</v>
      </c>
      <c r="AL208" s="8">
        <f>IF(RawSalesTable6[[#This Row],[Return_Status]]="Yes",1,0)</f>
        <v>1</v>
      </c>
    </row>
    <row r="209" spans="1:38">
      <c r="A209" t="s">
        <v>580</v>
      </c>
      <c r="B209" s="3">
        <v>45895</v>
      </c>
      <c r="C209" t="s">
        <v>374</v>
      </c>
      <c r="D209" t="s">
        <v>277</v>
      </c>
      <c r="E209" t="s">
        <v>375</v>
      </c>
      <c r="F209" t="s">
        <v>111</v>
      </c>
      <c r="G209" t="s">
        <v>96</v>
      </c>
      <c r="H209" t="s">
        <v>89</v>
      </c>
      <c r="I209">
        <v>1</v>
      </c>
      <c r="J209" s="2">
        <v>376.44</v>
      </c>
      <c r="K209" s="4">
        <v>0</v>
      </c>
      <c r="L209" t="s">
        <v>106</v>
      </c>
      <c r="M209">
        <v>1</v>
      </c>
      <c r="N209" t="s">
        <v>91</v>
      </c>
      <c r="O209" t="str">
        <f>SUBSTITUTE(PROPER(TRIM(RawSalesTable6[[#This Row],[Channel_Raw]])),"Market Place","Marketplace")</f>
        <v>Online</v>
      </c>
      <c r="P209" t="str">
        <f>TRIM(RawSalesTable6[[#This Row],[Product_ID]])</f>
        <v>P1001</v>
      </c>
      <c r="Q209" t="str">
        <f>TRIM(RawSalesTable6[[#This Row],[Customer_ID]])</f>
        <v>C0035</v>
      </c>
      <c r="R209" s="8" t="str">
        <f>PROPER(TRIM(RawSalesTable6[[#This Row],[Store_Raw]]))</f>
        <v>Montreal Central</v>
      </c>
      <c r="S209" s="8" t="str">
        <f>IF(TRIM(RawSalesTable6[[#This Row],[Payment_Method_Raw]])="","Non renseigné",SUBSTITUTE(PROPER(TRIM(RawSalesTable6[[#This Row],[Payment_Method_Raw]])),"Cc","Credit Card"))</f>
        <v>Credit Card</v>
      </c>
      <c r="T209" s="8">
        <f>COUNTIF(A:A,RawSalesTable6[[#This Row],[Order_ID]])</f>
        <v>1</v>
      </c>
      <c r="U209" s="8" t="str">
        <f>TRIM(LEFT(RawSalesTable6[[#This Row],[Customer_Info]],FIND(",",RawSalesTable6[[#This Row],[Customer_Info]])-1))</f>
        <v>Amelia Scott</v>
      </c>
      <c r="V209" s="8" t="str">
        <f>TRIM(MID(RawSalesTable6[[#This Row],[Customer_Info]],FIND(",",RawSalesTable6[[#This Row],[Customer_Info]])+1,FIND(",",RawSalesTable6[[#This Row],[Customer_Info]],FIND(",",RawSalesTable6[[#This Row],[Customer_Info]])+1)-FIND(",",RawSalesTable6[[#This Row],[Customer_Info]])-1))</f>
        <v>Edmonton</v>
      </c>
      <c r="W209" s="8" t="str">
        <f>TRIM(RIGHT(RawSalesTable6[[#This Row],[Customer_Info]],LEN(RawSalesTable6[[#This Row],[Customer_Info]])-FIND(",",RawSalesTable6[[#This Row],[Customer_Info]],FIND(",",RawSalesTable6[[#This Row],[Customer_Info]])+1)))</f>
        <v>Small Business</v>
      </c>
      <c r="X209" s="8" t="str">
        <f>VLOOKUP(RawSalesTable6[[#This Row],[Product_ID_Clean]],ProductsTable[],2,FALSE)</f>
        <v>Headphones</v>
      </c>
      <c r="Y209" s="8" t="str">
        <f>VLOOKUP(RawSalesTable6[[#This Row],[Product_ID_Clean]],ProductsTable[],3,FALSE)</f>
        <v>Electronics</v>
      </c>
      <c r="Z209" s="8">
        <f>VLOOKUP(RawSalesTable6[[#This Row],[Product_ID_Clean]],ProductsTable[],5,FALSE)</f>
        <v>254.6</v>
      </c>
      <c r="AA209" s="8">
        <f>RawSalesTable6[[#This Row],[Unit_Price]]*RawSalesTable6[[#This Row],[Quantity]]</f>
        <v>376.44</v>
      </c>
      <c r="AB209" s="8">
        <f>RawSalesTable6[[#This Row],[Gross_Sales]]*RawSalesTable6[[#This Row],[Discount_Pct]]</f>
        <v>0</v>
      </c>
      <c r="AC209" s="8">
        <f>RawSalesTable6[[#This Row],[Gross_Sales]]-RawSalesTable6[[#This Row],[Discount_Amount]]</f>
        <v>376.44</v>
      </c>
      <c r="AD209" s="8">
        <f>RawSalesTable6[[#This Row],[Unit_Cost]]*RawSalesTable6[[#This Row],[Quantity]]</f>
        <v>254.6</v>
      </c>
      <c r="AE209" s="8">
        <f>RawSalesTable6[[#This Row],[Net_Sales]]-RawSalesTable6[[#This Row],[Total_Cost]]</f>
        <v>121.84</v>
      </c>
      <c r="AF209" s="9">
        <f>RawSalesTable6[[#This Row],[Profit]]/RawSalesTable6[[#This Row],[Net_Sales]]</f>
        <v>0.32366379768356179</v>
      </c>
      <c r="AG209" s="8">
        <f>YEAR(RawSalesTable6[[#This Row],[Order_Date]])</f>
        <v>2025</v>
      </c>
      <c r="AH209" s="8">
        <f>MONTH(RawSalesTable6[[#This Row],[Order_Date]])</f>
        <v>8</v>
      </c>
      <c r="AI209" s="8" t="str">
        <f>TEXT(RawSalesTable6[[#This Row],[Order_Date]],"mmmm")</f>
        <v>août</v>
      </c>
      <c r="AJ209" s="8" t="str">
        <f>IF(RawSalesTable6[[#This Row],[Month_Number]]&lt;=3,"Q1",IF(RawSalesTable6[[#This Row],[Month_Number]]&lt;=6,"Q2",IF(RawSalesTable6[[#This Row],[Month_Number]]&lt;=9,"Q3","Q4")))</f>
        <v>Q3</v>
      </c>
      <c r="AK209" s="8" t="str">
        <f>VLOOKUP(RawSalesTable6[[#This Row],[Customer_ID_Clean]],CustomersTable[],4,FALSE)</f>
        <v>Alberta</v>
      </c>
      <c r="AL209" s="8">
        <f>IF(RawSalesTable6[[#This Row],[Return_Status]]="Yes",1,0)</f>
        <v>0</v>
      </c>
    </row>
    <row r="210" spans="1:38">
      <c r="A210" t="s">
        <v>581</v>
      </c>
      <c r="B210" s="3">
        <v>45670</v>
      </c>
      <c r="C210" t="s">
        <v>414</v>
      </c>
      <c r="D210" t="s">
        <v>221</v>
      </c>
      <c r="E210" t="s">
        <v>415</v>
      </c>
      <c r="F210" t="s">
        <v>187</v>
      </c>
      <c r="G210" t="s">
        <v>122</v>
      </c>
      <c r="H210" t="s">
        <v>97</v>
      </c>
      <c r="I210">
        <v>2</v>
      </c>
      <c r="J210" s="2">
        <v>29.86</v>
      </c>
      <c r="K210" s="4">
        <v>0.1</v>
      </c>
      <c r="L210" t="s">
        <v>98</v>
      </c>
      <c r="M210">
        <v>3</v>
      </c>
      <c r="N210" t="s">
        <v>91</v>
      </c>
      <c r="O210" t="str">
        <f>SUBSTITUTE(PROPER(TRIM(RawSalesTable6[[#This Row],[Channel_Raw]])),"Market Place","Marketplace")</f>
        <v>Retail Store</v>
      </c>
      <c r="P210" t="str">
        <f>TRIM(RawSalesTable6[[#This Row],[Product_ID]])</f>
        <v>P1018</v>
      </c>
      <c r="Q210" t="str">
        <f>TRIM(RawSalesTable6[[#This Row],[Customer_ID]])</f>
        <v>C0052</v>
      </c>
      <c r="R210" s="8" t="str">
        <f>PROPER(TRIM(RawSalesTable6[[#This Row],[Store_Raw]]))</f>
        <v>Vancouver West</v>
      </c>
      <c r="S210" s="8" t="str">
        <f>IF(TRIM(RawSalesTable6[[#This Row],[Payment_Method_Raw]])="","Non renseigné",SUBSTITUTE(PROPER(TRIM(RawSalesTable6[[#This Row],[Payment_Method_Raw]])),"Cc","Credit Card"))</f>
        <v>Debit Card</v>
      </c>
      <c r="T210" s="8">
        <f>COUNTIF(A:A,RawSalesTable6[[#This Row],[Order_ID]])</f>
        <v>1</v>
      </c>
      <c r="U210" s="8" t="str">
        <f>TRIM(LEFT(RawSalesTable6[[#This Row],[Customer_Info]],FIND(",",RawSalesTable6[[#This Row],[Customer_Info]])-1))</f>
        <v>Liam Bennett</v>
      </c>
      <c r="V210" s="8" t="str">
        <f>TRIM(MID(RawSalesTable6[[#This Row],[Customer_Info]],FIND(",",RawSalesTable6[[#This Row],[Customer_Info]])+1,FIND(",",RawSalesTable6[[#This Row],[Customer_Info]],FIND(",",RawSalesTable6[[#This Row],[Customer_Info]])+1)-FIND(",",RawSalesTable6[[#This Row],[Customer_Info]])-1))</f>
        <v>Edmonton</v>
      </c>
      <c r="W210" s="8" t="str">
        <f>TRIM(RIGHT(RawSalesTable6[[#This Row],[Customer_Info]],LEN(RawSalesTable6[[#This Row],[Customer_Info]])-FIND(",",RawSalesTable6[[#This Row],[Customer_Info]],FIND(",",RawSalesTable6[[#This Row],[Customer_Info]])+1)))</f>
        <v>Corporate</v>
      </c>
      <c r="X210" s="8" t="str">
        <f>VLOOKUP(RawSalesTable6[[#This Row],[Product_ID_Clean]],ProductsTable[],2,FALSE)</f>
        <v>Air Fryer</v>
      </c>
      <c r="Y210" s="8" t="str">
        <f>VLOOKUP(RawSalesTable6[[#This Row],[Product_ID_Clean]],ProductsTable[],3,FALSE)</f>
        <v>Home</v>
      </c>
      <c r="Z210" s="8">
        <f>VLOOKUP(RawSalesTable6[[#This Row],[Product_ID_Clean]],ProductsTable[],5,FALSE)</f>
        <v>14.58</v>
      </c>
      <c r="AA210" s="8">
        <f>RawSalesTable6[[#This Row],[Unit_Price]]*RawSalesTable6[[#This Row],[Quantity]]</f>
        <v>59.72</v>
      </c>
      <c r="AB210" s="8">
        <f>RawSalesTable6[[#This Row],[Gross_Sales]]*RawSalesTable6[[#This Row],[Discount_Pct]]</f>
        <v>5.9720000000000004</v>
      </c>
      <c r="AC210" s="8">
        <f>RawSalesTable6[[#This Row],[Gross_Sales]]-RawSalesTable6[[#This Row],[Discount_Amount]]</f>
        <v>53.747999999999998</v>
      </c>
      <c r="AD210" s="8">
        <f>RawSalesTable6[[#This Row],[Unit_Cost]]*RawSalesTable6[[#This Row],[Quantity]]</f>
        <v>29.16</v>
      </c>
      <c r="AE210" s="8">
        <f>RawSalesTable6[[#This Row],[Net_Sales]]-RawSalesTable6[[#This Row],[Total_Cost]]</f>
        <v>24.587999999999997</v>
      </c>
      <c r="AF210" s="9">
        <f>RawSalesTable6[[#This Row],[Profit]]/RawSalesTable6[[#This Row],[Net_Sales]]</f>
        <v>0.45746818486269253</v>
      </c>
      <c r="AG210" s="8">
        <f>YEAR(RawSalesTable6[[#This Row],[Order_Date]])</f>
        <v>2025</v>
      </c>
      <c r="AH210" s="8">
        <f>MONTH(RawSalesTable6[[#This Row],[Order_Date]])</f>
        <v>1</v>
      </c>
      <c r="AI210" s="8" t="str">
        <f>TEXT(RawSalesTable6[[#This Row],[Order_Date]],"mmmm")</f>
        <v>janvier</v>
      </c>
      <c r="AJ210" s="8" t="str">
        <f>IF(RawSalesTable6[[#This Row],[Month_Number]]&lt;=3,"Q1",IF(RawSalesTable6[[#This Row],[Month_Number]]&lt;=6,"Q2",IF(RawSalesTable6[[#This Row],[Month_Number]]&lt;=9,"Q3","Q4")))</f>
        <v>Q1</v>
      </c>
      <c r="AK210" s="8" t="str">
        <f>VLOOKUP(RawSalesTable6[[#This Row],[Customer_ID_Clean]],CustomersTable[],4,FALSE)</f>
        <v>Alberta</v>
      </c>
      <c r="AL210" s="8">
        <f>IF(RawSalesTable6[[#This Row],[Return_Status]]="Yes",1,0)</f>
        <v>0</v>
      </c>
    </row>
    <row r="211" spans="1:38">
      <c r="A211" t="s">
        <v>582</v>
      </c>
      <c r="B211" s="3">
        <v>45718</v>
      </c>
      <c r="C211" t="s">
        <v>243</v>
      </c>
      <c r="D211" t="s">
        <v>418</v>
      </c>
      <c r="E211" t="s">
        <v>245</v>
      </c>
      <c r="F211" t="s">
        <v>116</v>
      </c>
      <c r="G211" t="s">
        <v>171</v>
      </c>
      <c r="H211" t="s">
        <v>97</v>
      </c>
      <c r="I211">
        <v>3</v>
      </c>
      <c r="J211" s="2">
        <v>377.43</v>
      </c>
      <c r="K211" s="4">
        <v>0.1</v>
      </c>
      <c r="L211" t="s">
        <v>106</v>
      </c>
      <c r="M211">
        <v>2</v>
      </c>
      <c r="N211" t="s">
        <v>91</v>
      </c>
      <c r="O211" t="str">
        <f>SUBSTITUTE(PROPER(TRIM(RawSalesTable6[[#This Row],[Channel_Raw]])),"Market Place","Marketplace")</f>
        <v>Retail Store</v>
      </c>
      <c r="P211" t="str">
        <f>TRIM(RawSalesTable6[[#This Row],[Product_ID]])</f>
        <v>P1028</v>
      </c>
      <c r="Q211" t="str">
        <f>TRIM(RawSalesTable6[[#This Row],[Customer_ID]])</f>
        <v>C0048</v>
      </c>
      <c r="R211" s="8" t="str">
        <f>PROPER(TRIM(RawSalesTable6[[#This Row],[Store_Raw]]))</f>
        <v>Toronto Downtown</v>
      </c>
      <c r="S211" s="8" t="str">
        <f>IF(TRIM(RawSalesTable6[[#This Row],[Payment_Method_Raw]])="","Non renseigné",SUBSTITUTE(PROPER(TRIM(RawSalesTable6[[#This Row],[Payment_Method_Raw]])),"Cc","Credit Card"))</f>
        <v>Credit Card</v>
      </c>
      <c r="T211" s="8">
        <f>COUNTIF(A:A,RawSalesTable6[[#This Row],[Order_ID]])</f>
        <v>1</v>
      </c>
      <c r="U211" s="8" t="str">
        <f>TRIM(LEFT(RawSalesTable6[[#This Row],[Customer_Info]],FIND(",",RawSalesTable6[[#This Row],[Customer_Info]])-1))</f>
        <v>Amelia Brown</v>
      </c>
      <c r="V211" s="8" t="str">
        <f>TRIM(MID(RawSalesTable6[[#This Row],[Customer_Info]],FIND(",",RawSalesTable6[[#This Row],[Customer_Info]])+1,FIND(",",RawSalesTable6[[#This Row],[Customer_Info]],FIND(",",RawSalesTable6[[#This Row],[Customer_Info]])+1)-FIND(",",RawSalesTable6[[#This Row],[Customer_Info]])-1))</f>
        <v>Quebec City</v>
      </c>
      <c r="W211" s="8" t="str">
        <f>TRIM(RIGHT(RawSalesTable6[[#This Row],[Customer_Info]],LEN(RawSalesTable6[[#This Row],[Customer_Info]])-FIND(",",RawSalesTable6[[#This Row],[Customer_Info]],FIND(",",RawSalesTable6[[#This Row],[Customer_Info]])+1)))</f>
        <v>Corporate</v>
      </c>
      <c r="X211" s="8" t="str">
        <f>VLOOKUP(RawSalesTable6[[#This Row],[Product_ID_Clean]],ProductsTable[],2,FALSE)</f>
        <v>Foam Roller</v>
      </c>
      <c r="Y211" s="8" t="str">
        <f>VLOOKUP(RawSalesTable6[[#This Row],[Product_ID_Clean]],ProductsTable[],3,FALSE)</f>
        <v>Fitness</v>
      </c>
      <c r="Z211" s="8">
        <f>VLOOKUP(RawSalesTable6[[#This Row],[Product_ID_Clean]],ProductsTable[],5,FALSE)</f>
        <v>212.02</v>
      </c>
      <c r="AA211" s="8">
        <f>RawSalesTable6[[#This Row],[Unit_Price]]*RawSalesTable6[[#This Row],[Quantity]]</f>
        <v>1132.29</v>
      </c>
      <c r="AB211" s="8">
        <f>RawSalesTable6[[#This Row],[Gross_Sales]]*RawSalesTable6[[#This Row],[Discount_Pct]]</f>
        <v>113.229</v>
      </c>
      <c r="AC211" s="8">
        <f>RawSalesTable6[[#This Row],[Gross_Sales]]-RawSalesTable6[[#This Row],[Discount_Amount]]</f>
        <v>1019.0609999999999</v>
      </c>
      <c r="AD211" s="8">
        <f>RawSalesTable6[[#This Row],[Unit_Cost]]*RawSalesTable6[[#This Row],[Quantity]]</f>
        <v>636.06000000000006</v>
      </c>
      <c r="AE211" s="8">
        <f>RawSalesTable6[[#This Row],[Net_Sales]]-RawSalesTable6[[#This Row],[Total_Cost]]</f>
        <v>383.00099999999986</v>
      </c>
      <c r="AF211" s="9">
        <f>RawSalesTable6[[#This Row],[Profit]]/RawSalesTable6[[#This Row],[Net_Sales]]</f>
        <v>0.375837167745601</v>
      </c>
      <c r="AG211" s="8">
        <f>YEAR(RawSalesTable6[[#This Row],[Order_Date]])</f>
        <v>2025</v>
      </c>
      <c r="AH211" s="8">
        <f>MONTH(RawSalesTable6[[#This Row],[Order_Date]])</f>
        <v>3</v>
      </c>
      <c r="AI211" s="8" t="str">
        <f>TEXT(RawSalesTable6[[#This Row],[Order_Date]],"mmmm")</f>
        <v>mars</v>
      </c>
      <c r="AJ211" s="8" t="str">
        <f>IF(RawSalesTable6[[#This Row],[Month_Number]]&lt;=3,"Q1",IF(RawSalesTable6[[#This Row],[Month_Number]]&lt;=6,"Q2",IF(RawSalesTable6[[#This Row],[Month_Number]]&lt;=9,"Q3","Q4")))</f>
        <v>Q1</v>
      </c>
      <c r="AK211" s="8" t="str">
        <f>VLOOKUP(RawSalesTable6[[#This Row],[Customer_ID_Clean]],CustomersTable[],4,FALSE)</f>
        <v>Quebec</v>
      </c>
      <c r="AL211" s="8">
        <f>IF(RawSalesTable6[[#This Row],[Return_Status]]="Yes",1,0)</f>
        <v>0</v>
      </c>
    </row>
    <row r="212" spans="1:38">
      <c r="A212" t="s">
        <v>583</v>
      </c>
      <c r="B212" s="3">
        <v>45700</v>
      </c>
      <c r="C212" t="s">
        <v>386</v>
      </c>
      <c r="D212" t="s">
        <v>520</v>
      </c>
      <c r="E212" t="s">
        <v>576</v>
      </c>
      <c r="F212" t="s">
        <v>111</v>
      </c>
      <c r="G212" t="s">
        <v>122</v>
      </c>
      <c r="H212" t="s">
        <v>89</v>
      </c>
      <c r="I212">
        <v>2</v>
      </c>
      <c r="J212" s="2">
        <v>349.44</v>
      </c>
      <c r="K212" s="4">
        <v>0.05</v>
      </c>
      <c r="L212" t="s">
        <v>98</v>
      </c>
      <c r="M212">
        <v>1</v>
      </c>
      <c r="N212" t="s">
        <v>91</v>
      </c>
      <c r="O212" t="str">
        <f>SUBSTITUTE(PROPER(TRIM(RawSalesTable6[[#This Row],[Channel_Raw]])),"Market Place","Marketplace")</f>
        <v>Online</v>
      </c>
      <c r="P212" t="str">
        <f>TRIM(RawSalesTable6[[#This Row],[Product_ID]])</f>
        <v>P1017</v>
      </c>
      <c r="Q212" t="str">
        <f>TRIM(RawSalesTable6[[#This Row],[Customer_ID]])</f>
        <v>C0009</v>
      </c>
      <c r="R212" s="8" t="str">
        <f>PROPER(TRIM(RawSalesTable6[[#This Row],[Store_Raw]]))</f>
        <v>Montreal Central</v>
      </c>
      <c r="S212" s="8" t="str">
        <f>IF(TRIM(RawSalesTable6[[#This Row],[Payment_Method_Raw]])="","Non renseigné",SUBSTITUTE(PROPER(TRIM(RawSalesTable6[[#This Row],[Payment_Method_Raw]])),"Cc","Credit Card"))</f>
        <v>Debit Card</v>
      </c>
      <c r="T212" s="8">
        <f>COUNTIF(A:A,RawSalesTable6[[#This Row],[Order_ID]])</f>
        <v>1</v>
      </c>
      <c r="U212" s="8" t="str">
        <f>TRIM(LEFT(RawSalesTable6[[#This Row],[Customer_Info]],FIND(",",RawSalesTable6[[#This Row],[Customer_Info]])-1))</f>
        <v>Ethan Tremblay</v>
      </c>
      <c r="V212" s="8" t="str">
        <f>TRIM(MID(RawSalesTable6[[#This Row],[Customer_Info]],FIND(",",RawSalesTable6[[#This Row],[Customer_Info]])+1,FIND(",",RawSalesTable6[[#This Row],[Customer_Info]],FIND(",",RawSalesTable6[[#This Row],[Customer_Info]])+1)-FIND(",",RawSalesTable6[[#This Row],[Customer_Info]])-1))</f>
        <v>Mississauga</v>
      </c>
      <c r="W212" s="8" t="str">
        <f>TRIM(RIGHT(RawSalesTable6[[#This Row],[Customer_Info]],LEN(RawSalesTable6[[#This Row],[Customer_Info]])-FIND(",",RawSalesTable6[[#This Row],[Customer_Info]],FIND(",",RawSalesTable6[[#This Row],[Customer_Info]])+1)))</f>
        <v>Corporate</v>
      </c>
      <c r="X212" s="8" t="str">
        <f>VLOOKUP(RawSalesTable6[[#This Row],[Product_ID_Clean]],ProductsTable[],2,FALSE)</f>
        <v>Coffee Maker</v>
      </c>
      <c r="Y212" s="8" t="str">
        <f>VLOOKUP(RawSalesTable6[[#This Row],[Product_ID_Clean]],ProductsTable[],3,FALSE)</f>
        <v>Home</v>
      </c>
      <c r="Z212" s="8">
        <f>VLOOKUP(RawSalesTable6[[#This Row],[Product_ID_Clean]],ProductsTable[],5,FALSE)</f>
        <v>241.16</v>
      </c>
      <c r="AA212" s="8">
        <f>RawSalesTable6[[#This Row],[Unit_Price]]*RawSalesTable6[[#This Row],[Quantity]]</f>
        <v>698.88</v>
      </c>
      <c r="AB212" s="8">
        <f>RawSalesTable6[[#This Row],[Gross_Sales]]*RawSalesTable6[[#This Row],[Discount_Pct]]</f>
        <v>34.944000000000003</v>
      </c>
      <c r="AC212" s="8">
        <f>RawSalesTable6[[#This Row],[Gross_Sales]]-RawSalesTable6[[#This Row],[Discount_Amount]]</f>
        <v>663.93600000000004</v>
      </c>
      <c r="AD212" s="8">
        <f>RawSalesTable6[[#This Row],[Unit_Cost]]*RawSalesTable6[[#This Row],[Quantity]]</f>
        <v>482.32</v>
      </c>
      <c r="AE212" s="8">
        <f>RawSalesTable6[[#This Row],[Net_Sales]]-RawSalesTable6[[#This Row],[Total_Cost]]</f>
        <v>181.61600000000004</v>
      </c>
      <c r="AF212" s="9">
        <f>RawSalesTable6[[#This Row],[Profit]]/RawSalesTable6[[#This Row],[Net_Sales]]</f>
        <v>0.27354443801812228</v>
      </c>
      <c r="AG212" s="8">
        <f>YEAR(RawSalesTable6[[#This Row],[Order_Date]])</f>
        <v>2025</v>
      </c>
      <c r="AH212" s="8">
        <f>MONTH(RawSalesTable6[[#This Row],[Order_Date]])</f>
        <v>2</v>
      </c>
      <c r="AI212" s="8" t="str">
        <f>TEXT(RawSalesTable6[[#This Row],[Order_Date]],"mmmm")</f>
        <v>février</v>
      </c>
      <c r="AJ212" s="8" t="str">
        <f>IF(RawSalesTable6[[#This Row],[Month_Number]]&lt;=3,"Q1",IF(RawSalesTable6[[#This Row],[Month_Number]]&lt;=6,"Q2",IF(RawSalesTable6[[#This Row],[Month_Number]]&lt;=9,"Q3","Q4")))</f>
        <v>Q1</v>
      </c>
      <c r="AK212" s="8" t="str">
        <f>VLOOKUP(RawSalesTable6[[#This Row],[Customer_ID_Clean]],CustomersTable[],4,FALSE)</f>
        <v>Ontario</v>
      </c>
      <c r="AL212" s="8">
        <f>IF(RawSalesTable6[[#This Row],[Return_Status]]="Yes",1,0)</f>
        <v>0</v>
      </c>
    </row>
    <row r="213" spans="1:38">
      <c r="A213" t="s">
        <v>584</v>
      </c>
      <c r="B213" s="3">
        <v>45990</v>
      </c>
      <c r="C213" t="s">
        <v>548</v>
      </c>
      <c r="D213" t="s">
        <v>418</v>
      </c>
      <c r="E213" t="s">
        <v>585</v>
      </c>
      <c r="F213" t="s">
        <v>87</v>
      </c>
      <c r="G213" t="s">
        <v>104</v>
      </c>
      <c r="H213" t="s">
        <v>89</v>
      </c>
      <c r="I213">
        <v>1</v>
      </c>
      <c r="J213" s="2">
        <v>371.09</v>
      </c>
      <c r="K213" s="4">
        <v>0</v>
      </c>
      <c r="L213" t="s">
        <v>98</v>
      </c>
      <c r="M213">
        <v>9</v>
      </c>
      <c r="N213" t="s">
        <v>91</v>
      </c>
      <c r="O213" t="str">
        <f>SUBSTITUTE(PROPER(TRIM(RawSalesTable6[[#This Row],[Channel_Raw]])),"Market Place","Marketplace")</f>
        <v>Online</v>
      </c>
      <c r="P213" t="str">
        <f>TRIM(RawSalesTable6[[#This Row],[Product_ID]])</f>
        <v>P1028</v>
      </c>
      <c r="Q213" t="str">
        <f>TRIM(RawSalesTable6[[#This Row],[Customer_ID]])</f>
        <v>C0099</v>
      </c>
      <c r="R213" s="8" t="str">
        <f>PROPER(TRIM(RawSalesTable6[[#This Row],[Store_Raw]]))</f>
        <v>Online Fulfillment</v>
      </c>
      <c r="S213" s="8" t="str">
        <f>IF(TRIM(RawSalesTable6[[#This Row],[Payment_Method_Raw]])="","Non renseigné",SUBSTITUTE(PROPER(TRIM(RawSalesTable6[[#This Row],[Payment_Method_Raw]])),"Cc","Credit Card"))</f>
        <v>Debit Card</v>
      </c>
      <c r="T213" s="8">
        <f>COUNTIF(A:A,RawSalesTable6[[#This Row],[Order_ID]])</f>
        <v>1</v>
      </c>
      <c r="U213" s="8" t="str">
        <f>TRIM(LEFT(RawSalesTable6[[#This Row],[Customer_Info]],FIND(",",RawSalesTable6[[#This Row],[Customer_Info]])-1))</f>
        <v>Amine Gagnon</v>
      </c>
      <c r="V213" s="8" t="str">
        <f>TRIM(MID(RawSalesTable6[[#This Row],[Customer_Info]],FIND(",",RawSalesTable6[[#This Row],[Customer_Info]])+1,FIND(",",RawSalesTable6[[#This Row],[Customer_Info]],FIND(",",RawSalesTable6[[#This Row],[Customer_Info]])+1)-FIND(",",RawSalesTable6[[#This Row],[Customer_Info]])-1))</f>
        <v>Laval</v>
      </c>
      <c r="W213" s="8" t="str">
        <f>TRIM(RIGHT(RawSalesTable6[[#This Row],[Customer_Info]],LEN(RawSalesTable6[[#This Row],[Customer_Info]])-FIND(",",RawSalesTable6[[#This Row],[Customer_Info]],FIND(",",RawSalesTable6[[#This Row],[Customer_Info]])+1)))</f>
        <v>Small Business</v>
      </c>
      <c r="X213" s="8" t="str">
        <f>VLOOKUP(RawSalesTable6[[#This Row],[Product_ID_Clean]],ProductsTable[],2,FALSE)</f>
        <v>Foam Roller</v>
      </c>
      <c r="Y213" s="8" t="str">
        <f>VLOOKUP(RawSalesTable6[[#This Row],[Product_ID_Clean]],ProductsTable[],3,FALSE)</f>
        <v>Fitness</v>
      </c>
      <c r="Z213" s="8">
        <f>VLOOKUP(RawSalesTable6[[#This Row],[Product_ID_Clean]],ProductsTable[],5,FALSE)</f>
        <v>212.02</v>
      </c>
      <c r="AA213" s="8">
        <f>RawSalesTable6[[#This Row],[Unit_Price]]*RawSalesTable6[[#This Row],[Quantity]]</f>
        <v>371.09</v>
      </c>
      <c r="AB213" s="8">
        <f>RawSalesTable6[[#This Row],[Gross_Sales]]*RawSalesTable6[[#This Row],[Discount_Pct]]</f>
        <v>0</v>
      </c>
      <c r="AC213" s="8">
        <f>RawSalesTable6[[#This Row],[Gross_Sales]]-RawSalesTable6[[#This Row],[Discount_Amount]]</f>
        <v>371.09</v>
      </c>
      <c r="AD213" s="8">
        <f>RawSalesTable6[[#This Row],[Unit_Cost]]*RawSalesTable6[[#This Row],[Quantity]]</f>
        <v>212.02</v>
      </c>
      <c r="AE213" s="8">
        <f>RawSalesTable6[[#This Row],[Net_Sales]]-RawSalesTable6[[#This Row],[Total_Cost]]</f>
        <v>159.06999999999996</v>
      </c>
      <c r="AF213" s="9">
        <f>RawSalesTable6[[#This Row],[Profit]]/RawSalesTable6[[#This Row],[Net_Sales]]</f>
        <v>0.42865612115659268</v>
      </c>
      <c r="AG213" s="8">
        <f>YEAR(RawSalesTable6[[#This Row],[Order_Date]])</f>
        <v>2025</v>
      </c>
      <c r="AH213" s="8">
        <f>MONTH(RawSalesTable6[[#This Row],[Order_Date]])</f>
        <v>11</v>
      </c>
      <c r="AI213" s="8" t="str">
        <f>TEXT(RawSalesTable6[[#This Row],[Order_Date]],"mmmm")</f>
        <v>novembre</v>
      </c>
      <c r="AJ213" s="8" t="str">
        <f>IF(RawSalesTable6[[#This Row],[Month_Number]]&lt;=3,"Q1",IF(RawSalesTable6[[#This Row],[Month_Number]]&lt;=6,"Q2",IF(RawSalesTable6[[#This Row],[Month_Number]]&lt;=9,"Q3","Q4")))</f>
        <v>Q4</v>
      </c>
      <c r="AK213" s="8" t="str">
        <f>VLOOKUP(RawSalesTable6[[#This Row],[Customer_ID_Clean]],CustomersTable[],4,FALSE)</f>
        <v>Quebec</v>
      </c>
      <c r="AL213" s="8">
        <f>IF(RawSalesTable6[[#This Row],[Return_Status]]="Yes",1,0)</f>
        <v>0</v>
      </c>
    </row>
    <row r="214" spans="1:38">
      <c r="A214" t="s">
        <v>586</v>
      </c>
      <c r="B214" s="3">
        <v>45898</v>
      </c>
      <c r="C214" t="s">
        <v>569</v>
      </c>
      <c r="D214" t="s">
        <v>174</v>
      </c>
      <c r="E214" t="s">
        <v>570</v>
      </c>
      <c r="F214" t="s">
        <v>116</v>
      </c>
      <c r="G214" t="s">
        <v>104</v>
      </c>
      <c r="H214" t="s">
        <v>89</v>
      </c>
      <c r="I214">
        <v>2</v>
      </c>
      <c r="J214" s="2">
        <v>37.97</v>
      </c>
      <c r="K214" s="4">
        <v>0.1</v>
      </c>
      <c r="L214" t="s">
        <v>90</v>
      </c>
      <c r="M214">
        <v>7</v>
      </c>
      <c r="N214" t="s">
        <v>91</v>
      </c>
      <c r="O214" t="str">
        <f>SUBSTITUTE(PROPER(TRIM(RawSalesTable6[[#This Row],[Channel_Raw]])),"Market Place","Marketplace")</f>
        <v>Online</v>
      </c>
      <c r="P214" t="str">
        <f>TRIM(RawSalesTable6[[#This Row],[Product_ID]])</f>
        <v>P1002</v>
      </c>
      <c r="Q214" t="str">
        <f>TRIM(RawSalesTable6[[#This Row],[Customer_ID]])</f>
        <v>C0087</v>
      </c>
      <c r="R214" s="8" t="str">
        <f>PROPER(TRIM(RawSalesTable6[[#This Row],[Store_Raw]]))</f>
        <v>Toronto Downtown</v>
      </c>
      <c r="S214" s="8" t="str">
        <f>IF(TRIM(RawSalesTable6[[#This Row],[Payment_Method_Raw]])="","Non renseigné",SUBSTITUTE(PROPER(TRIM(RawSalesTable6[[#This Row],[Payment_Method_Raw]])),"Cc","Credit Card"))</f>
        <v>Paypal</v>
      </c>
      <c r="T214" s="8">
        <f>COUNTIF(A:A,RawSalesTable6[[#This Row],[Order_ID]])</f>
        <v>1</v>
      </c>
      <c r="U214" s="8" t="str">
        <f>TRIM(LEFT(RawSalesTable6[[#This Row],[Customer_Info]],FIND(",",RawSalesTable6[[#This Row],[Customer_Info]])-1))</f>
        <v>Daniel Johnson</v>
      </c>
      <c r="V214" s="8" t="str">
        <f>TRIM(MID(RawSalesTable6[[#This Row],[Customer_Info]],FIND(",",RawSalesTable6[[#This Row],[Customer_Info]])+1,FIND(",",RawSalesTable6[[#This Row],[Customer_Info]],FIND(",",RawSalesTable6[[#This Row],[Customer_Info]])+1)-FIND(",",RawSalesTable6[[#This Row],[Customer_Info]])-1))</f>
        <v>Halifax</v>
      </c>
      <c r="W214" s="8" t="str">
        <f>TRIM(RIGHT(RawSalesTable6[[#This Row],[Customer_Info]],LEN(RawSalesTable6[[#This Row],[Customer_Info]])-FIND(",",RawSalesTable6[[#This Row],[Customer_Info]],FIND(",",RawSalesTable6[[#This Row],[Customer_Info]])+1)))</f>
        <v>Consumer</v>
      </c>
      <c r="X214" s="8" t="str">
        <f>VLOOKUP(RawSalesTable6[[#This Row],[Product_ID_Clean]],ProductsTable[],2,FALSE)</f>
        <v>Keyboard</v>
      </c>
      <c r="Y214" s="8" t="str">
        <f>VLOOKUP(RawSalesTable6[[#This Row],[Product_ID_Clean]],ProductsTable[],3,FALSE)</f>
        <v>Electronics</v>
      </c>
      <c r="Z214" s="8">
        <f>VLOOKUP(RawSalesTable6[[#This Row],[Product_ID_Clean]],ProductsTable[],5,FALSE)</f>
        <v>23.5</v>
      </c>
      <c r="AA214" s="8">
        <f>RawSalesTable6[[#This Row],[Unit_Price]]*RawSalesTable6[[#This Row],[Quantity]]</f>
        <v>75.94</v>
      </c>
      <c r="AB214" s="8">
        <f>RawSalesTable6[[#This Row],[Gross_Sales]]*RawSalesTable6[[#This Row],[Discount_Pct]]</f>
        <v>7.5940000000000003</v>
      </c>
      <c r="AC214" s="8">
        <f>RawSalesTable6[[#This Row],[Gross_Sales]]-RawSalesTable6[[#This Row],[Discount_Amount]]</f>
        <v>68.346000000000004</v>
      </c>
      <c r="AD214" s="8">
        <f>RawSalesTable6[[#This Row],[Unit_Cost]]*RawSalesTable6[[#This Row],[Quantity]]</f>
        <v>47</v>
      </c>
      <c r="AE214" s="8">
        <f>RawSalesTable6[[#This Row],[Net_Sales]]-RawSalesTable6[[#This Row],[Total_Cost]]</f>
        <v>21.346000000000004</v>
      </c>
      <c r="AF214" s="9">
        <f>RawSalesTable6[[#This Row],[Profit]]/RawSalesTable6[[#This Row],[Net_Sales]]</f>
        <v>0.31232259386065025</v>
      </c>
      <c r="AG214" s="8">
        <f>YEAR(RawSalesTable6[[#This Row],[Order_Date]])</f>
        <v>2025</v>
      </c>
      <c r="AH214" s="8">
        <f>MONTH(RawSalesTable6[[#This Row],[Order_Date]])</f>
        <v>8</v>
      </c>
      <c r="AI214" s="8" t="str">
        <f>TEXT(RawSalesTable6[[#This Row],[Order_Date]],"mmmm")</f>
        <v>août</v>
      </c>
      <c r="AJ214" s="8" t="str">
        <f>IF(RawSalesTable6[[#This Row],[Month_Number]]&lt;=3,"Q1",IF(RawSalesTable6[[#This Row],[Month_Number]]&lt;=6,"Q2",IF(RawSalesTable6[[#This Row],[Month_Number]]&lt;=9,"Q3","Q4")))</f>
        <v>Q3</v>
      </c>
      <c r="AK214" s="8" t="str">
        <f>VLOOKUP(RawSalesTable6[[#This Row],[Customer_ID_Clean]],CustomersTable[],4,FALSE)</f>
        <v>Nova Scotia</v>
      </c>
      <c r="AL214" s="8">
        <f>IF(RawSalesTable6[[#This Row],[Return_Status]]="Yes",1,0)</f>
        <v>0</v>
      </c>
    </row>
    <row r="215" spans="1:38">
      <c r="A215" t="s">
        <v>587</v>
      </c>
      <c r="B215" s="3">
        <v>45906</v>
      </c>
      <c r="C215" t="s">
        <v>305</v>
      </c>
      <c r="D215" t="s">
        <v>94</v>
      </c>
      <c r="E215" t="s">
        <v>306</v>
      </c>
      <c r="F215" t="s">
        <v>145</v>
      </c>
      <c r="G215" t="s">
        <v>104</v>
      </c>
      <c r="H215" t="s">
        <v>89</v>
      </c>
      <c r="I215">
        <v>1</v>
      </c>
      <c r="J215" s="2">
        <v>313.10000000000002</v>
      </c>
      <c r="K215" s="4">
        <v>0</v>
      </c>
      <c r="L215" t="s">
        <v>106</v>
      </c>
      <c r="M215">
        <v>8</v>
      </c>
      <c r="N215" t="s">
        <v>91</v>
      </c>
      <c r="O215" t="str">
        <f>SUBSTITUTE(PROPER(TRIM(RawSalesTable6[[#This Row],[Channel_Raw]])),"Market Place","Marketplace")</f>
        <v>Online</v>
      </c>
      <c r="P215" t="str">
        <f>TRIM(RawSalesTable6[[#This Row],[Product_ID]])</f>
        <v>P1033</v>
      </c>
      <c r="Q215" t="str">
        <f>TRIM(RawSalesTable6[[#This Row],[Customer_ID]])</f>
        <v>C0055</v>
      </c>
      <c r="R215" s="8" t="str">
        <f>PROPER(TRIM(RawSalesTable6[[#This Row],[Store_Raw]]))</f>
        <v>Calgary North</v>
      </c>
      <c r="S215" s="8" t="str">
        <f>IF(TRIM(RawSalesTable6[[#This Row],[Payment_Method_Raw]])="","Non renseigné",SUBSTITUTE(PROPER(TRIM(RawSalesTable6[[#This Row],[Payment_Method_Raw]])),"Cc","Credit Card"))</f>
        <v>Credit Card</v>
      </c>
      <c r="T215" s="8">
        <f>COUNTIF(A:A,RawSalesTable6[[#This Row],[Order_ID]])</f>
        <v>1</v>
      </c>
      <c r="U215" s="8" t="str">
        <f>TRIM(LEFT(RawSalesTable6[[#This Row],[Customer_Info]],FIND(",",RawSalesTable6[[#This Row],[Customer_Info]])-1))</f>
        <v>Sarah Scott</v>
      </c>
      <c r="V215" s="8" t="str">
        <f>TRIM(MID(RawSalesTable6[[#This Row],[Customer_Info]],FIND(",",RawSalesTable6[[#This Row],[Customer_Info]])+1,FIND(",",RawSalesTable6[[#This Row],[Customer_Info]],FIND(",",RawSalesTable6[[#This Row],[Customer_Info]])+1)-FIND(",",RawSalesTable6[[#This Row],[Customer_Info]])-1))</f>
        <v>Surrey</v>
      </c>
      <c r="W215" s="8" t="str">
        <f>TRIM(RIGHT(RawSalesTable6[[#This Row],[Customer_Info]],LEN(RawSalesTable6[[#This Row],[Customer_Info]])-FIND(",",RawSalesTable6[[#This Row],[Customer_Info]],FIND(",",RawSalesTable6[[#This Row],[Customer_Info]])+1)))</f>
        <v>Consumer</v>
      </c>
      <c r="X215" s="8" t="str">
        <f>VLOOKUP(RawSalesTable6[[#This Row],[Product_ID_Clean]],ProductsTable[],2,FALSE)</f>
        <v>Backpack</v>
      </c>
      <c r="Y215" s="8" t="str">
        <f>VLOOKUP(RawSalesTable6[[#This Row],[Product_ID_Clean]],ProductsTable[],3,FALSE)</f>
        <v>Accessories</v>
      </c>
      <c r="Z215" s="8">
        <f>VLOOKUP(RawSalesTable6[[#This Row],[Product_ID_Clean]],ProductsTable[],5,FALSE)</f>
        <v>152.55000000000001</v>
      </c>
      <c r="AA215" s="8">
        <f>RawSalesTable6[[#This Row],[Unit_Price]]*RawSalesTable6[[#This Row],[Quantity]]</f>
        <v>313.10000000000002</v>
      </c>
      <c r="AB215" s="8">
        <f>RawSalesTable6[[#This Row],[Gross_Sales]]*RawSalesTable6[[#This Row],[Discount_Pct]]</f>
        <v>0</v>
      </c>
      <c r="AC215" s="8">
        <f>RawSalesTable6[[#This Row],[Gross_Sales]]-RawSalesTable6[[#This Row],[Discount_Amount]]</f>
        <v>313.10000000000002</v>
      </c>
      <c r="AD215" s="8">
        <f>RawSalesTable6[[#This Row],[Unit_Cost]]*RawSalesTable6[[#This Row],[Quantity]]</f>
        <v>152.55000000000001</v>
      </c>
      <c r="AE215" s="8">
        <f>RawSalesTable6[[#This Row],[Net_Sales]]-RawSalesTable6[[#This Row],[Total_Cost]]</f>
        <v>160.55000000000001</v>
      </c>
      <c r="AF215" s="9">
        <f>RawSalesTable6[[#This Row],[Profit]]/RawSalesTable6[[#This Row],[Net_Sales]]</f>
        <v>0.51277547109549659</v>
      </c>
      <c r="AG215" s="8">
        <f>YEAR(RawSalesTable6[[#This Row],[Order_Date]])</f>
        <v>2025</v>
      </c>
      <c r="AH215" s="8">
        <f>MONTH(RawSalesTable6[[#This Row],[Order_Date]])</f>
        <v>9</v>
      </c>
      <c r="AI215" s="8" t="str">
        <f>TEXT(RawSalesTable6[[#This Row],[Order_Date]],"mmmm")</f>
        <v>septembre</v>
      </c>
      <c r="AJ215" s="8" t="str">
        <f>IF(RawSalesTable6[[#This Row],[Month_Number]]&lt;=3,"Q1",IF(RawSalesTable6[[#This Row],[Month_Number]]&lt;=6,"Q2",IF(RawSalesTable6[[#This Row],[Month_Number]]&lt;=9,"Q3","Q4")))</f>
        <v>Q3</v>
      </c>
      <c r="AK215" s="8" t="str">
        <f>VLOOKUP(RawSalesTable6[[#This Row],[Customer_ID_Clean]],CustomersTable[],4,FALSE)</f>
        <v>British Columbia</v>
      </c>
      <c r="AL215" s="8">
        <f>IF(RawSalesTable6[[#This Row],[Return_Status]]="Yes",1,0)</f>
        <v>0</v>
      </c>
    </row>
    <row r="216" spans="1:38">
      <c r="A216" t="s">
        <v>588</v>
      </c>
      <c r="B216" s="3">
        <v>45795</v>
      </c>
      <c r="C216" t="s">
        <v>543</v>
      </c>
      <c r="D216" t="s">
        <v>469</v>
      </c>
      <c r="E216" t="s">
        <v>589</v>
      </c>
      <c r="F216" t="s">
        <v>87</v>
      </c>
      <c r="G216" t="s">
        <v>96</v>
      </c>
      <c r="H216" t="s">
        <v>105</v>
      </c>
      <c r="I216">
        <v>1</v>
      </c>
      <c r="J216" s="2">
        <v>88.17</v>
      </c>
      <c r="K216" s="4">
        <v>0.15</v>
      </c>
      <c r="L216" t="s">
        <v>98</v>
      </c>
      <c r="M216">
        <v>1</v>
      </c>
      <c r="N216" t="s">
        <v>91</v>
      </c>
      <c r="O216" t="str">
        <f>SUBSTITUTE(PROPER(TRIM(RawSalesTable6[[#This Row],[Channel_Raw]])),"Market Place","Marketplace")</f>
        <v>Marketplace</v>
      </c>
      <c r="P216" t="str">
        <f>TRIM(RawSalesTable6[[#This Row],[Product_ID]])</f>
        <v>P1035</v>
      </c>
      <c r="Q216" t="str">
        <f>TRIM(RawSalesTable6[[#This Row],[Customer_ID]])</f>
        <v>C0031</v>
      </c>
      <c r="R216" s="8" t="str">
        <f>PROPER(TRIM(RawSalesTable6[[#This Row],[Store_Raw]]))</f>
        <v>Online Fulfillment</v>
      </c>
      <c r="S216" s="8" t="str">
        <f>IF(TRIM(RawSalesTable6[[#This Row],[Payment_Method_Raw]])="","Non renseigné",SUBSTITUTE(PROPER(TRIM(RawSalesTable6[[#This Row],[Payment_Method_Raw]])),"Cc","Credit Card"))</f>
        <v>Debit Card</v>
      </c>
      <c r="T216" s="8">
        <f>COUNTIF(A:A,RawSalesTable6[[#This Row],[Order_ID]])</f>
        <v>1</v>
      </c>
      <c r="U216" s="8" t="str">
        <f>TRIM(LEFT(RawSalesTable6[[#This Row],[Customer_Info]],FIND(",",RawSalesTable6[[#This Row],[Customer_Info]])-1))</f>
        <v>Leo Gagnon</v>
      </c>
      <c r="V216" s="8" t="str">
        <f>TRIM(MID(RawSalesTable6[[#This Row],[Customer_Info]],FIND(",",RawSalesTable6[[#This Row],[Customer_Info]])+1,FIND(",",RawSalesTable6[[#This Row],[Customer_Info]],FIND(",",RawSalesTable6[[#This Row],[Customer_Info]])+1)-FIND(",",RawSalesTable6[[#This Row],[Customer_Info]])-1))</f>
        <v>Surrey</v>
      </c>
      <c r="W216" s="8" t="str">
        <f>TRIM(RIGHT(RawSalesTable6[[#This Row],[Customer_Info]],LEN(RawSalesTable6[[#This Row],[Customer_Info]])-FIND(",",RawSalesTable6[[#This Row],[Customer_Info]],FIND(",",RawSalesTable6[[#This Row],[Customer_Info]])+1)))</f>
        <v>Small Business</v>
      </c>
      <c r="X216" s="8" t="str">
        <f>VLOOKUP(RawSalesTable6[[#This Row],[Product_ID_Clean]],ProductsTable[],2,FALSE)</f>
        <v>Phone Stand</v>
      </c>
      <c r="Y216" s="8" t="str">
        <f>VLOOKUP(RawSalesTable6[[#This Row],[Product_ID_Clean]],ProductsTable[],3,FALSE)</f>
        <v>Accessories</v>
      </c>
      <c r="Z216" s="8">
        <f>VLOOKUP(RawSalesTable6[[#This Row],[Product_ID_Clean]],ProductsTable[],5,FALSE)</f>
        <v>59.85</v>
      </c>
      <c r="AA216" s="8">
        <f>RawSalesTable6[[#This Row],[Unit_Price]]*RawSalesTable6[[#This Row],[Quantity]]</f>
        <v>88.17</v>
      </c>
      <c r="AB216" s="8">
        <f>RawSalesTable6[[#This Row],[Gross_Sales]]*RawSalesTable6[[#This Row],[Discount_Pct]]</f>
        <v>13.2255</v>
      </c>
      <c r="AC216" s="8">
        <f>RawSalesTable6[[#This Row],[Gross_Sales]]-RawSalesTable6[[#This Row],[Discount_Amount]]</f>
        <v>74.944500000000005</v>
      </c>
      <c r="AD216" s="8">
        <f>RawSalesTable6[[#This Row],[Unit_Cost]]*RawSalesTable6[[#This Row],[Quantity]]</f>
        <v>59.85</v>
      </c>
      <c r="AE216" s="8">
        <f>RawSalesTable6[[#This Row],[Net_Sales]]-RawSalesTable6[[#This Row],[Total_Cost]]</f>
        <v>15.094500000000004</v>
      </c>
      <c r="AF216" s="9">
        <f>RawSalesTable6[[#This Row],[Profit]]/RawSalesTable6[[#This Row],[Net_Sales]]</f>
        <v>0.20140904269159182</v>
      </c>
      <c r="AG216" s="8">
        <f>YEAR(RawSalesTable6[[#This Row],[Order_Date]])</f>
        <v>2025</v>
      </c>
      <c r="AH216" s="8">
        <f>MONTH(RawSalesTable6[[#This Row],[Order_Date]])</f>
        <v>5</v>
      </c>
      <c r="AI216" s="8" t="str">
        <f>TEXT(RawSalesTable6[[#This Row],[Order_Date]],"mmmm")</f>
        <v>mai</v>
      </c>
      <c r="AJ216" s="8" t="str">
        <f>IF(RawSalesTable6[[#This Row],[Month_Number]]&lt;=3,"Q1",IF(RawSalesTable6[[#This Row],[Month_Number]]&lt;=6,"Q2",IF(RawSalesTable6[[#This Row],[Month_Number]]&lt;=9,"Q3","Q4")))</f>
        <v>Q2</v>
      </c>
      <c r="AK216" s="8" t="str">
        <f>VLOOKUP(RawSalesTable6[[#This Row],[Customer_ID_Clean]],CustomersTable[],4,FALSE)</f>
        <v>British Columbia</v>
      </c>
      <c r="AL216" s="8">
        <f>IF(RawSalesTable6[[#This Row],[Return_Status]]="Yes",1,0)</f>
        <v>0</v>
      </c>
    </row>
    <row r="217" spans="1:38">
      <c r="A217" t="s">
        <v>590</v>
      </c>
      <c r="B217" s="3">
        <v>45666</v>
      </c>
      <c r="C217" t="s">
        <v>203</v>
      </c>
      <c r="D217" t="s">
        <v>252</v>
      </c>
      <c r="E217" t="s">
        <v>204</v>
      </c>
      <c r="F217" t="s">
        <v>111</v>
      </c>
      <c r="G217" t="s">
        <v>104</v>
      </c>
      <c r="H217" t="s">
        <v>97</v>
      </c>
      <c r="I217">
        <v>4</v>
      </c>
      <c r="J217" s="2">
        <v>263.74</v>
      </c>
      <c r="K217" s="4">
        <v>0</v>
      </c>
      <c r="L217" t="s">
        <v>98</v>
      </c>
      <c r="M217">
        <v>1</v>
      </c>
      <c r="N217" t="s">
        <v>147</v>
      </c>
      <c r="O217" t="str">
        <f>SUBSTITUTE(PROPER(TRIM(RawSalesTable6[[#This Row],[Channel_Raw]])),"Market Place","Marketplace")</f>
        <v>Retail Store</v>
      </c>
      <c r="P217" t="str">
        <f>TRIM(RawSalesTable6[[#This Row],[Product_ID]])</f>
        <v>P1019</v>
      </c>
      <c r="Q217" t="str">
        <f>TRIM(RawSalesTable6[[#This Row],[Customer_ID]])</f>
        <v>C0029</v>
      </c>
      <c r="R217" s="8" t="str">
        <f>PROPER(TRIM(RawSalesTable6[[#This Row],[Store_Raw]]))</f>
        <v>Montreal Central</v>
      </c>
      <c r="S217" s="8" t="str">
        <f>IF(TRIM(RawSalesTable6[[#This Row],[Payment_Method_Raw]])="","Non renseigné",SUBSTITUTE(PROPER(TRIM(RawSalesTable6[[#This Row],[Payment_Method_Raw]])),"Cc","Credit Card"))</f>
        <v>Debit Card</v>
      </c>
      <c r="T217" s="8">
        <f>COUNTIF(A:A,RawSalesTable6[[#This Row],[Order_ID]])</f>
        <v>1</v>
      </c>
      <c r="U217" s="8" t="str">
        <f>TRIM(LEFT(RawSalesTable6[[#This Row],[Customer_Info]],FIND(",",RawSalesTable6[[#This Row],[Customer_Info]])-1))</f>
        <v>Olivia White</v>
      </c>
      <c r="V217" s="8" t="str">
        <f>TRIM(MID(RawSalesTable6[[#This Row],[Customer_Info]],FIND(",",RawSalesTable6[[#This Row],[Customer_Info]])+1,FIND(",",RawSalesTable6[[#This Row],[Customer_Info]],FIND(",",RawSalesTable6[[#This Row],[Customer_Info]])+1)-FIND(",",RawSalesTable6[[#This Row],[Customer_Info]])-1))</f>
        <v>Victoria</v>
      </c>
      <c r="W217" s="8" t="str">
        <f>TRIM(RIGHT(RawSalesTable6[[#This Row],[Customer_Info]],LEN(RawSalesTable6[[#This Row],[Customer_Info]])-FIND(",",RawSalesTable6[[#This Row],[Customer_Info]],FIND(",",RawSalesTable6[[#This Row],[Customer_Info]])+1)))</f>
        <v>Consumer</v>
      </c>
      <c r="X217" s="8" t="str">
        <f>VLOOKUP(RawSalesTable6[[#This Row],[Product_ID_Clean]],ProductsTable[],2,FALSE)</f>
        <v>Vacuum</v>
      </c>
      <c r="Y217" s="8" t="str">
        <f>VLOOKUP(RawSalesTable6[[#This Row],[Product_ID_Clean]],ProductsTable[],3,FALSE)</f>
        <v>Home</v>
      </c>
      <c r="Z217" s="8">
        <f>VLOOKUP(RawSalesTable6[[#This Row],[Product_ID_Clean]],ProductsTable[],5,FALSE)</f>
        <v>186.94</v>
      </c>
      <c r="AA217" s="8">
        <f>RawSalesTable6[[#This Row],[Unit_Price]]*RawSalesTable6[[#This Row],[Quantity]]</f>
        <v>1054.96</v>
      </c>
      <c r="AB217" s="8">
        <f>RawSalesTable6[[#This Row],[Gross_Sales]]*RawSalesTable6[[#This Row],[Discount_Pct]]</f>
        <v>0</v>
      </c>
      <c r="AC217" s="8">
        <f>RawSalesTable6[[#This Row],[Gross_Sales]]-RawSalesTable6[[#This Row],[Discount_Amount]]</f>
        <v>1054.96</v>
      </c>
      <c r="AD217" s="8">
        <f>RawSalesTable6[[#This Row],[Unit_Cost]]*RawSalesTable6[[#This Row],[Quantity]]</f>
        <v>747.76</v>
      </c>
      <c r="AE217" s="8">
        <f>RawSalesTable6[[#This Row],[Net_Sales]]-RawSalesTable6[[#This Row],[Total_Cost]]</f>
        <v>307.20000000000005</v>
      </c>
      <c r="AF217" s="9">
        <f>RawSalesTable6[[#This Row],[Profit]]/RawSalesTable6[[#This Row],[Net_Sales]]</f>
        <v>0.29119587472510811</v>
      </c>
      <c r="AG217" s="8">
        <f>YEAR(RawSalesTable6[[#This Row],[Order_Date]])</f>
        <v>2025</v>
      </c>
      <c r="AH217" s="8">
        <f>MONTH(RawSalesTable6[[#This Row],[Order_Date]])</f>
        <v>1</v>
      </c>
      <c r="AI217" s="8" t="str">
        <f>TEXT(RawSalesTable6[[#This Row],[Order_Date]],"mmmm")</f>
        <v>janvier</v>
      </c>
      <c r="AJ217" s="8" t="str">
        <f>IF(RawSalesTable6[[#This Row],[Month_Number]]&lt;=3,"Q1",IF(RawSalesTable6[[#This Row],[Month_Number]]&lt;=6,"Q2",IF(RawSalesTable6[[#This Row],[Month_Number]]&lt;=9,"Q3","Q4")))</f>
        <v>Q1</v>
      </c>
      <c r="AK217" s="8" t="str">
        <f>VLOOKUP(RawSalesTable6[[#This Row],[Customer_ID_Clean]],CustomersTable[],4,FALSE)</f>
        <v>British Columbia</v>
      </c>
      <c r="AL217" s="8">
        <f>IF(RawSalesTable6[[#This Row],[Return_Status]]="Yes",1,0)</f>
        <v>1</v>
      </c>
    </row>
    <row r="218" spans="1:38">
      <c r="A218" t="s">
        <v>591</v>
      </c>
      <c r="B218" s="3">
        <v>45905</v>
      </c>
      <c r="C218" t="s">
        <v>538</v>
      </c>
      <c r="D218" t="s">
        <v>244</v>
      </c>
      <c r="E218" t="s">
        <v>539</v>
      </c>
      <c r="F218" t="s">
        <v>223</v>
      </c>
      <c r="G218" t="s">
        <v>122</v>
      </c>
      <c r="H218" t="s">
        <v>89</v>
      </c>
      <c r="I218">
        <v>2</v>
      </c>
      <c r="J218" s="2">
        <v>240.06</v>
      </c>
      <c r="K218" s="4">
        <v>0.05</v>
      </c>
      <c r="L218" t="s">
        <v>98</v>
      </c>
      <c r="M218">
        <v>8</v>
      </c>
      <c r="N218" t="s">
        <v>91</v>
      </c>
      <c r="O218" t="str">
        <f>SUBSTITUTE(PROPER(TRIM(RawSalesTable6[[#This Row],[Channel_Raw]])),"Market Place","Marketplace")</f>
        <v>Online</v>
      </c>
      <c r="P218" t="str">
        <f>TRIM(RawSalesTable6[[#This Row],[Product_ID]])</f>
        <v>P1005</v>
      </c>
      <c r="Q218" t="str">
        <f>TRIM(RawSalesTable6[[#This Row],[Customer_ID]])</f>
        <v>C0086</v>
      </c>
      <c r="R218" s="8" t="str">
        <f>PROPER(TRIM(RawSalesTable6[[#This Row],[Store_Raw]]))</f>
        <v>Montreal Central</v>
      </c>
      <c r="S218" s="8" t="str">
        <f>IF(TRIM(RawSalesTable6[[#This Row],[Payment_Method_Raw]])="","Non renseigné",SUBSTITUTE(PROPER(TRIM(RawSalesTable6[[#This Row],[Payment_Method_Raw]])),"Cc","Credit Card"))</f>
        <v>Debit Card</v>
      </c>
      <c r="T218" s="8">
        <f>COUNTIF(A:A,RawSalesTable6[[#This Row],[Order_ID]])</f>
        <v>1</v>
      </c>
      <c r="U218" s="8" t="str">
        <f>TRIM(LEFT(RawSalesTable6[[#This Row],[Customer_Info]],FIND(",",RawSalesTable6[[#This Row],[Customer_Info]])-1))</f>
        <v>Adam Gagnon</v>
      </c>
      <c r="V218" s="8" t="str">
        <f>TRIM(MID(RawSalesTable6[[#This Row],[Customer_Info]],FIND(",",RawSalesTable6[[#This Row],[Customer_Info]])+1,FIND(",",RawSalesTable6[[#This Row],[Customer_Info]],FIND(",",RawSalesTable6[[#This Row],[Customer_Info]])+1)-FIND(",",RawSalesTable6[[#This Row],[Customer_Info]])-1))</f>
        <v>Winnipeg</v>
      </c>
      <c r="W218" s="8" t="str">
        <f>TRIM(RIGHT(RawSalesTable6[[#This Row],[Customer_Info]],LEN(RawSalesTable6[[#This Row],[Customer_Info]])-FIND(",",RawSalesTable6[[#This Row],[Customer_Info]],FIND(",",RawSalesTable6[[#This Row],[Customer_Info]])+1)))</f>
        <v>Consumer</v>
      </c>
      <c r="X218" s="8" t="str">
        <f>VLOOKUP(RawSalesTable6[[#This Row],[Product_ID_Clean]],ProductsTable[],2,FALSE)</f>
        <v>Portable SSD</v>
      </c>
      <c r="Y218" s="8" t="str">
        <f>VLOOKUP(RawSalesTable6[[#This Row],[Product_ID_Clean]],ProductsTable[],3,FALSE)</f>
        <v>Electronics</v>
      </c>
      <c r="Z218" s="8">
        <f>VLOOKUP(RawSalesTable6[[#This Row],[Product_ID_Clean]],ProductsTable[],5,FALSE)</f>
        <v>131.19</v>
      </c>
      <c r="AA218" s="8">
        <f>RawSalesTable6[[#This Row],[Unit_Price]]*RawSalesTable6[[#This Row],[Quantity]]</f>
        <v>480.12</v>
      </c>
      <c r="AB218" s="8">
        <f>RawSalesTable6[[#This Row],[Gross_Sales]]*RawSalesTable6[[#This Row],[Discount_Pct]]</f>
        <v>24.006</v>
      </c>
      <c r="AC218" s="8">
        <f>RawSalesTable6[[#This Row],[Gross_Sales]]-RawSalesTable6[[#This Row],[Discount_Amount]]</f>
        <v>456.11400000000003</v>
      </c>
      <c r="AD218" s="8">
        <f>RawSalesTable6[[#This Row],[Unit_Cost]]*RawSalesTable6[[#This Row],[Quantity]]</f>
        <v>262.38</v>
      </c>
      <c r="AE218" s="8">
        <f>RawSalesTable6[[#This Row],[Net_Sales]]-RawSalesTable6[[#This Row],[Total_Cost]]</f>
        <v>193.73400000000004</v>
      </c>
      <c r="AF218" s="9">
        <f>RawSalesTable6[[#This Row],[Profit]]/RawSalesTable6[[#This Row],[Net_Sales]]</f>
        <v>0.42474907588892258</v>
      </c>
      <c r="AG218" s="8">
        <f>YEAR(RawSalesTable6[[#This Row],[Order_Date]])</f>
        <v>2025</v>
      </c>
      <c r="AH218" s="8">
        <f>MONTH(RawSalesTable6[[#This Row],[Order_Date]])</f>
        <v>9</v>
      </c>
      <c r="AI218" s="8" t="str">
        <f>TEXT(RawSalesTable6[[#This Row],[Order_Date]],"mmmm")</f>
        <v>septembre</v>
      </c>
      <c r="AJ218" s="8" t="str">
        <f>IF(RawSalesTable6[[#This Row],[Month_Number]]&lt;=3,"Q1",IF(RawSalesTable6[[#This Row],[Month_Number]]&lt;=6,"Q2",IF(RawSalesTable6[[#This Row],[Month_Number]]&lt;=9,"Q3","Q4")))</f>
        <v>Q3</v>
      </c>
      <c r="AK218" s="8" t="str">
        <f>VLOOKUP(RawSalesTable6[[#This Row],[Customer_ID_Clean]],CustomersTable[],4,FALSE)</f>
        <v>Manitoba</v>
      </c>
      <c r="AL218" s="8">
        <f>IF(RawSalesTable6[[#This Row],[Return_Status]]="Yes",1,0)</f>
        <v>0</v>
      </c>
    </row>
    <row r="219" spans="1:38">
      <c r="A219" t="s">
        <v>592</v>
      </c>
      <c r="B219" s="3">
        <v>45974</v>
      </c>
      <c r="C219" t="s">
        <v>399</v>
      </c>
      <c r="D219" t="s">
        <v>133</v>
      </c>
      <c r="E219" t="s">
        <v>400</v>
      </c>
      <c r="F219" t="s">
        <v>145</v>
      </c>
      <c r="G219" t="s">
        <v>96</v>
      </c>
      <c r="H219" t="s">
        <v>89</v>
      </c>
      <c r="I219">
        <v>4</v>
      </c>
      <c r="J219" s="2">
        <v>359.78</v>
      </c>
      <c r="K219" s="4">
        <v>0.05</v>
      </c>
      <c r="L219" t="s">
        <v>106</v>
      </c>
      <c r="M219">
        <v>3</v>
      </c>
      <c r="N219" t="s">
        <v>91</v>
      </c>
      <c r="O219" t="str">
        <f>SUBSTITUTE(PROPER(TRIM(RawSalesTable6[[#This Row],[Channel_Raw]])),"Market Place","Marketplace")</f>
        <v>Online</v>
      </c>
      <c r="P219" t="str">
        <f>TRIM(RawSalesTable6[[#This Row],[Product_ID]])</f>
        <v>P1039</v>
      </c>
      <c r="Q219" t="str">
        <f>TRIM(RawSalesTable6[[#This Row],[Customer_ID]])</f>
        <v>C0090</v>
      </c>
      <c r="R219" s="8" t="str">
        <f>PROPER(TRIM(RawSalesTable6[[#This Row],[Store_Raw]]))</f>
        <v>Calgary North</v>
      </c>
      <c r="S219" s="8" t="str">
        <f>IF(TRIM(RawSalesTable6[[#This Row],[Payment_Method_Raw]])="","Non renseigné",SUBSTITUTE(PROPER(TRIM(RawSalesTable6[[#This Row],[Payment_Method_Raw]])),"Cc","Credit Card"))</f>
        <v>Credit Card</v>
      </c>
      <c r="T219" s="8">
        <f>COUNTIF(A:A,RawSalesTable6[[#This Row],[Order_ID]])</f>
        <v>1</v>
      </c>
      <c r="U219" s="8" t="str">
        <f>TRIM(LEFT(RawSalesTable6[[#This Row],[Customer_Info]],FIND(",",RawSalesTable6[[#This Row],[Customer_Info]])-1))</f>
        <v>Nora Young</v>
      </c>
      <c r="V219" s="8" t="str">
        <f>TRIM(MID(RawSalesTable6[[#This Row],[Customer_Info]],FIND(",",RawSalesTable6[[#This Row],[Customer_Info]])+1,FIND(",",RawSalesTable6[[#This Row],[Customer_Info]],FIND(",",RawSalesTable6[[#This Row],[Customer_Info]])+1)-FIND(",",RawSalesTable6[[#This Row],[Customer_Info]])-1))</f>
        <v>Montreal</v>
      </c>
      <c r="W219" s="8" t="str">
        <f>TRIM(RIGHT(RawSalesTable6[[#This Row],[Customer_Info]],LEN(RawSalesTable6[[#This Row],[Customer_Info]])-FIND(",",RawSalesTable6[[#This Row],[Customer_Info]],FIND(",",RawSalesTable6[[#This Row],[Customer_Info]])+1)))</f>
        <v>Small Business</v>
      </c>
      <c r="X219" s="8" t="str">
        <f>VLOOKUP(RawSalesTable6[[#This Row],[Product_ID_Clean]],ProductsTable[],2,FALSE)</f>
        <v>Travel Adapter</v>
      </c>
      <c r="Y219" s="8" t="str">
        <f>VLOOKUP(RawSalesTable6[[#This Row],[Product_ID_Clean]],ProductsTable[],3,FALSE)</f>
        <v>Accessories</v>
      </c>
      <c r="Z219" s="8">
        <f>VLOOKUP(RawSalesTable6[[#This Row],[Product_ID_Clean]],ProductsTable[],5,FALSE)</f>
        <v>229.86</v>
      </c>
      <c r="AA219" s="8">
        <f>RawSalesTable6[[#This Row],[Unit_Price]]*RawSalesTable6[[#This Row],[Quantity]]</f>
        <v>1439.12</v>
      </c>
      <c r="AB219" s="8">
        <f>RawSalesTable6[[#This Row],[Gross_Sales]]*RawSalesTable6[[#This Row],[Discount_Pct]]</f>
        <v>71.956000000000003</v>
      </c>
      <c r="AC219" s="8">
        <f>RawSalesTable6[[#This Row],[Gross_Sales]]-RawSalesTable6[[#This Row],[Discount_Amount]]</f>
        <v>1367.164</v>
      </c>
      <c r="AD219" s="8">
        <f>RawSalesTable6[[#This Row],[Unit_Cost]]*RawSalesTable6[[#This Row],[Quantity]]</f>
        <v>919.44</v>
      </c>
      <c r="AE219" s="8">
        <f>RawSalesTable6[[#This Row],[Net_Sales]]-RawSalesTable6[[#This Row],[Total_Cost]]</f>
        <v>447.72399999999993</v>
      </c>
      <c r="AF219" s="9">
        <f>RawSalesTable6[[#This Row],[Profit]]/RawSalesTable6[[#This Row],[Net_Sales]]</f>
        <v>0.32748375469219487</v>
      </c>
      <c r="AG219" s="8">
        <f>YEAR(RawSalesTable6[[#This Row],[Order_Date]])</f>
        <v>2025</v>
      </c>
      <c r="AH219" s="8">
        <f>MONTH(RawSalesTable6[[#This Row],[Order_Date]])</f>
        <v>11</v>
      </c>
      <c r="AI219" s="8" t="str">
        <f>TEXT(RawSalesTable6[[#This Row],[Order_Date]],"mmmm")</f>
        <v>novembre</v>
      </c>
      <c r="AJ219" s="8" t="str">
        <f>IF(RawSalesTable6[[#This Row],[Month_Number]]&lt;=3,"Q1",IF(RawSalesTable6[[#This Row],[Month_Number]]&lt;=6,"Q2",IF(RawSalesTable6[[#This Row],[Month_Number]]&lt;=9,"Q3","Q4")))</f>
        <v>Q4</v>
      </c>
      <c r="AK219" s="8" t="str">
        <f>VLOOKUP(RawSalesTable6[[#This Row],[Customer_ID_Clean]],CustomersTable[],4,FALSE)</f>
        <v>Quebec</v>
      </c>
      <c r="AL219" s="8">
        <f>IF(RawSalesTable6[[#This Row],[Return_Status]]="Yes",1,0)</f>
        <v>0</v>
      </c>
    </row>
    <row r="220" spans="1:38">
      <c r="A220" t="s">
        <v>593</v>
      </c>
      <c r="B220" s="3">
        <v>45948</v>
      </c>
      <c r="C220" t="s">
        <v>594</v>
      </c>
      <c r="D220" t="s">
        <v>210</v>
      </c>
      <c r="E220" t="s">
        <v>595</v>
      </c>
      <c r="F220" t="s">
        <v>145</v>
      </c>
      <c r="G220" t="s">
        <v>183</v>
      </c>
      <c r="H220" t="s">
        <v>89</v>
      </c>
      <c r="I220">
        <v>2</v>
      </c>
      <c r="J220" s="2">
        <v>303.27</v>
      </c>
      <c r="K220" s="4">
        <v>0</v>
      </c>
      <c r="L220" t="s">
        <v>106</v>
      </c>
      <c r="M220">
        <v>1</v>
      </c>
      <c r="N220" t="s">
        <v>91</v>
      </c>
      <c r="O220" t="str">
        <f>SUBSTITUTE(PROPER(TRIM(RawSalesTable6[[#This Row],[Channel_Raw]])),"Market Place","Marketplace")</f>
        <v>Online</v>
      </c>
      <c r="P220" t="str">
        <f>TRIM(RawSalesTable6[[#This Row],[Product_ID]])</f>
        <v>P1040</v>
      </c>
      <c r="Q220" t="str">
        <f>TRIM(RawSalesTable6[[#This Row],[Customer_ID]])</f>
        <v>C0027</v>
      </c>
      <c r="R220" s="8" t="str">
        <f>PROPER(TRIM(RawSalesTable6[[#This Row],[Store_Raw]]))</f>
        <v>Calgary North</v>
      </c>
      <c r="S220" s="8" t="str">
        <f>IF(TRIM(RawSalesTable6[[#This Row],[Payment_Method_Raw]])="","Non renseigné",SUBSTITUTE(PROPER(TRIM(RawSalesTable6[[#This Row],[Payment_Method_Raw]])),"Cc","Credit Card"))</f>
        <v>Credit Card</v>
      </c>
      <c r="T220" s="8">
        <f>COUNTIF(A:A,RawSalesTable6[[#This Row],[Order_ID]])</f>
        <v>1</v>
      </c>
      <c r="U220" s="8" t="str">
        <f>TRIM(LEFT(RawSalesTable6[[#This Row],[Customer_Info]],FIND(",",RawSalesTable6[[#This Row],[Customer_Info]])-1))</f>
        <v>Nora Wilson</v>
      </c>
      <c r="V220" s="8" t="str">
        <f>TRIM(MID(RawSalesTable6[[#This Row],[Customer_Info]],FIND(",",RawSalesTable6[[#This Row],[Customer_Info]])+1,FIND(",",RawSalesTable6[[#This Row],[Customer_Info]],FIND(",",RawSalesTable6[[#This Row],[Customer_Info]])+1)-FIND(",",RawSalesTable6[[#This Row],[Customer_Info]])-1))</f>
        <v>Toronto</v>
      </c>
      <c r="W220" s="8" t="str">
        <f>TRIM(RIGHT(RawSalesTable6[[#This Row],[Customer_Info]],LEN(RawSalesTable6[[#This Row],[Customer_Info]])-FIND(",",RawSalesTable6[[#This Row],[Customer_Info]],FIND(",",RawSalesTable6[[#This Row],[Customer_Info]])+1)))</f>
        <v>Small Business</v>
      </c>
      <c r="X220" s="8" t="str">
        <f>VLOOKUP(RawSalesTable6[[#This Row],[Product_ID_Clean]],ProductsTable[],2,FALSE)</f>
        <v>Desk Pad</v>
      </c>
      <c r="Y220" s="8" t="str">
        <f>VLOOKUP(RawSalesTable6[[#This Row],[Product_ID_Clean]],ProductsTable[],3,FALSE)</f>
        <v>Accessories</v>
      </c>
      <c r="Z220" s="8">
        <f>VLOOKUP(RawSalesTable6[[#This Row],[Product_ID_Clean]],ProductsTable[],5,FALSE)</f>
        <v>177.57</v>
      </c>
      <c r="AA220" s="8">
        <f>RawSalesTable6[[#This Row],[Unit_Price]]*RawSalesTable6[[#This Row],[Quantity]]</f>
        <v>606.54</v>
      </c>
      <c r="AB220" s="8">
        <f>RawSalesTable6[[#This Row],[Gross_Sales]]*RawSalesTable6[[#This Row],[Discount_Pct]]</f>
        <v>0</v>
      </c>
      <c r="AC220" s="8">
        <f>RawSalesTable6[[#This Row],[Gross_Sales]]-RawSalesTable6[[#This Row],[Discount_Amount]]</f>
        <v>606.54</v>
      </c>
      <c r="AD220" s="8">
        <f>RawSalesTable6[[#This Row],[Unit_Cost]]*RawSalesTable6[[#This Row],[Quantity]]</f>
        <v>355.14</v>
      </c>
      <c r="AE220" s="8">
        <f>RawSalesTable6[[#This Row],[Net_Sales]]-RawSalesTable6[[#This Row],[Total_Cost]]</f>
        <v>251.39999999999998</v>
      </c>
      <c r="AF220" s="9">
        <f>RawSalesTable6[[#This Row],[Profit]]/RawSalesTable6[[#This Row],[Net_Sales]]</f>
        <v>0.41448214462360272</v>
      </c>
      <c r="AG220" s="8">
        <f>YEAR(RawSalesTable6[[#This Row],[Order_Date]])</f>
        <v>2025</v>
      </c>
      <c r="AH220" s="8">
        <f>MONTH(RawSalesTable6[[#This Row],[Order_Date]])</f>
        <v>10</v>
      </c>
      <c r="AI220" s="8" t="str">
        <f>TEXT(RawSalesTable6[[#This Row],[Order_Date]],"mmmm")</f>
        <v>octobre</v>
      </c>
      <c r="AJ220" s="8" t="str">
        <f>IF(RawSalesTable6[[#This Row],[Month_Number]]&lt;=3,"Q1",IF(RawSalesTable6[[#This Row],[Month_Number]]&lt;=6,"Q2",IF(RawSalesTable6[[#This Row],[Month_Number]]&lt;=9,"Q3","Q4")))</f>
        <v>Q4</v>
      </c>
      <c r="AK220" s="8" t="str">
        <f>VLOOKUP(RawSalesTable6[[#This Row],[Customer_ID_Clean]],CustomersTable[],4,FALSE)</f>
        <v>Ontario</v>
      </c>
      <c r="AL220" s="8">
        <f>IF(RawSalesTable6[[#This Row],[Return_Status]]="Yes",1,0)</f>
        <v>0</v>
      </c>
    </row>
    <row r="221" spans="1:38">
      <c r="A221" t="s">
        <v>596</v>
      </c>
      <c r="B221" s="3">
        <v>45820</v>
      </c>
      <c r="C221" t="s">
        <v>597</v>
      </c>
      <c r="D221" t="s">
        <v>303</v>
      </c>
      <c r="E221" t="s">
        <v>598</v>
      </c>
      <c r="F221" t="s">
        <v>145</v>
      </c>
      <c r="G221" t="s">
        <v>117</v>
      </c>
      <c r="H221" t="s">
        <v>89</v>
      </c>
      <c r="I221">
        <v>1</v>
      </c>
      <c r="J221" s="2">
        <v>152.16</v>
      </c>
      <c r="K221" s="4">
        <v>0.15</v>
      </c>
      <c r="L221" t="s">
        <v>90</v>
      </c>
      <c r="M221">
        <v>4</v>
      </c>
      <c r="N221" t="s">
        <v>91</v>
      </c>
      <c r="O221" t="str">
        <f>SUBSTITUTE(PROPER(TRIM(RawSalesTable6[[#This Row],[Channel_Raw]])),"Market Place","Marketplace")</f>
        <v>Online</v>
      </c>
      <c r="P221" t="str">
        <f>TRIM(RawSalesTable6[[#This Row],[Product_ID]])</f>
        <v>P1036</v>
      </c>
      <c r="Q221" t="str">
        <f>TRIM(RawSalesTable6[[#This Row],[Customer_ID]])</f>
        <v>C0004</v>
      </c>
      <c r="R221" s="8" t="str">
        <f>PROPER(TRIM(RawSalesTable6[[#This Row],[Store_Raw]]))</f>
        <v>Calgary North</v>
      </c>
      <c r="S221" s="8" t="str">
        <f>IF(TRIM(RawSalesTable6[[#This Row],[Payment_Method_Raw]])="","Non renseigné",SUBSTITUTE(PROPER(TRIM(RawSalesTable6[[#This Row],[Payment_Method_Raw]])),"Cc","Credit Card"))</f>
        <v>Paypal</v>
      </c>
      <c r="T221" s="8">
        <f>COUNTIF(A:A,RawSalesTable6[[#This Row],[Order_ID]])</f>
        <v>1</v>
      </c>
      <c r="U221" s="8" t="str">
        <f>TRIM(LEFT(RawSalesTable6[[#This Row],[Customer_Info]],FIND(",",RawSalesTable6[[#This Row],[Customer_Info]])-1))</f>
        <v>Mia Bennett</v>
      </c>
      <c r="V221" s="8" t="str">
        <f>TRIM(MID(RawSalesTable6[[#This Row],[Customer_Info]],FIND(",",RawSalesTable6[[#This Row],[Customer_Info]])+1,FIND(",",RawSalesTable6[[#This Row],[Customer_Info]],FIND(",",RawSalesTable6[[#This Row],[Customer_Info]])+1)-FIND(",",RawSalesTable6[[#This Row],[Customer_Info]])-1))</f>
        <v>Laval</v>
      </c>
      <c r="W221" s="8" t="str">
        <f>TRIM(RIGHT(RawSalesTable6[[#This Row],[Customer_Info]],LEN(RawSalesTable6[[#This Row],[Customer_Info]])-FIND(",",RawSalesTable6[[#This Row],[Customer_Info]],FIND(",",RawSalesTable6[[#This Row],[Customer_Info]])+1)))</f>
        <v>Consumer</v>
      </c>
      <c r="X221" s="8" t="str">
        <f>VLOOKUP(RawSalesTable6[[#This Row],[Product_ID_Clean]],ProductsTable[],2,FALSE)</f>
        <v>Power Bank</v>
      </c>
      <c r="Y221" s="8" t="str">
        <f>VLOOKUP(RawSalesTable6[[#This Row],[Product_ID_Clean]],ProductsTable[],3,FALSE)</f>
        <v>Accessories</v>
      </c>
      <c r="Z221" s="8">
        <f>VLOOKUP(RawSalesTable6[[#This Row],[Product_ID_Clean]],ProductsTable[],5,FALSE)</f>
        <v>76.97</v>
      </c>
      <c r="AA221" s="8">
        <f>RawSalesTable6[[#This Row],[Unit_Price]]*RawSalesTable6[[#This Row],[Quantity]]</f>
        <v>152.16</v>
      </c>
      <c r="AB221" s="8">
        <f>RawSalesTable6[[#This Row],[Gross_Sales]]*RawSalesTable6[[#This Row],[Discount_Pct]]</f>
        <v>22.823999999999998</v>
      </c>
      <c r="AC221" s="8">
        <f>RawSalesTable6[[#This Row],[Gross_Sales]]-RawSalesTable6[[#This Row],[Discount_Amount]]</f>
        <v>129.33600000000001</v>
      </c>
      <c r="AD221" s="8">
        <f>RawSalesTable6[[#This Row],[Unit_Cost]]*RawSalesTable6[[#This Row],[Quantity]]</f>
        <v>76.97</v>
      </c>
      <c r="AE221" s="8">
        <f>RawSalesTable6[[#This Row],[Net_Sales]]-RawSalesTable6[[#This Row],[Total_Cost]]</f>
        <v>52.366000000000014</v>
      </c>
      <c r="AF221" s="9">
        <f>RawSalesTable6[[#This Row],[Profit]]/RawSalesTable6[[#This Row],[Net_Sales]]</f>
        <v>0.40488340446588739</v>
      </c>
      <c r="AG221" s="8">
        <f>YEAR(RawSalesTable6[[#This Row],[Order_Date]])</f>
        <v>2025</v>
      </c>
      <c r="AH221" s="8">
        <f>MONTH(RawSalesTable6[[#This Row],[Order_Date]])</f>
        <v>6</v>
      </c>
      <c r="AI221" s="8" t="str">
        <f>TEXT(RawSalesTable6[[#This Row],[Order_Date]],"mmmm")</f>
        <v>juin</v>
      </c>
      <c r="AJ221" s="8" t="str">
        <f>IF(RawSalesTable6[[#This Row],[Month_Number]]&lt;=3,"Q1",IF(RawSalesTable6[[#This Row],[Month_Number]]&lt;=6,"Q2",IF(RawSalesTable6[[#This Row],[Month_Number]]&lt;=9,"Q3","Q4")))</f>
        <v>Q2</v>
      </c>
      <c r="AK221" s="8" t="str">
        <f>VLOOKUP(RawSalesTable6[[#This Row],[Customer_ID_Clean]],CustomersTable[],4,FALSE)</f>
        <v>Quebec</v>
      </c>
      <c r="AL221" s="8">
        <f>IF(RawSalesTable6[[#This Row],[Return_Status]]="Yes",1,0)</f>
        <v>0</v>
      </c>
    </row>
    <row r="222" spans="1:38">
      <c r="A222" t="s">
        <v>599</v>
      </c>
      <c r="B222" s="3">
        <v>45823</v>
      </c>
      <c r="C222" t="s">
        <v>600</v>
      </c>
      <c r="D222" t="s">
        <v>303</v>
      </c>
      <c r="E222" t="s">
        <v>601</v>
      </c>
      <c r="F222" t="s">
        <v>116</v>
      </c>
      <c r="G222" t="s">
        <v>183</v>
      </c>
      <c r="H222" t="s">
        <v>97</v>
      </c>
      <c r="I222">
        <v>1</v>
      </c>
      <c r="J222" s="2">
        <v>159.88</v>
      </c>
      <c r="K222" s="4">
        <v>0</v>
      </c>
      <c r="L222" t="s">
        <v>106</v>
      </c>
      <c r="M222">
        <v>4</v>
      </c>
      <c r="N222" t="s">
        <v>91</v>
      </c>
      <c r="O222" t="str">
        <f>SUBSTITUTE(PROPER(TRIM(RawSalesTable6[[#This Row],[Channel_Raw]])),"Market Place","Marketplace")</f>
        <v>Retail Store</v>
      </c>
      <c r="P222" t="str">
        <f>TRIM(RawSalesTable6[[#This Row],[Product_ID]])</f>
        <v>P1036</v>
      </c>
      <c r="Q222" t="str">
        <f>TRIM(RawSalesTable6[[#This Row],[Customer_ID]])</f>
        <v>C0109</v>
      </c>
      <c r="R222" s="8" t="str">
        <f>PROPER(TRIM(RawSalesTable6[[#This Row],[Store_Raw]]))</f>
        <v>Toronto Downtown</v>
      </c>
      <c r="S222" s="8" t="str">
        <f>IF(TRIM(RawSalesTable6[[#This Row],[Payment_Method_Raw]])="","Non renseigné",SUBSTITUTE(PROPER(TRIM(RawSalesTable6[[#This Row],[Payment_Method_Raw]])),"Cc","Credit Card"))</f>
        <v>Credit Card</v>
      </c>
      <c r="T222" s="8">
        <f>COUNTIF(A:A,RawSalesTable6[[#This Row],[Order_ID]])</f>
        <v>1</v>
      </c>
      <c r="U222" s="8" t="str">
        <f>TRIM(LEFT(RawSalesTable6[[#This Row],[Customer_Info]],FIND(",",RawSalesTable6[[#This Row],[Customer_Info]])-1))</f>
        <v>Emma Wilson</v>
      </c>
      <c r="V222" s="8" t="str">
        <f>TRIM(MID(RawSalesTable6[[#This Row],[Customer_Info]],FIND(",",RawSalesTable6[[#This Row],[Customer_Info]])+1,FIND(",",RawSalesTable6[[#This Row],[Customer_Info]],FIND(",",RawSalesTable6[[#This Row],[Customer_Info]])+1)-FIND(",",RawSalesTable6[[#This Row],[Customer_Info]])-1))</f>
        <v>Victoria</v>
      </c>
      <c r="W222" s="8" t="str">
        <f>TRIM(RIGHT(RawSalesTable6[[#This Row],[Customer_Info]],LEN(RawSalesTable6[[#This Row],[Customer_Info]])-FIND(",",RawSalesTable6[[#This Row],[Customer_Info]],FIND(",",RawSalesTable6[[#This Row],[Customer_Info]])+1)))</f>
        <v>Consumer</v>
      </c>
      <c r="X222" s="8" t="str">
        <f>VLOOKUP(RawSalesTable6[[#This Row],[Product_ID_Clean]],ProductsTable[],2,FALSE)</f>
        <v>Power Bank</v>
      </c>
      <c r="Y222" s="8" t="str">
        <f>VLOOKUP(RawSalesTable6[[#This Row],[Product_ID_Clean]],ProductsTable[],3,FALSE)</f>
        <v>Accessories</v>
      </c>
      <c r="Z222" s="8">
        <f>VLOOKUP(RawSalesTable6[[#This Row],[Product_ID_Clean]],ProductsTable[],5,FALSE)</f>
        <v>76.97</v>
      </c>
      <c r="AA222" s="8">
        <f>RawSalesTable6[[#This Row],[Unit_Price]]*RawSalesTable6[[#This Row],[Quantity]]</f>
        <v>159.88</v>
      </c>
      <c r="AB222" s="8">
        <f>RawSalesTable6[[#This Row],[Gross_Sales]]*RawSalesTable6[[#This Row],[Discount_Pct]]</f>
        <v>0</v>
      </c>
      <c r="AC222" s="8">
        <f>RawSalesTable6[[#This Row],[Gross_Sales]]-RawSalesTable6[[#This Row],[Discount_Amount]]</f>
        <v>159.88</v>
      </c>
      <c r="AD222" s="8">
        <f>RawSalesTable6[[#This Row],[Unit_Cost]]*RawSalesTable6[[#This Row],[Quantity]]</f>
        <v>76.97</v>
      </c>
      <c r="AE222" s="8">
        <f>RawSalesTable6[[#This Row],[Net_Sales]]-RawSalesTable6[[#This Row],[Total_Cost]]</f>
        <v>82.91</v>
      </c>
      <c r="AF222" s="9">
        <f>RawSalesTable6[[#This Row],[Profit]]/RawSalesTable6[[#This Row],[Net_Sales]]</f>
        <v>0.51857643232424322</v>
      </c>
      <c r="AG222" s="8">
        <f>YEAR(RawSalesTable6[[#This Row],[Order_Date]])</f>
        <v>2025</v>
      </c>
      <c r="AH222" s="8">
        <f>MONTH(RawSalesTable6[[#This Row],[Order_Date]])</f>
        <v>6</v>
      </c>
      <c r="AI222" s="8" t="str">
        <f>TEXT(RawSalesTable6[[#This Row],[Order_Date]],"mmmm")</f>
        <v>juin</v>
      </c>
      <c r="AJ222" s="8" t="str">
        <f>IF(RawSalesTable6[[#This Row],[Month_Number]]&lt;=3,"Q1",IF(RawSalesTable6[[#This Row],[Month_Number]]&lt;=6,"Q2",IF(RawSalesTable6[[#This Row],[Month_Number]]&lt;=9,"Q3","Q4")))</f>
        <v>Q2</v>
      </c>
      <c r="AK222" s="8" t="str">
        <f>VLOOKUP(RawSalesTable6[[#This Row],[Customer_ID_Clean]],CustomersTable[],4,FALSE)</f>
        <v>British Columbia</v>
      </c>
      <c r="AL222" s="8">
        <f>IF(RawSalesTable6[[#This Row],[Return_Status]]="Yes",1,0)</f>
        <v>0</v>
      </c>
    </row>
    <row r="223" spans="1:38">
      <c r="A223" t="s">
        <v>602</v>
      </c>
      <c r="B223" s="3">
        <v>45887</v>
      </c>
      <c r="C223" t="s">
        <v>316</v>
      </c>
      <c r="D223" t="s">
        <v>303</v>
      </c>
      <c r="E223" t="s">
        <v>317</v>
      </c>
      <c r="F223" t="s">
        <v>145</v>
      </c>
      <c r="G223" t="s">
        <v>171</v>
      </c>
      <c r="H223" t="s">
        <v>89</v>
      </c>
      <c r="I223">
        <v>3</v>
      </c>
      <c r="J223" s="2">
        <v>166.23</v>
      </c>
      <c r="K223" s="4">
        <v>0</v>
      </c>
      <c r="L223" t="s">
        <v>106</v>
      </c>
      <c r="M223">
        <v>7</v>
      </c>
      <c r="N223" t="s">
        <v>91</v>
      </c>
      <c r="O223" t="str">
        <f>SUBSTITUTE(PROPER(TRIM(RawSalesTable6[[#This Row],[Channel_Raw]])),"Market Place","Marketplace")</f>
        <v>Online</v>
      </c>
      <c r="P223" t="str">
        <f>TRIM(RawSalesTable6[[#This Row],[Product_ID]])</f>
        <v>P1036</v>
      </c>
      <c r="Q223" t="str">
        <f>TRIM(RawSalesTable6[[#This Row],[Customer_ID]])</f>
        <v>C0075</v>
      </c>
      <c r="R223" s="8" t="str">
        <f>PROPER(TRIM(RawSalesTable6[[#This Row],[Store_Raw]]))</f>
        <v>Calgary North</v>
      </c>
      <c r="S223" s="8" t="str">
        <f>IF(TRIM(RawSalesTable6[[#This Row],[Payment_Method_Raw]])="","Non renseigné",SUBSTITUTE(PROPER(TRIM(RawSalesTable6[[#This Row],[Payment_Method_Raw]])),"Cc","Credit Card"))</f>
        <v>Credit Card</v>
      </c>
      <c r="T223" s="8">
        <f>COUNTIF(A:A,RawSalesTable6[[#This Row],[Order_ID]])</f>
        <v>1</v>
      </c>
      <c r="U223" s="8" t="str">
        <f>TRIM(LEFT(RawSalesTable6[[#This Row],[Customer_Info]],FIND(",",RawSalesTable6[[#This Row],[Customer_Info]])-1))</f>
        <v>Amelia Wilson</v>
      </c>
      <c r="V223" s="8" t="str">
        <f>TRIM(MID(RawSalesTable6[[#This Row],[Customer_Info]],FIND(",",RawSalesTable6[[#This Row],[Customer_Info]])+1,FIND(",",RawSalesTable6[[#This Row],[Customer_Info]],FIND(",",RawSalesTable6[[#This Row],[Customer_Info]])+1)-FIND(",",RawSalesTable6[[#This Row],[Customer_Info]])-1))</f>
        <v>Vancouver</v>
      </c>
      <c r="W223" s="8" t="str">
        <f>TRIM(RIGHT(RawSalesTable6[[#This Row],[Customer_Info]],LEN(RawSalesTable6[[#This Row],[Customer_Info]])-FIND(",",RawSalesTable6[[#This Row],[Customer_Info]],FIND(",",RawSalesTable6[[#This Row],[Customer_Info]])+1)))</f>
        <v>Consumer</v>
      </c>
      <c r="X223" s="8" t="str">
        <f>VLOOKUP(RawSalesTable6[[#This Row],[Product_ID_Clean]],ProductsTable[],2,FALSE)</f>
        <v>Power Bank</v>
      </c>
      <c r="Y223" s="8" t="str">
        <f>VLOOKUP(RawSalesTable6[[#This Row],[Product_ID_Clean]],ProductsTable[],3,FALSE)</f>
        <v>Accessories</v>
      </c>
      <c r="Z223" s="8">
        <f>VLOOKUP(RawSalesTable6[[#This Row],[Product_ID_Clean]],ProductsTable[],5,FALSE)</f>
        <v>76.97</v>
      </c>
      <c r="AA223" s="8">
        <f>RawSalesTable6[[#This Row],[Unit_Price]]*RawSalesTable6[[#This Row],[Quantity]]</f>
        <v>498.68999999999994</v>
      </c>
      <c r="AB223" s="8">
        <f>RawSalesTable6[[#This Row],[Gross_Sales]]*RawSalesTable6[[#This Row],[Discount_Pct]]</f>
        <v>0</v>
      </c>
      <c r="AC223" s="8">
        <f>RawSalesTable6[[#This Row],[Gross_Sales]]-RawSalesTable6[[#This Row],[Discount_Amount]]</f>
        <v>498.68999999999994</v>
      </c>
      <c r="AD223" s="8">
        <f>RawSalesTable6[[#This Row],[Unit_Cost]]*RawSalesTable6[[#This Row],[Quantity]]</f>
        <v>230.91</v>
      </c>
      <c r="AE223" s="8">
        <f>RawSalesTable6[[#This Row],[Net_Sales]]-RawSalesTable6[[#This Row],[Total_Cost]]</f>
        <v>267.77999999999997</v>
      </c>
      <c r="AF223" s="9">
        <f>RawSalesTable6[[#This Row],[Profit]]/RawSalesTable6[[#This Row],[Net_Sales]]</f>
        <v>0.53696685315526682</v>
      </c>
      <c r="AG223" s="8">
        <f>YEAR(RawSalesTable6[[#This Row],[Order_Date]])</f>
        <v>2025</v>
      </c>
      <c r="AH223" s="8">
        <f>MONTH(RawSalesTable6[[#This Row],[Order_Date]])</f>
        <v>8</v>
      </c>
      <c r="AI223" s="8" t="str">
        <f>TEXT(RawSalesTable6[[#This Row],[Order_Date]],"mmmm")</f>
        <v>août</v>
      </c>
      <c r="AJ223" s="8" t="str">
        <f>IF(RawSalesTable6[[#This Row],[Month_Number]]&lt;=3,"Q1",IF(RawSalesTable6[[#This Row],[Month_Number]]&lt;=6,"Q2",IF(RawSalesTable6[[#This Row],[Month_Number]]&lt;=9,"Q3","Q4")))</f>
        <v>Q3</v>
      </c>
      <c r="AK223" s="8" t="str">
        <f>VLOOKUP(RawSalesTable6[[#This Row],[Customer_ID_Clean]],CustomersTable[],4,FALSE)</f>
        <v>British Columbia</v>
      </c>
      <c r="AL223" s="8">
        <f>IF(RawSalesTable6[[#This Row],[Return_Status]]="Yes",1,0)</f>
        <v>0</v>
      </c>
    </row>
    <row r="224" spans="1:38">
      <c r="A224" t="s">
        <v>603</v>
      </c>
      <c r="B224" s="3">
        <v>45676</v>
      </c>
      <c r="C224" t="s">
        <v>220</v>
      </c>
      <c r="D224" t="s">
        <v>418</v>
      </c>
      <c r="E224" t="s">
        <v>222</v>
      </c>
      <c r="F224" t="s">
        <v>103</v>
      </c>
      <c r="G224" t="s">
        <v>130</v>
      </c>
      <c r="H224" t="s">
        <v>89</v>
      </c>
      <c r="I224">
        <v>1</v>
      </c>
      <c r="J224" s="2">
        <v>360.28</v>
      </c>
      <c r="K224" s="4">
        <v>0.2</v>
      </c>
      <c r="L224" t="s">
        <v>106</v>
      </c>
      <c r="M224">
        <v>3</v>
      </c>
      <c r="N224" t="s">
        <v>91</v>
      </c>
      <c r="O224" t="str">
        <f>SUBSTITUTE(PROPER(TRIM(RawSalesTable6[[#This Row],[Channel_Raw]])),"Market Place","Marketplace")</f>
        <v>Online</v>
      </c>
      <c r="P224" t="str">
        <f>TRIM(RawSalesTable6[[#This Row],[Product_ID]])</f>
        <v>P1028</v>
      </c>
      <c r="Q224" t="str">
        <f>TRIM(RawSalesTable6[[#This Row],[Customer_ID]])</f>
        <v>C0067</v>
      </c>
      <c r="R224" s="8" t="str">
        <f>PROPER(TRIM(RawSalesTable6[[#This Row],[Store_Raw]]))</f>
        <v>Vancouver West</v>
      </c>
      <c r="S224" s="8" t="str">
        <f>IF(TRIM(RawSalesTable6[[#This Row],[Payment_Method_Raw]])="","Non renseigné",SUBSTITUTE(PROPER(TRIM(RawSalesTable6[[#This Row],[Payment_Method_Raw]])),"Cc","Credit Card"))</f>
        <v>Credit Card</v>
      </c>
      <c r="T224" s="8">
        <f>COUNTIF(A:A,RawSalesTable6[[#This Row],[Order_ID]])</f>
        <v>1</v>
      </c>
      <c r="U224" s="8" t="str">
        <f>TRIM(LEFT(RawSalesTable6[[#This Row],[Customer_Info]],FIND(",",RawSalesTable6[[#This Row],[Customer_Info]])-1))</f>
        <v>Leo Bennett</v>
      </c>
      <c r="V224" s="8" t="str">
        <f>TRIM(MID(RawSalesTable6[[#This Row],[Customer_Info]],FIND(",",RawSalesTable6[[#This Row],[Customer_Info]])+1,FIND(",",RawSalesTable6[[#This Row],[Customer_Info]],FIND(",",RawSalesTable6[[#This Row],[Customer_Info]])+1)-FIND(",",RawSalesTable6[[#This Row],[Customer_Info]])-1))</f>
        <v>Mississauga</v>
      </c>
      <c r="W224" s="8" t="str">
        <f>TRIM(RIGHT(RawSalesTable6[[#This Row],[Customer_Info]],LEN(RawSalesTable6[[#This Row],[Customer_Info]])-FIND(",",RawSalesTable6[[#This Row],[Customer_Info]],FIND(",",RawSalesTable6[[#This Row],[Customer_Info]])+1)))</f>
        <v>Consumer</v>
      </c>
      <c r="X224" s="8" t="str">
        <f>VLOOKUP(RawSalesTable6[[#This Row],[Product_ID_Clean]],ProductsTable[],2,FALSE)</f>
        <v>Foam Roller</v>
      </c>
      <c r="Y224" s="8" t="str">
        <f>VLOOKUP(RawSalesTable6[[#This Row],[Product_ID_Clean]],ProductsTable[],3,FALSE)</f>
        <v>Fitness</v>
      </c>
      <c r="Z224" s="8">
        <f>VLOOKUP(RawSalesTable6[[#This Row],[Product_ID_Clean]],ProductsTable[],5,FALSE)</f>
        <v>212.02</v>
      </c>
      <c r="AA224" s="8">
        <f>RawSalesTable6[[#This Row],[Unit_Price]]*RawSalesTable6[[#This Row],[Quantity]]</f>
        <v>360.28</v>
      </c>
      <c r="AB224" s="8">
        <f>RawSalesTable6[[#This Row],[Gross_Sales]]*RawSalesTable6[[#This Row],[Discount_Pct]]</f>
        <v>72.055999999999997</v>
      </c>
      <c r="AC224" s="8">
        <f>RawSalesTable6[[#This Row],[Gross_Sales]]-RawSalesTable6[[#This Row],[Discount_Amount]]</f>
        <v>288.22399999999999</v>
      </c>
      <c r="AD224" s="8">
        <f>RawSalesTable6[[#This Row],[Unit_Cost]]*RawSalesTable6[[#This Row],[Quantity]]</f>
        <v>212.02</v>
      </c>
      <c r="AE224" s="8">
        <f>RawSalesTable6[[#This Row],[Net_Sales]]-RawSalesTable6[[#This Row],[Total_Cost]]</f>
        <v>76.203999999999979</v>
      </c>
      <c r="AF224" s="9">
        <f>RawSalesTable6[[#This Row],[Profit]]/RawSalesTable6[[#This Row],[Net_Sales]]</f>
        <v>0.26439158432330401</v>
      </c>
      <c r="AG224" s="8">
        <f>YEAR(RawSalesTable6[[#This Row],[Order_Date]])</f>
        <v>2025</v>
      </c>
      <c r="AH224" s="8">
        <f>MONTH(RawSalesTable6[[#This Row],[Order_Date]])</f>
        <v>1</v>
      </c>
      <c r="AI224" s="8" t="str">
        <f>TEXT(RawSalesTable6[[#This Row],[Order_Date]],"mmmm")</f>
        <v>janvier</v>
      </c>
      <c r="AJ224" s="8" t="str">
        <f>IF(RawSalesTable6[[#This Row],[Month_Number]]&lt;=3,"Q1",IF(RawSalesTable6[[#This Row],[Month_Number]]&lt;=6,"Q2",IF(RawSalesTable6[[#This Row],[Month_Number]]&lt;=9,"Q3","Q4")))</f>
        <v>Q1</v>
      </c>
      <c r="AK224" s="8" t="str">
        <f>VLOOKUP(RawSalesTable6[[#This Row],[Customer_ID_Clean]],CustomersTable[],4,FALSE)</f>
        <v>Ontario</v>
      </c>
      <c r="AL224" s="8">
        <f>IF(RawSalesTable6[[#This Row],[Return_Status]]="Yes",1,0)</f>
        <v>0</v>
      </c>
    </row>
    <row r="225" spans="1:38">
      <c r="A225" t="s">
        <v>604</v>
      </c>
      <c r="B225" s="3">
        <v>45691</v>
      </c>
      <c r="C225" t="s">
        <v>316</v>
      </c>
      <c r="D225" t="s">
        <v>109</v>
      </c>
      <c r="E225" t="s">
        <v>317</v>
      </c>
      <c r="F225" t="s">
        <v>111</v>
      </c>
      <c r="G225" t="s">
        <v>183</v>
      </c>
      <c r="H225" t="s">
        <v>89</v>
      </c>
      <c r="I225">
        <v>3</v>
      </c>
      <c r="J225" s="2">
        <v>210.42</v>
      </c>
      <c r="K225" s="4">
        <v>0.2</v>
      </c>
      <c r="L225" t="s">
        <v>106</v>
      </c>
      <c r="M225">
        <v>5</v>
      </c>
      <c r="N225" t="s">
        <v>91</v>
      </c>
      <c r="O225" t="str">
        <f>SUBSTITUTE(PROPER(TRIM(RawSalesTable6[[#This Row],[Channel_Raw]])),"Market Place","Marketplace")</f>
        <v>Online</v>
      </c>
      <c r="P225" t="str">
        <f>TRIM(RawSalesTable6[[#This Row],[Product_ID]])</f>
        <v>P1032</v>
      </c>
      <c r="Q225" t="str">
        <f>TRIM(RawSalesTable6[[#This Row],[Customer_ID]])</f>
        <v>C0075</v>
      </c>
      <c r="R225" s="8" t="str">
        <f>PROPER(TRIM(RawSalesTable6[[#This Row],[Store_Raw]]))</f>
        <v>Montreal Central</v>
      </c>
      <c r="S225" s="8" t="str">
        <f>IF(TRIM(RawSalesTable6[[#This Row],[Payment_Method_Raw]])="","Non renseigné",SUBSTITUTE(PROPER(TRIM(RawSalesTable6[[#This Row],[Payment_Method_Raw]])),"Cc","Credit Card"))</f>
        <v>Credit Card</v>
      </c>
      <c r="T225" s="8">
        <f>COUNTIF(A:A,RawSalesTable6[[#This Row],[Order_ID]])</f>
        <v>1</v>
      </c>
      <c r="U225" s="8" t="str">
        <f>TRIM(LEFT(RawSalesTable6[[#This Row],[Customer_Info]],FIND(",",RawSalesTable6[[#This Row],[Customer_Info]])-1))</f>
        <v>Amelia Wilson</v>
      </c>
      <c r="V225" s="8" t="str">
        <f>TRIM(MID(RawSalesTable6[[#This Row],[Customer_Info]],FIND(",",RawSalesTable6[[#This Row],[Customer_Info]])+1,FIND(",",RawSalesTable6[[#This Row],[Customer_Info]],FIND(",",RawSalesTable6[[#This Row],[Customer_Info]])+1)-FIND(",",RawSalesTable6[[#This Row],[Customer_Info]])-1))</f>
        <v>Vancouver</v>
      </c>
      <c r="W225" s="8" t="str">
        <f>TRIM(RIGHT(RawSalesTable6[[#This Row],[Customer_Info]],LEN(RawSalesTable6[[#This Row],[Customer_Info]])-FIND(",",RawSalesTable6[[#This Row],[Customer_Info]],FIND(",",RawSalesTable6[[#This Row],[Customer_Info]])+1)))</f>
        <v>Consumer</v>
      </c>
      <c r="X225" s="8" t="str">
        <f>VLOOKUP(RawSalesTable6[[#This Row],[Product_ID_Clean]],ProductsTable[],2,FALSE)</f>
        <v>Gym Bag</v>
      </c>
      <c r="Y225" s="8" t="str">
        <f>VLOOKUP(RawSalesTable6[[#This Row],[Product_ID_Clean]],ProductsTable[],3,FALSE)</f>
        <v>Fitness</v>
      </c>
      <c r="Z225" s="8">
        <f>VLOOKUP(RawSalesTable6[[#This Row],[Product_ID_Clean]],ProductsTable[],5,FALSE)</f>
        <v>132.72</v>
      </c>
      <c r="AA225" s="8">
        <f>RawSalesTable6[[#This Row],[Unit_Price]]*RawSalesTable6[[#This Row],[Quantity]]</f>
        <v>631.26</v>
      </c>
      <c r="AB225" s="8">
        <f>RawSalesTable6[[#This Row],[Gross_Sales]]*RawSalesTable6[[#This Row],[Discount_Pct]]</f>
        <v>126.25200000000001</v>
      </c>
      <c r="AC225" s="8">
        <f>RawSalesTable6[[#This Row],[Gross_Sales]]-RawSalesTable6[[#This Row],[Discount_Amount]]</f>
        <v>505.00799999999998</v>
      </c>
      <c r="AD225" s="8">
        <f>RawSalesTable6[[#This Row],[Unit_Cost]]*RawSalesTable6[[#This Row],[Quantity]]</f>
        <v>398.15999999999997</v>
      </c>
      <c r="AE225" s="8">
        <f>RawSalesTable6[[#This Row],[Net_Sales]]-RawSalesTable6[[#This Row],[Total_Cost]]</f>
        <v>106.84800000000001</v>
      </c>
      <c r="AF225" s="9">
        <f>RawSalesTable6[[#This Row],[Profit]]/RawSalesTable6[[#This Row],[Net_Sales]]</f>
        <v>0.21157684630738527</v>
      </c>
      <c r="AG225" s="8">
        <f>YEAR(RawSalesTable6[[#This Row],[Order_Date]])</f>
        <v>2025</v>
      </c>
      <c r="AH225" s="8">
        <f>MONTH(RawSalesTable6[[#This Row],[Order_Date]])</f>
        <v>2</v>
      </c>
      <c r="AI225" s="8" t="str">
        <f>TEXT(RawSalesTable6[[#This Row],[Order_Date]],"mmmm")</f>
        <v>février</v>
      </c>
      <c r="AJ225" s="8" t="str">
        <f>IF(RawSalesTable6[[#This Row],[Month_Number]]&lt;=3,"Q1",IF(RawSalesTable6[[#This Row],[Month_Number]]&lt;=6,"Q2",IF(RawSalesTable6[[#This Row],[Month_Number]]&lt;=9,"Q3","Q4")))</f>
        <v>Q1</v>
      </c>
      <c r="AK225" s="8" t="str">
        <f>VLOOKUP(RawSalesTable6[[#This Row],[Customer_ID_Clean]],CustomersTable[],4,FALSE)</f>
        <v>British Columbia</v>
      </c>
      <c r="AL225" s="8">
        <f>IF(RawSalesTable6[[#This Row],[Return_Status]]="Yes",1,0)</f>
        <v>0</v>
      </c>
    </row>
    <row r="226" spans="1:38">
      <c r="A226" t="s">
        <v>605</v>
      </c>
      <c r="B226" s="3">
        <v>45820</v>
      </c>
      <c r="C226" t="s">
        <v>300</v>
      </c>
      <c r="D226" t="s">
        <v>346</v>
      </c>
      <c r="E226" t="s">
        <v>301</v>
      </c>
      <c r="F226" t="s">
        <v>111</v>
      </c>
      <c r="G226" t="s">
        <v>122</v>
      </c>
      <c r="H226" t="s">
        <v>89</v>
      </c>
      <c r="I226">
        <v>3</v>
      </c>
      <c r="J226" s="2">
        <v>231.45</v>
      </c>
      <c r="K226" s="4">
        <v>0</v>
      </c>
      <c r="L226" t="s">
        <v>106</v>
      </c>
      <c r="M226">
        <v>5</v>
      </c>
      <c r="N226" t="s">
        <v>91</v>
      </c>
      <c r="O226" t="str">
        <f>SUBSTITUTE(PROPER(TRIM(RawSalesTable6[[#This Row],[Channel_Raw]])),"Market Place","Marketplace")</f>
        <v>Online</v>
      </c>
      <c r="P226" t="str">
        <f>TRIM(RawSalesTable6[[#This Row],[Product_ID]])</f>
        <v>P1030</v>
      </c>
      <c r="Q226" t="str">
        <f>TRIM(RawSalesTable6[[#This Row],[Customer_ID]])</f>
        <v>C0016</v>
      </c>
      <c r="R226" s="8" t="str">
        <f>PROPER(TRIM(RawSalesTable6[[#This Row],[Store_Raw]]))</f>
        <v>Montreal Central</v>
      </c>
      <c r="S226" s="8" t="str">
        <f>IF(TRIM(RawSalesTable6[[#This Row],[Payment_Method_Raw]])="","Non renseigné",SUBSTITUTE(PROPER(TRIM(RawSalesTable6[[#This Row],[Payment_Method_Raw]])),"Cc","Credit Card"))</f>
        <v>Credit Card</v>
      </c>
      <c r="T226" s="8">
        <f>COUNTIF(A:A,RawSalesTable6[[#This Row],[Order_ID]])</f>
        <v>1</v>
      </c>
      <c r="U226" s="8" t="str">
        <f>TRIM(LEFT(RawSalesTable6[[#This Row],[Customer_Info]],FIND(",",RawSalesTable6[[#This Row],[Customer_Info]])-1))</f>
        <v>Nora Singh</v>
      </c>
      <c r="V226" s="8" t="str">
        <f>TRIM(MID(RawSalesTable6[[#This Row],[Customer_Info]],FIND(",",RawSalesTable6[[#This Row],[Customer_Info]])+1,FIND(",",RawSalesTable6[[#This Row],[Customer_Info]],FIND(",",RawSalesTable6[[#This Row],[Customer_Info]])+1)-FIND(",",RawSalesTable6[[#This Row],[Customer_Info]])-1))</f>
        <v>Calgary</v>
      </c>
      <c r="W226" s="8" t="str">
        <f>TRIM(RIGHT(RawSalesTable6[[#This Row],[Customer_Info]],LEN(RawSalesTable6[[#This Row],[Customer_Info]])-FIND(",",RawSalesTable6[[#This Row],[Customer_Info]],FIND(",",RawSalesTable6[[#This Row],[Customer_Info]])+1)))</f>
        <v>Consumer</v>
      </c>
      <c r="X226" s="8" t="str">
        <f>VLOOKUP(RawSalesTable6[[#This Row],[Product_ID_Clean]],ProductsTable[],2,FALSE)</f>
        <v>Pull-up Bar</v>
      </c>
      <c r="Y226" s="8" t="str">
        <f>VLOOKUP(RawSalesTable6[[#This Row],[Product_ID_Clean]],ProductsTable[],3,FALSE)</f>
        <v>Fitness</v>
      </c>
      <c r="Z226" s="8">
        <f>VLOOKUP(RawSalesTable6[[#This Row],[Product_ID_Clean]],ProductsTable[],5,FALSE)</f>
        <v>125.4</v>
      </c>
      <c r="AA226" s="8">
        <f>RawSalesTable6[[#This Row],[Unit_Price]]*RawSalesTable6[[#This Row],[Quantity]]</f>
        <v>694.34999999999991</v>
      </c>
      <c r="AB226" s="8">
        <f>RawSalesTable6[[#This Row],[Gross_Sales]]*RawSalesTable6[[#This Row],[Discount_Pct]]</f>
        <v>0</v>
      </c>
      <c r="AC226" s="8">
        <f>RawSalesTable6[[#This Row],[Gross_Sales]]-RawSalesTable6[[#This Row],[Discount_Amount]]</f>
        <v>694.34999999999991</v>
      </c>
      <c r="AD226" s="8">
        <f>RawSalesTable6[[#This Row],[Unit_Cost]]*RawSalesTable6[[#This Row],[Quantity]]</f>
        <v>376.20000000000005</v>
      </c>
      <c r="AE226" s="8">
        <f>RawSalesTable6[[#This Row],[Net_Sales]]-RawSalesTable6[[#This Row],[Total_Cost]]</f>
        <v>318.14999999999986</v>
      </c>
      <c r="AF226" s="9">
        <f>RawSalesTable6[[#This Row],[Profit]]/RawSalesTable6[[#This Row],[Net_Sales]]</f>
        <v>0.45819831497083591</v>
      </c>
      <c r="AG226" s="8">
        <f>YEAR(RawSalesTable6[[#This Row],[Order_Date]])</f>
        <v>2025</v>
      </c>
      <c r="AH226" s="8">
        <f>MONTH(RawSalesTable6[[#This Row],[Order_Date]])</f>
        <v>6</v>
      </c>
      <c r="AI226" s="8" t="str">
        <f>TEXT(RawSalesTable6[[#This Row],[Order_Date]],"mmmm")</f>
        <v>juin</v>
      </c>
      <c r="AJ226" s="8" t="str">
        <f>IF(RawSalesTable6[[#This Row],[Month_Number]]&lt;=3,"Q1",IF(RawSalesTable6[[#This Row],[Month_Number]]&lt;=6,"Q2",IF(RawSalesTable6[[#This Row],[Month_Number]]&lt;=9,"Q3","Q4")))</f>
        <v>Q2</v>
      </c>
      <c r="AK226" s="8" t="str">
        <f>VLOOKUP(RawSalesTable6[[#This Row],[Customer_ID_Clean]],CustomersTable[],4,FALSE)</f>
        <v>Alberta</v>
      </c>
      <c r="AL226" s="8">
        <f>IF(RawSalesTable6[[#This Row],[Return_Status]]="Yes",1,0)</f>
        <v>0</v>
      </c>
    </row>
    <row r="227" spans="1:38">
      <c r="A227" t="s">
        <v>606</v>
      </c>
      <c r="B227" s="3">
        <v>45807</v>
      </c>
      <c r="C227" t="s">
        <v>600</v>
      </c>
      <c r="D227" t="s">
        <v>125</v>
      </c>
      <c r="E227" t="s">
        <v>601</v>
      </c>
      <c r="F227" t="s">
        <v>103</v>
      </c>
      <c r="G227" t="s">
        <v>104</v>
      </c>
      <c r="H227" t="s">
        <v>89</v>
      </c>
      <c r="I227">
        <v>1</v>
      </c>
      <c r="J227" s="2">
        <v>55.31</v>
      </c>
      <c r="K227" s="4">
        <v>0</v>
      </c>
      <c r="L227" t="s">
        <v>98</v>
      </c>
      <c r="M227">
        <v>2</v>
      </c>
      <c r="N227" t="s">
        <v>91</v>
      </c>
      <c r="O227" t="str">
        <f>SUBSTITUTE(PROPER(TRIM(RawSalesTable6[[#This Row],[Channel_Raw]])),"Market Place","Marketplace")</f>
        <v>Online</v>
      </c>
      <c r="P227" t="str">
        <f>TRIM(RawSalesTable6[[#This Row],[Product_ID]])</f>
        <v>P1027</v>
      </c>
      <c r="Q227" t="str">
        <f>TRIM(RawSalesTable6[[#This Row],[Customer_ID]])</f>
        <v>C0109</v>
      </c>
      <c r="R227" s="8" t="str">
        <f>PROPER(TRIM(RawSalesTable6[[#This Row],[Store_Raw]]))</f>
        <v>Vancouver West</v>
      </c>
      <c r="S227" s="8" t="str">
        <f>IF(TRIM(RawSalesTable6[[#This Row],[Payment_Method_Raw]])="","Non renseigné",SUBSTITUTE(PROPER(TRIM(RawSalesTable6[[#This Row],[Payment_Method_Raw]])),"Cc","Credit Card"))</f>
        <v>Debit Card</v>
      </c>
      <c r="T227" s="8">
        <f>COUNTIF(A:A,RawSalesTable6[[#This Row],[Order_ID]])</f>
        <v>1</v>
      </c>
      <c r="U227" s="8" t="str">
        <f>TRIM(LEFT(RawSalesTable6[[#This Row],[Customer_Info]],FIND(",",RawSalesTable6[[#This Row],[Customer_Info]])-1))</f>
        <v>Emma Wilson</v>
      </c>
      <c r="V227" s="8" t="str">
        <f>TRIM(MID(RawSalesTable6[[#This Row],[Customer_Info]],FIND(",",RawSalesTable6[[#This Row],[Customer_Info]])+1,FIND(",",RawSalesTable6[[#This Row],[Customer_Info]],FIND(",",RawSalesTable6[[#This Row],[Customer_Info]])+1)-FIND(",",RawSalesTable6[[#This Row],[Customer_Info]])-1))</f>
        <v>Victoria</v>
      </c>
      <c r="W227" s="8" t="str">
        <f>TRIM(RIGHT(RawSalesTable6[[#This Row],[Customer_Info]],LEN(RawSalesTable6[[#This Row],[Customer_Info]])-FIND(",",RawSalesTable6[[#This Row],[Customer_Info]],FIND(",",RawSalesTable6[[#This Row],[Customer_Info]])+1)))</f>
        <v>Consumer</v>
      </c>
      <c r="X227" s="8" t="str">
        <f>VLOOKUP(RawSalesTable6[[#This Row],[Product_ID_Clean]],ProductsTable[],2,FALSE)</f>
        <v>Kettlebell</v>
      </c>
      <c r="Y227" s="8" t="str">
        <f>VLOOKUP(RawSalesTable6[[#This Row],[Product_ID_Clean]],ProductsTable[],3,FALSE)</f>
        <v>Fitness</v>
      </c>
      <c r="Z227" s="8">
        <f>VLOOKUP(RawSalesTable6[[#This Row],[Product_ID_Clean]],ProductsTable[],5,FALSE)</f>
        <v>25.97</v>
      </c>
      <c r="AA227" s="8">
        <f>RawSalesTable6[[#This Row],[Unit_Price]]*RawSalesTable6[[#This Row],[Quantity]]</f>
        <v>55.31</v>
      </c>
      <c r="AB227" s="8">
        <f>RawSalesTable6[[#This Row],[Gross_Sales]]*RawSalesTable6[[#This Row],[Discount_Pct]]</f>
        <v>0</v>
      </c>
      <c r="AC227" s="8">
        <f>RawSalesTable6[[#This Row],[Gross_Sales]]-RawSalesTable6[[#This Row],[Discount_Amount]]</f>
        <v>55.31</v>
      </c>
      <c r="AD227" s="8">
        <f>RawSalesTable6[[#This Row],[Unit_Cost]]*RawSalesTable6[[#This Row],[Quantity]]</f>
        <v>25.97</v>
      </c>
      <c r="AE227" s="8">
        <f>RawSalesTable6[[#This Row],[Net_Sales]]-RawSalesTable6[[#This Row],[Total_Cost]]</f>
        <v>29.340000000000003</v>
      </c>
      <c r="AF227" s="9">
        <f>RawSalesTable6[[#This Row],[Profit]]/RawSalesTable6[[#This Row],[Net_Sales]]</f>
        <v>0.5304646537696619</v>
      </c>
      <c r="AG227" s="8">
        <f>YEAR(RawSalesTable6[[#This Row],[Order_Date]])</f>
        <v>2025</v>
      </c>
      <c r="AH227" s="8">
        <f>MONTH(RawSalesTable6[[#This Row],[Order_Date]])</f>
        <v>5</v>
      </c>
      <c r="AI227" s="8" t="str">
        <f>TEXT(RawSalesTable6[[#This Row],[Order_Date]],"mmmm")</f>
        <v>mai</v>
      </c>
      <c r="AJ227" s="8" t="str">
        <f>IF(RawSalesTable6[[#This Row],[Month_Number]]&lt;=3,"Q1",IF(RawSalesTable6[[#This Row],[Month_Number]]&lt;=6,"Q2",IF(RawSalesTable6[[#This Row],[Month_Number]]&lt;=9,"Q3","Q4")))</f>
        <v>Q2</v>
      </c>
      <c r="AK227" s="8" t="str">
        <f>VLOOKUP(RawSalesTable6[[#This Row],[Customer_ID_Clean]],CustomersTable[],4,FALSE)</f>
        <v>British Columbia</v>
      </c>
      <c r="AL227" s="8">
        <f>IF(RawSalesTable6[[#This Row],[Return_Status]]="Yes",1,0)</f>
        <v>0</v>
      </c>
    </row>
    <row r="228" spans="1:38">
      <c r="A228" t="s">
        <v>607</v>
      </c>
      <c r="B228" s="3">
        <v>45897</v>
      </c>
      <c r="C228" t="s">
        <v>113</v>
      </c>
      <c r="D228" t="s">
        <v>85</v>
      </c>
      <c r="E228" t="s">
        <v>115</v>
      </c>
      <c r="F228" t="s">
        <v>116</v>
      </c>
      <c r="G228" t="s">
        <v>130</v>
      </c>
      <c r="H228" t="s">
        <v>89</v>
      </c>
      <c r="I228">
        <v>2</v>
      </c>
      <c r="J228" s="2">
        <v>304.89</v>
      </c>
      <c r="K228" s="4">
        <v>0</v>
      </c>
      <c r="L228" t="s">
        <v>106</v>
      </c>
      <c r="M228">
        <v>5</v>
      </c>
      <c r="N228" t="s">
        <v>91</v>
      </c>
      <c r="O228" t="str">
        <f>SUBSTITUTE(PROPER(TRIM(RawSalesTable6[[#This Row],[Channel_Raw]])),"Market Place","Marketplace")</f>
        <v>Online</v>
      </c>
      <c r="P228" t="str">
        <f>TRIM(RawSalesTable6[[#This Row],[Product_ID]])</f>
        <v>P1025</v>
      </c>
      <c r="Q228" t="str">
        <f>TRIM(RawSalesTable6[[#This Row],[Customer_ID]])</f>
        <v>C0083</v>
      </c>
      <c r="R228" s="8" t="str">
        <f>PROPER(TRIM(RawSalesTable6[[#This Row],[Store_Raw]]))</f>
        <v>Toronto Downtown</v>
      </c>
      <c r="S228" s="8" t="str">
        <f>IF(TRIM(RawSalesTable6[[#This Row],[Payment_Method_Raw]])="","Non renseigné",SUBSTITUTE(PROPER(TRIM(RawSalesTable6[[#This Row],[Payment_Method_Raw]])),"Cc","Credit Card"))</f>
        <v>Credit Card</v>
      </c>
      <c r="T228" s="8">
        <f>COUNTIF(A:A,RawSalesTable6[[#This Row],[Order_ID]])</f>
        <v>1</v>
      </c>
      <c r="U228" s="8" t="str">
        <f>TRIM(LEFT(RawSalesTable6[[#This Row],[Customer_Info]],FIND(",",RawSalesTable6[[#This Row],[Customer_Info]])-1))</f>
        <v>Amine King</v>
      </c>
      <c r="V228" s="8" t="str">
        <f>TRIM(MID(RawSalesTable6[[#This Row],[Customer_Info]],FIND(",",RawSalesTable6[[#This Row],[Customer_Info]])+1,FIND(",",RawSalesTable6[[#This Row],[Customer_Info]],FIND(",",RawSalesTable6[[#This Row],[Customer_Info]])+1)-FIND(",",RawSalesTable6[[#This Row],[Customer_Info]])-1))</f>
        <v>Edmonton</v>
      </c>
      <c r="W228" s="8" t="str">
        <f>TRIM(RIGHT(RawSalesTable6[[#This Row],[Customer_Info]],LEN(RawSalesTable6[[#This Row],[Customer_Info]])-FIND(",",RawSalesTable6[[#This Row],[Customer_Info]],FIND(",",RawSalesTable6[[#This Row],[Customer_Info]])+1)))</f>
        <v>Consumer</v>
      </c>
      <c r="X228" s="8" t="str">
        <f>VLOOKUP(RawSalesTable6[[#This Row],[Product_ID_Clean]],ProductsTable[],2,FALSE)</f>
        <v>Yoga Mat</v>
      </c>
      <c r="Y228" s="8" t="str">
        <f>VLOOKUP(RawSalesTable6[[#This Row],[Product_ID_Clean]],ProductsTable[],3,FALSE)</f>
        <v>Fitness</v>
      </c>
      <c r="Z228" s="8">
        <f>VLOOKUP(RawSalesTable6[[#This Row],[Product_ID_Clean]],ProductsTable[],5,FALSE)</f>
        <v>197.33</v>
      </c>
      <c r="AA228" s="8">
        <f>RawSalesTable6[[#This Row],[Unit_Price]]*RawSalesTable6[[#This Row],[Quantity]]</f>
        <v>609.78</v>
      </c>
      <c r="AB228" s="8">
        <f>RawSalesTable6[[#This Row],[Gross_Sales]]*RawSalesTable6[[#This Row],[Discount_Pct]]</f>
        <v>0</v>
      </c>
      <c r="AC228" s="8">
        <f>RawSalesTable6[[#This Row],[Gross_Sales]]-RawSalesTable6[[#This Row],[Discount_Amount]]</f>
        <v>609.78</v>
      </c>
      <c r="AD228" s="8">
        <f>RawSalesTable6[[#This Row],[Unit_Cost]]*RawSalesTable6[[#This Row],[Quantity]]</f>
        <v>394.66</v>
      </c>
      <c r="AE228" s="8">
        <f>RawSalesTable6[[#This Row],[Net_Sales]]-RawSalesTable6[[#This Row],[Total_Cost]]</f>
        <v>215.11999999999995</v>
      </c>
      <c r="AF228" s="9">
        <f>RawSalesTable6[[#This Row],[Profit]]/RawSalesTable6[[#This Row],[Net_Sales]]</f>
        <v>0.35278297090754035</v>
      </c>
      <c r="AG228" s="8">
        <f>YEAR(RawSalesTable6[[#This Row],[Order_Date]])</f>
        <v>2025</v>
      </c>
      <c r="AH228" s="8">
        <f>MONTH(RawSalesTable6[[#This Row],[Order_Date]])</f>
        <v>8</v>
      </c>
      <c r="AI228" s="8" t="str">
        <f>TEXT(RawSalesTable6[[#This Row],[Order_Date]],"mmmm")</f>
        <v>août</v>
      </c>
      <c r="AJ228" s="8" t="str">
        <f>IF(RawSalesTable6[[#This Row],[Month_Number]]&lt;=3,"Q1",IF(RawSalesTable6[[#This Row],[Month_Number]]&lt;=6,"Q2",IF(RawSalesTable6[[#This Row],[Month_Number]]&lt;=9,"Q3","Q4")))</f>
        <v>Q3</v>
      </c>
      <c r="AK228" s="8" t="str">
        <f>VLOOKUP(RawSalesTable6[[#This Row],[Customer_ID_Clean]],CustomersTable[],4,FALSE)</f>
        <v>Alberta</v>
      </c>
      <c r="AL228" s="8">
        <f>IF(RawSalesTable6[[#This Row],[Return_Status]]="Yes",1,0)</f>
        <v>0</v>
      </c>
    </row>
    <row r="229" spans="1:38">
      <c r="A229" t="s">
        <v>608</v>
      </c>
      <c r="B229" s="3">
        <v>45862</v>
      </c>
      <c r="C229" t="s">
        <v>491</v>
      </c>
      <c r="D229" t="s">
        <v>152</v>
      </c>
      <c r="E229" t="s">
        <v>492</v>
      </c>
      <c r="F229" t="s">
        <v>103</v>
      </c>
      <c r="G229" t="s">
        <v>96</v>
      </c>
      <c r="H229" t="s">
        <v>105</v>
      </c>
      <c r="I229">
        <v>4</v>
      </c>
      <c r="J229" s="2">
        <v>138.33000000000001</v>
      </c>
      <c r="K229" s="4">
        <v>0.2</v>
      </c>
      <c r="L229" t="s">
        <v>106</v>
      </c>
      <c r="M229">
        <v>8</v>
      </c>
      <c r="N229" t="s">
        <v>91</v>
      </c>
      <c r="O229" t="str">
        <f>SUBSTITUTE(PROPER(TRIM(RawSalesTable6[[#This Row],[Channel_Raw]])),"Market Place","Marketplace")</f>
        <v>Marketplace</v>
      </c>
      <c r="P229" t="str">
        <f>TRIM(RawSalesTable6[[#This Row],[Product_ID]])</f>
        <v>P1008</v>
      </c>
      <c r="Q229" t="str">
        <f>TRIM(RawSalesTable6[[#This Row],[Customer_ID]])</f>
        <v>C0045</v>
      </c>
      <c r="R229" s="8" t="str">
        <f>PROPER(TRIM(RawSalesTable6[[#This Row],[Store_Raw]]))</f>
        <v>Vancouver West</v>
      </c>
      <c r="S229" s="8" t="str">
        <f>IF(TRIM(RawSalesTable6[[#This Row],[Payment_Method_Raw]])="","Non renseigné",SUBSTITUTE(PROPER(TRIM(RawSalesTable6[[#This Row],[Payment_Method_Raw]])),"Cc","Credit Card"))</f>
        <v>Credit Card</v>
      </c>
      <c r="T229" s="8">
        <f>COUNTIF(A:A,RawSalesTable6[[#This Row],[Order_ID]])</f>
        <v>1</v>
      </c>
      <c r="U229" s="8" t="str">
        <f>TRIM(LEFT(RawSalesTable6[[#This Row],[Customer_Info]],FIND(",",RawSalesTable6[[#This Row],[Customer_Info]])-1))</f>
        <v>Lucas Chen</v>
      </c>
      <c r="V229" s="8" t="str">
        <f>TRIM(MID(RawSalesTable6[[#This Row],[Customer_Info]],FIND(",",RawSalesTable6[[#This Row],[Customer_Info]])+1,FIND(",",RawSalesTable6[[#This Row],[Customer_Info]],FIND(",",RawSalesTable6[[#This Row],[Customer_Info]])+1)-FIND(",",RawSalesTable6[[#This Row],[Customer_Info]])-1))</f>
        <v>Ottawa</v>
      </c>
      <c r="W229" s="8" t="str">
        <f>TRIM(RIGHT(RawSalesTable6[[#This Row],[Customer_Info]],LEN(RawSalesTable6[[#This Row],[Customer_Info]])-FIND(",",RawSalesTable6[[#This Row],[Customer_Info]],FIND(",",RawSalesTable6[[#This Row],[Customer_Info]])+1)))</f>
        <v>Corporate</v>
      </c>
      <c r="X229" s="8" t="str">
        <f>VLOOKUP(RawSalesTable6[[#This Row],[Product_ID_Clean]],ProductsTable[],2,FALSE)</f>
        <v>Smart Speaker</v>
      </c>
      <c r="Y229" s="8" t="str">
        <f>VLOOKUP(RawSalesTable6[[#This Row],[Product_ID_Clean]],ProductsTable[],3,FALSE)</f>
        <v>Electronics</v>
      </c>
      <c r="Z229" s="8">
        <f>VLOOKUP(RawSalesTable6[[#This Row],[Product_ID_Clean]],ProductsTable[],5,FALSE)</f>
        <v>69</v>
      </c>
      <c r="AA229" s="8">
        <f>RawSalesTable6[[#This Row],[Unit_Price]]*RawSalesTable6[[#This Row],[Quantity]]</f>
        <v>553.32000000000005</v>
      </c>
      <c r="AB229" s="8">
        <f>RawSalesTable6[[#This Row],[Gross_Sales]]*RawSalesTable6[[#This Row],[Discount_Pct]]</f>
        <v>110.66400000000002</v>
      </c>
      <c r="AC229" s="8">
        <f>RawSalesTable6[[#This Row],[Gross_Sales]]-RawSalesTable6[[#This Row],[Discount_Amount]]</f>
        <v>442.65600000000006</v>
      </c>
      <c r="AD229" s="8">
        <f>RawSalesTable6[[#This Row],[Unit_Cost]]*RawSalesTable6[[#This Row],[Quantity]]</f>
        <v>276</v>
      </c>
      <c r="AE229" s="8">
        <f>RawSalesTable6[[#This Row],[Net_Sales]]-RawSalesTable6[[#This Row],[Total_Cost]]</f>
        <v>166.65600000000006</v>
      </c>
      <c r="AF229" s="9">
        <f>RawSalesTable6[[#This Row],[Profit]]/RawSalesTable6[[#This Row],[Net_Sales]]</f>
        <v>0.37649099978312739</v>
      </c>
      <c r="AG229" s="8">
        <f>YEAR(RawSalesTable6[[#This Row],[Order_Date]])</f>
        <v>2025</v>
      </c>
      <c r="AH229" s="8">
        <f>MONTH(RawSalesTable6[[#This Row],[Order_Date]])</f>
        <v>7</v>
      </c>
      <c r="AI229" s="8" t="str">
        <f>TEXT(RawSalesTable6[[#This Row],[Order_Date]],"mmmm")</f>
        <v>juillet</v>
      </c>
      <c r="AJ229" s="8" t="str">
        <f>IF(RawSalesTable6[[#This Row],[Month_Number]]&lt;=3,"Q1",IF(RawSalesTable6[[#This Row],[Month_Number]]&lt;=6,"Q2",IF(RawSalesTable6[[#This Row],[Month_Number]]&lt;=9,"Q3","Q4")))</f>
        <v>Q3</v>
      </c>
      <c r="AK229" s="8" t="str">
        <f>VLOOKUP(RawSalesTable6[[#This Row],[Customer_ID_Clean]],CustomersTable[],4,FALSE)</f>
        <v>Ontario</v>
      </c>
      <c r="AL229" s="8">
        <f>IF(RawSalesTable6[[#This Row],[Return_Status]]="Yes",1,0)</f>
        <v>0</v>
      </c>
    </row>
    <row r="230" spans="1:38">
      <c r="A230" t="s">
        <v>609</v>
      </c>
      <c r="B230" s="3">
        <v>45923</v>
      </c>
      <c r="C230" t="s">
        <v>610</v>
      </c>
      <c r="D230" t="s">
        <v>221</v>
      </c>
      <c r="E230" t="s">
        <v>611</v>
      </c>
      <c r="F230" t="s">
        <v>111</v>
      </c>
      <c r="G230" t="s">
        <v>117</v>
      </c>
      <c r="H230" t="s">
        <v>308</v>
      </c>
      <c r="I230">
        <v>1</v>
      </c>
      <c r="J230" s="2">
        <v>30.43</v>
      </c>
      <c r="K230" s="4">
        <v>0.25</v>
      </c>
      <c r="L230" t="s">
        <v>98</v>
      </c>
      <c r="M230">
        <v>9</v>
      </c>
      <c r="N230" t="s">
        <v>147</v>
      </c>
      <c r="O230" t="str">
        <f>SUBSTITUTE(PROPER(TRIM(RawSalesTable6[[#This Row],[Channel_Raw]])),"Market Place","Marketplace")</f>
        <v>Online</v>
      </c>
      <c r="P230" t="str">
        <f>TRIM(RawSalesTable6[[#This Row],[Product_ID]])</f>
        <v>P1018</v>
      </c>
      <c r="Q230" t="str">
        <f>TRIM(RawSalesTable6[[#This Row],[Customer_ID]])</f>
        <v>C0051</v>
      </c>
      <c r="R230" s="8" t="str">
        <f>PROPER(TRIM(RawSalesTable6[[#This Row],[Store_Raw]]))</f>
        <v>Montreal Central</v>
      </c>
      <c r="S230" s="8" t="str">
        <f>IF(TRIM(RawSalesTable6[[#This Row],[Payment_Method_Raw]])="","Non renseigné",SUBSTITUTE(PROPER(TRIM(RawSalesTable6[[#This Row],[Payment_Method_Raw]])),"Cc","Credit Card"))</f>
        <v>Debit Card</v>
      </c>
      <c r="T230" s="8">
        <f>COUNTIF(A:A,RawSalesTable6[[#This Row],[Order_ID]])</f>
        <v>1</v>
      </c>
      <c r="U230" s="8" t="str">
        <f>TRIM(LEFT(RawSalesTable6[[#This Row],[Customer_Info]],FIND(",",RawSalesTable6[[#This Row],[Customer_Info]])-1))</f>
        <v>Daniel Brown</v>
      </c>
      <c r="V230" s="8" t="str">
        <f>TRIM(MID(RawSalesTable6[[#This Row],[Customer_Info]],FIND(",",RawSalesTable6[[#This Row],[Customer_Info]])+1,FIND(",",RawSalesTable6[[#This Row],[Customer_Info]],FIND(",",RawSalesTable6[[#This Row],[Customer_Info]])+1)-FIND(",",RawSalesTable6[[#This Row],[Customer_Info]])-1))</f>
        <v>Vancouver</v>
      </c>
      <c r="W230" s="8" t="str">
        <f>TRIM(RIGHT(RawSalesTable6[[#This Row],[Customer_Info]],LEN(RawSalesTable6[[#This Row],[Customer_Info]])-FIND(",",RawSalesTable6[[#This Row],[Customer_Info]],FIND(",",RawSalesTable6[[#This Row],[Customer_Info]])+1)))</f>
        <v>Small Business</v>
      </c>
      <c r="X230" s="8" t="str">
        <f>VLOOKUP(RawSalesTable6[[#This Row],[Product_ID_Clean]],ProductsTable[],2,FALSE)</f>
        <v>Air Fryer</v>
      </c>
      <c r="Y230" s="8" t="str">
        <f>VLOOKUP(RawSalesTable6[[#This Row],[Product_ID_Clean]],ProductsTable[],3,FALSE)</f>
        <v>Home</v>
      </c>
      <c r="Z230" s="8">
        <f>VLOOKUP(RawSalesTable6[[#This Row],[Product_ID_Clean]],ProductsTable[],5,FALSE)</f>
        <v>14.58</v>
      </c>
      <c r="AA230" s="8">
        <f>RawSalesTable6[[#This Row],[Unit_Price]]*RawSalesTable6[[#This Row],[Quantity]]</f>
        <v>30.43</v>
      </c>
      <c r="AB230" s="8">
        <f>RawSalesTable6[[#This Row],[Gross_Sales]]*RawSalesTable6[[#This Row],[Discount_Pct]]</f>
        <v>7.6074999999999999</v>
      </c>
      <c r="AC230" s="8">
        <f>RawSalesTable6[[#This Row],[Gross_Sales]]-RawSalesTable6[[#This Row],[Discount_Amount]]</f>
        <v>22.822499999999998</v>
      </c>
      <c r="AD230" s="8">
        <f>RawSalesTable6[[#This Row],[Unit_Cost]]*RawSalesTable6[[#This Row],[Quantity]]</f>
        <v>14.58</v>
      </c>
      <c r="AE230" s="8">
        <f>RawSalesTable6[[#This Row],[Net_Sales]]-RawSalesTable6[[#This Row],[Total_Cost]]</f>
        <v>8.2424999999999979</v>
      </c>
      <c r="AF230" s="9">
        <f>RawSalesTable6[[#This Row],[Profit]]/RawSalesTable6[[#This Row],[Net_Sales]]</f>
        <v>0.36115675320407487</v>
      </c>
      <c r="AG230" s="8">
        <f>YEAR(RawSalesTable6[[#This Row],[Order_Date]])</f>
        <v>2025</v>
      </c>
      <c r="AH230" s="8">
        <f>MONTH(RawSalesTable6[[#This Row],[Order_Date]])</f>
        <v>9</v>
      </c>
      <c r="AI230" s="8" t="str">
        <f>TEXT(RawSalesTable6[[#This Row],[Order_Date]],"mmmm")</f>
        <v>septembre</v>
      </c>
      <c r="AJ230" s="8" t="str">
        <f>IF(RawSalesTable6[[#This Row],[Month_Number]]&lt;=3,"Q1",IF(RawSalesTable6[[#This Row],[Month_Number]]&lt;=6,"Q2",IF(RawSalesTable6[[#This Row],[Month_Number]]&lt;=9,"Q3","Q4")))</f>
        <v>Q3</v>
      </c>
      <c r="AK230" s="8" t="str">
        <f>VLOOKUP(RawSalesTable6[[#This Row],[Customer_ID_Clean]],CustomersTable[],4,FALSE)</f>
        <v>British Columbia</v>
      </c>
      <c r="AL230" s="8">
        <f>IF(RawSalesTable6[[#This Row],[Return_Status]]="Yes",1,0)</f>
        <v>1</v>
      </c>
    </row>
    <row r="231" spans="1:38">
      <c r="A231" t="s">
        <v>612</v>
      </c>
      <c r="B231" s="3">
        <v>45665</v>
      </c>
      <c r="C231" t="s">
        <v>613</v>
      </c>
      <c r="D231" t="s">
        <v>194</v>
      </c>
      <c r="E231" t="s">
        <v>614</v>
      </c>
      <c r="F231" t="s">
        <v>111</v>
      </c>
      <c r="G231" t="s">
        <v>130</v>
      </c>
      <c r="H231" t="s">
        <v>89</v>
      </c>
      <c r="I231">
        <v>1</v>
      </c>
      <c r="J231" s="2">
        <v>212.95</v>
      </c>
      <c r="K231" s="4">
        <v>0.15</v>
      </c>
      <c r="L231" t="s">
        <v>98</v>
      </c>
      <c r="M231">
        <v>7</v>
      </c>
      <c r="N231" t="s">
        <v>91</v>
      </c>
      <c r="O231" t="str">
        <f>SUBSTITUTE(PROPER(TRIM(RawSalesTable6[[#This Row],[Channel_Raw]])),"Market Place","Marketplace")</f>
        <v>Online</v>
      </c>
      <c r="P231" t="str">
        <f>TRIM(RawSalesTable6[[#This Row],[Product_ID]])</f>
        <v>P1029</v>
      </c>
      <c r="Q231" t="str">
        <f>TRIM(RawSalesTable6[[#This Row],[Customer_ID]])</f>
        <v>C0060</v>
      </c>
      <c r="R231" s="8" t="str">
        <f>PROPER(TRIM(RawSalesTable6[[#This Row],[Store_Raw]]))</f>
        <v>Montreal Central</v>
      </c>
      <c r="S231" s="8" t="str">
        <f>IF(TRIM(RawSalesTable6[[#This Row],[Payment_Method_Raw]])="","Non renseigné",SUBSTITUTE(PROPER(TRIM(RawSalesTable6[[#This Row],[Payment_Method_Raw]])),"Cc","Credit Card"))</f>
        <v>Debit Card</v>
      </c>
      <c r="T231" s="8">
        <f>COUNTIF(A:A,RawSalesTable6[[#This Row],[Order_ID]])</f>
        <v>1</v>
      </c>
      <c r="U231" s="8" t="str">
        <f>TRIM(LEFT(RawSalesTable6[[#This Row],[Customer_Info]],FIND(",",RawSalesTable6[[#This Row],[Customer_Info]])-1))</f>
        <v>Sarah Wilson</v>
      </c>
      <c r="V231" s="8" t="str">
        <f>TRIM(MID(RawSalesTable6[[#This Row],[Customer_Info]],FIND(",",RawSalesTable6[[#This Row],[Customer_Info]])+1,FIND(",",RawSalesTable6[[#This Row],[Customer_Info]],FIND(",",RawSalesTable6[[#This Row],[Customer_Info]])+1)-FIND(",",RawSalesTable6[[#This Row],[Customer_Info]])-1))</f>
        <v>Quebec City</v>
      </c>
      <c r="W231" s="8" t="str">
        <f>TRIM(RIGHT(RawSalesTable6[[#This Row],[Customer_Info]],LEN(RawSalesTable6[[#This Row],[Customer_Info]])-FIND(",",RawSalesTable6[[#This Row],[Customer_Info]],FIND(",",RawSalesTable6[[#This Row],[Customer_Info]])+1)))</f>
        <v>Corporate</v>
      </c>
      <c r="X231" s="8" t="str">
        <f>VLOOKUP(RawSalesTable6[[#This Row],[Product_ID_Clean]],ProductsTable[],2,FALSE)</f>
        <v>Jump Rope</v>
      </c>
      <c r="Y231" s="8" t="str">
        <f>VLOOKUP(RawSalesTable6[[#This Row],[Product_ID_Clean]],ProductsTable[],3,FALSE)</f>
        <v>Fitness</v>
      </c>
      <c r="Z231" s="8">
        <f>VLOOKUP(RawSalesTable6[[#This Row],[Product_ID_Clean]],ProductsTable[],5,FALSE)</f>
        <v>101</v>
      </c>
      <c r="AA231" s="8">
        <f>RawSalesTable6[[#This Row],[Unit_Price]]*RawSalesTable6[[#This Row],[Quantity]]</f>
        <v>212.95</v>
      </c>
      <c r="AB231" s="8">
        <f>RawSalesTable6[[#This Row],[Gross_Sales]]*RawSalesTable6[[#This Row],[Discount_Pct]]</f>
        <v>31.942499999999995</v>
      </c>
      <c r="AC231" s="8">
        <f>RawSalesTable6[[#This Row],[Gross_Sales]]-RawSalesTable6[[#This Row],[Discount_Amount]]</f>
        <v>181.00749999999999</v>
      </c>
      <c r="AD231" s="8">
        <f>RawSalesTable6[[#This Row],[Unit_Cost]]*RawSalesTable6[[#This Row],[Quantity]]</f>
        <v>101</v>
      </c>
      <c r="AE231" s="8">
        <f>RawSalesTable6[[#This Row],[Net_Sales]]-RawSalesTable6[[#This Row],[Total_Cost]]</f>
        <v>80.007499999999993</v>
      </c>
      <c r="AF231" s="9">
        <f>RawSalesTable6[[#This Row],[Profit]]/RawSalesTable6[[#This Row],[Net_Sales]]</f>
        <v>0.44201207132301146</v>
      </c>
      <c r="AG231" s="8">
        <f>YEAR(RawSalesTable6[[#This Row],[Order_Date]])</f>
        <v>2025</v>
      </c>
      <c r="AH231" s="8">
        <f>MONTH(RawSalesTable6[[#This Row],[Order_Date]])</f>
        <v>1</v>
      </c>
      <c r="AI231" s="8" t="str">
        <f>TEXT(RawSalesTable6[[#This Row],[Order_Date]],"mmmm")</f>
        <v>janvier</v>
      </c>
      <c r="AJ231" s="8" t="str">
        <f>IF(RawSalesTable6[[#This Row],[Month_Number]]&lt;=3,"Q1",IF(RawSalesTable6[[#This Row],[Month_Number]]&lt;=6,"Q2",IF(RawSalesTable6[[#This Row],[Month_Number]]&lt;=9,"Q3","Q4")))</f>
        <v>Q1</v>
      </c>
      <c r="AK231" s="8" t="str">
        <f>VLOOKUP(RawSalesTable6[[#This Row],[Customer_ID_Clean]],CustomersTable[],4,FALSE)</f>
        <v>Quebec</v>
      </c>
      <c r="AL231" s="8">
        <f>IF(RawSalesTable6[[#This Row],[Return_Status]]="Yes",1,0)</f>
        <v>0</v>
      </c>
    </row>
    <row r="232" spans="1:38">
      <c r="A232" t="s">
        <v>615</v>
      </c>
      <c r="B232" s="3">
        <v>45712</v>
      </c>
      <c r="C232" t="s">
        <v>225</v>
      </c>
      <c r="D232" t="s">
        <v>323</v>
      </c>
      <c r="E232" t="s">
        <v>616</v>
      </c>
      <c r="F232" t="s">
        <v>145</v>
      </c>
      <c r="G232" t="s">
        <v>96</v>
      </c>
      <c r="H232" t="s">
        <v>89</v>
      </c>
      <c r="I232">
        <v>5</v>
      </c>
      <c r="J232" s="2">
        <v>340.28</v>
      </c>
      <c r="K232" s="4">
        <v>0</v>
      </c>
      <c r="L232" t="s">
        <v>98</v>
      </c>
      <c r="M232">
        <v>4</v>
      </c>
      <c r="N232" t="s">
        <v>91</v>
      </c>
      <c r="O232" t="str">
        <f>SUBSTITUTE(PROPER(TRIM(RawSalesTable6[[#This Row],[Channel_Raw]])),"Market Place","Marketplace")</f>
        <v>Online</v>
      </c>
      <c r="P232" t="str">
        <f>TRIM(RawSalesTable6[[#This Row],[Product_ID]])</f>
        <v>P1023</v>
      </c>
      <c r="Q232" t="str">
        <f>TRIM(RawSalesTable6[[#This Row],[Customer_ID]])</f>
        <v>C0110</v>
      </c>
      <c r="R232" s="8" t="str">
        <f>PROPER(TRIM(RawSalesTable6[[#This Row],[Store_Raw]]))</f>
        <v>Calgary North</v>
      </c>
      <c r="S232" s="8" t="str">
        <f>IF(TRIM(RawSalesTable6[[#This Row],[Payment_Method_Raw]])="","Non renseigné",SUBSTITUTE(PROPER(TRIM(RawSalesTable6[[#This Row],[Payment_Method_Raw]])),"Cc","Credit Card"))</f>
        <v>Debit Card</v>
      </c>
      <c r="T232" s="8">
        <f>COUNTIF(A:A,RawSalesTable6[[#This Row],[Order_ID]])</f>
        <v>1</v>
      </c>
      <c r="U232" s="8" t="str">
        <f>TRIM(LEFT(RawSalesTable6[[#This Row],[Customer_Info]],FIND(",",RawSalesTable6[[#This Row],[Customer_Info]])-1))</f>
        <v>Sarah Smith</v>
      </c>
      <c r="V232" s="8" t="str">
        <f>TRIM(MID(RawSalesTable6[[#This Row],[Customer_Info]],FIND(",",RawSalesTable6[[#This Row],[Customer_Info]])+1,FIND(",",RawSalesTable6[[#This Row],[Customer_Info]],FIND(",",RawSalesTable6[[#This Row],[Customer_Info]])+1)-FIND(",",RawSalesTable6[[#This Row],[Customer_Info]])-1))</f>
        <v>Laval</v>
      </c>
      <c r="W232" s="8" t="str">
        <f>TRIM(RIGHT(RawSalesTable6[[#This Row],[Customer_Info]],LEN(RawSalesTable6[[#This Row],[Customer_Info]])-FIND(",",RawSalesTable6[[#This Row],[Customer_Info]],FIND(",",RawSalesTable6[[#This Row],[Customer_Info]])+1)))</f>
        <v>Consumer</v>
      </c>
      <c r="X232" s="8" t="str">
        <f>VLOOKUP(RawSalesTable6[[#This Row],[Product_ID_Clean]],ProductsTable[],2,FALSE)</f>
        <v>Toaster</v>
      </c>
      <c r="Y232" s="8" t="str">
        <f>VLOOKUP(RawSalesTable6[[#This Row],[Product_ID_Clean]],ProductsTable[],3,FALSE)</f>
        <v>Home</v>
      </c>
      <c r="Z232" s="8">
        <f>VLOOKUP(RawSalesTable6[[#This Row],[Product_ID_Clean]],ProductsTable[],5,FALSE)</f>
        <v>152.88</v>
      </c>
      <c r="AA232" s="8">
        <f>RawSalesTable6[[#This Row],[Unit_Price]]*RawSalesTable6[[#This Row],[Quantity]]</f>
        <v>1701.3999999999999</v>
      </c>
      <c r="AB232" s="8">
        <f>RawSalesTable6[[#This Row],[Gross_Sales]]*RawSalesTable6[[#This Row],[Discount_Pct]]</f>
        <v>0</v>
      </c>
      <c r="AC232" s="8">
        <f>RawSalesTable6[[#This Row],[Gross_Sales]]-RawSalesTable6[[#This Row],[Discount_Amount]]</f>
        <v>1701.3999999999999</v>
      </c>
      <c r="AD232" s="8">
        <f>RawSalesTable6[[#This Row],[Unit_Cost]]*RawSalesTable6[[#This Row],[Quantity]]</f>
        <v>764.4</v>
      </c>
      <c r="AE232" s="8">
        <f>RawSalesTable6[[#This Row],[Net_Sales]]-RawSalesTable6[[#This Row],[Total_Cost]]</f>
        <v>936.99999999999989</v>
      </c>
      <c r="AF232" s="9">
        <f>RawSalesTable6[[#This Row],[Profit]]/RawSalesTable6[[#This Row],[Net_Sales]]</f>
        <v>0.55072293405430817</v>
      </c>
      <c r="AG232" s="8">
        <f>YEAR(RawSalesTable6[[#This Row],[Order_Date]])</f>
        <v>2025</v>
      </c>
      <c r="AH232" s="8">
        <f>MONTH(RawSalesTable6[[#This Row],[Order_Date]])</f>
        <v>2</v>
      </c>
      <c r="AI232" s="8" t="str">
        <f>TEXT(RawSalesTable6[[#This Row],[Order_Date]],"mmmm")</f>
        <v>février</v>
      </c>
      <c r="AJ232" s="8" t="str">
        <f>IF(RawSalesTable6[[#This Row],[Month_Number]]&lt;=3,"Q1",IF(RawSalesTable6[[#This Row],[Month_Number]]&lt;=6,"Q2",IF(RawSalesTable6[[#This Row],[Month_Number]]&lt;=9,"Q3","Q4")))</f>
        <v>Q1</v>
      </c>
      <c r="AK232" s="8" t="str">
        <f>VLOOKUP(RawSalesTable6[[#This Row],[Customer_ID_Clean]],CustomersTable[],4,FALSE)</f>
        <v>Quebec</v>
      </c>
      <c r="AL232" s="8">
        <f>IF(RawSalesTable6[[#This Row],[Return_Status]]="Yes",1,0)</f>
        <v>0</v>
      </c>
    </row>
    <row r="233" spans="1:38">
      <c r="A233" t="s">
        <v>617</v>
      </c>
      <c r="B233" s="3">
        <v>45802</v>
      </c>
      <c r="C233" t="s">
        <v>430</v>
      </c>
      <c r="D233" t="s">
        <v>152</v>
      </c>
      <c r="E233" t="s">
        <v>431</v>
      </c>
      <c r="F233" t="s">
        <v>111</v>
      </c>
      <c r="G233" t="s">
        <v>88</v>
      </c>
      <c r="H233" t="s">
        <v>89</v>
      </c>
      <c r="I233">
        <v>1</v>
      </c>
      <c r="J233" s="2">
        <v>141.15</v>
      </c>
      <c r="K233" s="4">
        <v>0.1</v>
      </c>
      <c r="L233" t="s">
        <v>154</v>
      </c>
      <c r="M233">
        <v>9</v>
      </c>
      <c r="N233" t="s">
        <v>91</v>
      </c>
      <c r="O233" t="str">
        <f>SUBSTITUTE(PROPER(TRIM(RawSalesTable6[[#This Row],[Channel_Raw]])),"Market Place","Marketplace")</f>
        <v>Online</v>
      </c>
      <c r="P233" t="str">
        <f>TRIM(RawSalesTable6[[#This Row],[Product_ID]])</f>
        <v>P1008</v>
      </c>
      <c r="Q233" t="str">
        <f>TRIM(RawSalesTable6[[#This Row],[Customer_ID]])</f>
        <v>C0056</v>
      </c>
      <c r="R233" s="8" t="str">
        <f>PROPER(TRIM(RawSalesTable6[[#This Row],[Store_Raw]]))</f>
        <v>Montreal Central</v>
      </c>
      <c r="S233" s="8" t="str">
        <f>IF(TRIM(RawSalesTable6[[#This Row],[Payment_Method_Raw]])="","Non renseigné",SUBSTITUTE(PROPER(TRIM(RawSalesTable6[[#This Row],[Payment_Method_Raw]])),"Cc","Credit Card"))</f>
        <v>Gift Card</v>
      </c>
      <c r="T233" s="8">
        <f>COUNTIF(A:A,RawSalesTable6[[#This Row],[Order_ID]])</f>
        <v>1</v>
      </c>
      <c r="U233" s="8" t="str">
        <f>TRIM(LEFT(RawSalesTable6[[#This Row],[Customer_Info]],FIND(",",RawSalesTable6[[#This Row],[Customer_Info]])-1))</f>
        <v>Sarah Wilson</v>
      </c>
      <c r="V233" s="8" t="str">
        <f>TRIM(MID(RawSalesTable6[[#This Row],[Customer_Info]],FIND(",",RawSalesTable6[[#This Row],[Customer_Info]])+1,FIND(",",RawSalesTable6[[#This Row],[Customer_Info]],FIND(",",RawSalesTable6[[#This Row],[Customer_Info]])+1)-FIND(",",RawSalesTable6[[#This Row],[Customer_Info]])-1))</f>
        <v>Halifax</v>
      </c>
      <c r="W233" s="8" t="str">
        <f>TRIM(RIGHT(RawSalesTable6[[#This Row],[Customer_Info]],LEN(RawSalesTable6[[#This Row],[Customer_Info]])-FIND(",",RawSalesTable6[[#This Row],[Customer_Info]],FIND(",",RawSalesTable6[[#This Row],[Customer_Info]])+1)))</f>
        <v>Consumer</v>
      </c>
      <c r="X233" s="8" t="str">
        <f>VLOOKUP(RawSalesTable6[[#This Row],[Product_ID_Clean]],ProductsTable[],2,FALSE)</f>
        <v>Smart Speaker</v>
      </c>
      <c r="Y233" s="8" t="str">
        <f>VLOOKUP(RawSalesTable6[[#This Row],[Product_ID_Clean]],ProductsTable[],3,FALSE)</f>
        <v>Electronics</v>
      </c>
      <c r="Z233" s="8">
        <f>VLOOKUP(RawSalesTable6[[#This Row],[Product_ID_Clean]],ProductsTable[],5,FALSE)</f>
        <v>69</v>
      </c>
      <c r="AA233" s="8">
        <f>RawSalesTable6[[#This Row],[Unit_Price]]*RawSalesTable6[[#This Row],[Quantity]]</f>
        <v>141.15</v>
      </c>
      <c r="AB233" s="8">
        <f>RawSalesTable6[[#This Row],[Gross_Sales]]*RawSalesTable6[[#This Row],[Discount_Pct]]</f>
        <v>14.115000000000002</v>
      </c>
      <c r="AC233" s="8">
        <f>RawSalesTable6[[#This Row],[Gross_Sales]]-RawSalesTable6[[#This Row],[Discount_Amount]]</f>
        <v>127.035</v>
      </c>
      <c r="AD233" s="8">
        <f>RawSalesTable6[[#This Row],[Unit_Cost]]*RawSalesTable6[[#This Row],[Quantity]]</f>
        <v>69</v>
      </c>
      <c r="AE233" s="8">
        <f>RawSalesTable6[[#This Row],[Net_Sales]]-RawSalesTable6[[#This Row],[Total_Cost]]</f>
        <v>58.034999999999997</v>
      </c>
      <c r="AF233" s="9">
        <f>RawSalesTable6[[#This Row],[Profit]]/RawSalesTable6[[#This Row],[Net_Sales]]</f>
        <v>0.45684260243240049</v>
      </c>
      <c r="AG233" s="8">
        <f>YEAR(RawSalesTable6[[#This Row],[Order_Date]])</f>
        <v>2025</v>
      </c>
      <c r="AH233" s="8">
        <f>MONTH(RawSalesTable6[[#This Row],[Order_Date]])</f>
        <v>5</v>
      </c>
      <c r="AI233" s="8" t="str">
        <f>TEXT(RawSalesTable6[[#This Row],[Order_Date]],"mmmm")</f>
        <v>mai</v>
      </c>
      <c r="AJ233" s="8" t="str">
        <f>IF(RawSalesTable6[[#This Row],[Month_Number]]&lt;=3,"Q1",IF(RawSalesTable6[[#This Row],[Month_Number]]&lt;=6,"Q2",IF(RawSalesTable6[[#This Row],[Month_Number]]&lt;=9,"Q3","Q4")))</f>
        <v>Q2</v>
      </c>
      <c r="AK233" s="8" t="str">
        <f>VLOOKUP(RawSalesTable6[[#This Row],[Customer_ID_Clean]],CustomersTable[],4,FALSE)</f>
        <v>Nova Scotia</v>
      </c>
      <c r="AL233" s="8">
        <f>IF(RawSalesTable6[[#This Row],[Return_Status]]="Yes",1,0)</f>
        <v>0</v>
      </c>
    </row>
    <row r="234" spans="1:38">
      <c r="A234" t="s">
        <v>618</v>
      </c>
      <c r="B234" s="3">
        <v>45684</v>
      </c>
      <c r="C234" t="s">
        <v>538</v>
      </c>
      <c r="D234" t="s">
        <v>125</v>
      </c>
      <c r="E234" t="s">
        <v>539</v>
      </c>
      <c r="F234" t="s">
        <v>111</v>
      </c>
      <c r="G234" t="s">
        <v>130</v>
      </c>
      <c r="H234" t="s">
        <v>89</v>
      </c>
      <c r="I234">
        <v>3</v>
      </c>
      <c r="J234" s="2">
        <v>55.19</v>
      </c>
      <c r="K234" s="4">
        <v>0.1</v>
      </c>
      <c r="L234" t="s">
        <v>106</v>
      </c>
      <c r="M234">
        <v>1</v>
      </c>
      <c r="N234" t="s">
        <v>91</v>
      </c>
      <c r="O234" t="str">
        <f>SUBSTITUTE(PROPER(TRIM(RawSalesTable6[[#This Row],[Channel_Raw]])),"Market Place","Marketplace")</f>
        <v>Online</v>
      </c>
      <c r="P234" t="str">
        <f>TRIM(RawSalesTable6[[#This Row],[Product_ID]])</f>
        <v>P1027</v>
      </c>
      <c r="Q234" t="str">
        <f>TRIM(RawSalesTable6[[#This Row],[Customer_ID]])</f>
        <v>C0086</v>
      </c>
      <c r="R234" s="8" t="str">
        <f>PROPER(TRIM(RawSalesTable6[[#This Row],[Store_Raw]]))</f>
        <v>Montreal Central</v>
      </c>
      <c r="S234" s="8" t="str">
        <f>IF(TRIM(RawSalesTable6[[#This Row],[Payment_Method_Raw]])="","Non renseigné",SUBSTITUTE(PROPER(TRIM(RawSalesTable6[[#This Row],[Payment_Method_Raw]])),"Cc","Credit Card"))</f>
        <v>Credit Card</v>
      </c>
      <c r="T234" s="8">
        <f>COUNTIF(A:A,RawSalesTable6[[#This Row],[Order_ID]])</f>
        <v>1</v>
      </c>
      <c r="U234" s="8" t="str">
        <f>TRIM(LEFT(RawSalesTable6[[#This Row],[Customer_Info]],FIND(",",RawSalesTable6[[#This Row],[Customer_Info]])-1))</f>
        <v>Adam Gagnon</v>
      </c>
      <c r="V234" s="8" t="str">
        <f>TRIM(MID(RawSalesTable6[[#This Row],[Customer_Info]],FIND(",",RawSalesTable6[[#This Row],[Customer_Info]])+1,FIND(",",RawSalesTable6[[#This Row],[Customer_Info]],FIND(",",RawSalesTable6[[#This Row],[Customer_Info]])+1)-FIND(",",RawSalesTable6[[#This Row],[Customer_Info]])-1))</f>
        <v>Winnipeg</v>
      </c>
      <c r="W234" s="8" t="str">
        <f>TRIM(RIGHT(RawSalesTable6[[#This Row],[Customer_Info]],LEN(RawSalesTable6[[#This Row],[Customer_Info]])-FIND(",",RawSalesTable6[[#This Row],[Customer_Info]],FIND(",",RawSalesTable6[[#This Row],[Customer_Info]])+1)))</f>
        <v>Consumer</v>
      </c>
      <c r="X234" s="8" t="str">
        <f>VLOOKUP(RawSalesTable6[[#This Row],[Product_ID_Clean]],ProductsTable[],2,FALSE)</f>
        <v>Kettlebell</v>
      </c>
      <c r="Y234" s="8" t="str">
        <f>VLOOKUP(RawSalesTable6[[#This Row],[Product_ID_Clean]],ProductsTable[],3,FALSE)</f>
        <v>Fitness</v>
      </c>
      <c r="Z234" s="8">
        <f>VLOOKUP(RawSalesTable6[[#This Row],[Product_ID_Clean]],ProductsTable[],5,FALSE)</f>
        <v>25.97</v>
      </c>
      <c r="AA234" s="8">
        <f>RawSalesTable6[[#This Row],[Unit_Price]]*RawSalesTable6[[#This Row],[Quantity]]</f>
        <v>165.57</v>
      </c>
      <c r="AB234" s="8">
        <f>RawSalesTable6[[#This Row],[Gross_Sales]]*RawSalesTable6[[#This Row],[Discount_Pct]]</f>
        <v>16.556999999999999</v>
      </c>
      <c r="AC234" s="8">
        <f>RawSalesTable6[[#This Row],[Gross_Sales]]-RawSalesTable6[[#This Row],[Discount_Amount]]</f>
        <v>149.01300000000001</v>
      </c>
      <c r="AD234" s="8">
        <f>RawSalesTable6[[#This Row],[Unit_Cost]]*RawSalesTable6[[#This Row],[Quantity]]</f>
        <v>77.91</v>
      </c>
      <c r="AE234" s="8">
        <f>RawSalesTable6[[#This Row],[Net_Sales]]-RawSalesTable6[[#This Row],[Total_Cost]]</f>
        <v>71.103000000000009</v>
      </c>
      <c r="AF234" s="9">
        <f>RawSalesTable6[[#This Row],[Profit]]/RawSalesTable6[[#This Row],[Net_Sales]]</f>
        <v>0.47715971089770698</v>
      </c>
      <c r="AG234" s="8">
        <f>YEAR(RawSalesTable6[[#This Row],[Order_Date]])</f>
        <v>2025</v>
      </c>
      <c r="AH234" s="8">
        <f>MONTH(RawSalesTable6[[#This Row],[Order_Date]])</f>
        <v>1</v>
      </c>
      <c r="AI234" s="8" t="str">
        <f>TEXT(RawSalesTable6[[#This Row],[Order_Date]],"mmmm")</f>
        <v>janvier</v>
      </c>
      <c r="AJ234" s="8" t="str">
        <f>IF(RawSalesTable6[[#This Row],[Month_Number]]&lt;=3,"Q1",IF(RawSalesTable6[[#This Row],[Month_Number]]&lt;=6,"Q2",IF(RawSalesTable6[[#This Row],[Month_Number]]&lt;=9,"Q3","Q4")))</f>
        <v>Q1</v>
      </c>
      <c r="AK234" s="8" t="str">
        <f>VLOOKUP(RawSalesTable6[[#This Row],[Customer_ID_Clean]],CustomersTable[],4,FALSE)</f>
        <v>Manitoba</v>
      </c>
      <c r="AL234" s="8">
        <f>IF(RawSalesTable6[[#This Row],[Return_Status]]="Yes",1,0)</f>
        <v>0</v>
      </c>
    </row>
    <row r="235" spans="1:38">
      <c r="A235" t="s">
        <v>619</v>
      </c>
      <c r="B235" s="3">
        <v>45780</v>
      </c>
      <c r="C235" t="s">
        <v>200</v>
      </c>
      <c r="D235" t="s">
        <v>85</v>
      </c>
      <c r="E235" t="s">
        <v>201</v>
      </c>
      <c r="F235" t="s">
        <v>87</v>
      </c>
      <c r="G235" t="s">
        <v>104</v>
      </c>
      <c r="H235" t="s">
        <v>89</v>
      </c>
      <c r="I235">
        <v>1</v>
      </c>
      <c r="J235" s="2">
        <v>297.98</v>
      </c>
      <c r="K235" s="4">
        <v>0.1</v>
      </c>
      <c r="L235" t="s">
        <v>106</v>
      </c>
      <c r="M235">
        <v>7</v>
      </c>
      <c r="N235" t="s">
        <v>91</v>
      </c>
      <c r="O235" t="str">
        <f>SUBSTITUTE(PROPER(TRIM(RawSalesTable6[[#This Row],[Channel_Raw]])),"Market Place","Marketplace")</f>
        <v>Online</v>
      </c>
      <c r="P235" t="str">
        <f>TRIM(RawSalesTable6[[#This Row],[Product_ID]])</f>
        <v>P1025</v>
      </c>
      <c r="Q235" t="str">
        <f>TRIM(RawSalesTable6[[#This Row],[Customer_ID]])</f>
        <v>C0118</v>
      </c>
      <c r="R235" s="8" t="str">
        <f>PROPER(TRIM(RawSalesTable6[[#This Row],[Store_Raw]]))</f>
        <v>Online Fulfillment</v>
      </c>
      <c r="S235" s="8" t="str">
        <f>IF(TRIM(RawSalesTable6[[#This Row],[Payment_Method_Raw]])="","Non renseigné",SUBSTITUTE(PROPER(TRIM(RawSalesTable6[[#This Row],[Payment_Method_Raw]])),"Cc","Credit Card"))</f>
        <v>Credit Card</v>
      </c>
      <c r="T235" s="8">
        <f>COUNTIF(A:A,RawSalesTable6[[#This Row],[Order_ID]])</f>
        <v>1</v>
      </c>
      <c r="U235" s="8" t="str">
        <f>TRIM(LEFT(RawSalesTable6[[#This Row],[Customer_Info]],FIND(",",RawSalesTable6[[#This Row],[Customer_Info]])-1))</f>
        <v>Ryan Smith</v>
      </c>
      <c r="V235" s="8" t="str">
        <f>TRIM(MID(RawSalesTable6[[#This Row],[Customer_Info]],FIND(",",RawSalesTable6[[#This Row],[Customer_Info]])+1,FIND(",",RawSalesTable6[[#This Row],[Customer_Info]],FIND(",",RawSalesTable6[[#This Row],[Customer_Info]])+1)-FIND(",",RawSalesTable6[[#This Row],[Customer_Info]])-1))</f>
        <v>Victoria</v>
      </c>
      <c r="W235" s="8" t="str">
        <f>TRIM(RIGHT(RawSalesTable6[[#This Row],[Customer_Info]],LEN(RawSalesTable6[[#This Row],[Customer_Info]])-FIND(",",RawSalesTable6[[#This Row],[Customer_Info]],FIND(",",RawSalesTable6[[#This Row],[Customer_Info]])+1)))</f>
        <v>Small Business</v>
      </c>
      <c r="X235" s="8" t="str">
        <f>VLOOKUP(RawSalesTable6[[#This Row],[Product_ID_Clean]],ProductsTable[],2,FALSE)</f>
        <v>Yoga Mat</v>
      </c>
      <c r="Y235" s="8" t="str">
        <f>VLOOKUP(RawSalesTable6[[#This Row],[Product_ID_Clean]],ProductsTable[],3,FALSE)</f>
        <v>Fitness</v>
      </c>
      <c r="Z235" s="8">
        <f>VLOOKUP(RawSalesTable6[[#This Row],[Product_ID_Clean]],ProductsTable[],5,FALSE)</f>
        <v>197.33</v>
      </c>
      <c r="AA235" s="8">
        <f>RawSalesTable6[[#This Row],[Unit_Price]]*RawSalesTable6[[#This Row],[Quantity]]</f>
        <v>297.98</v>
      </c>
      <c r="AB235" s="8">
        <f>RawSalesTable6[[#This Row],[Gross_Sales]]*RawSalesTable6[[#This Row],[Discount_Pct]]</f>
        <v>29.798000000000002</v>
      </c>
      <c r="AC235" s="8">
        <f>RawSalesTable6[[#This Row],[Gross_Sales]]-RawSalesTable6[[#This Row],[Discount_Amount]]</f>
        <v>268.18200000000002</v>
      </c>
      <c r="AD235" s="8">
        <f>RawSalesTable6[[#This Row],[Unit_Cost]]*RawSalesTable6[[#This Row],[Quantity]]</f>
        <v>197.33</v>
      </c>
      <c r="AE235" s="8">
        <f>RawSalesTable6[[#This Row],[Net_Sales]]-RawSalesTable6[[#This Row],[Total_Cost]]</f>
        <v>70.852000000000004</v>
      </c>
      <c r="AF235" s="9">
        <f>RawSalesTable6[[#This Row],[Profit]]/RawSalesTable6[[#This Row],[Net_Sales]]</f>
        <v>0.26419371919069884</v>
      </c>
      <c r="AG235" s="8">
        <f>YEAR(RawSalesTable6[[#This Row],[Order_Date]])</f>
        <v>2025</v>
      </c>
      <c r="AH235" s="8">
        <f>MONTH(RawSalesTable6[[#This Row],[Order_Date]])</f>
        <v>5</v>
      </c>
      <c r="AI235" s="8" t="str">
        <f>TEXT(RawSalesTable6[[#This Row],[Order_Date]],"mmmm")</f>
        <v>mai</v>
      </c>
      <c r="AJ235" s="8" t="str">
        <f>IF(RawSalesTable6[[#This Row],[Month_Number]]&lt;=3,"Q1",IF(RawSalesTable6[[#This Row],[Month_Number]]&lt;=6,"Q2",IF(RawSalesTable6[[#This Row],[Month_Number]]&lt;=9,"Q3","Q4")))</f>
        <v>Q2</v>
      </c>
      <c r="AK235" s="8" t="str">
        <f>VLOOKUP(RawSalesTable6[[#This Row],[Customer_ID_Clean]],CustomersTable[],4,FALSE)</f>
        <v>British Columbia</v>
      </c>
      <c r="AL235" s="8">
        <f>IF(RawSalesTable6[[#This Row],[Return_Status]]="Yes",1,0)</f>
        <v>0</v>
      </c>
    </row>
    <row r="236" spans="1:38">
      <c r="A236" t="s">
        <v>620</v>
      </c>
      <c r="B236" s="3">
        <v>45834</v>
      </c>
      <c r="C236" t="s">
        <v>399</v>
      </c>
      <c r="D236" t="s">
        <v>323</v>
      </c>
      <c r="E236" t="s">
        <v>400</v>
      </c>
      <c r="F236" t="s">
        <v>116</v>
      </c>
      <c r="G236" t="s">
        <v>171</v>
      </c>
      <c r="H236" t="s">
        <v>97</v>
      </c>
      <c r="I236">
        <v>1</v>
      </c>
      <c r="J236" s="2">
        <v>338.18</v>
      </c>
      <c r="K236" s="4">
        <v>0.15</v>
      </c>
      <c r="L236" t="s">
        <v>98</v>
      </c>
      <c r="M236">
        <v>1</v>
      </c>
      <c r="N236" t="s">
        <v>91</v>
      </c>
      <c r="O236" t="str">
        <f>SUBSTITUTE(PROPER(TRIM(RawSalesTable6[[#This Row],[Channel_Raw]])),"Market Place","Marketplace")</f>
        <v>Retail Store</v>
      </c>
      <c r="P236" t="str">
        <f>TRIM(RawSalesTable6[[#This Row],[Product_ID]])</f>
        <v>P1023</v>
      </c>
      <c r="Q236" t="str">
        <f>TRIM(RawSalesTable6[[#This Row],[Customer_ID]])</f>
        <v>C0090</v>
      </c>
      <c r="R236" s="8" t="str">
        <f>PROPER(TRIM(RawSalesTable6[[#This Row],[Store_Raw]]))</f>
        <v>Toronto Downtown</v>
      </c>
      <c r="S236" s="8" t="str">
        <f>IF(TRIM(RawSalesTable6[[#This Row],[Payment_Method_Raw]])="","Non renseigné",SUBSTITUTE(PROPER(TRIM(RawSalesTable6[[#This Row],[Payment_Method_Raw]])),"Cc","Credit Card"))</f>
        <v>Debit Card</v>
      </c>
      <c r="T236" s="8">
        <f>COUNTIF(A:A,RawSalesTable6[[#This Row],[Order_ID]])</f>
        <v>1</v>
      </c>
      <c r="U236" s="8" t="str">
        <f>TRIM(LEFT(RawSalesTable6[[#This Row],[Customer_Info]],FIND(",",RawSalesTable6[[#This Row],[Customer_Info]])-1))</f>
        <v>Nora Young</v>
      </c>
      <c r="V236" s="8" t="str">
        <f>TRIM(MID(RawSalesTable6[[#This Row],[Customer_Info]],FIND(",",RawSalesTable6[[#This Row],[Customer_Info]])+1,FIND(",",RawSalesTable6[[#This Row],[Customer_Info]],FIND(",",RawSalesTable6[[#This Row],[Customer_Info]])+1)-FIND(",",RawSalesTable6[[#This Row],[Customer_Info]])-1))</f>
        <v>Montreal</v>
      </c>
      <c r="W236" s="8" t="str">
        <f>TRIM(RIGHT(RawSalesTable6[[#This Row],[Customer_Info]],LEN(RawSalesTable6[[#This Row],[Customer_Info]])-FIND(",",RawSalesTable6[[#This Row],[Customer_Info]],FIND(",",RawSalesTable6[[#This Row],[Customer_Info]])+1)))</f>
        <v>Small Business</v>
      </c>
      <c r="X236" s="8" t="str">
        <f>VLOOKUP(RawSalesTable6[[#This Row],[Product_ID_Clean]],ProductsTable[],2,FALSE)</f>
        <v>Toaster</v>
      </c>
      <c r="Y236" s="8" t="str">
        <f>VLOOKUP(RawSalesTable6[[#This Row],[Product_ID_Clean]],ProductsTable[],3,FALSE)</f>
        <v>Home</v>
      </c>
      <c r="Z236" s="8">
        <f>VLOOKUP(RawSalesTable6[[#This Row],[Product_ID_Clean]],ProductsTable[],5,FALSE)</f>
        <v>152.88</v>
      </c>
      <c r="AA236" s="8">
        <f>RawSalesTable6[[#This Row],[Unit_Price]]*RawSalesTable6[[#This Row],[Quantity]]</f>
        <v>338.18</v>
      </c>
      <c r="AB236" s="8">
        <f>RawSalesTable6[[#This Row],[Gross_Sales]]*RawSalesTable6[[#This Row],[Discount_Pct]]</f>
        <v>50.726999999999997</v>
      </c>
      <c r="AC236" s="8">
        <f>RawSalesTable6[[#This Row],[Gross_Sales]]-RawSalesTable6[[#This Row],[Discount_Amount]]</f>
        <v>287.45300000000003</v>
      </c>
      <c r="AD236" s="8">
        <f>RawSalesTable6[[#This Row],[Unit_Cost]]*RawSalesTable6[[#This Row],[Quantity]]</f>
        <v>152.88</v>
      </c>
      <c r="AE236" s="8">
        <f>RawSalesTable6[[#This Row],[Net_Sales]]-RawSalesTable6[[#This Row],[Total_Cost]]</f>
        <v>134.57300000000004</v>
      </c>
      <c r="AF236" s="9">
        <f>RawSalesTable6[[#This Row],[Profit]]/RawSalesTable6[[#This Row],[Net_Sales]]</f>
        <v>0.46815653341589764</v>
      </c>
      <c r="AG236" s="8">
        <f>YEAR(RawSalesTable6[[#This Row],[Order_Date]])</f>
        <v>2025</v>
      </c>
      <c r="AH236" s="8">
        <f>MONTH(RawSalesTable6[[#This Row],[Order_Date]])</f>
        <v>6</v>
      </c>
      <c r="AI236" s="8" t="str">
        <f>TEXT(RawSalesTable6[[#This Row],[Order_Date]],"mmmm")</f>
        <v>juin</v>
      </c>
      <c r="AJ236" s="8" t="str">
        <f>IF(RawSalesTable6[[#This Row],[Month_Number]]&lt;=3,"Q1",IF(RawSalesTable6[[#This Row],[Month_Number]]&lt;=6,"Q2",IF(RawSalesTable6[[#This Row],[Month_Number]]&lt;=9,"Q3","Q4")))</f>
        <v>Q2</v>
      </c>
      <c r="AK236" s="8" t="str">
        <f>VLOOKUP(RawSalesTable6[[#This Row],[Customer_ID_Clean]],CustomersTable[],4,FALSE)</f>
        <v>Quebec</v>
      </c>
      <c r="AL236" s="8">
        <f>IF(RawSalesTable6[[#This Row],[Return_Status]]="Yes",1,0)</f>
        <v>0</v>
      </c>
    </row>
    <row r="237" spans="1:38">
      <c r="A237" t="s">
        <v>621</v>
      </c>
      <c r="B237" s="3">
        <v>45719</v>
      </c>
      <c r="C237" t="s">
        <v>396</v>
      </c>
      <c r="D237" t="s">
        <v>221</v>
      </c>
      <c r="E237" t="s">
        <v>397</v>
      </c>
      <c r="F237" t="s">
        <v>145</v>
      </c>
      <c r="G237" t="s">
        <v>104</v>
      </c>
      <c r="H237" t="s">
        <v>89</v>
      </c>
      <c r="I237">
        <v>1</v>
      </c>
      <c r="J237" s="2">
        <v>29.8</v>
      </c>
      <c r="K237" s="4">
        <v>0.2</v>
      </c>
      <c r="L237" t="s">
        <v>106</v>
      </c>
      <c r="M237">
        <v>7</v>
      </c>
      <c r="N237" t="s">
        <v>91</v>
      </c>
      <c r="O237" t="str">
        <f>SUBSTITUTE(PROPER(TRIM(RawSalesTable6[[#This Row],[Channel_Raw]])),"Market Place","Marketplace")</f>
        <v>Online</v>
      </c>
      <c r="P237" t="str">
        <f>TRIM(RawSalesTable6[[#This Row],[Product_ID]])</f>
        <v>P1018</v>
      </c>
      <c r="Q237" t="str">
        <f>TRIM(RawSalesTable6[[#This Row],[Customer_ID]])</f>
        <v>C0058</v>
      </c>
      <c r="R237" s="8" t="str">
        <f>PROPER(TRIM(RawSalesTable6[[#This Row],[Store_Raw]]))</f>
        <v>Calgary North</v>
      </c>
      <c r="S237" s="8" t="str">
        <f>IF(TRIM(RawSalesTable6[[#This Row],[Payment_Method_Raw]])="","Non renseigné",SUBSTITUTE(PROPER(TRIM(RawSalesTable6[[#This Row],[Payment_Method_Raw]])),"Cc","Credit Card"))</f>
        <v>Credit Card</v>
      </c>
      <c r="T237" s="8">
        <f>COUNTIF(A:A,RawSalesTable6[[#This Row],[Order_ID]])</f>
        <v>1</v>
      </c>
      <c r="U237" s="8" t="str">
        <f>TRIM(LEFT(RawSalesTable6[[#This Row],[Customer_Info]],FIND(",",RawSalesTable6[[#This Row],[Customer_Info]])-1))</f>
        <v>Mia Singh</v>
      </c>
      <c r="V237" s="8" t="str">
        <f>TRIM(MID(RawSalesTable6[[#This Row],[Customer_Info]],FIND(",",RawSalesTable6[[#This Row],[Customer_Info]])+1,FIND(",",RawSalesTable6[[#This Row],[Customer_Info]],FIND(",",RawSalesTable6[[#This Row],[Customer_Info]])+1)-FIND(",",RawSalesTable6[[#This Row],[Customer_Info]])-1))</f>
        <v>Laval</v>
      </c>
      <c r="W237" s="8" t="str">
        <f>TRIM(RIGHT(RawSalesTable6[[#This Row],[Customer_Info]],LEN(RawSalesTable6[[#This Row],[Customer_Info]])-FIND(",",RawSalesTable6[[#This Row],[Customer_Info]],FIND(",",RawSalesTable6[[#This Row],[Customer_Info]])+1)))</f>
        <v>Consumer</v>
      </c>
      <c r="X237" s="8" t="str">
        <f>VLOOKUP(RawSalesTable6[[#This Row],[Product_ID_Clean]],ProductsTable[],2,FALSE)</f>
        <v>Air Fryer</v>
      </c>
      <c r="Y237" s="8" t="str">
        <f>VLOOKUP(RawSalesTable6[[#This Row],[Product_ID_Clean]],ProductsTable[],3,FALSE)</f>
        <v>Home</v>
      </c>
      <c r="Z237" s="8">
        <f>VLOOKUP(RawSalesTable6[[#This Row],[Product_ID_Clean]],ProductsTable[],5,FALSE)</f>
        <v>14.58</v>
      </c>
      <c r="AA237" s="8">
        <f>RawSalesTable6[[#This Row],[Unit_Price]]*RawSalesTable6[[#This Row],[Quantity]]</f>
        <v>29.8</v>
      </c>
      <c r="AB237" s="8">
        <f>RawSalesTable6[[#This Row],[Gross_Sales]]*RawSalesTable6[[#This Row],[Discount_Pct]]</f>
        <v>5.9600000000000009</v>
      </c>
      <c r="AC237" s="8">
        <f>RawSalesTable6[[#This Row],[Gross_Sales]]-RawSalesTable6[[#This Row],[Discount_Amount]]</f>
        <v>23.84</v>
      </c>
      <c r="AD237" s="8">
        <f>RawSalesTable6[[#This Row],[Unit_Cost]]*RawSalesTable6[[#This Row],[Quantity]]</f>
        <v>14.58</v>
      </c>
      <c r="AE237" s="8">
        <f>RawSalesTable6[[#This Row],[Net_Sales]]-RawSalesTable6[[#This Row],[Total_Cost]]</f>
        <v>9.26</v>
      </c>
      <c r="AF237" s="9">
        <f>RawSalesTable6[[#This Row],[Profit]]/RawSalesTable6[[#This Row],[Net_Sales]]</f>
        <v>0.38842281879194629</v>
      </c>
      <c r="AG237" s="8">
        <f>YEAR(RawSalesTable6[[#This Row],[Order_Date]])</f>
        <v>2025</v>
      </c>
      <c r="AH237" s="8">
        <f>MONTH(RawSalesTable6[[#This Row],[Order_Date]])</f>
        <v>3</v>
      </c>
      <c r="AI237" s="8" t="str">
        <f>TEXT(RawSalesTable6[[#This Row],[Order_Date]],"mmmm")</f>
        <v>mars</v>
      </c>
      <c r="AJ237" s="8" t="str">
        <f>IF(RawSalesTable6[[#This Row],[Month_Number]]&lt;=3,"Q1",IF(RawSalesTable6[[#This Row],[Month_Number]]&lt;=6,"Q2",IF(RawSalesTable6[[#This Row],[Month_Number]]&lt;=9,"Q3","Q4")))</f>
        <v>Q1</v>
      </c>
      <c r="AK237" s="8" t="str">
        <f>VLOOKUP(RawSalesTable6[[#This Row],[Customer_ID_Clean]],CustomersTable[],4,FALSE)</f>
        <v>Quebec</v>
      </c>
      <c r="AL237" s="8">
        <f>IF(RawSalesTable6[[#This Row],[Return_Status]]="Yes",1,0)</f>
        <v>0</v>
      </c>
    </row>
    <row r="238" spans="1:38">
      <c r="A238" t="s">
        <v>622</v>
      </c>
      <c r="B238" s="3">
        <v>45834</v>
      </c>
      <c r="C238" t="s">
        <v>512</v>
      </c>
      <c r="D238" t="s">
        <v>174</v>
      </c>
      <c r="E238" t="s">
        <v>513</v>
      </c>
      <c r="F238" t="s">
        <v>87</v>
      </c>
      <c r="G238" t="s">
        <v>88</v>
      </c>
      <c r="H238" t="s">
        <v>89</v>
      </c>
      <c r="I238">
        <v>1</v>
      </c>
      <c r="J238" s="2">
        <v>40.01</v>
      </c>
      <c r="K238" s="4">
        <v>0</v>
      </c>
      <c r="L238" t="s">
        <v>154</v>
      </c>
      <c r="M238">
        <v>8</v>
      </c>
      <c r="N238" t="s">
        <v>91</v>
      </c>
      <c r="O238" t="str">
        <f>SUBSTITUTE(PROPER(TRIM(RawSalesTable6[[#This Row],[Channel_Raw]])),"Market Place","Marketplace")</f>
        <v>Online</v>
      </c>
      <c r="P238" t="str">
        <f>TRIM(RawSalesTable6[[#This Row],[Product_ID]])</f>
        <v>P1002</v>
      </c>
      <c r="Q238" t="str">
        <f>TRIM(RawSalesTable6[[#This Row],[Customer_ID]])</f>
        <v>C0082</v>
      </c>
      <c r="R238" s="8" t="str">
        <f>PROPER(TRIM(RawSalesTable6[[#This Row],[Store_Raw]]))</f>
        <v>Online Fulfillment</v>
      </c>
      <c r="S238" s="8" t="str">
        <f>IF(TRIM(RawSalesTable6[[#This Row],[Payment_Method_Raw]])="","Non renseigné",SUBSTITUTE(PROPER(TRIM(RawSalesTable6[[#This Row],[Payment_Method_Raw]])),"Cc","Credit Card"))</f>
        <v>Gift Card</v>
      </c>
      <c r="T238" s="8">
        <f>COUNTIF(A:A,RawSalesTable6[[#This Row],[Order_ID]])</f>
        <v>1</v>
      </c>
      <c r="U238" s="8" t="str">
        <f>TRIM(LEFT(RawSalesTable6[[#This Row],[Customer_Info]],FIND(",",RawSalesTable6[[#This Row],[Customer_Info]])-1))</f>
        <v>Ryan King</v>
      </c>
      <c r="V238" s="8" t="str">
        <f>TRIM(MID(RawSalesTable6[[#This Row],[Customer_Info]],FIND(",",RawSalesTable6[[#This Row],[Customer_Info]])+1,FIND(",",RawSalesTable6[[#This Row],[Customer_Info]],FIND(",",RawSalesTable6[[#This Row],[Customer_Info]])+1)-FIND(",",RawSalesTable6[[#This Row],[Customer_Info]])-1))</f>
        <v>Winnipeg</v>
      </c>
      <c r="W238" s="8" t="str">
        <f>TRIM(RIGHT(RawSalesTable6[[#This Row],[Customer_Info]],LEN(RawSalesTable6[[#This Row],[Customer_Info]])-FIND(",",RawSalesTable6[[#This Row],[Customer_Info]],FIND(",",RawSalesTable6[[#This Row],[Customer_Info]])+1)))</f>
        <v>Small Business</v>
      </c>
      <c r="X238" s="8" t="str">
        <f>VLOOKUP(RawSalesTable6[[#This Row],[Product_ID_Clean]],ProductsTable[],2,FALSE)</f>
        <v>Keyboard</v>
      </c>
      <c r="Y238" s="8" t="str">
        <f>VLOOKUP(RawSalesTable6[[#This Row],[Product_ID_Clean]],ProductsTable[],3,FALSE)</f>
        <v>Electronics</v>
      </c>
      <c r="Z238" s="8">
        <f>VLOOKUP(RawSalesTable6[[#This Row],[Product_ID_Clean]],ProductsTable[],5,FALSE)</f>
        <v>23.5</v>
      </c>
      <c r="AA238" s="8">
        <f>RawSalesTable6[[#This Row],[Unit_Price]]*RawSalesTable6[[#This Row],[Quantity]]</f>
        <v>40.01</v>
      </c>
      <c r="AB238" s="8">
        <f>RawSalesTable6[[#This Row],[Gross_Sales]]*RawSalesTable6[[#This Row],[Discount_Pct]]</f>
        <v>0</v>
      </c>
      <c r="AC238" s="8">
        <f>RawSalesTable6[[#This Row],[Gross_Sales]]-RawSalesTable6[[#This Row],[Discount_Amount]]</f>
        <v>40.01</v>
      </c>
      <c r="AD238" s="8">
        <f>RawSalesTable6[[#This Row],[Unit_Cost]]*RawSalesTable6[[#This Row],[Quantity]]</f>
        <v>23.5</v>
      </c>
      <c r="AE238" s="8">
        <f>RawSalesTable6[[#This Row],[Net_Sales]]-RawSalesTable6[[#This Row],[Total_Cost]]</f>
        <v>16.509999999999998</v>
      </c>
      <c r="AF238" s="9">
        <f>RawSalesTable6[[#This Row],[Profit]]/RawSalesTable6[[#This Row],[Net_Sales]]</f>
        <v>0.41264683829042736</v>
      </c>
      <c r="AG238" s="8">
        <f>YEAR(RawSalesTable6[[#This Row],[Order_Date]])</f>
        <v>2025</v>
      </c>
      <c r="AH238" s="8">
        <f>MONTH(RawSalesTable6[[#This Row],[Order_Date]])</f>
        <v>6</v>
      </c>
      <c r="AI238" s="8" t="str">
        <f>TEXT(RawSalesTable6[[#This Row],[Order_Date]],"mmmm")</f>
        <v>juin</v>
      </c>
      <c r="AJ238" s="8" t="str">
        <f>IF(RawSalesTable6[[#This Row],[Month_Number]]&lt;=3,"Q1",IF(RawSalesTable6[[#This Row],[Month_Number]]&lt;=6,"Q2",IF(RawSalesTable6[[#This Row],[Month_Number]]&lt;=9,"Q3","Q4")))</f>
        <v>Q2</v>
      </c>
      <c r="AK238" s="8" t="str">
        <f>VLOOKUP(RawSalesTable6[[#This Row],[Customer_ID_Clean]],CustomersTable[],4,FALSE)</f>
        <v>Manitoba</v>
      </c>
      <c r="AL238" s="8">
        <f>IF(RawSalesTable6[[#This Row],[Return_Status]]="Yes",1,0)</f>
        <v>0</v>
      </c>
    </row>
    <row r="239" spans="1:38">
      <c r="A239" t="s">
        <v>623</v>
      </c>
      <c r="B239" s="3">
        <v>45752</v>
      </c>
      <c r="C239" t="s">
        <v>100</v>
      </c>
      <c r="D239" t="s">
        <v>244</v>
      </c>
      <c r="E239" t="s">
        <v>102</v>
      </c>
      <c r="F239" t="s">
        <v>116</v>
      </c>
      <c r="G239" t="s">
        <v>183</v>
      </c>
      <c r="H239" t="s">
        <v>89</v>
      </c>
      <c r="I239">
        <v>4</v>
      </c>
      <c r="J239" s="2">
        <v>236.6</v>
      </c>
      <c r="K239" s="4">
        <v>0.1</v>
      </c>
      <c r="L239" t="s">
        <v>90</v>
      </c>
      <c r="M239">
        <v>2</v>
      </c>
      <c r="N239" t="s">
        <v>91</v>
      </c>
      <c r="O239" t="str">
        <f>SUBSTITUTE(PROPER(TRIM(RawSalesTable6[[#This Row],[Channel_Raw]])),"Market Place","Marketplace")</f>
        <v>Online</v>
      </c>
      <c r="P239" t="str">
        <f>TRIM(RawSalesTable6[[#This Row],[Product_ID]])</f>
        <v>P1005</v>
      </c>
      <c r="Q239" t="str">
        <f>TRIM(RawSalesTable6[[#This Row],[Customer_ID]])</f>
        <v>C0003</v>
      </c>
      <c r="R239" s="8" t="str">
        <f>PROPER(TRIM(RawSalesTable6[[#This Row],[Store_Raw]]))</f>
        <v>Toronto Downtown</v>
      </c>
      <c r="S239" s="8" t="str">
        <f>IF(TRIM(RawSalesTable6[[#This Row],[Payment_Method_Raw]])="","Non renseigné",SUBSTITUTE(PROPER(TRIM(RawSalesTable6[[#This Row],[Payment_Method_Raw]])),"Cc","Credit Card"))</f>
        <v>Paypal</v>
      </c>
      <c r="T239" s="8">
        <f>COUNTIF(A:A,RawSalesTable6[[#This Row],[Order_ID]])</f>
        <v>1</v>
      </c>
      <c r="U239" s="8" t="str">
        <f>TRIM(LEFT(RawSalesTable6[[#This Row],[Customer_Info]],FIND(",",RawSalesTable6[[#This Row],[Customer_Info]])-1))</f>
        <v>Amelia Young</v>
      </c>
      <c r="V239" s="8" t="str">
        <f>TRIM(MID(RawSalesTable6[[#This Row],[Customer_Info]],FIND(",",RawSalesTable6[[#This Row],[Customer_Info]])+1,FIND(",",RawSalesTable6[[#This Row],[Customer_Info]],FIND(",",RawSalesTable6[[#This Row],[Customer_Info]])+1)-FIND(",",RawSalesTable6[[#This Row],[Customer_Info]])-1))</f>
        <v>Ottawa</v>
      </c>
      <c r="W239" s="8" t="str">
        <f>TRIM(RIGHT(RawSalesTable6[[#This Row],[Customer_Info]],LEN(RawSalesTable6[[#This Row],[Customer_Info]])-FIND(",",RawSalesTable6[[#This Row],[Customer_Info]],FIND(",",RawSalesTable6[[#This Row],[Customer_Info]])+1)))</f>
        <v>Corporate</v>
      </c>
      <c r="X239" s="8" t="str">
        <f>VLOOKUP(RawSalesTable6[[#This Row],[Product_ID_Clean]],ProductsTable[],2,FALSE)</f>
        <v>Portable SSD</v>
      </c>
      <c r="Y239" s="8" t="str">
        <f>VLOOKUP(RawSalesTable6[[#This Row],[Product_ID_Clean]],ProductsTable[],3,FALSE)</f>
        <v>Electronics</v>
      </c>
      <c r="Z239" s="8">
        <f>VLOOKUP(RawSalesTable6[[#This Row],[Product_ID_Clean]],ProductsTable[],5,FALSE)</f>
        <v>131.19</v>
      </c>
      <c r="AA239" s="8">
        <f>RawSalesTable6[[#This Row],[Unit_Price]]*RawSalesTable6[[#This Row],[Quantity]]</f>
        <v>946.4</v>
      </c>
      <c r="AB239" s="8">
        <f>RawSalesTable6[[#This Row],[Gross_Sales]]*RawSalesTable6[[#This Row],[Discount_Pct]]</f>
        <v>94.64</v>
      </c>
      <c r="AC239" s="8">
        <f>RawSalesTable6[[#This Row],[Gross_Sales]]-RawSalesTable6[[#This Row],[Discount_Amount]]</f>
        <v>851.76</v>
      </c>
      <c r="AD239" s="8">
        <f>RawSalesTable6[[#This Row],[Unit_Cost]]*RawSalesTable6[[#This Row],[Quantity]]</f>
        <v>524.76</v>
      </c>
      <c r="AE239" s="8">
        <f>RawSalesTable6[[#This Row],[Net_Sales]]-RawSalesTable6[[#This Row],[Total_Cost]]</f>
        <v>327</v>
      </c>
      <c r="AF239" s="9">
        <f>RawSalesTable6[[#This Row],[Profit]]/RawSalesTable6[[#This Row],[Net_Sales]]</f>
        <v>0.38391096083403775</v>
      </c>
      <c r="AG239" s="8">
        <f>YEAR(RawSalesTable6[[#This Row],[Order_Date]])</f>
        <v>2025</v>
      </c>
      <c r="AH239" s="8">
        <f>MONTH(RawSalesTable6[[#This Row],[Order_Date]])</f>
        <v>4</v>
      </c>
      <c r="AI239" s="8" t="str">
        <f>TEXT(RawSalesTable6[[#This Row],[Order_Date]],"mmmm")</f>
        <v>avril</v>
      </c>
      <c r="AJ239" s="8" t="str">
        <f>IF(RawSalesTable6[[#This Row],[Month_Number]]&lt;=3,"Q1",IF(RawSalesTable6[[#This Row],[Month_Number]]&lt;=6,"Q2",IF(RawSalesTable6[[#This Row],[Month_Number]]&lt;=9,"Q3","Q4")))</f>
        <v>Q2</v>
      </c>
      <c r="AK239" s="8" t="str">
        <f>VLOOKUP(RawSalesTable6[[#This Row],[Customer_ID_Clean]],CustomersTable[],4,FALSE)</f>
        <v>Ontario</v>
      </c>
      <c r="AL239" s="8">
        <f>IF(RawSalesTable6[[#This Row],[Return_Status]]="Yes",1,0)</f>
        <v>0</v>
      </c>
    </row>
    <row r="240" spans="1:38">
      <c r="A240" t="s">
        <v>624</v>
      </c>
      <c r="B240" s="3">
        <v>45927</v>
      </c>
      <c r="C240" t="s">
        <v>543</v>
      </c>
      <c r="D240" t="s">
        <v>165</v>
      </c>
      <c r="E240" t="s">
        <v>544</v>
      </c>
      <c r="F240" t="s">
        <v>103</v>
      </c>
      <c r="G240" t="s">
        <v>183</v>
      </c>
      <c r="H240" t="s">
        <v>97</v>
      </c>
      <c r="I240">
        <v>1</v>
      </c>
      <c r="J240" s="2">
        <v>97.2</v>
      </c>
      <c r="K240" s="4">
        <v>0.15</v>
      </c>
      <c r="L240" t="s">
        <v>98</v>
      </c>
      <c r="M240">
        <v>3</v>
      </c>
      <c r="N240" t="s">
        <v>91</v>
      </c>
      <c r="O240" t="str">
        <f>SUBSTITUTE(PROPER(TRIM(RawSalesTable6[[#This Row],[Channel_Raw]])),"Market Place","Marketplace")</f>
        <v>Retail Store</v>
      </c>
      <c r="P240" t="str">
        <f>TRIM(RawSalesTable6[[#This Row],[Product_ID]])</f>
        <v>P1024</v>
      </c>
      <c r="Q240" t="str">
        <f>TRIM(RawSalesTable6[[#This Row],[Customer_ID]])</f>
        <v>C0031</v>
      </c>
      <c r="R240" s="8" t="str">
        <f>PROPER(TRIM(RawSalesTable6[[#This Row],[Store_Raw]]))</f>
        <v>Vancouver West</v>
      </c>
      <c r="S240" s="8" t="str">
        <f>IF(TRIM(RawSalesTable6[[#This Row],[Payment_Method_Raw]])="","Non renseigné",SUBSTITUTE(PROPER(TRIM(RawSalesTable6[[#This Row],[Payment_Method_Raw]])),"Cc","Credit Card"))</f>
        <v>Debit Card</v>
      </c>
      <c r="T240" s="8">
        <f>COUNTIF(A:A,RawSalesTable6[[#This Row],[Order_ID]])</f>
        <v>1</v>
      </c>
      <c r="U240" s="8" t="str">
        <f>TRIM(LEFT(RawSalesTable6[[#This Row],[Customer_Info]],FIND(",",RawSalesTable6[[#This Row],[Customer_Info]])-1))</f>
        <v>Leo Gagnon</v>
      </c>
      <c r="V240" s="8" t="str">
        <f>TRIM(MID(RawSalesTable6[[#This Row],[Customer_Info]],FIND(",",RawSalesTable6[[#This Row],[Customer_Info]])+1,FIND(",",RawSalesTable6[[#This Row],[Customer_Info]],FIND(",",RawSalesTable6[[#This Row],[Customer_Info]])+1)-FIND(",",RawSalesTable6[[#This Row],[Customer_Info]])-1))</f>
        <v>Surrey</v>
      </c>
      <c r="W240" s="8" t="str">
        <f>TRIM(RIGHT(RawSalesTable6[[#This Row],[Customer_Info]],LEN(RawSalesTable6[[#This Row],[Customer_Info]])-FIND(",",RawSalesTable6[[#This Row],[Customer_Info]],FIND(",",RawSalesTable6[[#This Row],[Customer_Info]])+1)))</f>
        <v>Small Business</v>
      </c>
      <c r="X240" s="8" t="str">
        <f>VLOOKUP(RawSalesTable6[[#This Row],[Product_ID_Clean]],ProductsTable[],2,FALSE)</f>
        <v>Food Scale</v>
      </c>
      <c r="Y240" s="8" t="str">
        <f>VLOOKUP(RawSalesTable6[[#This Row],[Product_ID_Clean]],ProductsTable[],3,FALSE)</f>
        <v>Home</v>
      </c>
      <c r="Z240" s="8">
        <f>VLOOKUP(RawSalesTable6[[#This Row],[Product_ID_Clean]],ProductsTable[],5,FALSE)</f>
        <v>46.07</v>
      </c>
      <c r="AA240" s="8">
        <f>RawSalesTable6[[#This Row],[Unit_Price]]*RawSalesTable6[[#This Row],[Quantity]]</f>
        <v>97.2</v>
      </c>
      <c r="AB240" s="8">
        <f>RawSalesTable6[[#This Row],[Gross_Sales]]*RawSalesTable6[[#This Row],[Discount_Pct]]</f>
        <v>14.58</v>
      </c>
      <c r="AC240" s="8">
        <f>RawSalesTable6[[#This Row],[Gross_Sales]]-RawSalesTable6[[#This Row],[Discount_Amount]]</f>
        <v>82.62</v>
      </c>
      <c r="AD240" s="8">
        <f>RawSalesTable6[[#This Row],[Unit_Cost]]*RawSalesTable6[[#This Row],[Quantity]]</f>
        <v>46.07</v>
      </c>
      <c r="AE240" s="8">
        <f>RawSalesTable6[[#This Row],[Net_Sales]]-RawSalesTable6[[#This Row],[Total_Cost]]</f>
        <v>36.550000000000004</v>
      </c>
      <c r="AF240" s="9">
        <f>RawSalesTable6[[#This Row],[Profit]]/RawSalesTable6[[#This Row],[Net_Sales]]</f>
        <v>0.4423868312757202</v>
      </c>
      <c r="AG240" s="8">
        <f>YEAR(RawSalesTable6[[#This Row],[Order_Date]])</f>
        <v>2025</v>
      </c>
      <c r="AH240" s="8">
        <f>MONTH(RawSalesTable6[[#This Row],[Order_Date]])</f>
        <v>9</v>
      </c>
      <c r="AI240" s="8" t="str">
        <f>TEXT(RawSalesTable6[[#This Row],[Order_Date]],"mmmm")</f>
        <v>septembre</v>
      </c>
      <c r="AJ240" s="8" t="str">
        <f>IF(RawSalesTable6[[#This Row],[Month_Number]]&lt;=3,"Q1",IF(RawSalesTable6[[#This Row],[Month_Number]]&lt;=6,"Q2",IF(RawSalesTable6[[#This Row],[Month_Number]]&lt;=9,"Q3","Q4")))</f>
        <v>Q3</v>
      </c>
      <c r="AK240" s="8" t="str">
        <f>VLOOKUP(RawSalesTable6[[#This Row],[Customer_ID_Clean]],CustomersTable[],4,FALSE)</f>
        <v>British Columbia</v>
      </c>
      <c r="AL240" s="8">
        <f>IF(RawSalesTable6[[#This Row],[Return_Status]]="Yes",1,0)</f>
        <v>0</v>
      </c>
    </row>
    <row r="241" spans="1:38">
      <c r="A241" t="s">
        <v>625</v>
      </c>
      <c r="B241" s="3">
        <v>45808</v>
      </c>
      <c r="C241" t="s">
        <v>512</v>
      </c>
      <c r="D241" t="s">
        <v>194</v>
      </c>
      <c r="E241" t="s">
        <v>513</v>
      </c>
      <c r="F241" t="s">
        <v>111</v>
      </c>
      <c r="G241" t="s">
        <v>122</v>
      </c>
      <c r="H241" t="s">
        <v>97</v>
      </c>
      <c r="I241">
        <v>1</v>
      </c>
      <c r="J241" s="2">
        <v>213.45</v>
      </c>
      <c r="K241" s="4">
        <v>0.1</v>
      </c>
      <c r="L241" t="s">
        <v>90</v>
      </c>
      <c r="M241">
        <v>0</v>
      </c>
      <c r="N241" t="s">
        <v>91</v>
      </c>
      <c r="O241" t="str">
        <f>SUBSTITUTE(PROPER(TRIM(RawSalesTable6[[#This Row],[Channel_Raw]])),"Market Place","Marketplace")</f>
        <v>Retail Store</v>
      </c>
      <c r="P241" t="str">
        <f>TRIM(RawSalesTable6[[#This Row],[Product_ID]])</f>
        <v>P1029</v>
      </c>
      <c r="Q241" t="str">
        <f>TRIM(RawSalesTable6[[#This Row],[Customer_ID]])</f>
        <v>C0082</v>
      </c>
      <c r="R241" s="8" t="str">
        <f>PROPER(TRIM(RawSalesTable6[[#This Row],[Store_Raw]]))</f>
        <v>Montreal Central</v>
      </c>
      <c r="S241" s="8" t="str">
        <f>IF(TRIM(RawSalesTable6[[#This Row],[Payment_Method_Raw]])="","Non renseigné",SUBSTITUTE(PROPER(TRIM(RawSalesTable6[[#This Row],[Payment_Method_Raw]])),"Cc","Credit Card"))</f>
        <v>Paypal</v>
      </c>
      <c r="T241" s="8">
        <f>COUNTIF(A:A,RawSalesTable6[[#This Row],[Order_ID]])</f>
        <v>1</v>
      </c>
      <c r="U241" s="8" t="str">
        <f>TRIM(LEFT(RawSalesTable6[[#This Row],[Customer_Info]],FIND(",",RawSalesTable6[[#This Row],[Customer_Info]])-1))</f>
        <v>Ryan King</v>
      </c>
      <c r="V241" s="8" t="str">
        <f>TRIM(MID(RawSalesTable6[[#This Row],[Customer_Info]],FIND(",",RawSalesTable6[[#This Row],[Customer_Info]])+1,FIND(",",RawSalesTable6[[#This Row],[Customer_Info]],FIND(",",RawSalesTable6[[#This Row],[Customer_Info]])+1)-FIND(",",RawSalesTable6[[#This Row],[Customer_Info]])-1))</f>
        <v>Winnipeg</v>
      </c>
      <c r="W241" s="8" t="str">
        <f>TRIM(RIGHT(RawSalesTable6[[#This Row],[Customer_Info]],LEN(RawSalesTable6[[#This Row],[Customer_Info]])-FIND(",",RawSalesTable6[[#This Row],[Customer_Info]],FIND(",",RawSalesTable6[[#This Row],[Customer_Info]])+1)))</f>
        <v>Small Business</v>
      </c>
      <c r="X241" s="8" t="str">
        <f>VLOOKUP(RawSalesTable6[[#This Row],[Product_ID_Clean]],ProductsTable[],2,FALSE)</f>
        <v>Jump Rope</v>
      </c>
      <c r="Y241" s="8" t="str">
        <f>VLOOKUP(RawSalesTable6[[#This Row],[Product_ID_Clean]],ProductsTable[],3,FALSE)</f>
        <v>Fitness</v>
      </c>
      <c r="Z241" s="8">
        <f>VLOOKUP(RawSalesTable6[[#This Row],[Product_ID_Clean]],ProductsTable[],5,FALSE)</f>
        <v>101</v>
      </c>
      <c r="AA241" s="8">
        <f>RawSalesTable6[[#This Row],[Unit_Price]]*RawSalesTable6[[#This Row],[Quantity]]</f>
        <v>213.45</v>
      </c>
      <c r="AB241" s="8">
        <f>RawSalesTable6[[#This Row],[Gross_Sales]]*RawSalesTable6[[#This Row],[Discount_Pct]]</f>
        <v>21.344999999999999</v>
      </c>
      <c r="AC241" s="8">
        <f>RawSalesTable6[[#This Row],[Gross_Sales]]-RawSalesTable6[[#This Row],[Discount_Amount]]</f>
        <v>192.10499999999999</v>
      </c>
      <c r="AD241" s="8">
        <f>RawSalesTable6[[#This Row],[Unit_Cost]]*RawSalesTable6[[#This Row],[Quantity]]</f>
        <v>101</v>
      </c>
      <c r="AE241" s="8">
        <f>RawSalesTable6[[#This Row],[Net_Sales]]-RawSalesTable6[[#This Row],[Total_Cost]]</f>
        <v>91.10499999999999</v>
      </c>
      <c r="AF241" s="9">
        <f>RawSalesTable6[[#This Row],[Profit]]/RawSalesTable6[[#This Row],[Net_Sales]]</f>
        <v>0.47424585513130835</v>
      </c>
      <c r="AG241" s="8">
        <f>YEAR(RawSalesTable6[[#This Row],[Order_Date]])</f>
        <v>2025</v>
      </c>
      <c r="AH241" s="8">
        <f>MONTH(RawSalesTable6[[#This Row],[Order_Date]])</f>
        <v>5</v>
      </c>
      <c r="AI241" s="8" t="str">
        <f>TEXT(RawSalesTable6[[#This Row],[Order_Date]],"mmmm")</f>
        <v>mai</v>
      </c>
      <c r="AJ241" s="8" t="str">
        <f>IF(RawSalesTable6[[#This Row],[Month_Number]]&lt;=3,"Q1",IF(RawSalesTable6[[#This Row],[Month_Number]]&lt;=6,"Q2",IF(RawSalesTable6[[#This Row],[Month_Number]]&lt;=9,"Q3","Q4")))</f>
        <v>Q2</v>
      </c>
      <c r="AK241" s="8" t="str">
        <f>VLOOKUP(RawSalesTable6[[#This Row],[Customer_ID_Clean]],CustomersTable[],4,FALSE)</f>
        <v>Manitoba</v>
      </c>
      <c r="AL241" s="8">
        <f>IF(RawSalesTable6[[#This Row],[Return_Status]]="Yes",1,0)</f>
        <v>0</v>
      </c>
    </row>
    <row r="242" spans="1:38">
      <c r="A242" t="s">
        <v>626</v>
      </c>
      <c r="B242" s="3">
        <v>45974</v>
      </c>
      <c r="C242" t="s">
        <v>427</v>
      </c>
      <c r="D242" t="s">
        <v>469</v>
      </c>
      <c r="E242" t="s">
        <v>428</v>
      </c>
      <c r="F242" t="s">
        <v>116</v>
      </c>
      <c r="G242" t="s">
        <v>122</v>
      </c>
      <c r="H242" t="s">
        <v>97</v>
      </c>
      <c r="I242">
        <v>1</v>
      </c>
      <c r="J242" s="2">
        <v>85.67</v>
      </c>
      <c r="K242" s="4">
        <v>0.2</v>
      </c>
      <c r="L242" t="s">
        <v>106</v>
      </c>
      <c r="M242">
        <v>1</v>
      </c>
      <c r="N242" t="s">
        <v>91</v>
      </c>
      <c r="O242" t="str">
        <f>SUBSTITUTE(PROPER(TRIM(RawSalesTable6[[#This Row],[Channel_Raw]])),"Market Place","Marketplace")</f>
        <v>Retail Store</v>
      </c>
      <c r="P242" t="str">
        <f>TRIM(RawSalesTable6[[#This Row],[Product_ID]])</f>
        <v>P1035</v>
      </c>
      <c r="Q242" t="str">
        <f>TRIM(RawSalesTable6[[#This Row],[Customer_ID]])</f>
        <v>C0062</v>
      </c>
      <c r="R242" s="8" t="str">
        <f>PROPER(TRIM(RawSalesTable6[[#This Row],[Store_Raw]]))</f>
        <v>Toronto Downtown</v>
      </c>
      <c r="S242" s="8" t="str">
        <f>IF(TRIM(RawSalesTable6[[#This Row],[Payment_Method_Raw]])="","Non renseigné",SUBSTITUTE(PROPER(TRIM(RawSalesTable6[[#This Row],[Payment_Method_Raw]])),"Cc","Credit Card"))</f>
        <v>Credit Card</v>
      </c>
      <c r="T242" s="8">
        <f>COUNTIF(A:A,RawSalesTable6[[#This Row],[Order_ID]])</f>
        <v>1</v>
      </c>
      <c r="U242" s="8" t="str">
        <f>TRIM(LEFT(RawSalesTable6[[#This Row],[Customer_Info]],FIND(",",RawSalesTable6[[#This Row],[Customer_Info]])-1))</f>
        <v>Yasmine Scott</v>
      </c>
      <c r="V242" s="8" t="str">
        <f>TRIM(MID(RawSalesTable6[[#This Row],[Customer_Info]],FIND(",",RawSalesTable6[[#This Row],[Customer_Info]])+1,FIND(",",RawSalesTable6[[#This Row],[Customer_Info]],FIND(",",RawSalesTable6[[#This Row],[Customer_Info]])+1)-FIND(",",RawSalesTable6[[#This Row],[Customer_Info]])-1))</f>
        <v>Toronto</v>
      </c>
      <c r="W242" s="8" t="str">
        <f>TRIM(RIGHT(RawSalesTable6[[#This Row],[Customer_Info]],LEN(RawSalesTable6[[#This Row],[Customer_Info]])-FIND(",",RawSalesTable6[[#This Row],[Customer_Info]],FIND(",",RawSalesTable6[[#This Row],[Customer_Info]])+1)))</f>
        <v>Consumer</v>
      </c>
      <c r="X242" s="8" t="str">
        <f>VLOOKUP(RawSalesTable6[[#This Row],[Product_ID_Clean]],ProductsTable[],2,FALSE)</f>
        <v>Phone Stand</v>
      </c>
      <c r="Y242" s="8" t="str">
        <f>VLOOKUP(RawSalesTable6[[#This Row],[Product_ID_Clean]],ProductsTable[],3,FALSE)</f>
        <v>Accessories</v>
      </c>
      <c r="Z242" s="8">
        <f>VLOOKUP(RawSalesTable6[[#This Row],[Product_ID_Clean]],ProductsTable[],5,FALSE)</f>
        <v>59.85</v>
      </c>
      <c r="AA242" s="8">
        <f>RawSalesTable6[[#This Row],[Unit_Price]]*RawSalesTable6[[#This Row],[Quantity]]</f>
        <v>85.67</v>
      </c>
      <c r="AB242" s="8">
        <f>RawSalesTable6[[#This Row],[Gross_Sales]]*RawSalesTable6[[#This Row],[Discount_Pct]]</f>
        <v>17.134</v>
      </c>
      <c r="AC242" s="8">
        <f>RawSalesTable6[[#This Row],[Gross_Sales]]-RawSalesTable6[[#This Row],[Discount_Amount]]</f>
        <v>68.536000000000001</v>
      </c>
      <c r="AD242" s="8">
        <f>RawSalesTable6[[#This Row],[Unit_Cost]]*RawSalesTable6[[#This Row],[Quantity]]</f>
        <v>59.85</v>
      </c>
      <c r="AE242" s="8">
        <f>RawSalesTable6[[#This Row],[Net_Sales]]-RawSalesTable6[[#This Row],[Total_Cost]]</f>
        <v>8.6859999999999999</v>
      </c>
      <c r="AF242" s="9">
        <f>RawSalesTable6[[#This Row],[Profit]]/RawSalesTable6[[#This Row],[Net_Sales]]</f>
        <v>0.12673631376211042</v>
      </c>
      <c r="AG242" s="8">
        <f>YEAR(RawSalesTable6[[#This Row],[Order_Date]])</f>
        <v>2025</v>
      </c>
      <c r="AH242" s="8">
        <f>MONTH(RawSalesTable6[[#This Row],[Order_Date]])</f>
        <v>11</v>
      </c>
      <c r="AI242" s="8" t="str">
        <f>TEXT(RawSalesTable6[[#This Row],[Order_Date]],"mmmm")</f>
        <v>novembre</v>
      </c>
      <c r="AJ242" s="8" t="str">
        <f>IF(RawSalesTable6[[#This Row],[Month_Number]]&lt;=3,"Q1",IF(RawSalesTable6[[#This Row],[Month_Number]]&lt;=6,"Q2",IF(RawSalesTable6[[#This Row],[Month_Number]]&lt;=9,"Q3","Q4")))</f>
        <v>Q4</v>
      </c>
      <c r="AK242" s="8" t="str">
        <f>VLOOKUP(RawSalesTable6[[#This Row],[Customer_ID_Clean]],CustomersTable[],4,FALSE)</f>
        <v>Ontario</v>
      </c>
      <c r="AL242" s="8">
        <f>IF(RawSalesTable6[[#This Row],[Return_Status]]="Yes",1,0)</f>
        <v>0</v>
      </c>
    </row>
    <row r="243" spans="1:38">
      <c r="A243" t="s">
        <v>627</v>
      </c>
      <c r="B243" s="3">
        <v>45815</v>
      </c>
      <c r="C243" t="s">
        <v>406</v>
      </c>
      <c r="D243" t="s">
        <v>469</v>
      </c>
      <c r="E243" t="s">
        <v>407</v>
      </c>
      <c r="F243" t="s">
        <v>111</v>
      </c>
      <c r="G243" t="s">
        <v>117</v>
      </c>
      <c r="H243" t="s">
        <v>89</v>
      </c>
      <c r="I243">
        <v>1</v>
      </c>
      <c r="J243" s="2">
        <v>86.15</v>
      </c>
      <c r="K243" s="4">
        <v>0.15</v>
      </c>
      <c r="L243" t="s">
        <v>98</v>
      </c>
      <c r="M243">
        <v>1</v>
      </c>
      <c r="N243" t="s">
        <v>91</v>
      </c>
      <c r="O243" t="str">
        <f>SUBSTITUTE(PROPER(TRIM(RawSalesTable6[[#This Row],[Channel_Raw]])),"Market Place","Marketplace")</f>
        <v>Online</v>
      </c>
      <c r="P243" t="str">
        <f>TRIM(RawSalesTable6[[#This Row],[Product_ID]])</f>
        <v>P1035</v>
      </c>
      <c r="Q243" t="str">
        <f>TRIM(RawSalesTable6[[#This Row],[Customer_ID]])</f>
        <v>C0038</v>
      </c>
      <c r="R243" s="8" t="str">
        <f>PROPER(TRIM(RawSalesTable6[[#This Row],[Store_Raw]]))</f>
        <v>Montreal Central</v>
      </c>
      <c r="S243" s="8" t="str">
        <f>IF(TRIM(RawSalesTable6[[#This Row],[Payment_Method_Raw]])="","Non renseigné",SUBSTITUTE(PROPER(TRIM(RawSalesTable6[[#This Row],[Payment_Method_Raw]])),"Cc","Credit Card"))</f>
        <v>Debit Card</v>
      </c>
      <c r="T243" s="8">
        <f>COUNTIF(A:A,RawSalesTable6[[#This Row],[Order_ID]])</f>
        <v>1</v>
      </c>
      <c r="U243" s="8" t="str">
        <f>TRIM(LEFT(RawSalesTable6[[#This Row],[Customer_Info]],FIND(",",RawSalesTable6[[#This Row],[Customer_Info]])-1))</f>
        <v>Noah Brown</v>
      </c>
      <c r="V243" s="8" t="str">
        <f>TRIM(MID(RawSalesTable6[[#This Row],[Customer_Info]],FIND(",",RawSalesTable6[[#This Row],[Customer_Info]])+1,FIND(",",RawSalesTable6[[#This Row],[Customer_Info]],FIND(",",RawSalesTable6[[#This Row],[Customer_Info]])+1)-FIND(",",RawSalesTable6[[#This Row],[Customer_Info]])-1))</f>
        <v>Montreal</v>
      </c>
      <c r="W243" s="8" t="str">
        <f>TRIM(RIGHT(RawSalesTable6[[#This Row],[Customer_Info]],LEN(RawSalesTable6[[#This Row],[Customer_Info]])-FIND(",",RawSalesTable6[[#This Row],[Customer_Info]],FIND(",",RawSalesTable6[[#This Row],[Customer_Info]])+1)))</f>
        <v>Consumer</v>
      </c>
      <c r="X243" s="8" t="str">
        <f>VLOOKUP(RawSalesTable6[[#This Row],[Product_ID_Clean]],ProductsTable[],2,FALSE)</f>
        <v>Phone Stand</v>
      </c>
      <c r="Y243" s="8" t="str">
        <f>VLOOKUP(RawSalesTable6[[#This Row],[Product_ID_Clean]],ProductsTable[],3,FALSE)</f>
        <v>Accessories</v>
      </c>
      <c r="Z243" s="8">
        <f>VLOOKUP(RawSalesTable6[[#This Row],[Product_ID_Clean]],ProductsTable[],5,FALSE)</f>
        <v>59.85</v>
      </c>
      <c r="AA243" s="8">
        <f>RawSalesTable6[[#This Row],[Unit_Price]]*RawSalesTable6[[#This Row],[Quantity]]</f>
        <v>86.15</v>
      </c>
      <c r="AB243" s="8">
        <f>RawSalesTable6[[#This Row],[Gross_Sales]]*RawSalesTable6[[#This Row],[Discount_Pct]]</f>
        <v>12.922500000000001</v>
      </c>
      <c r="AC243" s="8">
        <f>RawSalesTable6[[#This Row],[Gross_Sales]]-RawSalesTable6[[#This Row],[Discount_Amount]]</f>
        <v>73.227500000000006</v>
      </c>
      <c r="AD243" s="8">
        <f>RawSalesTable6[[#This Row],[Unit_Cost]]*RawSalesTable6[[#This Row],[Quantity]]</f>
        <v>59.85</v>
      </c>
      <c r="AE243" s="8">
        <f>RawSalesTable6[[#This Row],[Net_Sales]]-RawSalesTable6[[#This Row],[Total_Cost]]</f>
        <v>13.377500000000005</v>
      </c>
      <c r="AF243" s="9">
        <f>RawSalesTable6[[#This Row],[Profit]]/RawSalesTable6[[#This Row],[Net_Sales]]</f>
        <v>0.18268410091837087</v>
      </c>
      <c r="AG243" s="8">
        <f>YEAR(RawSalesTable6[[#This Row],[Order_Date]])</f>
        <v>2025</v>
      </c>
      <c r="AH243" s="8">
        <f>MONTH(RawSalesTable6[[#This Row],[Order_Date]])</f>
        <v>6</v>
      </c>
      <c r="AI243" s="8" t="str">
        <f>TEXT(RawSalesTable6[[#This Row],[Order_Date]],"mmmm")</f>
        <v>juin</v>
      </c>
      <c r="AJ243" s="8" t="str">
        <f>IF(RawSalesTable6[[#This Row],[Month_Number]]&lt;=3,"Q1",IF(RawSalesTable6[[#This Row],[Month_Number]]&lt;=6,"Q2",IF(RawSalesTable6[[#This Row],[Month_Number]]&lt;=9,"Q3","Q4")))</f>
        <v>Q2</v>
      </c>
      <c r="AK243" s="8" t="str">
        <f>VLOOKUP(RawSalesTable6[[#This Row],[Customer_ID_Clean]],CustomersTable[],4,FALSE)</f>
        <v>Quebec</v>
      </c>
      <c r="AL243" s="8">
        <f>IF(RawSalesTable6[[#This Row],[Return_Status]]="Yes",1,0)</f>
        <v>0</v>
      </c>
    </row>
    <row r="244" spans="1:38">
      <c r="A244" t="s">
        <v>628</v>
      </c>
      <c r="B244" s="3">
        <v>45954</v>
      </c>
      <c r="C244" t="s">
        <v>84</v>
      </c>
      <c r="D244" t="s">
        <v>271</v>
      </c>
      <c r="E244" t="s">
        <v>629</v>
      </c>
      <c r="F244" t="s">
        <v>145</v>
      </c>
      <c r="G244" t="s">
        <v>122</v>
      </c>
      <c r="H244" t="s">
        <v>89</v>
      </c>
      <c r="I244">
        <v>2</v>
      </c>
      <c r="J244" s="2">
        <v>217.71</v>
      </c>
      <c r="K244" s="4">
        <v>0.05</v>
      </c>
      <c r="L244" t="s">
        <v>106</v>
      </c>
      <c r="M244">
        <v>4</v>
      </c>
      <c r="N244" t="s">
        <v>91</v>
      </c>
      <c r="O244" t="str">
        <f>SUBSTITUTE(PROPER(TRIM(RawSalesTable6[[#This Row],[Channel_Raw]])),"Market Place","Marketplace")</f>
        <v>Online</v>
      </c>
      <c r="P244" t="str">
        <f>TRIM(RawSalesTable6[[#This Row],[Product_ID]])</f>
        <v>P1026</v>
      </c>
      <c r="Q244" t="str">
        <f>TRIM(RawSalesTable6[[#This Row],[Customer_ID]])</f>
        <v>C0113</v>
      </c>
      <c r="R244" s="8" t="str">
        <f>PROPER(TRIM(RawSalesTable6[[#This Row],[Store_Raw]]))</f>
        <v>Calgary North</v>
      </c>
      <c r="S244" s="8" t="str">
        <f>IF(TRIM(RawSalesTable6[[#This Row],[Payment_Method_Raw]])="","Non renseigné",SUBSTITUTE(PROPER(TRIM(RawSalesTable6[[#This Row],[Payment_Method_Raw]])),"Cc","Credit Card"))</f>
        <v>Credit Card</v>
      </c>
      <c r="T244" s="8">
        <f>COUNTIF(A:A,RawSalesTable6[[#This Row],[Order_ID]])</f>
        <v>1</v>
      </c>
      <c r="U244" s="8" t="str">
        <f>TRIM(LEFT(RawSalesTable6[[#This Row],[Customer_Info]],FIND(",",RawSalesTable6[[#This Row],[Customer_Info]])-1))</f>
        <v>Olivia Johnson</v>
      </c>
      <c r="V244" s="8" t="str">
        <f>TRIM(MID(RawSalesTable6[[#This Row],[Customer_Info]],FIND(",",RawSalesTable6[[#This Row],[Customer_Info]])+1,FIND(",",RawSalesTable6[[#This Row],[Customer_Info]],FIND(",",RawSalesTable6[[#This Row],[Customer_Info]])+1)-FIND(",",RawSalesTable6[[#This Row],[Customer_Info]])-1))</f>
        <v>Surrey</v>
      </c>
      <c r="W244" s="8" t="str">
        <f>TRIM(RIGHT(RawSalesTable6[[#This Row],[Customer_Info]],LEN(RawSalesTable6[[#This Row],[Customer_Info]])-FIND(",",RawSalesTable6[[#This Row],[Customer_Info]],FIND(",",RawSalesTable6[[#This Row],[Customer_Info]])+1)))</f>
        <v>Consumer</v>
      </c>
      <c r="X244" s="8" t="str">
        <f>VLOOKUP(RawSalesTable6[[#This Row],[Product_ID_Clean]],ProductsTable[],2,FALSE)</f>
        <v>Resistance Bands</v>
      </c>
      <c r="Y244" s="8" t="str">
        <f>VLOOKUP(RawSalesTable6[[#This Row],[Product_ID_Clean]],ProductsTable[],3,FALSE)</f>
        <v>Fitness</v>
      </c>
      <c r="Z244" s="8">
        <f>VLOOKUP(RawSalesTable6[[#This Row],[Product_ID_Clean]],ProductsTable[],5,FALSE)</f>
        <v>139.19999999999999</v>
      </c>
      <c r="AA244" s="8">
        <f>RawSalesTable6[[#This Row],[Unit_Price]]*RawSalesTable6[[#This Row],[Quantity]]</f>
        <v>435.42</v>
      </c>
      <c r="AB244" s="8">
        <f>RawSalesTable6[[#This Row],[Gross_Sales]]*RawSalesTable6[[#This Row],[Discount_Pct]]</f>
        <v>21.771000000000001</v>
      </c>
      <c r="AC244" s="8">
        <f>RawSalesTable6[[#This Row],[Gross_Sales]]-RawSalesTable6[[#This Row],[Discount_Amount]]</f>
        <v>413.649</v>
      </c>
      <c r="AD244" s="8">
        <f>RawSalesTable6[[#This Row],[Unit_Cost]]*RawSalesTable6[[#This Row],[Quantity]]</f>
        <v>278.39999999999998</v>
      </c>
      <c r="AE244" s="8">
        <f>RawSalesTable6[[#This Row],[Net_Sales]]-RawSalesTable6[[#This Row],[Total_Cost]]</f>
        <v>135.24900000000002</v>
      </c>
      <c r="AF244" s="9">
        <f>RawSalesTable6[[#This Row],[Profit]]/RawSalesTable6[[#This Row],[Net_Sales]]</f>
        <v>0.32696561577569394</v>
      </c>
      <c r="AG244" s="8">
        <f>YEAR(RawSalesTable6[[#This Row],[Order_Date]])</f>
        <v>2025</v>
      </c>
      <c r="AH244" s="8">
        <f>MONTH(RawSalesTable6[[#This Row],[Order_Date]])</f>
        <v>10</v>
      </c>
      <c r="AI244" s="8" t="str">
        <f>TEXT(RawSalesTable6[[#This Row],[Order_Date]],"mmmm")</f>
        <v>octobre</v>
      </c>
      <c r="AJ244" s="8" t="str">
        <f>IF(RawSalesTable6[[#This Row],[Month_Number]]&lt;=3,"Q1",IF(RawSalesTable6[[#This Row],[Month_Number]]&lt;=6,"Q2",IF(RawSalesTable6[[#This Row],[Month_Number]]&lt;=9,"Q3","Q4")))</f>
        <v>Q4</v>
      </c>
      <c r="AK244" s="8" t="str">
        <f>VLOOKUP(RawSalesTable6[[#This Row],[Customer_ID_Clean]],CustomersTable[],4,FALSE)</f>
        <v>British Columbia</v>
      </c>
      <c r="AL244" s="8">
        <f>IF(RawSalesTable6[[#This Row],[Return_Status]]="Yes",1,0)</f>
        <v>0</v>
      </c>
    </row>
    <row r="245" spans="1:38">
      <c r="A245" t="s">
        <v>630</v>
      </c>
      <c r="B245" s="3">
        <v>45923</v>
      </c>
      <c r="C245" t="s">
        <v>257</v>
      </c>
      <c r="D245" t="s">
        <v>261</v>
      </c>
      <c r="E245" t="s">
        <v>258</v>
      </c>
      <c r="F245" t="s">
        <v>145</v>
      </c>
      <c r="G245" t="s">
        <v>96</v>
      </c>
      <c r="H245" t="s">
        <v>105</v>
      </c>
      <c r="I245">
        <v>3</v>
      </c>
      <c r="J245" s="2">
        <v>251.49</v>
      </c>
      <c r="K245" s="4">
        <v>0.15</v>
      </c>
      <c r="L245" t="s">
        <v>98</v>
      </c>
      <c r="M245">
        <v>6</v>
      </c>
      <c r="N245" t="s">
        <v>91</v>
      </c>
      <c r="O245" t="str">
        <f>SUBSTITUTE(PROPER(TRIM(RawSalesTable6[[#This Row],[Channel_Raw]])),"Market Place","Marketplace")</f>
        <v>Marketplace</v>
      </c>
      <c r="P245" t="str">
        <f>TRIM(RawSalesTable6[[#This Row],[Product_ID]])</f>
        <v>P1031</v>
      </c>
      <c r="Q245" t="str">
        <f>TRIM(RawSalesTable6[[#This Row],[Customer_ID]])</f>
        <v>C0068</v>
      </c>
      <c r="R245" s="8" t="str">
        <f>PROPER(TRIM(RawSalesTable6[[#This Row],[Store_Raw]]))</f>
        <v>Calgary North</v>
      </c>
      <c r="S245" s="8" t="str">
        <f>IF(TRIM(RawSalesTable6[[#This Row],[Payment_Method_Raw]])="","Non renseigné",SUBSTITUTE(PROPER(TRIM(RawSalesTable6[[#This Row],[Payment_Method_Raw]])),"Cc","Credit Card"))</f>
        <v>Debit Card</v>
      </c>
      <c r="T245" s="8">
        <f>COUNTIF(A:A,RawSalesTable6[[#This Row],[Order_ID]])</f>
        <v>1</v>
      </c>
      <c r="U245" s="8" t="str">
        <f>TRIM(LEFT(RawSalesTable6[[#This Row],[Customer_Info]],FIND(",",RawSalesTable6[[#This Row],[Customer_Info]])-1))</f>
        <v>Yasmine Martin</v>
      </c>
      <c r="V245" s="8" t="str">
        <f>TRIM(MID(RawSalesTable6[[#This Row],[Customer_Info]],FIND(",",RawSalesTable6[[#This Row],[Customer_Info]])+1,FIND(",",RawSalesTable6[[#This Row],[Customer_Info]],FIND(",",RawSalesTable6[[#This Row],[Customer_Info]])+1)-FIND(",",RawSalesTable6[[#This Row],[Customer_Info]])-1))</f>
        <v>Calgary</v>
      </c>
      <c r="W245" s="8" t="str">
        <f>TRIM(RIGHT(RawSalesTable6[[#This Row],[Customer_Info]],LEN(RawSalesTable6[[#This Row],[Customer_Info]])-FIND(",",RawSalesTable6[[#This Row],[Customer_Info]],FIND(",",RawSalesTable6[[#This Row],[Customer_Info]])+1)))</f>
        <v>Consumer</v>
      </c>
      <c r="X245" s="8" t="str">
        <f>VLOOKUP(RawSalesTable6[[#This Row],[Product_ID_Clean]],ProductsTable[],2,FALSE)</f>
        <v>Dumbbell Set</v>
      </c>
      <c r="Y245" s="8" t="str">
        <f>VLOOKUP(RawSalesTable6[[#This Row],[Product_ID_Clean]],ProductsTable[],3,FALSE)</f>
        <v>Fitness</v>
      </c>
      <c r="Z245" s="8">
        <f>VLOOKUP(RawSalesTable6[[#This Row],[Product_ID_Clean]],ProductsTable[],5,FALSE)</f>
        <v>131.72999999999999</v>
      </c>
      <c r="AA245" s="8">
        <f>RawSalesTable6[[#This Row],[Unit_Price]]*RawSalesTable6[[#This Row],[Quantity]]</f>
        <v>754.47</v>
      </c>
      <c r="AB245" s="8">
        <f>RawSalesTable6[[#This Row],[Gross_Sales]]*RawSalesTable6[[#This Row],[Discount_Pct]]</f>
        <v>113.1705</v>
      </c>
      <c r="AC245" s="8">
        <f>RawSalesTable6[[#This Row],[Gross_Sales]]-RawSalesTable6[[#This Row],[Discount_Amount]]</f>
        <v>641.29950000000008</v>
      </c>
      <c r="AD245" s="8">
        <f>RawSalesTable6[[#This Row],[Unit_Cost]]*RawSalesTable6[[#This Row],[Quantity]]</f>
        <v>395.18999999999994</v>
      </c>
      <c r="AE245" s="8">
        <f>RawSalesTable6[[#This Row],[Net_Sales]]-RawSalesTable6[[#This Row],[Total_Cost]]</f>
        <v>246.10950000000014</v>
      </c>
      <c r="AF245" s="9">
        <f>RawSalesTable6[[#This Row],[Profit]]/RawSalesTable6[[#This Row],[Net_Sales]]</f>
        <v>0.38376686711902958</v>
      </c>
      <c r="AG245" s="8">
        <f>YEAR(RawSalesTable6[[#This Row],[Order_Date]])</f>
        <v>2025</v>
      </c>
      <c r="AH245" s="8">
        <f>MONTH(RawSalesTable6[[#This Row],[Order_Date]])</f>
        <v>9</v>
      </c>
      <c r="AI245" s="8" t="str">
        <f>TEXT(RawSalesTable6[[#This Row],[Order_Date]],"mmmm")</f>
        <v>septembre</v>
      </c>
      <c r="AJ245" s="8" t="str">
        <f>IF(RawSalesTable6[[#This Row],[Month_Number]]&lt;=3,"Q1",IF(RawSalesTable6[[#This Row],[Month_Number]]&lt;=6,"Q2",IF(RawSalesTable6[[#This Row],[Month_Number]]&lt;=9,"Q3","Q4")))</f>
        <v>Q3</v>
      </c>
      <c r="AK245" s="8" t="str">
        <f>VLOOKUP(RawSalesTable6[[#This Row],[Customer_ID_Clean]],CustomersTable[],4,FALSE)</f>
        <v>Alberta</v>
      </c>
      <c r="AL245" s="8">
        <f>IF(RawSalesTable6[[#This Row],[Return_Status]]="Yes",1,0)</f>
        <v>0</v>
      </c>
    </row>
    <row r="246" spans="1:38">
      <c r="A246" t="s">
        <v>631</v>
      </c>
      <c r="B246" s="3">
        <v>45850</v>
      </c>
      <c r="C246" t="s">
        <v>600</v>
      </c>
      <c r="D246" t="s">
        <v>520</v>
      </c>
      <c r="E246" t="s">
        <v>601</v>
      </c>
      <c r="F246" t="s">
        <v>103</v>
      </c>
      <c r="G246" t="s">
        <v>183</v>
      </c>
      <c r="H246" t="s">
        <v>97</v>
      </c>
      <c r="I246">
        <v>2</v>
      </c>
      <c r="J246" s="2">
        <v>373.3</v>
      </c>
      <c r="K246" s="4">
        <v>0</v>
      </c>
      <c r="L246" t="s">
        <v>106</v>
      </c>
      <c r="M246">
        <v>4</v>
      </c>
      <c r="N246" t="s">
        <v>147</v>
      </c>
      <c r="O246" t="str">
        <f>SUBSTITUTE(PROPER(TRIM(RawSalesTable6[[#This Row],[Channel_Raw]])),"Market Place","Marketplace")</f>
        <v>Retail Store</v>
      </c>
      <c r="P246" t="str">
        <f>TRIM(RawSalesTable6[[#This Row],[Product_ID]])</f>
        <v>P1017</v>
      </c>
      <c r="Q246" t="str">
        <f>TRIM(RawSalesTable6[[#This Row],[Customer_ID]])</f>
        <v>C0109</v>
      </c>
      <c r="R246" s="8" t="str">
        <f>PROPER(TRIM(RawSalesTable6[[#This Row],[Store_Raw]]))</f>
        <v>Vancouver West</v>
      </c>
      <c r="S246" s="8" t="str">
        <f>IF(TRIM(RawSalesTable6[[#This Row],[Payment_Method_Raw]])="","Non renseigné",SUBSTITUTE(PROPER(TRIM(RawSalesTable6[[#This Row],[Payment_Method_Raw]])),"Cc","Credit Card"))</f>
        <v>Credit Card</v>
      </c>
      <c r="T246" s="8">
        <f>COUNTIF(A:A,RawSalesTable6[[#This Row],[Order_ID]])</f>
        <v>1</v>
      </c>
      <c r="U246" s="8" t="str">
        <f>TRIM(LEFT(RawSalesTable6[[#This Row],[Customer_Info]],FIND(",",RawSalesTable6[[#This Row],[Customer_Info]])-1))</f>
        <v>Emma Wilson</v>
      </c>
      <c r="V246" s="8" t="str">
        <f>TRIM(MID(RawSalesTable6[[#This Row],[Customer_Info]],FIND(",",RawSalesTable6[[#This Row],[Customer_Info]])+1,FIND(",",RawSalesTable6[[#This Row],[Customer_Info]],FIND(",",RawSalesTable6[[#This Row],[Customer_Info]])+1)-FIND(",",RawSalesTable6[[#This Row],[Customer_Info]])-1))</f>
        <v>Victoria</v>
      </c>
      <c r="W246" s="8" t="str">
        <f>TRIM(RIGHT(RawSalesTable6[[#This Row],[Customer_Info]],LEN(RawSalesTable6[[#This Row],[Customer_Info]])-FIND(",",RawSalesTable6[[#This Row],[Customer_Info]],FIND(",",RawSalesTable6[[#This Row],[Customer_Info]])+1)))</f>
        <v>Consumer</v>
      </c>
      <c r="X246" s="8" t="str">
        <f>VLOOKUP(RawSalesTable6[[#This Row],[Product_ID_Clean]],ProductsTable[],2,FALSE)</f>
        <v>Coffee Maker</v>
      </c>
      <c r="Y246" s="8" t="str">
        <f>VLOOKUP(RawSalesTable6[[#This Row],[Product_ID_Clean]],ProductsTable[],3,FALSE)</f>
        <v>Home</v>
      </c>
      <c r="Z246" s="8">
        <f>VLOOKUP(RawSalesTable6[[#This Row],[Product_ID_Clean]],ProductsTable[],5,FALSE)</f>
        <v>241.16</v>
      </c>
      <c r="AA246" s="8">
        <f>RawSalesTable6[[#This Row],[Unit_Price]]*RawSalesTable6[[#This Row],[Quantity]]</f>
        <v>746.6</v>
      </c>
      <c r="AB246" s="8">
        <f>RawSalesTable6[[#This Row],[Gross_Sales]]*RawSalesTable6[[#This Row],[Discount_Pct]]</f>
        <v>0</v>
      </c>
      <c r="AC246" s="8">
        <f>RawSalesTable6[[#This Row],[Gross_Sales]]-RawSalesTable6[[#This Row],[Discount_Amount]]</f>
        <v>746.6</v>
      </c>
      <c r="AD246" s="8">
        <f>RawSalesTable6[[#This Row],[Unit_Cost]]*RawSalesTable6[[#This Row],[Quantity]]</f>
        <v>482.32</v>
      </c>
      <c r="AE246" s="8">
        <f>RawSalesTable6[[#This Row],[Net_Sales]]-RawSalesTable6[[#This Row],[Total_Cost]]</f>
        <v>264.28000000000003</v>
      </c>
      <c r="AF246" s="9">
        <f>RawSalesTable6[[#This Row],[Profit]]/RawSalesTable6[[#This Row],[Net_Sales]]</f>
        <v>0.35397803375301368</v>
      </c>
      <c r="AG246" s="8">
        <f>YEAR(RawSalesTable6[[#This Row],[Order_Date]])</f>
        <v>2025</v>
      </c>
      <c r="AH246" s="8">
        <f>MONTH(RawSalesTable6[[#This Row],[Order_Date]])</f>
        <v>7</v>
      </c>
      <c r="AI246" s="8" t="str">
        <f>TEXT(RawSalesTable6[[#This Row],[Order_Date]],"mmmm")</f>
        <v>juillet</v>
      </c>
      <c r="AJ246" s="8" t="str">
        <f>IF(RawSalesTable6[[#This Row],[Month_Number]]&lt;=3,"Q1",IF(RawSalesTable6[[#This Row],[Month_Number]]&lt;=6,"Q2",IF(RawSalesTable6[[#This Row],[Month_Number]]&lt;=9,"Q3","Q4")))</f>
        <v>Q3</v>
      </c>
      <c r="AK246" s="8" t="str">
        <f>VLOOKUP(RawSalesTable6[[#This Row],[Customer_ID_Clean]],CustomersTable[],4,FALSE)</f>
        <v>British Columbia</v>
      </c>
      <c r="AL246" s="8">
        <f>IF(RawSalesTable6[[#This Row],[Return_Status]]="Yes",1,0)</f>
        <v>1</v>
      </c>
    </row>
    <row r="247" spans="1:38">
      <c r="A247" t="s">
        <v>632</v>
      </c>
      <c r="B247" s="3">
        <v>46013</v>
      </c>
      <c r="C247" t="s">
        <v>283</v>
      </c>
      <c r="D247" t="s">
        <v>181</v>
      </c>
      <c r="E247" t="s">
        <v>284</v>
      </c>
      <c r="F247" t="s">
        <v>116</v>
      </c>
      <c r="G247" t="s">
        <v>130</v>
      </c>
      <c r="H247" t="s">
        <v>89</v>
      </c>
      <c r="I247">
        <v>1</v>
      </c>
      <c r="J247" s="2">
        <v>359.5</v>
      </c>
      <c r="K247" s="4">
        <v>0</v>
      </c>
      <c r="L247" t="s">
        <v>90</v>
      </c>
      <c r="M247">
        <v>2</v>
      </c>
      <c r="N247" t="s">
        <v>91</v>
      </c>
      <c r="O247" t="str">
        <f>SUBSTITUTE(PROPER(TRIM(RawSalesTable6[[#This Row],[Channel_Raw]])),"Market Place","Marketplace")</f>
        <v>Online</v>
      </c>
      <c r="P247" t="str">
        <f>TRIM(RawSalesTable6[[#This Row],[Product_ID]])</f>
        <v>P1007</v>
      </c>
      <c r="Q247" t="str">
        <f>TRIM(RawSalesTable6[[#This Row],[Customer_ID]])</f>
        <v>C0033</v>
      </c>
      <c r="R247" s="8" t="str">
        <f>PROPER(TRIM(RawSalesTable6[[#This Row],[Store_Raw]]))</f>
        <v>Toronto Downtown</v>
      </c>
      <c r="S247" s="8" t="str">
        <f>IF(TRIM(RawSalesTable6[[#This Row],[Payment_Method_Raw]])="","Non renseigné",SUBSTITUTE(PROPER(TRIM(RawSalesTable6[[#This Row],[Payment_Method_Raw]])),"Cc","Credit Card"))</f>
        <v>Paypal</v>
      </c>
      <c r="T247" s="8">
        <f>COUNTIF(A:A,RawSalesTable6[[#This Row],[Order_ID]])</f>
        <v>1</v>
      </c>
      <c r="U247" s="8" t="str">
        <f>TRIM(LEFT(RawSalesTable6[[#This Row],[Customer_Info]],FIND(",",RawSalesTable6[[#This Row],[Customer_Info]])-1))</f>
        <v>Maya Hall</v>
      </c>
      <c r="V247" s="8" t="str">
        <f>TRIM(MID(RawSalesTable6[[#This Row],[Customer_Info]],FIND(",",RawSalesTable6[[#This Row],[Customer_Info]])+1,FIND(",",RawSalesTable6[[#This Row],[Customer_Info]],FIND(",",RawSalesTable6[[#This Row],[Customer_Info]])+1)-FIND(",",RawSalesTable6[[#This Row],[Customer_Info]])-1))</f>
        <v>Winnipeg</v>
      </c>
      <c r="W247" s="8" t="str">
        <f>TRIM(RIGHT(RawSalesTable6[[#This Row],[Customer_Info]],LEN(RawSalesTable6[[#This Row],[Customer_Info]])-FIND(",",RawSalesTable6[[#This Row],[Customer_Info]],FIND(",",RawSalesTable6[[#This Row],[Customer_Info]])+1)))</f>
        <v>Consumer</v>
      </c>
      <c r="X247" s="8" t="str">
        <f>VLOOKUP(RawSalesTable6[[#This Row],[Product_ID_Clean]],ProductsTable[],2,FALSE)</f>
        <v>Monitor</v>
      </c>
      <c r="Y247" s="8" t="str">
        <f>VLOOKUP(RawSalesTable6[[#This Row],[Product_ID_Clean]],ProductsTable[],3,FALSE)</f>
        <v>Electronics</v>
      </c>
      <c r="Z247" s="8">
        <f>VLOOKUP(RawSalesTable6[[#This Row],[Product_ID_Clean]],ProductsTable[],5,FALSE)</f>
        <v>224.47</v>
      </c>
      <c r="AA247" s="8">
        <f>RawSalesTable6[[#This Row],[Unit_Price]]*RawSalesTable6[[#This Row],[Quantity]]</f>
        <v>359.5</v>
      </c>
      <c r="AB247" s="8">
        <f>RawSalesTable6[[#This Row],[Gross_Sales]]*RawSalesTable6[[#This Row],[Discount_Pct]]</f>
        <v>0</v>
      </c>
      <c r="AC247" s="8">
        <f>RawSalesTable6[[#This Row],[Gross_Sales]]-RawSalesTable6[[#This Row],[Discount_Amount]]</f>
        <v>359.5</v>
      </c>
      <c r="AD247" s="8">
        <f>RawSalesTable6[[#This Row],[Unit_Cost]]*RawSalesTable6[[#This Row],[Quantity]]</f>
        <v>224.47</v>
      </c>
      <c r="AE247" s="8">
        <f>RawSalesTable6[[#This Row],[Net_Sales]]-RawSalesTable6[[#This Row],[Total_Cost]]</f>
        <v>135.03</v>
      </c>
      <c r="AF247" s="9">
        <f>RawSalesTable6[[#This Row],[Profit]]/RawSalesTable6[[#This Row],[Net_Sales]]</f>
        <v>0.37560500695410293</v>
      </c>
      <c r="AG247" s="8">
        <f>YEAR(RawSalesTable6[[#This Row],[Order_Date]])</f>
        <v>2025</v>
      </c>
      <c r="AH247" s="8">
        <f>MONTH(RawSalesTable6[[#This Row],[Order_Date]])</f>
        <v>12</v>
      </c>
      <c r="AI247" s="8" t="str">
        <f>TEXT(RawSalesTable6[[#This Row],[Order_Date]],"mmmm")</f>
        <v>décembre</v>
      </c>
      <c r="AJ247" s="8" t="str">
        <f>IF(RawSalesTable6[[#This Row],[Month_Number]]&lt;=3,"Q1",IF(RawSalesTable6[[#This Row],[Month_Number]]&lt;=6,"Q2",IF(RawSalesTable6[[#This Row],[Month_Number]]&lt;=9,"Q3","Q4")))</f>
        <v>Q4</v>
      </c>
      <c r="AK247" s="8" t="str">
        <f>VLOOKUP(RawSalesTable6[[#This Row],[Customer_ID_Clean]],CustomersTable[],4,FALSE)</f>
        <v>Manitoba</v>
      </c>
      <c r="AL247" s="8">
        <f>IF(RawSalesTable6[[#This Row],[Return_Status]]="Yes",1,0)</f>
        <v>0</v>
      </c>
    </row>
    <row r="248" spans="1:38">
      <c r="A248" t="s">
        <v>633</v>
      </c>
      <c r="B248" s="3">
        <v>45743</v>
      </c>
      <c r="C248" t="s">
        <v>113</v>
      </c>
      <c r="D248" t="s">
        <v>249</v>
      </c>
      <c r="E248" t="s">
        <v>115</v>
      </c>
      <c r="F248" t="s">
        <v>111</v>
      </c>
      <c r="G248" t="s">
        <v>104</v>
      </c>
      <c r="H248" t="s">
        <v>97</v>
      </c>
      <c r="I248">
        <v>2</v>
      </c>
      <c r="J248" s="2">
        <v>416.38</v>
      </c>
      <c r="K248" s="4">
        <v>0.1</v>
      </c>
      <c r="L248" t="s">
        <v>106</v>
      </c>
      <c r="M248">
        <v>4</v>
      </c>
      <c r="N248" t="s">
        <v>91</v>
      </c>
      <c r="O248" t="str">
        <f>SUBSTITUTE(PROPER(TRIM(RawSalesTable6[[#This Row],[Channel_Raw]])),"Market Place","Marketplace")</f>
        <v>Retail Store</v>
      </c>
      <c r="P248" t="str">
        <f>TRIM(RawSalesTable6[[#This Row],[Product_ID]])</f>
        <v>P1022</v>
      </c>
      <c r="Q248" t="str">
        <f>TRIM(RawSalesTable6[[#This Row],[Customer_ID]])</f>
        <v>C0083</v>
      </c>
      <c r="R248" s="8" t="str">
        <f>PROPER(TRIM(RawSalesTable6[[#This Row],[Store_Raw]]))</f>
        <v>Montreal Central</v>
      </c>
      <c r="S248" s="8" t="str">
        <f>IF(TRIM(RawSalesTable6[[#This Row],[Payment_Method_Raw]])="","Non renseigné",SUBSTITUTE(PROPER(TRIM(RawSalesTable6[[#This Row],[Payment_Method_Raw]])),"Cc","Credit Card"))</f>
        <v>Credit Card</v>
      </c>
      <c r="T248" s="8">
        <f>COUNTIF(A:A,RawSalesTable6[[#This Row],[Order_ID]])</f>
        <v>1</v>
      </c>
      <c r="U248" s="8" t="str">
        <f>TRIM(LEFT(RawSalesTable6[[#This Row],[Customer_Info]],FIND(",",RawSalesTable6[[#This Row],[Customer_Info]])-1))</f>
        <v>Amine King</v>
      </c>
      <c r="V248" s="8" t="str">
        <f>TRIM(MID(RawSalesTable6[[#This Row],[Customer_Info]],FIND(",",RawSalesTable6[[#This Row],[Customer_Info]])+1,FIND(",",RawSalesTable6[[#This Row],[Customer_Info]],FIND(",",RawSalesTable6[[#This Row],[Customer_Info]])+1)-FIND(",",RawSalesTable6[[#This Row],[Customer_Info]])-1))</f>
        <v>Edmonton</v>
      </c>
      <c r="W248" s="8" t="str">
        <f>TRIM(RIGHT(RawSalesTable6[[#This Row],[Customer_Info]],LEN(RawSalesTable6[[#This Row],[Customer_Info]])-FIND(",",RawSalesTable6[[#This Row],[Customer_Info]],FIND(",",RawSalesTable6[[#This Row],[Customer_Info]])+1)))</f>
        <v>Consumer</v>
      </c>
      <c r="X248" s="8" t="str">
        <f>VLOOKUP(RawSalesTable6[[#This Row],[Product_ID_Clean]],ProductsTable[],2,FALSE)</f>
        <v>Humidifier</v>
      </c>
      <c r="Y248" s="8" t="str">
        <f>VLOOKUP(RawSalesTable6[[#This Row],[Product_ID_Clean]],ProductsTable[],3,FALSE)</f>
        <v>Home</v>
      </c>
      <c r="Z248" s="8">
        <f>VLOOKUP(RawSalesTable6[[#This Row],[Product_ID_Clean]],ProductsTable[],5,FALSE)</f>
        <v>239.67</v>
      </c>
      <c r="AA248" s="8">
        <f>RawSalesTable6[[#This Row],[Unit_Price]]*RawSalesTable6[[#This Row],[Quantity]]</f>
        <v>832.76</v>
      </c>
      <c r="AB248" s="8">
        <f>RawSalesTable6[[#This Row],[Gross_Sales]]*RawSalesTable6[[#This Row],[Discount_Pct]]</f>
        <v>83.27600000000001</v>
      </c>
      <c r="AC248" s="8">
        <f>RawSalesTable6[[#This Row],[Gross_Sales]]-RawSalesTable6[[#This Row],[Discount_Amount]]</f>
        <v>749.48399999999992</v>
      </c>
      <c r="AD248" s="8">
        <f>RawSalesTable6[[#This Row],[Unit_Cost]]*RawSalesTable6[[#This Row],[Quantity]]</f>
        <v>479.34</v>
      </c>
      <c r="AE248" s="8">
        <f>RawSalesTable6[[#This Row],[Net_Sales]]-RawSalesTable6[[#This Row],[Total_Cost]]</f>
        <v>270.14399999999995</v>
      </c>
      <c r="AF248" s="9">
        <f>RawSalesTable6[[#This Row],[Profit]]/RawSalesTable6[[#This Row],[Net_Sales]]</f>
        <v>0.36043998270810312</v>
      </c>
      <c r="AG248" s="8">
        <f>YEAR(RawSalesTable6[[#This Row],[Order_Date]])</f>
        <v>2025</v>
      </c>
      <c r="AH248" s="8">
        <f>MONTH(RawSalesTable6[[#This Row],[Order_Date]])</f>
        <v>3</v>
      </c>
      <c r="AI248" s="8" t="str">
        <f>TEXT(RawSalesTable6[[#This Row],[Order_Date]],"mmmm")</f>
        <v>mars</v>
      </c>
      <c r="AJ248" s="8" t="str">
        <f>IF(RawSalesTable6[[#This Row],[Month_Number]]&lt;=3,"Q1",IF(RawSalesTable6[[#This Row],[Month_Number]]&lt;=6,"Q2",IF(RawSalesTable6[[#This Row],[Month_Number]]&lt;=9,"Q3","Q4")))</f>
        <v>Q1</v>
      </c>
      <c r="AK248" s="8" t="str">
        <f>VLOOKUP(RawSalesTable6[[#This Row],[Customer_ID_Clean]],CustomersTable[],4,FALSE)</f>
        <v>Alberta</v>
      </c>
      <c r="AL248" s="8">
        <f>IF(RawSalesTable6[[#This Row],[Return_Status]]="Yes",1,0)</f>
        <v>0</v>
      </c>
    </row>
    <row r="249" spans="1:38">
      <c r="A249" t="s">
        <v>634</v>
      </c>
      <c r="B249" s="3">
        <v>45729</v>
      </c>
      <c r="C249" t="s">
        <v>600</v>
      </c>
      <c r="D249" t="s">
        <v>125</v>
      </c>
      <c r="E249" t="s">
        <v>635</v>
      </c>
      <c r="F249" t="s">
        <v>111</v>
      </c>
      <c r="G249" t="s">
        <v>171</v>
      </c>
      <c r="H249" t="s">
        <v>97</v>
      </c>
      <c r="I249">
        <v>3</v>
      </c>
      <c r="J249" s="2">
        <v>58.01</v>
      </c>
      <c r="K249" s="4">
        <v>0</v>
      </c>
      <c r="L249" t="s">
        <v>98</v>
      </c>
      <c r="M249">
        <v>3</v>
      </c>
      <c r="N249" t="s">
        <v>91</v>
      </c>
      <c r="O249" t="str">
        <f>SUBSTITUTE(PROPER(TRIM(RawSalesTable6[[#This Row],[Channel_Raw]])),"Market Place","Marketplace")</f>
        <v>Retail Store</v>
      </c>
      <c r="P249" t="str">
        <f>TRIM(RawSalesTable6[[#This Row],[Product_ID]])</f>
        <v>P1027</v>
      </c>
      <c r="Q249" t="str">
        <f>TRIM(RawSalesTable6[[#This Row],[Customer_ID]])</f>
        <v>C0109</v>
      </c>
      <c r="R249" s="8" t="str">
        <f>PROPER(TRIM(RawSalesTable6[[#This Row],[Store_Raw]]))</f>
        <v>Montreal Central</v>
      </c>
      <c r="S249" s="8" t="str">
        <f>IF(TRIM(RawSalesTable6[[#This Row],[Payment_Method_Raw]])="","Non renseigné",SUBSTITUTE(PROPER(TRIM(RawSalesTable6[[#This Row],[Payment_Method_Raw]])),"Cc","Credit Card"))</f>
        <v>Debit Card</v>
      </c>
      <c r="T249" s="8">
        <f>COUNTIF(A:A,RawSalesTable6[[#This Row],[Order_ID]])</f>
        <v>1</v>
      </c>
      <c r="U249" s="8" t="str">
        <f>TRIM(LEFT(RawSalesTable6[[#This Row],[Customer_Info]],FIND(",",RawSalesTable6[[#This Row],[Customer_Info]])-1))</f>
        <v>Emma Wilson</v>
      </c>
      <c r="V249" s="8" t="str">
        <f>TRIM(MID(RawSalesTable6[[#This Row],[Customer_Info]],FIND(",",RawSalesTable6[[#This Row],[Customer_Info]])+1,FIND(",",RawSalesTable6[[#This Row],[Customer_Info]],FIND(",",RawSalesTable6[[#This Row],[Customer_Info]])+1)-FIND(",",RawSalesTable6[[#This Row],[Customer_Info]])-1))</f>
        <v>Victoria</v>
      </c>
      <c r="W249" s="8" t="str">
        <f>TRIM(RIGHT(RawSalesTable6[[#This Row],[Customer_Info]],LEN(RawSalesTable6[[#This Row],[Customer_Info]])-FIND(",",RawSalesTable6[[#This Row],[Customer_Info]],FIND(",",RawSalesTable6[[#This Row],[Customer_Info]])+1)))</f>
        <v>Consumer</v>
      </c>
      <c r="X249" s="8" t="str">
        <f>VLOOKUP(RawSalesTable6[[#This Row],[Product_ID_Clean]],ProductsTable[],2,FALSE)</f>
        <v>Kettlebell</v>
      </c>
      <c r="Y249" s="8" t="str">
        <f>VLOOKUP(RawSalesTable6[[#This Row],[Product_ID_Clean]],ProductsTable[],3,FALSE)</f>
        <v>Fitness</v>
      </c>
      <c r="Z249" s="8">
        <f>VLOOKUP(RawSalesTable6[[#This Row],[Product_ID_Clean]],ProductsTable[],5,FALSE)</f>
        <v>25.97</v>
      </c>
      <c r="AA249" s="8">
        <f>RawSalesTable6[[#This Row],[Unit_Price]]*RawSalesTable6[[#This Row],[Quantity]]</f>
        <v>174.03</v>
      </c>
      <c r="AB249" s="8">
        <f>RawSalesTable6[[#This Row],[Gross_Sales]]*RawSalesTable6[[#This Row],[Discount_Pct]]</f>
        <v>0</v>
      </c>
      <c r="AC249" s="8">
        <f>RawSalesTable6[[#This Row],[Gross_Sales]]-RawSalesTable6[[#This Row],[Discount_Amount]]</f>
        <v>174.03</v>
      </c>
      <c r="AD249" s="8">
        <f>RawSalesTable6[[#This Row],[Unit_Cost]]*RawSalesTable6[[#This Row],[Quantity]]</f>
        <v>77.91</v>
      </c>
      <c r="AE249" s="8">
        <f>RawSalesTable6[[#This Row],[Net_Sales]]-RawSalesTable6[[#This Row],[Total_Cost]]</f>
        <v>96.12</v>
      </c>
      <c r="AF249" s="9">
        <f>RawSalesTable6[[#This Row],[Profit]]/RawSalesTable6[[#This Row],[Net_Sales]]</f>
        <v>0.55231856576452343</v>
      </c>
      <c r="AG249" s="8">
        <f>YEAR(RawSalesTable6[[#This Row],[Order_Date]])</f>
        <v>2025</v>
      </c>
      <c r="AH249" s="8">
        <f>MONTH(RawSalesTable6[[#This Row],[Order_Date]])</f>
        <v>3</v>
      </c>
      <c r="AI249" s="8" t="str">
        <f>TEXT(RawSalesTable6[[#This Row],[Order_Date]],"mmmm")</f>
        <v>mars</v>
      </c>
      <c r="AJ249" s="8" t="str">
        <f>IF(RawSalesTable6[[#This Row],[Month_Number]]&lt;=3,"Q1",IF(RawSalesTable6[[#This Row],[Month_Number]]&lt;=6,"Q2",IF(RawSalesTable6[[#This Row],[Month_Number]]&lt;=9,"Q3","Q4")))</f>
        <v>Q1</v>
      </c>
      <c r="AK249" s="8" t="str">
        <f>VLOOKUP(RawSalesTable6[[#This Row],[Customer_ID_Clean]],CustomersTable[],4,FALSE)</f>
        <v>British Columbia</v>
      </c>
      <c r="AL249" s="8">
        <f>IF(RawSalesTable6[[#This Row],[Return_Status]]="Yes",1,0)</f>
        <v>0</v>
      </c>
    </row>
    <row r="250" spans="1:38">
      <c r="A250" t="s">
        <v>636</v>
      </c>
      <c r="B250" s="3">
        <v>45864</v>
      </c>
      <c r="C250" t="s">
        <v>637</v>
      </c>
      <c r="D250" t="s">
        <v>469</v>
      </c>
      <c r="E250" t="s">
        <v>638</v>
      </c>
      <c r="F250" t="s">
        <v>111</v>
      </c>
      <c r="G250" t="s">
        <v>117</v>
      </c>
      <c r="H250" t="s">
        <v>89</v>
      </c>
      <c r="I250">
        <v>2</v>
      </c>
      <c r="J250" s="2">
        <v>83.7</v>
      </c>
      <c r="K250" s="4">
        <v>0.05</v>
      </c>
      <c r="L250" t="s">
        <v>353</v>
      </c>
      <c r="M250">
        <v>1</v>
      </c>
      <c r="N250" t="s">
        <v>91</v>
      </c>
      <c r="O250" t="str">
        <f>SUBSTITUTE(PROPER(TRIM(RawSalesTable6[[#This Row],[Channel_Raw]])),"Market Place","Marketplace")</f>
        <v>Online</v>
      </c>
      <c r="P250" t="str">
        <f>TRIM(RawSalesTable6[[#This Row],[Product_ID]])</f>
        <v>P1035</v>
      </c>
      <c r="Q250" t="str">
        <f>TRIM(RawSalesTable6[[#This Row],[Customer_ID]])</f>
        <v>C0024</v>
      </c>
      <c r="R250" s="8" t="str">
        <f>PROPER(TRIM(RawSalesTable6[[#This Row],[Store_Raw]]))</f>
        <v>Montreal Central</v>
      </c>
      <c r="S250" s="8" t="str">
        <f>IF(TRIM(RawSalesTable6[[#This Row],[Payment_Method_Raw]])="","Non renseigné",SUBSTITUTE(PROPER(TRIM(RawSalesTable6[[#This Row],[Payment_Method_Raw]])),"Cc","Credit Card"))</f>
        <v>Credit Card</v>
      </c>
      <c r="T250" s="8">
        <f>COUNTIF(A:A,RawSalesTable6[[#This Row],[Order_ID]])</f>
        <v>1</v>
      </c>
      <c r="U250" s="8" t="str">
        <f>TRIM(LEFT(RawSalesTable6[[#This Row],[Customer_Info]],FIND(",",RawSalesTable6[[#This Row],[Customer_Info]])-1))</f>
        <v>Ryan King</v>
      </c>
      <c r="V250" s="8" t="str">
        <f>TRIM(MID(RawSalesTable6[[#This Row],[Customer_Info]],FIND(",",RawSalesTable6[[#This Row],[Customer_Info]])+1,FIND(",",RawSalesTable6[[#This Row],[Customer_Info]],FIND(",",RawSalesTable6[[#This Row],[Customer_Info]])+1)-FIND(",",RawSalesTable6[[#This Row],[Customer_Info]])-1))</f>
        <v>Mississauga</v>
      </c>
      <c r="W250" s="8" t="str">
        <f>TRIM(RIGHT(RawSalesTable6[[#This Row],[Customer_Info]],LEN(RawSalesTable6[[#This Row],[Customer_Info]])-FIND(",",RawSalesTable6[[#This Row],[Customer_Info]],FIND(",",RawSalesTable6[[#This Row],[Customer_Info]])+1)))</f>
        <v>Consumer</v>
      </c>
      <c r="X250" s="8" t="str">
        <f>VLOOKUP(RawSalesTable6[[#This Row],[Product_ID_Clean]],ProductsTable[],2,FALSE)</f>
        <v>Phone Stand</v>
      </c>
      <c r="Y250" s="8" t="str">
        <f>VLOOKUP(RawSalesTable6[[#This Row],[Product_ID_Clean]],ProductsTable[],3,FALSE)</f>
        <v>Accessories</v>
      </c>
      <c r="Z250" s="8">
        <f>VLOOKUP(RawSalesTable6[[#This Row],[Product_ID_Clean]],ProductsTable[],5,FALSE)</f>
        <v>59.85</v>
      </c>
      <c r="AA250" s="8">
        <f>RawSalesTable6[[#This Row],[Unit_Price]]*RawSalesTable6[[#This Row],[Quantity]]</f>
        <v>167.4</v>
      </c>
      <c r="AB250" s="8">
        <f>RawSalesTable6[[#This Row],[Gross_Sales]]*RawSalesTable6[[#This Row],[Discount_Pct]]</f>
        <v>8.370000000000001</v>
      </c>
      <c r="AC250" s="8">
        <f>RawSalesTable6[[#This Row],[Gross_Sales]]-RawSalesTable6[[#This Row],[Discount_Amount]]</f>
        <v>159.03</v>
      </c>
      <c r="AD250" s="8">
        <f>RawSalesTable6[[#This Row],[Unit_Cost]]*RawSalesTable6[[#This Row],[Quantity]]</f>
        <v>119.7</v>
      </c>
      <c r="AE250" s="8">
        <f>RawSalesTable6[[#This Row],[Net_Sales]]-RawSalesTable6[[#This Row],[Total_Cost]]</f>
        <v>39.33</v>
      </c>
      <c r="AF250" s="9">
        <f>RawSalesTable6[[#This Row],[Profit]]/RawSalesTable6[[#This Row],[Net_Sales]]</f>
        <v>0.24731182795698922</v>
      </c>
      <c r="AG250" s="8">
        <f>YEAR(RawSalesTable6[[#This Row],[Order_Date]])</f>
        <v>2025</v>
      </c>
      <c r="AH250" s="8">
        <f>MONTH(RawSalesTable6[[#This Row],[Order_Date]])</f>
        <v>7</v>
      </c>
      <c r="AI250" s="8" t="str">
        <f>TEXT(RawSalesTable6[[#This Row],[Order_Date]],"mmmm")</f>
        <v>juillet</v>
      </c>
      <c r="AJ250" s="8" t="str">
        <f>IF(RawSalesTable6[[#This Row],[Month_Number]]&lt;=3,"Q1",IF(RawSalesTable6[[#This Row],[Month_Number]]&lt;=6,"Q2",IF(RawSalesTable6[[#This Row],[Month_Number]]&lt;=9,"Q3","Q4")))</f>
        <v>Q3</v>
      </c>
      <c r="AK250" s="8" t="str">
        <f>VLOOKUP(RawSalesTable6[[#This Row],[Customer_ID_Clean]],CustomersTable[],4,FALSE)</f>
        <v>Ontario</v>
      </c>
      <c r="AL250" s="8">
        <f>IF(RawSalesTable6[[#This Row],[Return_Status]]="Yes",1,0)</f>
        <v>0</v>
      </c>
    </row>
    <row r="251" spans="1:38">
      <c r="A251" t="s">
        <v>639</v>
      </c>
      <c r="B251" s="3">
        <v>45842</v>
      </c>
      <c r="C251" t="s">
        <v>132</v>
      </c>
      <c r="D251" t="s">
        <v>120</v>
      </c>
      <c r="E251" t="s">
        <v>134</v>
      </c>
      <c r="F251" t="s">
        <v>116</v>
      </c>
      <c r="G251" t="s">
        <v>117</v>
      </c>
      <c r="H251" t="s">
        <v>105</v>
      </c>
      <c r="I251">
        <v>1</v>
      </c>
      <c r="J251" s="2">
        <v>385.1</v>
      </c>
      <c r="K251" s="4">
        <v>0.1</v>
      </c>
      <c r="L251" t="s">
        <v>106</v>
      </c>
      <c r="M251">
        <v>3</v>
      </c>
      <c r="N251" t="s">
        <v>91</v>
      </c>
      <c r="O251" t="str">
        <f>SUBSTITUTE(PROPER(TRIM(RawSalesTable6[[#This Row],[Channel_Raw]])),"Market Place","Marketplace")</f>
        <v>Marketplace</v>
      </c>
      <c r="P251" t="str">
        <f>TRIM(RawSalesTable6[[#This Row],[Product_ID]])</f>
        <v>P1015</v>
      </c>
      <c r="Q251" t="str">
        <f>TRIM(RawSalesTable6[[#This Row],[Customer_ID]])</f>
        <v>C0104</v>
      </c>
      <c r="R251" s="8" t="str">
        <f>PROPER(TRIM(RawSalesTable6[[#This Row],[Store_Raw]]))</f>
        <v>Toronto Downtown</v>
      </c>
      <c r="S251" s="8" t="str">
        <f>IF(TRIM(RawSalesTable6[[#This Row],[Payment_Method_Raw]])="","Non renseigné",SUBSTITUTE(PROPER(TRIM(RawSalesTable6[[#This Row],[Payment_Method_Raw]])),"Cc","Credit Card"))</f>
        <v>Credit Card</v>
      </c>
      <c r="T251" s="8">
        <f>COUNTIF(A:A,RawSalesTable6[[#This Row],[Order_ID]])</f>
        <v>1</v>
      </c>
      <c r="U251" s="8" t="str">
        <f>TRIM(LEFT(RawSalesTable6[[#This Row],[Customer_Info]],FIND(",",RawSalesTable6[[#This Row],[Customer_Info]])-1))</f>
        <v>Ava Scott</v>
      </c>
      <c r="V251" s="8" t="str">
        <f>TRIM(MID(RawSalesTable6[[#This Row],[Customer_Info]],FIND(",",RawSalesTable6[[#This Row],[Customer_Info]])+1,FIND(",",RawSalesTable6[[#This Row],[Customer_Info]],FIND(",",RawSalesTable6[[#This Row],[Customer_Info]])+1)-FIND(",",RawSalesTable6[[#This Row],[Customer_Info]])-1))</f>
        <v>Edmonton</v>
      </c>
      <c r="W251" s="8" t="str">
        <f>TRIM(RIGHT(RawSalesTable6[[#This Row],[Customer_Info]],LEN(RawSalesTable6[[#This Row],[Customer_Info]])-FIND(",",RawSalesTable6[[#This Row],[Customer_Info]],FIND(",",RawSalesTable6[[#This Row],[Customer_Info]])+1)))</f>
        <v>Corporate</v>
      </c>
      <c r="X251" s="8" t="str">
        <f>VLOOKUP(RawSalesTable6[[#This Row],[Product_ID_Clean]],ProductsTable[],2,FALSE)</f>
        <v>Desk Organizer</v>
      </c>
      <c r="Y251" s="8" t="str">
        <f>VLOOKUP(RawSalesTable6[[#This Row],[Product_ID_Clean]],ProductsTable[],3,FALSE)</f>
        <v>Office</v>
      </c>
      <c r="Z251" s="8">
        <f>VLOOKUP(RawSalesTable6[[#This Row],[Product_ID_Clean]],ProductsTable[],5,FALSE)</f>
        <v>235.76</v>
      </c>
      <c r="AA251" s="8">
        <f>RawSalesTable6[[#This Row],[Unit_Price]]*RawSalesTable6[[#This Row],[Quantity]]</f>
        <v>385.1</v>
      </c>
      <c r="AB251" s="8">
        <f>RawSalesTable6[[#This Row],[Gross_Sales]]*RawSalesTable6[[#This Row],[Discount_Pct]]</f>
        <v>38.510000000000005</v>
      </c>
      <c r="AC251" s="8">
        <f>RawSalesTable6[[#This Row],[Gross_Sales]]-RawSalesTable6[[#This Row],[Discount_Amount]]</f>
        <v>346.59000000000003</v>
      </c>
      <c r="AD251" s="8">
        <f>RawSalesTable6[[#This Row],[Unit_Cost]]*RawSalesTable6[[#This Row],[Quantity]]</f>
        <v>235.76</v>
      </c>
      <c r="AE251" s="8">
        <f>RawSalesTable6[[#This Row],[Net_Sales]]-RawSalesTable6[[#This Row],[Total_Cost]]</f>
        <v>110.83000000000004</v>
      </c>
      <c r="AF251" s="9">
        <f>RawSalesTable6[[#This Row],[Profit]]/RawSalesTable6[[#This Row],[Net_Sales]]</f>
        <v>0.31977264202660211</v>
      </c>
      <c r="AG251" s="8">
        <f>YEAR(RawSalesTable6[[#This Row],[Order_Date]])</f>
        <v>2025</v>
      </c>
      <c r="AH251" s="8">
        <f>MONTH(RawSalesTable6[[#This Row],[Order_Date]])</f>
        <v>7</v>
      </c>
      <c r="AI251" s="8" t="str">
        <f>TEXT(RawSalesTable6[[#This Row],[Order_Date]],"mmmm")</f>
        <v>juillet</v>
      </c>
      <c r="AJ251" s="8" t="str">
        <f>IF(RawSalesTable6[[#This Row],[Month_Number]]&lt;=3,"Q1",IF(RawSalesTable6[[#This Row],[Month_Number]]&lt;=6,"Q2",IF(RawSalesTable6[[#This Row],[Month_Number]]&lt;=9,"Q3","Q4")))</f>
        <v>Q3</v>
      </c>
      <c r="AK251" s="8" t="str">
        <f>VLOOKUP(RawSalesTable6[[#This Row],[Customer_ID_Clean]],CustomersTable[],4,FALSE)</f>
        <v>Alberta</v>
      </c>
      <c r="AL251" s="8">
        <f>IF(RawSalesTable6[[#This Row],[Return_Status]]="Yes",1,0)</f>
        <v>0</v>
      </c>
    </row>
    <row r="252" spans="1:38">
      <c r="A252" t="s">
        <v>640</v>
      </c>
      <c r="B252" s="3">
        <v>45884</v>
      </c>
      <c r="C252" t="s">
        <v>113</v>
      </c>
      <c r="D252" t="s">
        <v>101</v>
      </c>
      <c r="E252" t="s">
        <v>115</v>
      </c>
      <c r="F252" t="s">
        <v>87</v>
      </c>
      <c r="G252" t="s">
        <v>183</v>
      </c>
      <c r="H252" t="s">
        <v>89</v>
      </c>
      <c r="I252">
        <v>1</v>
      </c>
      <c r="J252" s="2">
        <v>296.18</v>
      </c>
      <c r="K252" s="4">
        <v>0</v>
      </c>
      <c r="L252" t="s">
        <v>106</v>
      </c>
      <c r="M252">
        <v>4</v>
      </c>
      <c r="N252" t="s">
        <v>91</v>
      </c>
      <c r="O252" t="str">
        <f>SUBSTITUTE(PROPER(TRIM(RawSalesTable6[[#This Row],[Channel_Raw]])),"Market Place","Marketplace")</f>
        <v>Online</v>
      </c>
      <c r="P252" t="str">
        <f>TRIM(RawSalesTable6[[#This Row],[Product_ID]])</f>
        <v>P1021</v>
      </c>
      <c r="Q252" t="str">
        <f>TRIM(RawSalesTable6[[#This Row],[Customer_ID]])</f>
        <v>C0083</v>
      </c>
      <c r="R252" s="8" t="str">
        <f>PROPER(TRIM(RawSalesTable6[[#This Row],[Store_Raw]]))</f>
        <v>Online Fulfillment</v>
      </c>
      <c r="S252" s="8" t="str">
        <f>IF(TRIM(RawSalesTable6[[#This Row],[Payment_Method_Raw]])="","Non renseigné",SUBSTITUTE(PROPER(TRIM(RawSalesTable6[[#This Row],[Payment_Method_Raw]])),"Cc","Credit Card"))</f>
        <v>Credit Card</v>
      </c>
      <c r="T252" s="8">
        <f>COUNTIF(A:A,RawSalesTable6[[#This Row],[Order_ID]])</f>
        <v>1</v>
      </c>
      <c r="U252" s="8" t="str">
        <f>TRIM(LEFT(RawSalesTable6[[#This Row],[Customer_Info]],FIND(",",RawSalesTable6[[#This Row],[Customer_Info]])-1))</f>
        <v>Amine King</v>
      </c>
      <c r="V252" s="8" t="str">
        <f>TRIM(MID(RawSalesTable6[[#This Row],[Customer_Info]],FIND(",",RawSalesTable6[[#This Row],[Customer_Info]])+1,FIND(",",RawSalesTable6[[#This Row],[Customer_Info]],FIND(",",RawSalesTable6[[#This Row],[Customer_Info]])+1)-FIND(",",RawSalesTable6[[#This Row],[Customer_Info]])-1))</f>
        <v>Edmonton</v>
      </c>
      <c r="W252" s="8" t="str">
        <f>TRIM(RIGHT(RawSalesTable6[[#This Row],[Customer_Info]],LEN(RawSalesTable6[[#This Row],[Customer_Info]])-FIND(",",RawSalesTable6[[#This Row],[Customer_Info]],FIND(",",RawSalesTable6[[#This Row],[Customer_Info]])+1)))</f>
        <v>Consumer</v>
      </c>
      <c r="X252" s="8" t="str">
        <f>VLOOKUP(RawSalesTable6[[#This Row],[Product_ID_Clean]],ProductsTable[],2,FALSE)</f>
        <v>Kettle</v>
      </c>
      <c r="Y252" s="8" t="str">
        <f>VLOOKUP(RawSalesTable6[[#This Row],[Product_ID_Clean]],ProductsTable[],3,FALSE)</f>
        <v>Home</v>
      </c>
      <c r="Z252" s="8">
        <f>VLOOKUP(RawSalesTable6[[#This Row],[Product_ID_Clean]],ProductsTable[],5,FALSE)</f>
        <v>139.86000000000001</v>
      </c>
      <c r="AA252" s="8">
        <f>RawSalesTable6[[#This Row],[Unit_Price]]*RawSalesTable6[[#This Row],[Quantity]]</f>
        <v>296.18</v>
      </c>
      <c r="AB252" s="8">
        <f>RawSalesTable6[[#This Row],[Gross_Sales]]*RawSalesTable6[[#This Row],[Discount_Pct]]</f>
        <v>0</v>
      </c>
      <c r="AC252" s="8">
        <f>RawSalesTable6[[#This Row],[Gross_Sales]]-RawSalesTable6[[#This Row],[Discount_Amount]]</f>
        <v>296.18</v>
      </c>
      <c r="AD252" s="8">
        <f>RawSalesTable6[[#This Row],[Unit_Cost]]*RawSalesTable6[[#This Row],[Quantity]]</f>
        <v>139.86000000000001</v>
      </c>
      <c r="AE252" s="8">
        <f>RawSalesTable6[[#This Row],[Net_Sales]]-RawSalesTable6[[#This Row],[Total_Cost]]</f>
        <v>156.32</v>
      </c>
      <c r="AF252" s="9">
        <f>RawSalesTable6[[#This Row],[Profit]]/RawSalesTable6[[#This Row],[Net_Sales]]</f>
        <v>0.52778715645891006</v>
      </c>
      <c r="AG252" s="8">
        <f>YEAR(RawSalesTable6[[#This Row],[Order_Date]])</f>
        <v>2025</v>
      </c>
      <c r="AH252" s="8">
        <f>MONTH(RawSalesTable6[[#This Row],[Order_Date]])</f>
        <v>8</v>
      </c>
      <c r="AI252" s="8" t="str">
        <f>TEXT(RawSalesTable6[[#This Row],[Order_Date]],"mmmm")</f>
        <v>août</v>
      </c>
      <c r="AJ252" s="8" t="str">
        <f>IF(RawSalesTable6[[#This Row],[Month_Number]]&lt;=3,"Q1",IF(RawSalesTable6[[#This Row],[Month_Number]]&lt;=6,"Q2",IF(RawSalesTable6[[#This Row],[Month_Number]]&lt;=9,"Q3","Q4")))</f>
        <v>Q3</v>
      </c>
      <c r="AK252" s="8" t="str">
        <f>VLOOKUP(RawSalesTable6[[#This Row],[Customer_ID_Clean]],CustomersTable[],4,FALSE)</f>
        <v>Alberta</v>
      </c>
      <c r="AL252" s="8">
        <f>IF(RawSalesTable6[[#This Row],[Return_Status]]="Yes",1,0)</f>
        <v>0</v>
      </c>
    </row>
    <row r="253" spans="1:38">
      <c r="A253" t="s">
        <v>641</v>
      </c>
      <c r="B253" s="3">
        <v>45776</v>
      </c>
      <c r="C253" t="s">
        <v>313</v>
      </c>
      <c r="D253" t="s">
        <v>231</v>
      </c>
      <c r="E253" t="s">
        <v>314</v>
      </c>
      <c r="F253" t="s">
        <v>103</v>
      </c>
      <c r="G253" t="s">
        <v>117</v>
      </c>
      <c r="H253" t="s">
        <v>97</v>
      </c>
      <c r="I253">
        <v>2</v>
      </c>
      <c r="J253" s="2">
        <v>352.88</v>
      </c>
      <c r="K253" s="4">
        <v>0.15</v>
      </c>
      <c r="L253" t="s">
        <v>441</v>
      </c>
      <c r="M253">
        <v>2</v>
      </c>
      <c r="N253" t="s">
        <v>91</v>
      </c>
      <c r="O253" t="str">
        <f>SUBSTITUTE(PROPER(TRIM(RawSalesTable6[[#This Row],[Channel_Raw]])),"Market Place","Marketplace")</f>
        <v>Retail Store</v>
      </c>
      <c r="P253" t="str">
        <f>TRIM(RawSalesTable6[[#This Row],[Product_ID]])</f>
        <v>P1037</v>
      </c>
      <c r="Q253" t="str">
        <f>TRIM(RawSalesTable6[[#This Row],[Customer_ID]])</f>
        <v>C0080</v>
      </c>
      <c r="R253" s="8" t="str">
        <f>PROPER(TRIM(RawSalesTable6[[#This Row],[Store_Raw]]))</f>
        <v>Vancouver West</v>
      </c>
      <c r="S253" s="8" t="str">
        <f>IF(TRIM(RawSalesTable6[[#This Row],[Payment_Method_Raw]])="","Non renseigné",SUBSTITUTE(PROPER(TRIM(RawSalesTable6[[#This Row],[Payment_Method_Raw]])),"Cc","Credit Card"))</f>
        <v>Credit Card</v>
      </c>
      <c r="T253" s="8">
        <f>COUNTIF(A:A,RawSalesTable6[[#This Row],[Order_ID]])</f>
        <v>1</v>
      </c>
      <c r="U253" s="8" t="str">
        <f>TRIM(LEFT(RawSalesTable6[[#This Row],[Customer_Info]],FIND(",",RawSalesTable6[[#This Row],[Customer_Info]])-1))</f>
        <v>Sarah Smith</v>
      </c>
      <c r="V253" s="8" t="str">
        <f>TRIM(MID(RawSalesTable6[[#This Row],[Customer_Info]],FIND(",",RawSalesTable6[[#This Row],[Customer_Info]])+1,FIND(",",RawSalesTable6[[#This Row],[Customer_Info]],FIND(",",RawSalesTable6[[#This Row],[Customer_Info]])+1)-FIND(",",RawSalesTable6[[#This Row],[Customer_Info]])-1))</f>
        <v>Mississauga</v>
      </c>
      <c r="W253" s="8" t="str">
        <f>TRIM(RIGHT(RawSalesTable6[[#This Row],[Customer_Info]],LEN(RawSalesTable6[[#This Row],[Customer_Info]])-FIND(",",RawSalesTable6[[#This Row],[Customer_Info]],FIND(",",RawSalesTable6[[#This Row],[Customer_Info]])+1)))</f>
        <v>Corporate</v>
      </c>
      <c r="X253" s="8" t="str">
        <f>VLOOKUP(RawSalesTable6[[#This Row],[Product_ID_Clean]],ProductsTable[],2,FALSE)</f>
        <v>Cable Set</v>
      </c>
      <c r="Y253" s="8" t="str">
        <f>VLOOKUP(RawSalesTable6[[#This Row],[Product_ID_Clean]],ProductsTable[],3,FALSE)</f>
        <v>Accessories</v>
      </c>
      <c r="Z253" s="8">
        <f>VLOOKUP(RawSalesTable6[[#This Row],[Product_ID_Clean]],ProductsTable[],5,FALSE)</f>
        <v>200.16</v>
      </c>
      <c r="AA253" s="8">
        <f>RawSalesTable6[[#This Row],[Unit_Price]]*RawSalesTable6[[#This Row],[Quantity]]</f>
        <v>705.76</v>
      </c>
      <c r="AB253" s="8">
        <f>RawSalesTable6[[#This Row],[Gross_Sales]]*RawSalesTable6[[#This Row],[Discount_Pct]]</f>
        <v>105.86399999999999</v>
      </c>
      <c r="AC253" s="8">
        <f>RawSalesTable6[[#This Row],[Gross_Sales]]-RawSalesTable6[[#This Row],[Discount_Amount]]</f>
        <v>599.89599999999996</v>
      </c>
      <c r="AD253" s="8">
        <f>RawSalesTable6[[#This Row],[Unit_Cost]]*RawSalesTable6[[#This Row],[Quantity]]</f>
        <v>400.32</v>
      </c>
      <c r="AE253" s="8">
        <f>RawSalesTable6[[#This Row],[Net_Sales]]-RawSalesTable6[[#This Row],[Total_Cost]]</f>
        <v>199.57599999999996</v>
      </c>
      <c r="AF253" s="9">
        <f>RawSalesTable6[[#This Row],[Profit]]/RawSalesTable6[[#This Row],[Net_Sales]]</f>
        <v>0.33268433195087144</v>
      </c>
      <c r="AG253" s="8">
        <f>YEAR(RawSalesTable6[[#This Row],[Order_Date]])</f>
        <v>2025</v>
      </c>
      <c r="AH253" s="8">
        <f>MONTH(RawSalesTable6[[#This Row],[Order_Date]])</f>
        <v>4</v>
      </c>
      <c r="AI253" s="8" t="str">
        <f>TEXT(RawSalesTable6[[#This Row],[Order_Date]],"mmmm")</f>
        <v>avril</v>
      </c>
      <c r="AJ253" s="8" t="str">
        <f>IF(RawSalesTable6[[#This Row],[Month_Number]]&lt;=3,"Q1",IF(RawSalesTable6[[#This Row],[Month_Number]]&lt;=6,"Q2",IF(RawSalesTable6[[#This Row],[Month_Number]]&lt;=9,"Q3","Q4")))</f>
        <v>Q2</v>
      </c>
      <c r="AK253" s="8" t="str">
        <f>VLOOKUP(RawSalesTable6[[#This Row],[Customer_ID_Clean]],CustomersTable[],4,FALSE)</f>
        <v>Ontario</v>
      </c>
      <c r="AL253" s="8">
        <f>IF(RawSalesTable6[[#This Row],[Return_Status]]="Yes",1,0)</f>
        <v>0</v>
      </c>
    </row>
    <row r="254" spans="1:38">
      <c r="A254" t="s">
        <v>642</v>
      </c>
      <c r="B254" s="3">
        <v>45691</v>
      </c>
      <c r="C254" t="s">
        <v>305</v>
      </c>
      <c r="D254" t="s">
        <v>174</v>
      </c>
      <c r="E254" t="s">
        <v>306</v>
      </c>
      <c r="F254" t="s">
        <v>145</v>
      </c>
      <c r="G254" t="s">
        <v>104</v>
      </c>
      <c r="H254" t="s">
        <v>105</v>
      </c>
      <c r="I254">
        <v>3</v>
      </c>
      <c r="J254" s="2">
        <v>36.1</v>
      </c>
      <c r="K254" s="4">
        <v>0</v>
      </c>
      <c r="L254" t="s">
        <v>106</v>
      </c>
      <c r="M254">
        <v>8</v>
      </c>
      <c r="N254" t="s">
        <v>91</v>
      </c>
      <c r="O254" t="str">
        <f>SUBSTITUTE(PROPER(TRIM(RawSalesTable6[[#This Row],[Channel_Raw]])),"Market Place","Marketplace")</f>
        <v>Marketplace</v>
      </c>
      <c r="P254" t="str">
        <f>TRIM(RawSalesTable6[[#This Row],[Product_ID]])</f>
        <v>P1002</v>
      </c>
      <c r="Q254" t="str">
        <f>TRIM(RawSalesTable6[[#This Row],[Customer_ID]])</f>
        <v>C0055</v>
      </c>
      <c r="R254" s="8" t="str">
        <f>PROPER(TRIM(RawSalesTable6[[#This Row],[Store_Raw]]))</f>
        <v>Calgary North</v>
      </c>
      <c r="S254" s="8" t="str">
        <f>IF(TRIM(RawSalesTable6[[#This Row],[Payment_Method_Raw]])="","Non renseigné",SUBSTITUTE(PROPER(TRIM(RawSalesTable6[[#This Row],[Payment_Method_Raw]])),"Cc","Credit Card"))</f>
        <v>Credit Card</v>
      </c>
      <c r="T254" s="8">
        <f>COUNTIF(A:A,RawSalesTable6[[#This Row],[Order_ID]])</f>
        <v>1</v>
      </c>
      <c r="U254" s="8" t="str">
        <f>TRIM(LEFT(RawSalesTable6[[#This Row],[Customer_Info]],FIND(",",RawSalesTable6[[#This Row],[Customer_Info]])-1))</f>
        <v>Sarah Scott</v>
      </c>
      <c r="V254" s="8" t="str">
        <f>TRIM(MID(RawSalesTable6[[#This Row],[Customer_Info]],FIND(",",RawSalesTable6[[#This Row],[Customer_Info]])+1,FIND(",",RawSalesTable6[[#This Row],[Customer_Info]],FIND(",",RawSalesTable6[[#This Row],[Customer_Info]])+1)-FIND(",",RawSalesTable6[[#This Row],[Customer_Info]])-1))</f>
        <v>Surrey</v>
      </c>
      <c r="W254" s="8" t="str">
        <f>TRIM(RIGHT(RawSalesTable6[[#This Row],[Customer_Info]],LEN(RawSalesTable6[[#This Row],[Customer_Info]])-FIND(",",RawSalesTable6[[#This Row],[Customer_Info]],FIND(",",RawSalesTable6[[#This Row],[Customer_Info]])+1)))</f>
        <v>Consumer</v>
      </c>
      <c r="X254" s="8" t="str">
        <f>VLOOKUP(RawSalesTable6[[#This Row],[Product_ID_Clean]],ProductsTable[],2,FALSE)</f>
        <v>Keyboard</v>
      </c>
      <c r="Y254" s="8" t="str">
        <f>VLOOKUP(RawSalesTable6[[#This Row],[Product_ID_Clean]],ProductsTable[],3,FALSE)</f>
        <v>Electronics</v>
      </c>
      <c r="Z254" s="8">
        <f>VLOOKUP(RawSalesTable6[[#This Row],[Product_ID_Clean]],ProductsTable[],5,FALSE)</f>
        <v>23.5</v>
      </c>
      <c r="AA254" s="8">
        <f>RawSalesTable6[[#This Row],[Unit_Price]]*RawSalesTable6[[#This Row],[Quantity]]</f>
        <v>108.30000000000001</v>
      </c>
      <c r="AB254" s="8">
        <f>RawSalesTable6[[#This Row],[Gross_Sales]]*RawSalesTable6[[#This Row],[Discount_Pct]]</f>
        <v>0</v>
      </c>
      <c r="AC254" s="8">
        <f>RawSalesTable6[[#This Row],[Gross_Sales]]-RawSalesTable6[[#This Row],[Discount_Amount]]</f>
        <v>108.30000000000001</v>
      </c>
      <c r="AD254" s="8">
        <f>RawSalesTable6[[#This Row],[Unit_Cost]]*RawSalesTable6[[#This Row],[Quantity]]</f>
        <v>70.5</v>
      </c>
      <c r="AE254" s="8">
        <f>RawSalesTable6[[#This Row],[Net_Sales]]-RawSalesTable6[[#This Row],[Total_Cost]]</f>
        <v>37.800000000000011</v>
      </c>
      <c r="AF254" s="9">
        <f>RawSalesTable6[[#This Row],[Profit]]/RawSalesTable6[[#This Row],[Net_Sales]]</f>
        <v>0.34903047091412748</v>
      </c>
      <c r="AG254" s="8">
        <f>YEAR(RawSalesTable6[[#This Row],[Order_Date]])</f>
        <v>2025</v>
      </c>
      <c r="AH254" s="8">
        <f>MONTH(RawSalesTable6[[#This Row],[Order_Date]])</f>
        <v>2</v>
      </c>
      <c r="AI254" s="8" t="str">
        <f>TEXT(RawSalesTable6[[#This Row],[Order_Date]],"mmmm")</f>
        <v>février</v>
      </c>
      <c r="AJ254" s="8" t="str">
        <f>IF(RawSalesTable6[[#This Row],[Month_Number]]&lt;=3,"Q1",IF(RawSalesTable6[[#This Row],[Month_Number]]&lt;=6,"Q2",IF(RawSalesTable6[[#This Row],[Month_Number]]&lt;=9,"Q3","Q4")))</f>
        <v>Q1</v>
      </c>
      <c r="AK254" s="8" t="str">
        <f>VLOOKUP(RawSalesTable6[[#This Row],[Customer_ID_Clean]],CustomersTable[],4,FALSE)</f>
        <v>British Columbia</v>
      </c>
      <c r="AL254" s="8">
        <f>IF(RawSalesTable6[[#This Row],[Return_Status]]="Yes",1,0)</f>
        <v>0</v>
      </c>
    </row>
    <row r="255" spans="1:38">
      <c r="A255" t="s">
        <v>643</v>
      </c>
      <c r="B255" s="3">
        <v>45829</v>
      </c>
      <c r="C255" t="s">
        <v>644</v>
      </c>
      <c r="D255" t="s">
        <v>217</v>
      </c>
      <c r="E255" t="s">
        <v>645</v>
      </c>
      <c r="F255" t="s">
        <v>145</v>
      </c>
      <c r="G255" t="s">
        <v>88</v>
      </c>
      <c r="H255" t="s">
        <v>246</v>
      </c>
      <c r="I255">
        <v>1</v>
      </c>
      <c r="J255" s="2">
        <v>101.87</v>
      </c>
      <c r="K255" s="4">
        <v>0.1</v>
      </c>
      <c r="L255" t="s">
        <v>98</v>
      </c>
      <c r="M255">
        <v>2</v>
      </c>
      <c r="N255" t="s">
        <v>91</v>
      </c>
      <c r="O255" t="str">
        <f>SUBSTITUTE(PROPER(TRIM(RawSalesTable6[[#This Row],[Channel_Raw]])),"Market Place","Marketplace")</f>
        <v>Retail Store</v>
      </c>
      <c r="P255" t="str">
        <f>TRIM(RawSalesTable6[[#This Row],[Product_ID]])</f>
        <v>P1006</v>
      </c>
      <c r="Q255" t="str">
        <f>TRIM(RawSalesTable6[[#This Row],[Customer_ID]])</f>
        <v>C0011</v>
      </c>
      <c r="R255" s="8" t="str">
        <f>PROPER(TRIM(RawSalesTable6[[#This Row],[Store_Raw]]))</f>
        <v>Calgary North</v>
      </c>
      <c r="S255" s="8" t="str">
        <f>IF(TRIM(RawSalesTable6[[#This Row],[Payment_Method_Raw]])="","Non renseigné",SUBSTITUTE(PROPER(TRIM(RawSalesTable6[[#This Row],[Payment_Method_Raw]])),"Cc","Credit Card"))</f>
        <v>Debit Card</v>
      </c>
      <c r="T255" s="8">
        <f>COUNTIF(A:A,RawSalesTable6[[#This Row],[Order_ID]])</f>
        <v>1</v>
      </c>
      <c r="U255" s="8" t="str">
        <f>TRIM(LEFT(RawSalesTable6[[#This Row],[Customer_Info]],FIND(",",RawSalesTable6[[#This Row],[Customer_Info]])-1))</f>
        <v>Ethan Hall</v>
      </c>
      <c r="V255" s="8" t="str">
        <f>TRIM(MID(RawSalesTable6[[#This Row],[Customer_Info]],FIND(",",RawSalesTable6[[#This Row],[Customer_Info]])+1,FIND(",",RawSalesTable6[[#This Row],[Customer_Info]],FIND(",",RawSalesTable6[[#This Row],[Customer_Info]])+1)-FIND(",",RawSalesTable6[[#This Row],[Customer_Info]])-1))</f>
        <v>Quebec City</v>
      </c>
      <c r="W255" s="8" t="str">
        <f>TRIM(RIGHT(RawSalesTable6[[#This Row],[Customer_Info]],LEN(RawSalesTable6[[#This Row],[Customer_Info]])-FIND(",",RawSalesTable6[[#This Row],[Customer_Info]],FIND(",",RawSalesTable6[[#This Row],[Customer_Info]])+1)))</f>
        <v>Consumer</v>
      </c>
      <c r="X255" s="8" t="str">
        <f>VLOOKUP(RawSalesTable6[[#This Row],[Product_ID_Clean]],ProductsTable[],2,FALSE)</f>
        <v>USB-C Hub</v>
      </c>
      <c r="Y255" s="8" t="str">
        <f>VLOOKUP(RawSalesTable6[[#This Row],[Product_ID_Clean]],ProductsTable[],3,FALSE)</f>
        <v>Electronics</v>
      </c>
      <c r="Z255" s="8">
        <f>VLOOKUP(RawSalesTable6[[#This Row],[Product_ID_Clean]],ProductsTable[],5,FALSE)</f>
        <v>72</v>
      </c>
      <c r="AA255" s="8">
        <f>RawSalesTable6[[#This Row],[Unit_Price]]*RawSalesTable6[[#This Row],[Quantity]]</f>
        <v>101.87</v>
      </c>
      <c r="AB255" s="8">
        <f>RawSalesTable6[[#This Row],[Gross_Sales]]*RawSalesTable6[[#This Row],[Discount_Pct]]</f>
        <v>10.187000000000001</v>
      </c>
      <c r="AC255" s="8">
        <f>RawSalesTable6[[#This Row],[Gross_Sales]]-RawSalesTable6[[#This Row],[Discount_Amount]]</f>
        <v>91.683000000000007</v>
      </c>
      <c r="AD255" s="8">
        <f>RawSalesTable6[[#This Row],[Unit_Cost]]*RawSalesTable6[[#This Row],[Quantity]]</f>
        <v>72</v>
      </c>
      <c r="AE255" s="8">
        <f>RawSalesTable6[[#This Row],[Net_Sales]]-RawSalesTable6[[#This Row],[Total_Cost]]</f>
        <v>19.683000000000007</v>
      </c>
      <c r="AF255" s="9">
        <f>RawSalesTable6[[#This Row],[Profit]]/RawSalesTable6[[#This Row],[Net_Sales]]</f>
        <v>0.21468538333169732</v>
      </c>
      <c r="AG255" s="8">
        <f>YEAR(RawSalesTable6[[#This Row],[Order_Date]])</f>
        <v>2025</v>
      </c>
      <c r="AH255" s="8">
        <f>MONTH(RawSalesTable6[[#This Row],[Order_Date]])</f>
        <v>6</v>
      </c>
      <c r="AI255" s="8" t="str">
        <f>TEXT(RawSalesTable6[[#This Row],[Order_Date]],"mmmm")</f>
        <v>juin</v>
      </c>
      <c r="AJ255" s="8" t="str">
        <f>IF(RawSalesTable6[[#This Row],[Month_Number]]&lt;=3,"Q1",IF(RawSalesTable6[[#This Row],[Month_Number]]&lt;=6,"Q2",IF(RawSalesTable6[[#This Row],[Month_Number]]&lt;=9,"Q3","Q4")))</f>
        <v>Q2</v>
      </c>
      <c r="AK255" s="8" t="str">
        <f>VLOOKUP(RawSalesTable6[[#This Row],[Customer_ID_Clean]],CustomersTable[],4,FALSE)</f>
        <v>Quebec</v>
      </c>
      <c r="AL255" s="8">
        <f>IF(RawSalesTable6[[#This Row],[Return_Status]]="Yes",1,0)</f>
        <v>0</v>
      </c>
    </row>
    <row r="256" spans="1:38">
      <c r="A256" t="s">
        <v>646</v>
      </c>
      <c r="B256" s="3">
        <v>46020</v>
      </c>
      <c r="C256" t="s">
        <v>647</v>
      </c>
      <c r="D256" t="s">
        <v>133</v>
      </c>
      <c r="E256" t="s">
        <v>648</v>
      </c>
      <c r="F256" t="s">
        <v>145</v>
      </c>
      <c r="G256" t="s">
        <v>122</v>
      </c>
      <c r="H256" t="s">
        <v>89</v>
      </c>
      <c r="I256">
        <v>2</v>
      </c>
      <c r="J256" s="2">
        <v>349.83</v>
      </c>
      <c r="K256" s="4">
        <v>0</v>
      </c>
      <c r="L256" t="s">
        <v>98</v>
      </c>
      <c r="M256">
        <v>4</v>
      </c>
      <c r="N256" t="s">
        <v>91</v>
      </c>
      <c r="O256" t="str">
        <f>SUBSTITUTE(PROPER(TRIM(RawSalesTable6[[#This Row],[Channel_Raw]])),"Market Place","Marketplace")</f>
        <v>Online</v>
      </c>
      <c r="P256" t="str">
        <f>TRIM(RawSalesTable6[[#This Row],[Product_ID]])</f>
        <v>P1039</v>
      </c>
      <c r="Q256" t="str">
        <f>TRIM(RawSalesTable6[[#This Row],[Customer_ID]])</f>
        <v>C0050</v>
      </c>
      <c r="R256" s="8" t="str">
        <f>PROPER(TRIM(RawSalesTable6[[#This Row],[Store_Raw]]))</f>
        <v>Calgary North</v>
      </c>
      <c r="S256" s="8" t="str">
        <f>IF(TRIM(RawSalesTable6[[#This Row],[Payment_Method_Raw]])="","Non renseigné",SUBSTITUTE(PROPER(TRIM(RawSalesTable6[[#This Row],[Payment_Method_Raw]])),"Cc","Credit Card"))</f>
        <v>Debit Card</v>
      </c>
      <c r="T256" s="8">
        <f>COUNTIF(A:A,RawSalesTable6[[#This Row],[Order_ID]])</f>
        <v>1</v>
      </c>
      <c r="U256" s="8" t="str">
        <f>TRIM(LEFT(RawSalesTable6[[#This Row],[Customer_Info]],FIND(",",RawSalesTable6[[#This Row],[Customer_Info]])-1))</f>
        <v>Sarah Singh</v>
      </c>
      <c r="V256" s="8" t="str">
        <f>TRIM(MID(RawSalesTable6[[#This Row],[Customer_Info]],FIND(",",RawSalesTable6[[#This Row],[Customer_Info]])+1,FIND(",",RawSalesTable6[[#This Row],[Customer_Info]],FIND(",",RawSalesTable6[[#This Row],[Customer_Info]])+1)-FIND(",",RawSalesTable6[[#This Row],[Customer_Info]])-1))</f>
        <v>Mississauga</v>
      </c>
      <c r="W256" s="8" t="str">
        <f>TRIM(RIGHT(RawSalesTable6[[#This Row],[Customer_Info]],LEN(RawSalesTable6[[#This Row],[Customer_Info]])-FIND(",",RawSalesTable6[[#This Row],[Customer_Info]],FIND(",",RawSalesTable6[[#This Row],[Customer_Info]])+1)))</f>
        <v>Consumer</v>
      </c>
      <c r="X256" s="8" t="str">
        <f>VLOOKUP(RawSalesTable6[[#This Row],[Product_ID_Clean]],ProductsTable[],2,FALSE)</f>
        <v>Travel Adapter</v>
      </c>
      <c r="Y256" s="8" t="str">
        <f>VLOOKUP(RawSalesTable6[[#This Row],[Product_ID_Clean]],ProductsTable[],3,FALSE)</f>
        <v>Accessories</v>
      </c>
      <c r="Z256" s="8">
        <f>VLOOKUP(RawSalesTable6[[#This Row],[Product_ID_Clean]],ProductsTable[],5,FALSE)</f>
        <v>229.86</v>
      </c>
      <c r="AA256" s="8">
        <f>RawSalesTable6[[#This Row],[Unit_Price]]*RawSalesTable6[[#This Row],[Quantity]]</f>
        <v>699.66</v>
      </c>
      <c r="AB256" s="8">
        <f>RawSalesTable6[[#This Row],[Gross_Sales]]*RawSalesTable6[[#This Row],[Discount_Pct]]</f>
        <v>0</v>
      </c>
      <c r="AC256" s="8">
        <f>RawSalesTable6[[#This Row],[Gross_Sales]]-RawSalesTable6[[#This Row],[Discount_Amount]]</f>
        <v>699.66</v>
      </c>
      <c r="AD256" s="8">
        <f>RawSalesTable6[[#This Row],[Unit_Cost]]*RawSalesTable6[[#This Row],[Quantity]]</f>
        <v>459.72</v>
      </c>
      <c r="AE256" s="8">
        <f>RawSalesTable6[[#This Row],[Net_Sales]]-RawSalesTable6[[#This Row],[Total_Cost]]</f>
        <v>239.93999999999994</v>
      </c>
      <c r="AF256" s="9">
        <f>RawSalesTable6[[#This Row],[Profit]]/RawSalesTable6[[#This Row],[Net_Sales]]</f>
        <v>0.34293799845639306</v>
      </c>
      <c r="AG256" s="8">
        <f>YEAR(RawSalesTable6[[#This Row],[Order_Date]])</f>
        <v>2025</v>
      </c>
      <c r="AH256" s="8">
        <f>MONTH(RawSalesTable6[[#This Row],[Order_Date]])</f>
        <v>12</v>
      </c>
      <c r="AI256" s="8" t="str">
        <f>TEXT(RawSalesTable6[[#This Row],[Order_Date]],"mmmm")</f>
        <v>décembre</v>
      </c>
      <c r="AJ256" s="8" t="str">
        <f>IF(RawSalesTable6[[#This Row],[Month_Number]]&lt;=3,"Q1",IF(RawSalesTable6[[#This Row],[Month_Number]]&lt;=6,"Q2",IF(RawSalesTable6[[#This Row],[Month_Number]]&lt;=9,"Q3","Q4")))</f>
        <v>Q4</v>
      </c>
      <c r="AK256" s="8" t="str">
        <f>VLOOKUP(RawSalesTable6[[#This Row],[Customer_ID_Clean]],CustomersTable[],4,FALSE)</f>
        <v>Ontario</v>
      </c>
      <c r="AL256" s="8">
        <f>IF(RawSalesTable6[[#This Row],[Return_Status]]="Yes",1,0)</f>
        <v>0</v>
      </c>
    </row>
    <row r="257" spans="1:38">
      <c r="A257" t="s">
        <v>649</v>
      </c>
      <c r="B257" s="3">
        <v>45786</v>
      </c>
      <c r="C257" t="s">
        <v>610</v>
      </c>
      <c r="D257" t="s">
        <v>231</v>
      </c>
      <c r="E257" t="s">
        <v>611</v>
      </c>
      <c r="F257" t="s">
        <v>103</v>
      </c>
      <c r="G257" t="s">
        <v>96</v>
      </c>
      <c r="H257" t="s">
        <v>89</v>
      </c>
      <c r="I257">
        <v>1</v>
      </c>
      <c r="J257" s="2">
        <v>343.83</v>
      </c>
      <c r="K257" s="4">
        <v>0</v>
      </c>
      <c r="L257" t="s">
        <v>504</v>
      </c>
      <c r="M257">
        <v>6</v>
      </c>
      <c r="N257" t="s">
        <v>91</v>
      </c>
      <c r="O257" t="str">
        <f>SUBSTITUTE(PROPER(TRIM(RawSalesTable6[[#This Row],[Channel_Raw]])),"Market Place","Marketplace")</f>
        <v>Online</v>
      </c>
      <c r="P257" t="str">
        <f>TRIM(RawSalesTable6[[#This Row],[Product_ID]])</f>
        <v>P1037</v>
      </c>
      <c r="Q257" t="str">
        <f>TRIM(RawSalesTable6[[#This Row],[Customer_ID]])</f>
        <v>C0051</v>
      </c>
      <c r="R257" s="8" t="str">
        <f>PROPER(TRIM(RawSalesTable6[[#This Row],[Store_Raw]]))</f>
        <v>Vancouver West</v>
      </c>
      <c r="S257" s="8" t="str">
        <f>IF(TRIM(RawSalesTable6[[#This Row],[Payment_Method_Raw]])="","Non renseigné",SUBSTITUTE(PROPER(TRIM(RawSalesTable6[[#This Row],[Payment_Method_Raw]])),"Cc","Credit Card"))</f>
        <v>Debit Card</v>
      </c>
      <c r="T257" s="8">
        <f>COUNTIF(A:A,RawSalesTable6[[#This Row],[Order_ID]])</f>
        <v>1</v>
      </c>
      <c r="U257" s="8" t="str">
        <f>TRIM(LEFT(RawSalesTable6[[#This Row],[Customer_Info]],FIND(",",RawSalesTable6[[#This Row],[Customer_Info]])-1))</f>
        <v>Daniel Brown</v>
      </c>
      <c r="V257" s="8" t="str">
        <f>TRIM(MID(RawSalesTable6[[#This Row],[Customer_Info]],FIND(",",RawSalesTable6[[#This Row],[Customer_Info]])+1,FIND(",",RawSalesTable6[[#This Row],[Customer_Info]],FIND(",",RawSalesTable6[[#This Row],[Customer_Info]])+1)-FIND(",",RawSalesTable6[[#This Row],[Customer_Info]])-1))</f>
        <v>Vancouver</v>
      </c>
      <c r="W257" s="8" t="str">
        <f>TRIM(RIGHT(RawSalesTable6[[#This Row],[Customer_Info]],LEN(RawSalesTable6[[#This Row],[Customer_Info]])-FIND(",",RawSalesTable6[[#This Row],[Customer_Info]],FIND(",",RawSalesTable6[[#This Row],[Customer_Info]])+1)))</f>
        <v>Small Business</v>
      </c>
      <c r="X257" s="8" t="str">
        <f>VLOOKUP(RawSalesTable6[[#This Row],[Product_ID_Clean]],ProductsTable[],2,FALSE)</f>
        <v>Cable Set</v>
      </c>
      <c r="Y257" s="8" t="str">
        <f>VLOOKUP(RawSalesTable6[[#This Row],[Product_ID_Clean]],ProductsTable[],3,FALSE)</f>
        <v>Accessories</v>
      </c>
      <c r="Z257" s="8">
        <f>VLOOKUP(RawSalesTable6[[#This Row],[Product_ID_Clean]],ProductsTable[],5,FALSE)</f>
        <v>200.16</v>
      </c>
      <c r="AA257" s="8">
        <f>RawSalesTable6[[#This Row],[Unit_Price]]*RawSalesTable6[[#This Row],[Quantity]]</f>
        <v>343.83</v>
      </c>
      <c r="AB257" s="8">
        <f>RawSalesTable6[[#This Row],[Gross_Sales]]*RawSalesTable6[[#This Row],[Discount_Pct]]</f>
        <v>0</v>
      </c>
      <c r="AC257" s="8">
        <f>RawSalesTable6[[#This Row],[Gross_Sales]]-RawSalesTable6[[#This Row],[Discount_Amount]]</f>
        <v>343.83</v>
      </c>
      <c r="AD257" s="8">
        <f>RawSalesTable6[[#This Row],[Unit_Cost]]*RawSalesTable6[[#This Row],[Quantity]]</f>
        <v>200.16</v>
      </c>
      <c r="AE257" s="8">
        <f>RawSalesTable6[[#This Row],[Net_Sales]]-RawSalesTable6[[#This Row],[Total_Cost]]</f>
        <v>143.66999999999999</v>
      </c>
      <c r="AF257" s="9">
        <f>RawSalesTable6[[#This Row],[Profit]]/RawSalesTable6[[#This Row],[Net_Sales]]</f>
        <v>0.41785184538870951</v>
      </c>
      <c r="AG257" s="8">
        <f>YEAR(RawSalesTable6[[#This Row],[Order_Date]])</f>
        <v>2025</v>
      </c>
      <c r="AH257" s="8">
        <f>MONTH(RawSalesTable6[[#This Row],[Order_Date]])</f>
        <v>5</v>
      </c>
      <c r="AI257" s="8" t="str">
        <f>TEXT(RawSalesTable6[[#This Row],[Order_Date]],"mmmm")</f>
        <v>mai</v>
      </c>
      <c r="AJ257" s="8" t="str">
        <f>IF(RawSalesTable6[[#This Row],[Month_Number]]&lt;=3,"Q1",IF(RawSalesTable6[[#This Row],[Month_Number]]&lt;=6,"Q2",IF(RawSalesTable6[[#This Row],[Month_Number]]&lt;=9,"Q3","Q4")))</f>
        <v>Q2</v>
      </c>
      <c r="AK257" s="8" t="str">
        <f>VLOOKUP(RawSalesTable6[[#This Row],[Customer_ID_Clean]],CustomersTable[],4,FALSE)</f>
        <v>British Columbia</v>
      </c>
      <c r="AL257" s="8">
        <f>IF(RawSalesTable6[[#This Row],[Return_Status]]="Yes",1,0)</f>
        <v>0</v>
      </c>
    </row>
    <row r="258" spans="1:38">
      <c r="A258" t="s">
        <v>650</v>
      </c>
      <c r="B258" s="3">
        <v>45838</v>
      </c>
      <c r="C258" t="s">
        <v>326</v>
      </c>
      <c r="D258" t="s">
        <v>271</v>
      </c>
      <c r="E258" t="s">
        <v>327</v>
      </c>
      <c r="F258" t="s">
        <v>103</v>
      </c>
      <c r="G258" t="s">
        <v>183</v>
      </c>
      <c r="H258" t="s">
        <v>89</v>
      </c>
      <c r="I258">
        <v>5</v>
      </c>
      <c r="J258" s="2">
        <v>214.13</v>
      </c>
      <c r="K258" s="4">
        <v>0.15</v>
      </c>
      <c r="L258" t="s">
        <v>106</v>
      </c>
      <c r="M258">
        <v>3</v>
      </c>
      <c r="N258" t="s">
        <v>91</v>
      </c>
      <c r="O258" t="str">
        <f>SUBSTITUTE(PROPER(TRIM(RawSalesTable6[[#This Row],[Channel_Raw]])),"Market Place","Marketplace")</f>
        <v>Online</v>
      </c>
      <c r="P258" t="str">
        <f>TRIM(RawSalesTable6[[#This Row],[Product_ID]])</f>
        <v>P1026</v>
      </c>
      <c r="Q258" t="str">
        <f>TRIM(RawSalesTable6[[#This Row],[Customer_ID]])</f>
        <v>C0092</v>
      </c>
      <c r="R258" s="8" t="str">
        <f>PROPER(TRIM(RawSalesTable6[[#This Row],[Store_Raw]]))</f>
        <v>Vancouver West</v>
      </c>
      <c r="S258" s="8" t="str">
        <f>IF(TRIM(RawSalesTable6[[#This Row],[Payment_Method_Raw]])="","Non renseigné",SUBSTITUTE(PROPER(TRIM(RawSalesTable6[[#This Row],[Payment_Method_Raw]])),"Cc","Credit Card"))</f>
        <v>Credit Card</v>
      </c>
      <c r="T258" s="8">
        <f>COUNTIF(A:A,RawSalesTable6[[#This Row],[Order_ID]])</f>
        <v>1</v>
      </c>
      <c r="U258" s="8" t="str">
        <f>TRIM(LEFT(RawSalesTable6[[#This Row],[Customer_Info]],FIND(",",RawSalesTable6[[#This Row],[Customer_Info]])-1))</f>
        <v>Lucas Tremblay</v>
      </c>
      <c r="V258" s="8" t="str">
        <f>TRIM(MID(RawSalesTable6[[#This Row],[Customer_Info]],FIND(",",RawSalesTable6[[#This Row],[Customer_Info]])+1,FIND(",",RawSalesTable6[[#This Row],[Customer_Info]],FIND(",",RawSalesTable6[[#This Row],[Customer_Info]])+1)-FIND(",",RawSalesTable6[[#This Row],[Customer_Info]])-1))</f>
        <v>Saskatoon</v>
      </c>
      <c r="W258" s="8" t="str">
        <f>TRIM(RIGHT(RawSalesTable6[[#This Row],[Customer_Info]],LEN(RawSalesTable6[[#This Row],[Customer_Info]])-FIND(",",RawSalesTable6[[#This Row],[Customer_Info]],FIND(",",RawSalesTable6[[#This Row],[Customer_Info]])+1)))</f>
        <v>Consumer</v>
      </c>
      <c r="X258" s="8" t="str">
        <f>VLOOKUP(RawSalesTable6[[#This Row],[Product_ID_Clean]],ProductsTable[],2,FALSE)</f>
        <v>Resistance Bands</v>
      </c>
      <c r="Y258" s="8" t="str">
        <f>VLOOKUP(RawSalesTable6[[#This Row],[Product_ID_Clean]],ProductsTable[],3,FALSE)</f>
        <v>Fitness</v>
      </c>
      <c r="Z258" s="8">
        <f>VLOOKUP(RawSalesTable6[[#This Row],[Product_ID_Clean]],ProductsTable[],5,FALSE)</f>
        <v>139.19999999999999</v>
      </c>
      <c r="AA258" s="8">
        <f>RawSalesTable6[[#This Row],[Unit_Price]]*RawSalesTable6[[#This Row],[Quantity]]</f>
        <v>1070.6500000000001</v>
      </c>
      <c r="AB258" s="8">
        <f>RawSalesTable6[[#This Row],[Gross_Sales]]*RawSalesTable6[[#This Row],[Discount_Pct]]</f>
        <v>160.5975</v>
      </c>
      <c r="AC258" s="8">
        <f>RawSalesTable6[[#This Row],[Gross_Sales]]-RawSalesTable6[[#This Row],[Discount_Amount]]</f>
        <v>910.05250000000012</v>
      </c>
      <c r="AD258" s="8">
        <f>RawSalesTable6[[#This Row],[Unit_Cost]]*RawSalesTable6[[#This Row],[Quantity]]</f>
        <v>696</v>
      </c>
      <c r="AE258" s="8">
        <f>RawSalesTable6[[#This Row],[Net_Sales]]-RawSalesTable6[[#This Row],[Total_Cost]]</f>
        <v>214.05250000000012</v>
      </c>
      <c r="AF258" s="9">
        <f>RawSalesTable6[[#This Row],[Profit]]/RawSalesTable6[[#This Row],[Net_Sales]]</f>
        <v>0.23520895772496653</v>
      </c>
      <c r="AG258" s="8">
        <f>YEAR(RawSalesTable6[[#This Row],[Order_Date]])</f>
        <v>2025</v>
      </c>
      <c r="AH258" s="8">
        <f>MONTH(RawSalesTable6[[#This Row],[Order_Date]])</f>
        <v>6</v>
      </c>
      <c r="AI258" s="8" t="str">
        <f>TEXT(RawSalesTable6[[#This Row],[Order_Date]],"mmmm")</f>
        <v>juin</v>
      </c>
      <c r="AJ258" s="8" t="str">
        <f>IF(RawSalesTable6[[#This Row],[Month_Number]]&lt;=3,"Q1",IF(RawSalesTable6[[#This Row],[Month_Number]]&lt;=6,"Q2",IF(RawSalesTable6[[#This Row],[Month_Number]]&lt;=9,"Q3","Q4")))</f>
        <v>Q2</v>
      </c>
      <c r="AK258" s="8" t="str">
        <f>VLOOKUP(RawSalesTable6[[#This Row],[Customer_ID_Clean]],CustomersTable[],4,FALSE)</f>
        <v>Saskatchewan</v>
      </c>
      <c r="AL258" s="8">
        <f>IF(RawSalesTable6[[#This Row],[Return_Status]]="Yes",1,0)</f>
        <v>0</v>
      </c>
    </row>
    <row r="259" spans="1:38">
      <c r="A259" t="s">
        <v>651</v>
      </c>
      <c r="B259" s="3">
        <v>45817</v>
      </c>
      <c r="C259" t="s">
        <v>343</v>
      </c>
      <c r="D259" t="s">
        <v>157</v>
      </c>
      <c r="E259" t="s">
        <v>344</v>
      </c>
      <c r="F259" t="s">
        <v>87</v>
      </c>
      <c r="G259" t="s">
        <v>130</v>
      </c>
      <c r="H259" t="s">
        <v>89</v>
      </c>
      <c r="I259">
        <v>2</v>
      </c>
      <c r="J259" s="2">
        <v>278.27</v>
      </c>
      <c r="K259" s="4">
        <v>0.2</v>
      </c>
      <c r="L259" t="s">
        <v>98</v>
      </c>
      <c r="M259">
        <v>5</v>
      </c>
      <c r="N259" t="s">
        <v>91</v>
      </c>
      <c r="O259" t="str">
        <f>SUBSTITUTE(PROPER(TRIM(RawSalesTable6[[#This Row],[Channel_Raw]])),"Market Place","Marketplace")</f>
        <v>Online</v>
      </c>
      <c r="P259" t="str">
        <f>TRIM(RawSalesTable6[[#This Row],[Product_ID]])</f>
        <v>P1009</v>
      </c>
      <c r="Q259" t="str">
        <f>TRIM(RawSalesTable6[[#This Row],[Customer_ID]])</f>
        <v>C0114</v>
      </c>
      <c r="R259" s="8" t="str">
        <f>PROPER(TRIM(RawSalesTable6[[#This Row],[Store_Raw]]))</f>
        <v>Online Fulfillment</v>
      </c>
      <c r="S259" s="8" t="str">
        <f>IF(TRIM(RawSalesTable6[[#This Row],[Payment_Method_Raw]])="","Non renseigné",SUBSTITUTE(PROPER(TRIM(RawSalesTable6[[#This Row],[Payment_Method_Raw]])),"Cc","Credit Card"))</f>
        <v>Debit Card</v>
      </c>
      <c r="T259" s="8">
        <f>COUNTIF(A:A,RawSalesTable6[[#This Row],[Order_ID]])</f>
        <v>1</v>
      </c>
      <c r="U259" s="8" t="str">
        <f>TRIM(LEFT(RawSalesTable6[[#This Row],[Customer_Info]],FIND(",",RawSalesTable6[[#This Row],[Customer_Info]])-1))</f>
        <v>Olivia Johnson</v>
      </c>
      <c r="V259" s="8" t="str">
        <f>TRIM(MID(RawSalesTable6[[#This Row],[Customer_Info]],FIND(",",RawSalesTable6[[#This Row],[Customer_Info]])+1,FIND(",",RawSalesTable6[[#This Row],[Customer_Info]],FIND(",",RawSalesTable6[[#This Row],[Customer_Info]])+1)-FIND(",",RawSalesTable6[[#This Row],[Customer_Info]])-1))</f>
        <v>Ottawa</v>
      </c>
      <c r="W259" s="8" t="str">
        <f>TRIM(RIGHT(RawSalesTable6[[#This Row],[Customer_Info]],LEN(RawSalesTable6[[#This Row],[Customer_Info]])-FIND(",",RawSalesTable6[[#This Row],[Customer_Info]],FIND(",",RawSalesTable6[[#This Row],[Customer_Info]])+1)))</f>
        <v>Consumer</v>
      </c>
      <c r="X259" s="8" t="str">
        <f>VLOOKUP(RawSalesTable6[[#This Row],[Product_ID_Clean]],ProductsTable[],2,FALSE)</f>
        <v>Notebook</v>
      </c>
      <c r="Y259" s="8" t="str">
        <f>VLOOKUP(RawSalesTable6[[#This Row],[Product_ID_Clean]],ProductsTable[],3,FALSE)</f>
        <v>Office</v>
      </c>
      <c r="Z259" s="8">
        <f>VLOOKUP(RawSalesTable6[[#This Row],[Product_ID_Clean]],ProductsTable[],5,FALSE)</f>
        <v>176.13</v>
      </c>
      <c r="AA259" s="8">
        <f>RawSalesTable6[[#This Row],[Unit_Price]]*RawSalesTable6[[#This Row],[Quantity]]</f>
        <v>556.54</v>
      </c>
      <c r="AB259" s="8">
        <f>RawSalesTable6[[#This Row],[Gross_Sales]]*RawSalesTable6[[#This Row],[Discount_Pct]]</f>
        <v>111.30799999999999</v>
      </c>
      <c r="AC259" s="8">
        <f>RawSalesTable6[[#This Row],[Gross_Sales]]-RawSalesTable6[[#This Row],[Discount_Amount]]</f>
        <v>445.23199999999997</v>
      </c>
      <c r="AD259" s="8">
        <f>RawSalesTable6[[#This Row],[Unit_Cost]]*RawSalesTable6[[#This Row],[Quantity]]</f>
        <v>352.26</v>
      </c>
      <c r="AE259" s="8">
        <f>RawSalesTable6[[#This Row],[Net_Sales]]-RawSalesTable6[[#This Row],[Total_Cost]]</f>
        <v>92.97199999999998</v>
      </c>
      <c r="AF259" s="9">
        <f>RawSalesTable6[[#This Row],[Profit]]/RawSalesTable6[[#This Row],[Net_Sales]]</f>
        <v>0.20881697631796453</v>
      </c>
      <c r="AG259" s="8">
        <f>YEAR(RawSalesTable6[[#This Row],[Order_Date]])</f>
        <v>2025</v>
      </c>
      <c r="AH259" s="8">
        <f>MONTH(RawSalesTable6[[#This Row],[Order_Date]])</f>
        <v>6</v>
      </c>
      <c r="AI259" s="8" t="str">
        <f>TEXT(RawSalesTable6[[#This Row],[Order_Date]],"mmmm")</f>
        <v>juin</v>
      </c>
      <c r="AJ259" s="8" t="str">
        <f>IF(RawSalesTable6[[#This Row],[Month_Number]]&lt;=3,"Q1",IF(RawSalesTable6[[#This Row],[Month_Number]]&lt;=6,"Q2",IF(RawSalesTable6[[#This Row],[Month_Number]]&lt;=9,"Q3","Q4")))</f>
        <v>Q2</v>
      </c>
      <c r="AK259" s="8" t="str">
        <f>VLOOKUP(RawSalesTable6[[#This Row],[Customer_ID_Clean]],CustomersTable[],4,FALSE)</f>
        <v>Ontario</v>
      </c>
      <c r="AL259" s="8">
        <f>IF(RawSalesTable6[[#This Row],[Return_Status]]="Yes",1,0)</f>
        <v>0</v>
      </c>
    </row>
    <row r="260" spans="1:38">
      <c r="A260" t="s">
        <v>652</v>
      </c>
      <c r="B260" s="3">
        <v>45847</v>
      </c>
      <c r="C260" t="s">
        <v>653</v>
      </c>
      <c r="D260" t="s">
        <v>249</v>
      </c>
      <c r="E260" t="s">
        <v>654</v>
      </c>
      <c r="F260" t="s">
        <v>655</v>
      </c>
      <c r="G260" t="s">
        <v>130</v>
      </c>
      <c r="H260" t="s">
        <v>105</v>
      </c>
      <c r="I260">
        <v>3</v>
      </c>
      <c r="J260" s="2">
        <v>404.74</v>
      </c>
      <c r="K260" s="4">
        <v>0.05</v>
      </c>
      <c r="L260" t="s">
        <v>98</v>
      </c>
      <c r="M260">
        <v>3</v>
      </c>
      <c r="N260" t="s">
        <v>147</v>
      </c>
      <c r="O260" t="str">
        <f>SUBSTITUTE(PROPER(TRIM(RawSalesTable6[[#This Row],[Channel_Raw]])),"Market Place","Marketplace")</f>
        <v>Marketplace</v>
      </c>
      <c r="P260" t="str">
        <f>TRIM(RawSalesTable6[[#This Row],[Product_ID]])</f>
        <v>P1022</v>
      </c>
      <c r="Q260" t="str">
        <f>TRIM(RawSalesTable6[[#This Row],[Customer_ID]])</f>
        <v>C0100</v>
      </c>
      <c r="R260" s="8" t="str">
        <f>PROPER(TRIM(RawSalesTable6[[#This Row],[Store_Raw]]))</f>
        <v>Online Fulfillment</v>
      </c>
      <c r="S260" s="8" t="str">
        <f>IF(TRIM(RawSalesTable6[[#This Row],[Payment_Method_Raw]])="","Non renseigné",SUBSTITUTE(PROPER(TRIM(RawSalesTable6[[#This Row],[Payment_Method_Raw]])),"Cc","Credit Card"))</f>
        <v>Debit Card</v>
      </c>
      <c r="T260" s="8">
        <f>COUNTIF(A:A,RawSalesTable6[[#This Row],[Order_ID]])</f>
        <v>1</v>
      </c>
      <c r="U260" s="8" t="str">
        <f>TRIM(LEFT(RawSalesTable6[[#This Row],[Customer_Info]],FIND(",",RawSalesTable6[[#This Row],[Customer_Info]])-1))</f>
        <v>Yasmine Smith</v>
      </c>
      <c r="V260" s="8" t="str">
        <f>TRIM(MID(RawSalesTable6[[#This Row],[Customer_Info]],FIND(",",RawSalesTable6[[#This Row],[Customer_Info]])+1,FIND(",",RawSalesTable6[[#This Row],[Customer_Info]],FIND(",",RawSalesTable6[[#This Row],[Customer_Info]])+1)-FIND(",",RawSalesTable6[[#This Row],[Customer_Info]])-1))</f>
        <v>Mississauga</v>
      </c>
      <c r="W260" s="8" t="str">
        <f>TRIM(RIGHT(RawSalesTable6[[#This Row],[Customer_Info]],LEN(RawSalesTable6[[#This Row],[Customer_Info]])-FIND(",",RawSalesTable6[[#This Row],[Customer_Info]],FIND(",",RawSalesTable6[[#This Row],[Customer_Info]])+1)))</f>
        <v>Consumer</v>
      </c>
      <c r="X260" s="8" t="str">
        <f>VLOOKUP(RawSalesTable6[[#This Row],[Product_ID_Clean]],ProductsTable[],2,FALSE)</f>
        <v>Humidifier</v>
      </c>
      <c r="Y260" s="8" t="str">
        <f>VLOOKUP(RawSalesTable6[[#This Row],[Product_ID_Clean]],ProductsTable[],3,FALSE)</f>
        <v>Home</v>
      </c>
      <c r="Z260" s="8">
        <f>VLOOKUP(RawSalesTable6[[#This Row],[Product_ID_Clean]],ProductsTable[],5,FALSE)</f>
        <v>239.67</v>
      </c>
      <c r="AA260" s="8">
        <f>RawSalesTable6[[#This Row],[Unit_Price]]*RawSalesTable6[[#This Row],[Quantity]]</f>
        <v>1214.22</v>
      </c>
      <c r="AB260" s="8">
        <f>RawSalesTable6[[#This Row],[Gross_Sales]]*RawSalesTable6[[#This Row],[Discount_Pct]]</f>
        <v>60.711000000000006</v>
      </c>
      <c r="AC260" s="8">
        <f>RawSalesTable6[[#This Row],[Gross_Sales]]-RawSalesTable6[[#This Row],[Discount_Amount]]</f>
        <v>1153.509</v>
      </c>
      <c r="AD260" s="8">
        <f>RawSalesTable6[[#This Row],[Unit_Cost]]*RawSalesTable6[[#This Row],[Quantity]]</f>
        <v>719.01</v>
      </c>
      <c r="AE260" s="8">
        <f>RawSalesTable6[[#This Row],[Net_Sales]]-RawSalesTable6[[#This Row],[Total_Cost]]</f>
        <v>434.49900000000002</v>
      </c>
      <c r="AF260" s="9">
        <f>RawSalesTable6[[#This Row],[Profit]]/RawSalesTable6[[#This Row],[Net_Sales]]</f>
        <v>0.37667586468766173</v>
      </c>
      <c r="AG260" s="8">
        <f>YEAR(RawSalesTable6[[#This Row],[Order_Date]])</f>
        <v>2025</v>
      </c>
      <c r="AH260" s="8">
        <f>MONTH(RawSalesTable6[[#This Row],[Order_Date]])</f>
        <v>7</v>
      </c>
      <c r="AI260" s="8" t="str">
        <f>TEXT(RawSalesTable6[[#This Row],[Order_Date]],"mmmm")</f>
        <v>juillet</v>
      </c>
      <c r="AJ260" s="8" t="str">
        <f>IF(RawSalesTable6[[#This Row],[Month_Number]]&lt;=3,"Q1",IF(RawSalesTable6[[#This Row],[Month_Number]]&lt;=6,"Q2",IF(RawSalesTable6[[#This Row],[Month_Number]]&lt;=9,"Q3","Q4")))</f>
        <v>Q3</v>
      </c>
      <c r="AK260" s="8" t="str">
        <f>VLOOKUP(RawSalesTable6[[#This Row],[Customer_ID_Clean]],CustomersTable[],4,FALSE)</f>
        <v>Ontario</v>
      </c>
      <c r="AL260" s="8">
        <f>IF(RawSalesTable6[[#This Row],[Return_Status]]="Yes",1,0)</f>
        <v>1</v>
      </c>
    </row>
    <row r="261" spans="1:38">
      <c r="A261" t="s">
        <v>656</v>
      </c>
      <c r="B261" s="3">
        <v>45980</v>
      </c>
      <c r="C261" t="s">
        <v>93</v>
      </c>
      <c r="D261" t="s">
        <v>271</v>
      </c>
      <c r="E261" t="s">
        <v>95</v>
      </c>
      <c r="F261" t="s">
        <v>116</v>
      </c>
      <c r="G261" t="s">
        <v>96</v>
      </c>
      <c r="H261" t="s">
        <v>89</v>
      </c>
      <c r="I261">
        <v>3</v>
      </c>
      <c r="J261" s="2">
        <v>223.29</v>
      </c>
      <c r="K261" s="4">
        <v>0.2</v>
      </c>
      <c r="L261" t="s">
        <v>98</v>
      </c>
      <c r="M261">
        <v>3</v>
      </c>
      <c r="N261" t="s">
        <v>91</v>
      </c>
      <c r="O261" t="str">
        <f>SUBSTITUTE(PROPER(TRIM(RawSalesTable6[[#This Row],[Channel_Raw]])),"Market Place","Marketplace")</f>
        <v>Online</v>
      </c>
      <c r="P261" t="str">
        <f>TRIM(RawSalesTable6[[#This Row],[Product_ID]])</f>
        <v>P1026</v>
      </c>
      <c r="Q261" t="str">
        <f>TRIM(RawSalesTable6[[#This Row],[Customer_ID]])</f>
        <v>C0084</v>
      </c>
      <c r="R261" s="8" t="str">
        <f>PROPER(TRIM(RawSalesTable6[[#This Row],[Store_Raw]]))</f>
        <v>Toronto Downtown</v>
      </c>
      <c r="S261" s="8" t="str">
        <f>IF(TRIM(RawSalesTable6[[#This Row],[Payment_Method_Raw]])="","Non renseigné",SUBSTITUTE(PROPER(TRIM(RawSalesTable6[[#This Row],[Payment_Method_Raw]])),"Cc","Credit Card"))</f>
        <v>Debit Card</v>
      </c>
      <c r="T261" s="8">
        <f>COUNTIF(A:A,RawSalesTable6[[#This Row],[Order_ID]])</f>
        <v>1</v>
      </c>
      <c r="U261" s="8" t="str">
        <f>TRIM(LEFT(RawSalesTable6[[#This Row],[Customer_Info]],FIND(",",RawSalesTable6[[#This Row],[Customer_Info]])-1))</f>
        <v>Ryan Clark</v>
      </c>
      <c r="V261" s="8" t="str">
        <f>TRIM(MID(RawSalesTable6[[#This Row],[Customer_Info]],FIND(",",RawSalesTable6[[#This Row],[Customer_Info]])+1,FIND(",",RawSalesTable6[[#This Row],[Customer_Info]],FIND(",",RawSalesTable6[[#This Row],[Customer_Info]])+1)-FIND(",",RawSalesTable6[[#This Row],[Customer_Info]])-1))</f>
        <v>Montreal</v>
      </c>
      <c r="W261" s="8" t="str">
        <f>TRIM(RIGHT(RawSalesTable6[[#This Row],[Customer_Info]],LEN(RawSalesTable6[[#This Row],[Customer_Info]])-FIND(",",RawSalesTable6[[#This Row],[Customer_Info]],FIND(",",RawSalesTable6[[#This Row],[Customer_Info]])+1)))</f>
        <v>Corporate</v>
      </c>
      <c r="X261" s="8" t="str">
        <f>VLOOKUP(RawSalesTable6[[#This Row],[Product_ID_Clean]],ProductsTable[],2,FALSE)</f>
        <v>Resistance Bands</v>
      </c>
      <c r="Y261" s="8" t="str">
        <f>VLOOKUP(RawSalesTable6[[#This Row],[Product_ID_Clean]],ProductsTable[],3,FALSE)</f>
        <v>Fitness</v>
      </c>
      <c r="Z261" s="8">
        <f>VLOOKUP(RawSalesTable6[[#This Row],[Product_ID_Clean]],ProductsTable[],5,FALSE)</f>
        <v>139.19999999999999</v>
      </c>
      <c r="AA261" s="8">
        <f>RawSalesTable6[[#This Row],[Unit_Price]]*RawSalesTable6[[#This Row],[Quantity]]</f>
        <v>669.87</v>
      </c>
      <c r="AB261" s="8">
        <f>RawSalesTable6[[#This Row],[Gross_Sales]]*RawSalesTable6[[#This Row],[Discount_Pct]]</f>
        <v>133.97400000000002</v>
      </c>
      <c r="AC261" s="8">
        <f>RawSalesTable6[[#This Row],[Gross_Sales]]-RawSalesTable6[[#This Row],[Discount_Amount]]</f>
        <v>535.89599999999996</v>
      </c>
      <c r="AD261" s="8">
        <f>RawSalesTable6[[#This Row],[Unit_Cost]]*RawSalesTable6[[#This Row],[Quantity]]</f>
        <v>417.59999999999997</v>
      </c>
      <c r="AE261" s="8">
        <f>RawSalesTable6[[#This Row],[Net_Sales]]-RawSalesTable6[[#This Row],[Total_Cost]]</f>
        <v>118.29599999999999</v>
      </c>
      <c r="AF261" s="9">
        <f>RawSalesTable6[[#This Row],[Profit]]/RawSalesTable6[[#This Row],[Net_Sales]]</f>
        <v>0.22074432352546017</v>
      </c>
      <c r="AG261" s="8">
        <f>YEAR(RawSalesTable6[[#This Row],[Order_Date]])</f>
        <v>2025</v>
      </c>
      <c r="AH261" s="8">
        <f>MONTH(RawSalesTable6[[#This Row],[Order_Date]])</f>
        <v>11</v>
      </c>
      <c r="AI261" s="8" t="str">
        <f>TEXT(RawSalesTable6[[#This Row],[Order_Date]],"mmmm")</f>
        <v>novembre</v>
      </c>
      <c r="AJ261" s="8" t="str">
        <f>IF(RawSalesTable6[[#This Row],[Month_Number]]&lt;=3,"Q1",IF(RawSalesTable6[[#This Row],[Month_Number]]&lt;=6,"Q2",IF(RawSalesTable6[[#This Row],[Month_Number]]&lt;=9,"Q3","Q4")))</f>
        <v>Q4</v>
      </c>
      <c r="AK261" s="8" t="str">
        <f>VLOOKUP(RawSalesTable6[[#This Row],[Customer_ID_Clean]],CustomersTable[],4,FALSE)</f>
        <v>Quebec</v>
      </c>
      <c r="AL261" s="8">
        <f>IF(RawSalesTable6[[#This Row],[Return_Status]]="Yes",1,0)</f>
        <v>0</v>
      </c>
    </row>
    <row r="262" spans="1:38">
      <c r="A262" t="s">
        <v>657</v>
      </c>
      <c r="B262" s="3">
        <v>45780</v>
      </c>
      <c r="C262" t="s">
        <v>313</v>
      </c>
      <c r="D262" t="s">
        <v>94</v>
      </c>
      <c r="E262" t="s">
        <v>314</v>
      </c>
      <c r="F262" t="s">
        <v>103</v>
      </c>
      <c r="G262" t="s">
        <v>130</v>
      </c>
      <c r="H262" t="s">
        <v>233</v>
      </c>
      <c r="I262">
        <v>1</v>
      </c>
      <c r="J262" s="2">
        <v>293.24</v>
      </c>
      <c r="K262" s="4">
        <v>0.1</v>
      </c>
      <c r="L262" t="s">
        <v>90</v>
      </c>
      <c r="M262">
        <v>1</v>
      </c>
      <c r="N262" t="s">
        <v>91</v>
      </c>
      <c r="O262" t="str">
        <f>SUBSTITUTE(PROPER(TRIM(RawSalesTable6[[#This Row],[Channel_Raw]])),"Market Place","Marketplace")</f>
        <v>Retail Store</v>
      </c>
      <c r="P262" t="str">
        <f>TRIM(RawSalesTable6[[#This Row],[Product_ID]])</f>
        <v>P1033</v>
      </c>
      <c r="Q262" t="str">
        <f>TRIM(RawSalesTable6[[#This Row],[Customer_ID]])</f>
        <v>C0080</v>
      </c>
      <c r="R262" s="8" t="str">
        <f>PROPER(TRIM(RawSalesTable6[[#This Row],[Store_Raw]]))</f>
        <v>Vancouver West</v>
      </c>
      <c r="S262" s="8" t="str">
        <f>IF(TRIM(RawSalesTable6[[#This Row],[Payment_Method_Raw]])="","Non renseigné",SUBSTITUTE(PROPER(TRIM(RawSalesTable6[[#This Row],[Payment_Method_Raw]])),"Cc","Credit Card"))</f>
        <v>Paypal</v>
      </c>
      <c r="T262" s="8">
        <f>COUNTIF(A:A,RawSalesTable6[[#This Row],[Order_ID]])</f>
        <v>1</v>
      </c>
      <c r="U262" s="8" t="str">
        <f>TRIM(LEFT(RawSalesTable6[[#This Row],[Customer_Info]],FIND(",",RawSalesTable6[[#This Row],[Customer_Info]])-1))</f>
        <v>Sarah Smith</v>
      </c>
      <c r="V262" s="8" t="str">
        <f>TRIM(MID(RawSalesTable6[[#This Row],[Customer_Info]],FIND(",",RawSalesTable6[[#This Row],[Customer_Info]])+1,FIND(",",RawSalesTable6[[#This Row],[Customer_Info]],FIND(",",RawSalesTable6[[#This Row],[Customer_Info]])+1)-FIND(",",RawSalesTable6[[#This Row],[Customer_Info]])-1))</f>
        <v>Mississauga</v>
      </c>
      <c r="W262" s="8" t="str">
        <f>TRIM(RIGHT(RawSalesTable6[[#This Row],[Customer_Info]],LEN(RawSalesTable6[[#This Row],[Customer_Info]])-FIND(",",RawSalesTable6[[#This Row],[Customer_Info]],FIND(",",RawSalesTable6[[#This Row],[Customer_Info]])+1)))</f>
        <v>Corporate</v>
      </c>
      <c r="X262" s="8" t="str">
        <f>VLOOKUP(RawSalesTable6[[#This Row],[Product_ID_Clean]],ProductsTable[],2,FALSE)</f>
        <v>Backpack</v>
      </c>
      <c r="Y262" s="8" t="str">
        <f>VLOOKUP(RawSalesTable6[[#This Row],[Product_ID_Clean]],ProductsTable[],3,FALSE)</f>
        <v>Accessories</v>
      </c>
      <c r="Z262" s="8">
        <f>VLOOKUP(RawSalesTable6[[#This Row],[Product_ID_Clean]],ProductsTable[],5,FALSE)</f>
        <v>152.55000000000001</v>
      </c>
      <c r="AA262" s="8">
        <f>RawSalesTable6[[#This Row],[Unit_Price]]*RawSalesTable6[[#This Row],[Quantity]]</f>
        <v>293.24</v>
      </c>
      <c r="AB262" s="8">
        <f>RawSalesTable6[[#This Row],[Gross_Sales]]*RawSalesTable6[[#This Row],[Discount_Pct]]</f>
        <v>29.324000000000002</v>
      </c>
      <c r="AC262" s="8">
        <f>RawSalesTable6[[#This Row],[Gross_Sales]]-RawSalesTable6[[#This Row],[Discount_Amount]]</f>
        <v>263.916</v>
      </c>
      <c r="AD262" s="8">
        <f>RawSalesTable6[[#This Row],[Unit_Cost]]*RawSalesTable6[[#This Row],[Quantity]]</f>
        <v>152.55000000000001</v>
      </c>
      <c r="AE262" s="8">
        <f>RawSalesTable6[[#This Row],[Net_Sales]]-RawSalesTable6[[#This Row],[Total_Cost]]</f>
        <v>111.36599999999999</v>
      </c>
      <c r="AF262" s="9">
        <f>RawSalesTable6[[#This Row],[Profit]]/RawSalesTable6[[#This Row],[Net_Sales]]</f>
        <v>0.42197517391897416</v>
      </c>
      <c r="AG262" s="8">
        <f>YEAR(RawSalesTable6[[#This Row],[Order_Date]])</f>
        <v>2025</v>
      </c>
      <c r="AH262" s="8">
        <f>MONTH(RawSalesTable6[[#This Row],[Order_Date]])</f>
        <v>5</v>
      </c>
      <c r="AI262" s="8" t="str">
        <f>TEXT(RawSalesTable6[[#This Row],[Order_Date]],"mmmm")</f>
        <v>mai</v>
      </c>
      <c r="AJ262" s="8" t="str">
        <f>IF(RawSalesTable6[[#This Row],[Month_Number]]&lt;=3,"Q1",IF(RawSalesTable6[[#This Row],[Month_Number]]&lt;=6,"Q2",IF(RawSalesTable6[[#This Row],[Month_Number]]&lt;=9,"Q3","Q4")))</f>
        <v>Q2</v>
      </c>
      <c r="AK262" s="8" t="str">
        <f>VLOOKUP(RawSalesTable6[[#This Row],[Customer_ID_Clean]],CustomersTable[],4,FALSE)</f>
        <v>Ontario</v>
      </c>
      <c r="AL262" s="8">
        <f>IF(RawSalesTable6[[#This Row],[Return_Status]]="Yes",1,0)</f>
        <v>0</v>
      </c>
    </row>
    <row r="263" spans="1:38">
      <c r="A263" t="s">
        <v>658</v>
      </c>
      <c r="B263" s="3">
        <v>45685</v>
      </c>
      <c r="C263" t="s">
        <v>569</v>
      </c>
      <c r="D263" t="s">
        <v>217</v>
      </c>
      <c r="E263" t="s">
        <v>570</v>
      </c>
      <c r="F263" t="s">
        <v>116</v>
      </c>
      <c r="G263" t="s">
        <v>122</v>
      </c>
      <c r="H263" t="s">
        <v>97</v>
      </c>
      <c r="I263">
        <v>2</v>
      </c>
      <c r="J263" s="2">
        <v>104.7</v>
      </c>
      <c r="K263" s="4">
        <v>0.15</v>
      </c>
      <c r="L263" t="s">
        <v>90</v>
      </c>
      <c r="M263">
        <v>0</v>
      </c>
      <c r="N263" t="s">
        <v>91</v>
      </c>
      <c r="O263" t="str">
        <f>SUBSTITUTE(PROPER(TRIM(RawSalesTable6[[#This Row],[Channel_Raw]])),"Market Place","Marketplace")</f>
        <v>Retail Store</v>
      </c>
      <c r="P263" t="str">
        <f>TRIM(RawSalesTable6[[#This Row],[Product_ID]])</f>
        <v>P1006</v>
      </c>
      <c r="Q263" t="str">
        <f>TRIM(RawSalesTable6[[#This Row],[Customer_ID]])</f>
        <v>C0087</v>
      </c>
      <c r="R263" s="8" t="str">
        <f>PROPER(TRIM(RawSalesTable6[[#This Row],[Store_Raw]]))</f>
        <v>Toronto Downtown</v>
      </c>
      <c r="S263" s="8" t="str">
        <f>IF(TRIM(RawSalesTable6[[#This Row],[Payment_Method_Raw]])="","Non renseigné",SUBSTITUTE(PROPER(TRIM(RawSalesTable6[[#This Row],[Payment_Method_Raw]])),"Cc","Credit Card"))</f>
        <v>Paypal</v>
      </c>
      <c r="T263" s="8">
        <f>COUNTIF(A:A,RawSalesTable6[[#This Row],[Order_ID]])</f>
        <v>1</v>
      </c>
      <c r="U263" s="8" t="str">
        <f>TRIM(LEFT(RawSalesTable6[[#This Row],[Customer_Info]],FIND(",",RawSalesTable6[[#This Row],[Customer_Info]])-1))</f>
        <v>Daniel Johnson</v>
      </c>
      <c r="V263" s="8" t="str">
        <f>TRIM(MID(RawSalesTable6[[#This Row],[Customer_Info]],FIND(",",RawSalesTable6[[#This Row],[Customer_Info]])+1,FIND(",",RawSalesTable6[[#This Row],[Customer_Info]],FIND(",",RawSalesTable6[[#This Row],[Customer_Info]])+1)-FIND(",",RawSalesTable6[[#This Row],[Customer_Info]])-1))</f>
        <v>Halifax</v>
      </c>
      <c r="W263" s="8" t="str">
        <f>TRIM(RIGHT(RawSalesTable6[[#This Row],[Customer_Info]],LEN(RawSalesTable6[[#This Row],[Customer_Info]])-FIND(",",RawSalesTable6[[#This Row],[Customer_Info]],FIND(",",RawSalesTable6[[#This Row],[Customer_Info]])+1)))</f>
        <v>Consumer</v>
      </c>
      <c r="X263" s="8" t="str">
        <f>VLOOKUP(RawSalesTable6[[#This Row],[Product_ID_Clean]],ProductsTable[],2,FALSE)</f>
        <v>USB-C Hub</v>
      </c>
      <c r="Y263" s="8" t="str">
        <f>VLOOKUP(RawSalesTable6[[#This Row],[Product_ID_Clean]],ProductsTable[],3,FALSE)</f>
        <v>Electronics</v>
      </c>
      <c r="Z263" s="8">
        <f>VLOOKUP(RawSalesTable6[[#This Row],[Product_ID_Clean]],ProductsTable[],5,FALSE)</f>
        <v>72</v>
      </c>
      <c r="AA263" s="8">
        <f>RawSalesTable6[[#This Row],[Unit_Price]]*RawSalesTable6[[#This Row],[Quantity]]</f>
        <v>209.4</v>
      </c>
      <c r="AB263" s="8">
        <f>RawSalesTable6[[#This Row],[Gross_Sales]]*RawSalesTable6[[#This Row],[Discount_Pct]]</f>
        <v>31.41</v>
      </c>
      <c r="AC263" s="8">
        <f>RawSalesTable6[[#This Row],[Gross_Sales]]-RawSalesTable6[[#This Row],[Discount_Amount]]</f>
        <v>177.99</v>
      </c>
      <c r="AD263" s="8">
        <f>RawSalesTable6[[#This Row],[Unit_Cost]]*RawSalesTable6[[#This Row],[Quantity]]</f>
        <v>144</v>
      </c>
      <c r="AE263" s="8">
        <f>RawSalesTable6[[#This Row],[Net_Sales]]-RawSalesTable6[[#This Row],[Total_Cost]]</f>
        <v>33.990000000000009</v>
      </c>
      <c r="AF263" s="9">
        <f>RawSalesTable6[[#This Row],[Profit]]/RawSalesTable6[[#This Row],[Net_Sales]]</f>
        <v>0.1909657845946402</v>
      </c>
      <c r="AG263" s="8">
        <f>YEAR(RawSalesTable6[[#This Row],[Order_Date]])</f>
        <v>2025</v>
      </c>
      <c r="AH263" s="8">
        <f>MONTH(RawSalesTable6[[#This Row],[Order_Date]])</f>
        <v>1</v>
      </c>
      <c r="AI263" s="8" t="str">
        <f>TEXT(RawSalesTable6[[#This Row],[Order_Date]],"mmmm")</f>
        <v>janvier</v>
      </c>
      <c r="AJ263" s="8" t="str">
        <f>IF(RawSalesTable6[[#This Row],[Month_Number]]&lt;=3,"Q1",IF(RawSalesTable6[[#This Row],[Month_Number]]&lt;=6,"Q2",IF(RawSalesTable6[[#This Row],[Month_Number]]&lt;=9,"Q3","Q4")))</f>
        <v>Q1</v>
      </c>
      <c r="AK263" s="8" t="str">
        <f>VLOOKUP(RawSalesTable6[[#This Row],[Customer_ID_Clean]],CustomersTable[],4,FALSE)</f>
        <v>Nova Scotia</v>
      </c>
      <c r="AL263" s="8">
        <f>IF(RawSalesTable6[[#This Row],[Return_Status]]="Yes",1,0)</f>
        <v>0</v>
      </c>
    </row>
    <row r="264" spans="1:38">
      <c r="A264" t="s">
        <v>659</v>
      </c>
      <c r="B264" s="3">
        <v>45700</v>
      </c>
      <c r="C264" t="s">
        <v>203</v>
      </c>
      <c r="D264" t="s">
        <v>165</v>
      </c>
      <c r="E264" t="s">
        <v>573</v>
      </c>
      <c r="F264" t="s">
        <v>116</v>
      </c>
      <c r="G264" t="s">
        <v>171</v>
      </c>
      <c r="H264" t="s">
        <v>167</v>
      </c>
      <c r="I264">
        <v>1</v>
      </c>
      <c r="J264" s="2">
        <v>104.04</v>
      </c>
      <c r="K264" s="4">
        <v>0</v>
      </c>
      <c r="L264" t="s">
        <v>98</v>
      </c>
      <c r="M264">
        <v>6</v>
      </c>
      <c r="N264" t="s">
        <v>91</v>
      </c>
      <c r="O264" t="str">
        <f>SUBSTITUTE(PROPER(TRIM(RawSalesTable6[[#This Row],[Channel_Raw]])),"Market Place","Marketplace")</f>
        <v>Marketplace</v>
      </c>
      <c r="P264" t="str">
        <f>TRIM(RawSalesTable6[[#This Row],[Product_ID]])</f>
        <v>P1024</v>
      </c>
      <c r="Q264" t="str">
        <f>TRIM(RawSalesTable6[[#This Row],[Customer_ID]])</f>
        <v>C0029</v>
      </c>
      <c r="R264" s="8" t="str">
        <f>PROPER(TRIM(RawSalesTable6[[#This Row],[Store_Raw]]))</f>
        <v>Toronto Downtown</v>
      </c>
      <c r="S264" s="8" t="str">
        <f>IF(TRIM(RawSalesTable6[[#This Row],[Payment_Method_Raw]])="","Non renseigné",SUBSTITUTE(PROPER(TRIM(RawSalesTable6[[#This Row],[Payment_Method_Raw]])),"Cc","Credit Card"))</f>
        <v>Debit Card</v>
      </c>
      <c r="T264" s="8">
        <f>COUNTIF(A:A,RawSalesTable6[[#This Row],[Order_ID]])</f>
        <v>1</v>
      </c>
      <c r="U264" s="8" t="str">
        <f>TRIM(LEFT(RawSalesTable6[[#This Row],[Customer_Info]],FIND(",",RawSalesTable6[[#This Row],[Customer_Info]])-1))</f>
        <v>Olivia White</v>
      </c>
      <c r="V264" s="8" t="str">
        <f>TRIM(MID(RawSalesTable6[[#This Row],[Customer_Info]],FIND(",",RawSalesTable6[[#This Row],[Customer_Info]])+1,FIND(",",RawSalesTable6[[#This Row],[Customer_Info]],FIND(",",RawSalesTable6[[#This Row],[Customer_Info]])+1)-FIND(",",RawSalesTable6[[#This Row],[Customer_Info]])-1))</f>
        <v>Victoria</v>
      </c>
      <c r="W264" s="8" t="str">
        <f>TRIM(RIGHT(RawSalesTable6[[#This Row],[Customer_Info]],LEN(RawSalesTable6[[#This Row],[Customer_Info]])-FIND(",",RawSalesTable6[[#This Row],[Customer_Info]],FIND(",",RawSalesTable6[[#This Row],[Customer_Info]])+1)))</f>
        <v>Consumer</v>
      </c>
      <c r="X264" s="8" t="str">
        <f>VLOOKUP(RawSalesTable6[[#This Row],[Product_ID_Clean]],ProductsTable[],2,FALSE)</f>
        <v>Food Scale</v>
      </c>
      <c r="Y264" s="8" t="str">
        <f>VLOOKUP(RawSalesTable6[[#This Row],[Product_ID_Clean]],ProductsTable[],3,FALSE)</f>
        <v>Home</v>
      </c>
      <c r="Z264" s="8">
        <f>VLOOKUP(RawSalesTable6[[#This Row],[Product_ID_Clean]],ProductsTable[],5,FALSE)</f>
        <v>46.07</v>
      </c>
      <c r="AA264" s="8">
        <f>RawSalesTable6[[#This Row],[Unit_Price]]*RawSalesTable6[[#This Row],[Quantity]]</f>
        <v>104.04</v>
      </c>
      <c r="AB264" s="8">
        <f>RawSalesTable6[[#This Row],[Gross_Sales]]*RawSalesTable6[[#This Row],[Discount_Pct]]</f>
        <v>0</v>
      </c>
      <c r="AC264" s="8">
        <f>RawSalesTable6[[#This Row],[Gross_Sales]]-RawSalesTable6[[#This Row],[Discount_Amount]]</f>
        <v>104.04</v>
      </c>
      <c r="AD264" s="8">
        <f>RawSalesTable6[[#This Row],[Unit_Cost]]*RawSalesTable6[[#This Row],[Quantity]]</f>
        <v>46.07</v>
      </c>
      <c r="AE264" s="8">
        <f>RawSalesTable6[[#This Row],[Net_Sales]]-RawSalesTable6[[#This Row],[Total_Cost]]</f>
        <v>57.970000000000006</v>
      </c>
      <c r="AF264" s="9">
        <f>RawSalesTable6[[#This Row],[Profit]]/RawSalesTable6[[#This Row],[Net_Sales]]</f>
        <v>0.55718954248366015</v>
      </c>
      <c r="AG264" s="8">
        <f>YEAR(RawSalesTable6[[#This Row],[Order_Date]])</f>
        <v>2025</v>
      </c>
      <c r="AH264" s="8">
        <f>MONTH(RawSalesTable6[[#This Row],[Order_Date]])</f>
        <v>2</v>
      </c>
      <c r="AI264" s="8" t="str">
        <f>TEXT(RawSalesTable6[[#This Row],[Order_Date]],"mmmm")</f>
        <v>février</v>
      </c>
      <c r="AJ264" s="8" t="str">
        <f>IF(RawSalesTable6[[#This Row],[Month_Number]]&lt;=3,"Q1",IF(RawSalesTable6[[#This Row],[Month_Number]]&lt;=6,"Q2",IF(RawSalesTable6[[#This Row],[Month_Number]]&lt;=9,"Q3","Q4")))</f>
        <v>Q1</v>
      </c>
      <c r="AK264" s="8" t="str">
        <f>VLOOKUP(RawSalesTable6[[#This Row],[Customer_ID_Clean]],CustomersTable[],4,FALSE)</f>
        <v>British Columbia</v>
      </c>
      <c r="AL264" s="8">
        <f>IF(RawSalesTable6[[#This Row],[Return_Status]]="Yes",1,0)</f>
        <v>0</v>
      </c>
    </row>
    <row r="265" spans="1:38">
      <c r="A265" t="s">
        <v>660</v>
      </c>
      <c r="B265" s="3">
        <v>45918</v>
      </c>
      <c r="C265" t="s">
        <v>661</v>
      </c>
      <c r="D265" t="s">
        <v>418</v>
      </c>
      <c r="E265" t="s">
        <v>662</v>
      </c>
      <c r="F265" t="s">
        <v>111</v>
      </c>
      <c r="G265" t="s">
        <v>183</v>
      </c>
      <c r="H265" t="s">
        <v>97</v>
      </c>
      <c r="I265">
        <v>1</v>
      </c>
      <c r="J265" s="2">
        <v>374.04</v>
      </c>
      <c r="K265" s="4">
        <v>0.1</v>
      </c>
      <c r="L265" t="s">
        <v>98</v>
      </c>
      <c r="M265">
        <v>3</v>
      </c>
      <c r="N265" t="s">
        <v>147</v>
      </c>
      <c r="O265" t="str">
        <f>SUBSTITUTE(PROPER(TRIM(RawSalesTable6[[#This Row],[Channel_Raw]])),"Market Place","Marketplace")</f>
        <v>Retail Store</v>
      </c>
      <c r="P265" t="str">
        <f>TRIM(RawSalesTable6[[#This Row],[Product_ID]])</f>
        <v>P1028</v>
      </c>
      <c r="Q265" t="str">
        <f>TRIM(RawSalesTable6[[#This Row],[Customer_ID]])</f>
        <v>C0111</v>
      </c>
      <c r="R265" s="8" t="str">
        <f>PROPER(TRIM(RawSalesTable6[[#This Row],[Store_Raw]]))</f>
        <v>Montreal Central</v>
      </c>
      <c r="S265" s="8" t="str">
        <f>IF(TRIM(RawSalesTable6[[#This Row],[Payment_Method_Raw]])="","Non renseigné",SUBSTITUTE(PROPER(TRIM(RawSalesTable6[[#This Row],[Payment_Method_Raw]])),"Cc","Credit Card"))</f>
        <v>Debit Card</v>
      </c>
      <c r="T265" s="8">
        <f>COUNTIF(A:A,RawSalesTable6[[#This Row],[Order_ID]])</f>
        <v>1</v>
      </c>
      <c r="U265" s="8" t="str">
        <f>TRIM(LEFT(RawSalesTable6[[#This Row],[Customer_Info]],FIND(",",RawSalesTable6[[#This Row],[Customer_Info]])-1))</f>
        <v>Noah Khan</v>
      </c>
      <c r="V265" s="8" t="str">
        <f>TRIM(MID(RawSalesTable6[[#This Row],[Customer_Info]],FIND(",",RawSalesTable6[[#This Row],[Customer_Info]])+1,FIND(",",RawSalesTable6[[#This Row],[Customer_Info]],FIND(",",RawSalesTable6[[#This Row],[Customer_Info]])+1)-FIND(",",RawSalesTable6[[#This Row],[Customer_Info]])-1))</f>
        <v>Halifax</v>
      </c>
      <c r="W265" s="8" t="str">
        <f>TRIM(RIGHT(RawSalesTable6[[#This Row],[Customer_Info]],LEN(RawSalesTable6[[#This Row],[Customer_Info]])-FIND(",",RawSalesTable6[[#This Row],[Customer_Info]],FIND(",",RawSalesTable6[[#This Row],[Customer_Info]])+1)))</f>
        <v>Consumer</v>
      </c>
      <c r="X265" s="8" t="str">
        <f>VLOOKUP(RawSalesTable6[[#This Row],[Product_ID_Clean]],ProductsTable[],2,FALSE)</f>
        <v>Foam Roller</v>
      </c>
      <c r="Y265" s="8" t="str">
        <f>VLOOKUP(RawSalesTable6[[#This Row],[Product_ID_Clean]],ProductsTable[],3,FALSE)</f>
        <v>Fitness</v>
      </c>
      <c r="Z265" s="8">
        <f>VLOOKUP(RawSalesTable6[[#This Row],[Product_ID_Clean]],ProductsTable[],5,FALSE)</f>
        <v>212.02</v>
      </c>
      <c r="AA265" s="8">
        <f>RawSalesTable6[[#This Row],[Unit_Price]]*RawSalesTable6[[#This Row],[Quantity]]</f>
        <v>374.04</v>
      </c>
      <c r="AB265" s="8">
        <f>RawSalesTable6[[#This Row],[Gross_Sales]]*RawSalesTable6[[#This Row],[Discount_Pct]]</f>
        <v>37.404000000000003</v>
      </c>
      <c r="AC265" s="8">
        <f>RawSalesTable6[[#This Row],[Gross_Sales]]-RawSalesTable6[[#This Row],[Discount_Amount]]</f>
        <v>336.63600000000002</v>
      </c>
      <c r="AD265" s="8">
        <f>RawSalesTable6[[#This Row],[Unit_Cost]]*RawSalesTable6[[#This Row],[Quantity]]</f>
        <v>212.02</v>
      </c>
      <c r="AE265" s="8">
        <f>RawSalesTable6[[#This Row],[Net_Sales]]-RawSalesTable6[[#This Row],[Total_Cost]]</f>
        <v>124.61600000000001</v>
      </c>
      <c r="AF265" s="9">
        <f>RawSalesTable6[[#This Row],[Profit]]/RawSalesTable6[[#This Row],[Net_Sales]]</f>
        <v>0.37018025404294252</v>
      </c>
      <c r="AG265" s="8">
        <f>YEAR(RawSalesTable6[[#This Row],[Order_Date]])</f>
        <v>2025</v>
      </c>
      <c r="AH265" s="8">
        <f>MONTH(RawSalesTable6[[#This Row],[Order_Date]])</f>
        <v>9</v>
      </c>
      <c r="AI265" s="8" t="str">
        <f>TEXT(RawSalesTable6[[#This Row],[Order_Date]],"mmmm")</f>
        <v>septembre</v>
      </c>
      <c r="AJ265" s="8" t="str">
        <f>IF(RawSalesTable6[[#This Row],[Month_Number]]&lt;=3,"Q1",IF(RawSalesTable6[[#This Row],[Month_Number]]&lt;=6,"Q2",IF(RawSalesTable6[[#This Row],[Month_Number]]&lt;=9,"Q3","Q4")))</f>
        <v>Q3</v>
      </c>
      <c r="AK265" s="8" t="str">
        <f>VLOOKUP(RawSalesTable6[[#This Row],[Customer_ID_Clean]],CustomersTable[],4,FALSE)</f>
        <v>Nova Scotia</v>
      </c>
      <c r="AL265" s="8">
        <f>IF(RawSalesTable6[[#This Row],[Return_Status]]="Yes",1,0)</f>
        <v>1</v>
      </c>
    </row>
    <row r="266" spans="1:38">
      <c r="A266" t="s">
        <v>663</v>
      </c>
      <c r="B266" s="3">
        <v>45729</v>
      </c>
      <c r="C266" t="s">
        <v>597</v>
      </c>
      <c r="D266" t="s">
        <v>85</v>
      </c>
      <c r="E266" t="s">
        <v>598</v>
      </c>
      <c r="F266" t="s">
        <v>87</v>
      </c>
      <c r="G266" t="s">
        <v>122</v>
      </c>
      <c r="H266" t="s">
        <v>89</v>
      </c>
      <c r="I266">
        <v>3</v>
      </c>
      <c r="J266" s="2">
        <v>313.31</v>
      </c>
      <c r="K266" s="4">
        <v>0.2</v>
      </c>
      <c r="L266" t="s">
        <v>106</v>
      </c>
      <c r="M266">
        <v>2</v>
      </c>
      <c r="N266" t="s">
        <v>91</v>
      </c>
      <c r="O266" t="str">
        <f>SUBSTITUTE(PROPER(TRIM(RawSalesTable6[[#This Row],[Channel_Raw]])),"Market Place","Marketplace")</f>
        <v>Online</v>
      </c>
      <c r="P266" t="str">
        <f>TRIM(RawSalesTable6[[#This Row],[Product_ID]])</f>
        <v>P1025</v>
      </c>
      <c r="Q266" t="str">
        <f>TRIM(RawSalesTable6[[#This Row],[Customer_ID]])</f>
        <v>C0004</v>
      </c>
      <c r="R266" s="8" t="str">
        <f>PROPER(TRIM(RawSalesTable6[[#This Row],[Store_Raw]]))</f>
        <v>Online Fulfillment</v>
      </c>
      <c r="S266" s="8" t="str">
        <f>IF(TRIM(RawSalesTable6[[#This Row],[Payment_Method_Raw]])="","Non renseigné",SUBSTITUTE(PROPER(TRIM(RawSalesTable6[[#This Row],[Payment_Method_Raw]])),"Cc","Credit Card"))</f>
        <v>Credit Card</v>
      </c>
      <c r="T266" s="8">
        <f>COUNTIF(A:A,RawSalesTable6[[#This Row],[Order_ID]])</f>
        <v>1</v>
      </c>
      <c r="U266" s="8" t="str">
        <f>TRIM(LEFT(RawSalesTable6[[#This Row],[Customer_Info]],FIND(",",RawSalesTable6[[#This Row],[Customer_Info]])-1))</f>
        <v>Mia Bennett</v>
      </c>
      <c r="V266" s="8" t="str">
        <f>TRIM(MID(RawSalesTable6[[#This Row],[Customer_Info]],FIND(",",RawSalesTable6[[#This Row],[Customer_Info]])+1,FIND(",",RawSalesTable6[[#This Row],[Customer_Info]],FIND(",",RawSalesTable6[[#This Row],[Customer_Info]])+1)-FIND(",",RawSalesTable6[[#This Row],[Customer_Info]])-1))</f>
        <v>Laval</v>
      </c>
      <c r="W266" s="8" t="str">
        <f>TRIM(RIGHT(RawSalesTable6[[#This Row],[Customer_Info]],LEN(RawSalesTable6[[#This Row],[Customer_Info]])-FIND(",",RawSalesTable6[[#This Row],[Customer_Info]],FIND(",",RawSalesTable6[[#This Row],[Customer_Info]])+1)))</f>
        <v>Consumer</v>
      </c>
      <c r="X266" s="8" t="str">
        <f>VLOOKUP(RawSalesTable6[[#This Row],[Product_ID_Clean]],ProductsTable[],2,FALSE)</f>
        <v>Yoga Mat</v>
      </c>
      <c r="Y266" s="8" t="str">
        <f>VLOOKUP(RawSalesTable6[[#This Row],[Product_ID_Clean]],ProductsTable[],3,FALSE)</f>
        <v>Fitness</v>
      </c>
      <c r="Z266" s="8">
        <f>VLOOKUP(RawSalesTable6[[#This Row],[Product_ID_Clean]],ProductsTable[],5,FALSE)</f>
        <v>197.33</v>
      </c>
      <c r="AA266" s="8">
        <f>RawSalesTable6[[#This Row],[Unit_Price]]*RawSalesTable6[[#This Row],[Quantity]]</f>
        <v>939.93000000000006</v>
      </c>
      <c r="AB266" s="8">
        <f>RawSalesTable6[[#This Row],[Gross_Sales]]*RawSalesTable6[[#This Row],[Discount_Pct]]</f>
        <v>187.98600000000002</v>
      </c>
      <c r="AC266" s="8">
        <f>RawSalesTable6[[#This Row],[Gross_Sales]]-RawSalesTable6[[#This Row],[Discount_Amount]]</f>
        <v>751.94400000000007</v>
      </c>
      <c r="AD266" s="8">
        <f>RawSalesTable6[[#This Row],[Unit_Cost]]*RawSalesTable6[[#This Row],[Quantity]]</f>
        <v>591.99</v>
      </c>
      <c r="AE266" s="8">
        <f>RawSalesTable6[[#This Row],[Net_Sales]]-RawSalesTable6[[#This Row],[Total_Cost]]</f>
        <v>159.95400000000006</v>
      </c>
      <c r="AF266" s="9">
        <f>RawSalesTable6[[#This Row],[Profit]]/RawSalesTable6[[#This Row],[Net_Sales]]</f>
        <v>0.21272062813188222</v>
      </c>
      <c r="AG266" s="8">
        <f>YEAR(RawSalesTable6[[#This Row],[Order_Date]])</f>
        <v>2025</v>
      </c>
      <c r="AH266" s="8">
        <f>MONTH(RawSalesTable6[[#This Row],[Order_Date]])</f>
        <v>3</v>
      </c>
      <c r="AI266" s="8" t="str">
        <f>TEXT(RawSalesTable6[[#This Row],[Order_Date]],"mmmm")</f>
        <v>mars</v>
      </c>
      <c r="AJ266" s="8" t="str">
        <f>IF(RawSalesTable6[[#This Row],[Month_Number]]&lt;=3,"Q1",IF(RawSalesTable6[[#This Row],[Month_Number]]&lt;=6,"Q2",IF(RawSalesTable6[[#This Row],[Month_Number]]&lt;=9,"Q3","Q4")))</f>
        <v>Q1</v>
      </c>
      <c r="AK266" s="8" t="str">
        <f>VLOOKUP(RawSalesTable6[[#This Row],[Customer_ID_Clean]],CustomersTable[],4,FALSE)</f>
        <v>Quebec</v>
      </c>
      <c r="AL266" s="8">
        <f>IF(RawSalesTable6[[#This Row],[Return_Status]]="Yes",1,0)</f>
        <v>0</v>
      </c>
    </row>
    <row r="267" spans="1:38">
      <c r="A267" t="s">
        <v>664</v>
      </c>
      <c r="B267" s="3">
        <v>45945</v>
      </c>
      <c r="C267" t="s">
        <v>316</v>
      </c>
      <c r="D267" t="s">
        <v>136</v>
      </c>
      <c r="E267" t="s">
        <v>317</v>
      </c>
      <c r="F267" t="s">
        <v>111</v>
      </c>
      <c r="G267" t="s">
        <v>183</v>
      </c>
      <c r="H267" t="s">
        <v>97</v>
      </c>
      <c r="I267">
        <v>5</v>
      </c>
      <c r="J267" s="2">
        <v>150.72999999999999</v>
      </c>
      <c r="K267" s="4">
        <v>0.05</v>
      </c>
      <c r="L267" t="s">
        <v>90</v>
      </c>
      <c r="M267">
        <v>2</v>
      </c>
      <c r="N267" t="s">
        <v>91</v>
      </c>
      <c r="O267" t="str">
        <f>SUBSTITUTE(PROPER(TRIM(RawSalesTable6[[#This Row],[Channel_Raw]])),"Market Place","Marketplace")</f>
        <v>Retail Store</v>
      </c>
      <c r="P267" t="str">
        <f>TRIM(RawSalesTable6[[#This Row],[Product_ID]])</f>
        <v>P1003</v>
      </c>
      <c r="Q267" t="str">
        <f>TRIM(RawSalesTable6[[#This Row],[Customer_ID]])</f>
        <v>C0075</v>
      </c>
      <c r="R267" s="8" t="str">
        <f>PROPER(TRIM(RawSalesTable6[[#This Row],[Store_Raw]]))</f>
        <v>Montreal Central</v>
      </c>
      <c r="S267" s="8" t="str">
        <f>IF(TRIM(RawSalesTable6[[#This Row],[Payment_Method_Raw]])="","Non renseigné",SUBSTITUTE(PROPER(TRIM(RawSalesTable6[[#This Row],[Payment_Method_Raw]])),"Cc","Credit Card"))</f>
        <v>Paypal</v>
      </c>
      <c r="T267" s="8">
        <f>COUNTIF(A:A,RawSalesTable6[[#This Row],[Order_ID]])</f>
        <v>1</v>
      </c>
      <c r="U267" s="8" t="str">
        <f>TRIM(LEFT(RawSalesTable6[[#This Row],[Customer_Info]],FIND(",",RawSalesTable6[[#This Row],[Customer_Info]])-1))</f>
        <v>Amelia Wilson</v>
      </c>
      <c r="V267" s="8" t="str">
        <f>TRIM(MID(RawSalesTable6[[#This Row],[Customer_Info]],FIND(",",RawSalesTable6[[#This Row],[Customer_Info]])+1,FIND(",",RawSalesTable6[[#This Row],[Customer_Info]],FIND(",",RawSalesTable6[[#This Row],[Customer_Info]])+1)-FIND(",",RawSalesTable6[[#This Row],[Customer_Info]])-1))</f>
        <v>Vancouver</v>
      </c>
      <c r="W267" s="8" t="str">
        <f>TRIM(RIGHT(RawSalesTable6[[#This Row],[Customer_Info]],LEN(RawSalesTable6[[#This Row],[Customer_Info]])-FIND(",",RawSalesTable6[[#This Row],[Customer_Info]],FIND(",",RawSalesTable6[[#This Row],[Customer_Info]])+1)))</f>
        <v>Consumer</v>
      </c>
      <c r="X267" s="8" t="str">
        <f>VLOOKUP(RawSalesTable6[[#This Row],[Product_ID_Clean]],ProductsTable[],2,FALSE)</f>
        <v>Mouse</v>
      </c>
      <c r="Y267" s="8" t="str">
        <f>VLOOKUP(RawSalesTable6[[#This Row],[Product_ID_Clean]],ProductsTable[],3,FALSE)</f>
        <v>Electronics</v>
      </c>
      <c r="Z267" s="8">
        <f>VLOOKUP(RawSalesTable6[[#This Row],[Product_ID_Clean]],ProductsTable[],5,FALSE)</f>
        <v>106.4</v>
      </c>
      <c r="AA267" s="8">
        <f>RawSalesTable6[[#This Row],[Unit_Price]]*RawSalesTable6[[#This Row],[Quantity]]</f>
        <v>753.65</v>
      </c>
      <c r="AB267" s="8">
        <f>RawSalesTable6[[#This Row],[Gross_Sales]]*RawSalesTable6[[#This Row],[Discount_Pct]]</f>
        <v>37.682499999999997</v>
      </c>
      <c r="AC267" s="8">
        <f>RawSalesTable6[[#This Row],[Gross_Sales]]-RawSalesTable6[[#This Row],[Discount_Amount]]</f>
        <v>715.96749999999997</v>
      </c>
      <c r="AD267" s="8">
        <f>RawSalesTable6[[#This Row],[Unit_Cost]]*RawSalesTable6[[#This Row],[Quantity]]</f>
        <v>532</v>
      </c>
      <c r="AE267" s="8">
        <f>RawSalesTable6[[#This Row],[Net_Sales]]-RawSalesTable6[[#This Row],[Total_Cost]]</f>
        <v>183.96749999999997</v>
      </c>
      <c r="AF267" s="9">
        <f>RawSalesTable6[[#This Row],[Profit]]/RawSalesTable6[[#This Row],[Net_Sales]]</f>
        <v>0.25694951237311747</v>
      </c>
      <c r="AG267" s="8">
        <f>YEAR(RawSalesTable6[[#This Row],[Order_Date]])</f>
        <v>2025</v>
      </c>
      <c r="AH267" s="8">
        <f>MONTH(RawSalesTable6[[#This Row],[Order_Date]])</f>
        <v>10</v>
      </c>
      <c r="AI267" s="8" t="str">
        <f>TEXT(RawSalesTable6[[#This Row],[Order_Date]],"mmmm")</f>
        <v>octobre</v>
      </c>
      <c r="AJ267" s="8" t="str">
        <f>IF(RawSalesTable6[[#This Row],[Month_Number]]&lt;=3,"Q1",IF(RawSalesTable6[[#This Row],[Month_Number]]&lt;=6,"Q2",IF(RawSalesTable6[[#This Row],[Month_Number]]&lt;=9,"Q3","Q4")))</f>
        <v>Q4</v>
      </c>
      <c r="AK267" s="8" t="str">
        <f>VLOOKUP(RawSalesTable6[[#This Row],[Customer_ID_Clean]],CustomersTable[],4,FALSE)</f>
        <v>British Columbia</v>
      </c>
      <c r="AL267" s="8">
        <f>IF(RawSalesTable6[[#This Row],[Return_Status]]="Yes",1,0)</f>
        <v>0</v>
      </c>
    </row>
    <row r="268" spans="1:38">
      <c r="A268" t="s">
        <v>665</v>
      </c>
      <c r="B268" s="3">
        <v>45854</v>
      </c>
      <c r="C268" t="s">
        <v>480</v>
      </c>
      <c r="D268" t="s">
        <v>165</v>
      </c>
      <c r="E268" t="s">
        <v>481</v>
      </c>
      <c r="F268" t="s">
        <v>103</v>
      </c>
      <c r="G268" t="s">
        <v>122</v>
      </c>
      <c r="H268" t="s">
        <v>97</v>
      </c>
      <c r="I268">
        <v>5</v>
      </c>
      <c r="J268" s="2">
        <v>102.86</v>
      </c>
      <c r="K268" s="4">
        <v>0.05</v>
      </c>
      <c r="L268" t="s">
        <v>106</v>
      </c>
      <c r="M268">
        <v>2</v>
      </c>
      <c r="N268" t="s">
        <v>91</v>
      </c>
      <c r="O268" t="str">
        <f>SUBSTITUTE(PROPER(TRIM(RawSalesTable6[[#This Row],[Channel_Raw]])),"Market Place","Marketplace")</f>
        <v>Retail Store</v>
      </c>
      <c r="P268" t="str">
        <f>TRIM(RawSalesTable6[[#This Row],[Product_ID]])</f>
        <v>P1024</v>
      </c>
      <c r="Q268" t="str">
        <f>TRIM(RawSalesTable6[[#This Row],[Customer_ID]])</f>
        <v>C0053</v>
      </c>
      <c r="R268" s="8" t="str">
        <f>PROPER(TRIM(RawSalesTable6[[#This Row],[Store_Raw]]))</f>
        <v>Vancouver West</v>
      </c>
      <c r="S268" s="8" t="str">
        <f>IF(TRIM(RawSalesTable6[[#This Row],[Payment_Method_Raw]])="","Non renseigné",SUBSTITUTE(PROPER(TRIM(RawSalesTable6[[#This Row],[Payment_Method_Raw]])),"Cc","Credit Card"))</f>
        <v>Credit Card</v>
      </c>
      <c r="T268" s="8">
        <f>COUNTIF(A:A,RawSalesTable6[[#This Row],[Order_ID]])</f>
        <v>1</v>
      </c>
      <c r="U268" s="8" t="str">
        <f>TRIM(LEFT(RawSalesTable6[[#This Row],[Customer_Info]],FIND(",",RawSalesTable6[[#This Row],[Customer_Info]])-1))</f>
        <v>Ryan Lee</v>
      </c>
      <c r="V268" s="8" t="str">
        <f>TRIM(MID(RawSalesTable6[[#This Row],[Customer_Info]],FIND(",",RawSalesTable6[[#This Row],[Customer_Info]])+1,FIND(",",RawSalesTable6[[#This Row],[Customer_Info]],FIND(",",RawSalesTable6[[#This Row],[Customer_Info]])+1)-FIND(",",RawSalesTable6[[#This Row],[Customer_Info]])-1))</f>
        <v>Laval</v>
      </c>
      <c r="W268" s="8" t="str">
        <f>TRIM(RIGHT(RawSalesTable6[[#This Row],[Customer_Info]],LEN(RawSalesTable6[[#This Row],[Customer_Info]])-FIND(",",RawSalesTable6[[#This Row],[Customer_Info]],FIND(",",RawSalesTable6[[#This Row],[Customer_Info]])+1)))</f>
        <v>Consumer</v>
      </c>
      <c r="X268" s="8" t="str">
        <f>VLOOKUP(RawSalesTable6[[#This Row],[Product_ID_Clean]],ProductsTable[],2,FALSE)</f>
        <v>Food Scale</v>
      </c>
      <c r="Y268" s="8" t="str">
        <f>VLOOKUP(RawSalesTable6[[#This Row],[Product_ID_Clean]],ProductsTable[],3,FALSE)</f>
        <v>Home</v>
      </c>
      <c r="Z268" s="8">
        <f>VLOOKUP(RawSalesTable6[[#This Row],[Product_ID_Clean]],ProductsTable[],5,FALSE)</f>
        <v>46.07</v>
      </c>
      <c r="AA268" s="8">
        <f>RawSalesTable6[[#This Row],[Unit_Price]]*RawSalesTable6[[#This Row],[Quantity]]</f>
        <v>514.29999999999995</v>
      </c>
      <c r="AB268" s="8">
        <f>RawSalesTable6[[#This Row],[Gross_Sales]]*RawSalesTable6[[#This Row],[Discount_Pct]]</f>
        <v>25.715</v>
      </c>
      <c r="AC268" s="8">
        <f>RawSalesTable6[[#This Row],[Gross_Sales]]-RawSalesTable6[[#This Row],[Discount_Amount]]</f>
        <v>488.58499999999998</v>
      </c>
      <c r="AD268" s="8">
        <f>RawSalesTable6[[#This Row],[Unit_Cost]]*RawSalesTable6[[#This Row],[Quantity]]</f>
        <v>230.35</v>
      </c>
      <c r="AE268" s="8">
        <f>RawSalesTable6[[#This Row],[Net_Sales]]-RawSalesTable6[[#This Row],[Total_Cost]]</f>
        <v>258.23500000000001</v>
      </c>
      <c r="AF268" s="9">
        <f>RawSalesTable6[[#This Row],[Profit]]/RawSalesTable6[[#This Row],[Net_Sales]]</f>
        <v>0.52853648802153164</v>
      </c>
      <c r="AG268" s="8">
        <f>YEAR(RawSalesTable6[[#This Row],[Order_Date]])</f>
        <v>2025</v>
      </c>
      <c r="AH268" s="8">
        <f>MONTH(RawSalesTable6[[#This Row],[Order_Date]])</f>
        <v>7</v>
      </c>
      <c r="AI268" s="8" t="str">
        <f>TEXT(RawSalesTable6[[#This Row],[Order_Date]],"mmmm")</f>
        <v>juillet</v>
      </c>
      <c r="AJ268" s="8" t="str">
        <f>IF(RawSalesTable6[[#This Row],[Month_Number]]&lt;=3,"Q1",IF(RawSalesTable6[[#This Row],[Month_Number]]&lt;=6,"Q2",IF(RawSalesTable6[[#This Row],[Month_Number]]&lt;=9,"Q3","Q4")))</f>
        <v>Q3</v>
      </c>
      <c r="AK268" s="8" t="str">
        <f>VLOOKUP(RawSalesTable6[[#This Row],[Customer_ID_Clean]],CustomersTable[],4,FALSE)</f>
        <v>Quebec</v>
      </c>
      <c r="AL268" s="8">
        <f>IF(RawSalesTable6[[#This Row],[Return_Status]]="Yes",1,0)</f>
        <v>0</v>
      </c>
    </row>
    <row r="269" spans="1:38">
      <c r="A269" t="s">
        <v>666</v>
      </c>
      <c r="B269" s="3">
        <v>45827</v>
      </c>
      <c r="C269" t="s">
        <v>438</v>
      </c>
      <c r="D269" t="s">
        <v>190</v>
      </c>
      <c r="E269" t="s">
        <v>439</v>
      </c>
      <c r="F269" t="s">
        <v>111</v>
      </c>
      <c r="G269" t="s">
        <v>117</v>
      </c>
      <c r="H269" t="s">
        <v>97</v>
      </c>
      <c r="I269">
        <v>3</v>
      </c>
      <c r="J269" s="2">
        <v>275.74</v>
      </c>
      <c r="K269" s="4">
        <v>0.1</v>
      </c>
      <c r="L269" t="s">
        <v>353</v>
      </c>
      <c r="M269">
        <v>3</v>
      </c>
      <c r="N269" t="s">
        <v>91</v>
      </c>
      <c r="O269" t="str">
        <f>SUBSTITUTE(PROPER(TRIM(RawSalesTable6[[#This Row],[Channel_Raw]])),"Market Place","Marketplace")</f>
        <v>Retail Store</v>
      </c>
      <c r="P269" t="str">
        <f>TRIM(RawSalesTable6[[#This Row],[Product_ID]])</f>
        <v>P1004</v>
      </c>
      <c r="Q269" t="str">
        <f>TRIM(RawSalesTable6[[#This Row],[Customer_ID]])</f>
        <v>C0028</v>
      </c>
      <c r="R269" s="8" t="str">
        <f>PROPER(TRIM(RawSalesTable6[[#This Row],[Store_Raw]]))</f>
        <v>Montreal Central</v>
      </c>
      <c r="S269" s="8" t="str">
        <f>IF(TRIM(RawSalesTable6[[#This Row],[Payment_Method_Raw]])="","Non renseigné",SUBSTITUTE(PROPER(TRIM(RawSalesTable6[[#This Row],[Payment_Method_Raw]])),"Cc","Credit Card"))</f>
        <v>Credit Card</v>
      </c>
      <c r="T269" s="8">
        <f>COUNTIF(A:A,RawSalesTable6[[#This Row],[Order_ID]])</f>
        <v>1</v>
      </c>
      <c r="U269" s="8" t="str">
        <f>TRIM(LEFT(RawSalesTable6[[#This Row],[Customer_Info]],FIND(",",RawSalesTable6[[#This Row],[Customer_Info]])-1))</f>
        <v>Mia Clark</v>
      </c>
      <c r="V269" s="8" t="str">
        <f>TRIM(MID(RawSalesTable6[[#This Row],[Customer_Info]],FIND(",",RawSalesTable6[[#This Row],[Customer_Info]])+1,FIND(",",RawSalesTable6[[#This Row],[Customer_Info]],FIND(",",RawSalesTable6[[#This Row],[Customer_Info]])+1)-FIND(",",RawSalesTable6[[#This Row],[Customer_Info]])-1))</f>
        <v>Victoria</v>
      </c>
      <c r="W269" s="8" t="str">
        <f>TRIM(RIGHT(RawSalesTable6[[#This Row],[Customer_Info]],LEN(RawSalesTable6[[#This Row],[Customer_Info]])-FIND(",",RawSalesTable6[[#This Row],[Customer_Info]],FIND(",",RawSalesTable6[[#This Row],[Customer_Info]])+1)))</f>
        <v>Consumer</v>
      </c>
      <c r="X269" s="8" t="str">
        <f>VLOOKUP(RawSalesTable6[[#This Row],[Product_ID_Clean]],ProductsTable[],2,FALSE)</f>
        <v>Webcam</v>
      </c>
      <c r="Y269" s="8" t="str">
        <f>VLOOKUP(RawSalesTable6[[#This Row],[Product_ID_Clean]],ProductsTable[],3,FALSE)</f>
        <v>Electronics</v>
      </c>
      <c r="Z269" s="8">
        <f>VLOOKUP(RawSalesTable6[[#This Row],[Product_ID_Clean]],ProductsTable[],5,FALSE)</f>
        <v>154.72999999999999</v>
      </c>
      <c r="AA269" s="8">
        <f>RawSalesTable6[[#This Row],[Unit_Price]]*RawSalesTable6[[#This Row],[Quantity]]</f>
        <v>827.22</v>
      </c>
      <c r="AB269" s="8">
        <f>RawSalesTable6[[#This Row],[Gross_Sales]]*RawSalesTable6[[#This Row],[Discount_Pct]]</f>
        <v>82.722000000000008</v>
      </c>
      <c r="AC269" s="8">
        <f>RawSalesTable6[[#This Row],[Gross_Sales]]-RawSalesTable6[[#This Row],[Discount_Amount]]</f>
        <v>744.49800000000005</v>
      </c>
      <c r="AD269" s="8">
        <f>RawSalesTable6[[#This Row],[Unit_Cost]]*RawSalesTable6[[#This Row],[Quantity]]</f>
        <v>464.18999999999994</v>
      </c>
      <c r="AE269" s="8">
        <f>RawSalesTable6[[#This Row],[Net_Sales]]-RawSalesTable6[[#This Row],[Total_Cost]]</f>
        <v>280.30800000000011</v>
      </c>
      <c r="AF269" s="9">
        <f>RawSalesTable6[[#This Row],[Profit]]/RawSalesTable6[[#This Row],[Net_Sales]]</f>
        <v>0.37650604837084867</v>
      </c>
      <c r="AG269" s="8">
        <f>YEAR(RawSalesTable6[[#This Row],[Order_Date]])</f>
        <v>2025</v>
      </c>
      <c r="AH269" s="8">
        <f>MONTH(RawSalesTable6[[#This Row],[Order_Date]])</f>
        <v>6</v>
      </c>
      <c r="AI269" s="8" t="str">
        <f>TEXT(RawSalesTable6[[#This Row],[Order_Date]],"mmmm")</f>
        <v>juin</v>
      </c>
      <c r="AJ269" s="8" t="str">
        <f>IF(RawSalesTable6[[#This Row],[Month_Number]]&lt;=3,"Q1",IF(RawSalesTable6[[#This Row],[Month_Number]]&lt;=6,"Q2",IF(RawSalesTable6[[#This Row],[Month_Number]]&lt;=9,"Q3","Q4")))</f>
        <v>Q2</v>
      </c>
      <c r="AK269" s="8" t="str">
        <f>VLOOKUP(RawSalesTable6[[#This Row],[Customer_ID_Clean]],CustomersTable[],4,FALSE)</f>
        <v>British Columbia</v>
      </c>
      <c r="AL269" s="8">
        <f>IF(RawSalesTable6[[#This Row],[Return_Status]]="Yes",1,0)</f>
        <v>0</v>
      </c>
    </row>
    <row r="270" spans="1:38">
      <c r="A270" t="s">
        <v>667</v>
      </c>
      <c r="B270" s="3">
        <v>45957</v>
      </c>
      <c r="C270" t="s">
        <v>427</v>
      </c>
      <c r="D270" t="s">
        <v>94</v>
      </c>
      <c r="E270" t="s">
        <v>428</v>
      </c>
      <c r="F270" t="s">
        <v>116</v>
      </c>
      <c r="G270" t="s">
        <v>117</v>
      </c>
      <c r="H270" t="s">
        <v>97</v>
      </c>
      <c r="I270">
        <v>1</v>
      </c>
      <c r="J270" s="2">
        <v>290.17</v>
      </c>
      <c r="K270" s="4">
        <v>0.15</v>
      </c>
      <c r="L270" t="s">
        <v>106</v>
      </c>
      <c r="M270">
        <v>4</v>
      </c>
      <c r="N270" t="s">
        <v>91</v>
      </c>
      <c r="O270" t="str">
        <f>SUBSTITUTE(PROPER(TRIM(RawSalesTable6[[#This Row],[Channel_Raw]])),"Market Place","Marketplace")</f>
        <v>Retail Store</v>
      </c>
      <c r="P270" t="str">
        <f>TRIM(RawSalesTable6[[#This Row],[Product_ID]])</f>
        <v>P1033</v>
      </c>
      <c r="Q270" t="str">
        <f>TRIM(RawSalesTable6[[#This Row],[Customer_ID]])</f>
        <v>C0062</v>
      </c>
      <c r="R270" s="8" t="str">
        <f>PROPER(TRIM(RawSalesTable6[[#This Row],[Store_Raw]]))</f>
        <v>Toronto Downtown</v>
      </c>
      <c r="S270" s="8" t="str">
        <f>IF(TRIM(RawSalesTable6[[#This Row],[Payment_Method_Raw]])="","Non renseigné",SUBSTITUTE(PROPER(TRIM(RawSalesTable6[[#This Row],[Payment_Method_Raw]])),"Cc","Credit Card"))</f>
        <v>Credit Card</v>
      </c>
      <c r="T270" s="8">
        <f>COUNTIF(A:A,RawSalesTable6[[#This Row],[Order_ID]])</f>
        <v>1</v>
      </c>
      <c r="U270" s="8" t="str">
        <f>TRIM(LEFT(RawSalesTable6[[#This Row],[Customer_Info]],FIND(",",RawSalesTable6[[#This Row],[Customer_Info]])-1))</f>
        <v>Yasmine Scott</v>
      </c>
      <c r="V270" s="8" t="str">
        <f>TRIM(MID(RawSalesTable6[[#This Row],[Customer_Info]],FIND(",",RawSalesTable6[[#This Row],[Customer_Info]])+1,FIND(",",RawSalesTable6[[#This Row],[Customer_Info]],FIND(",",RawSalesTable6[[#This Row],[Customer_Info]])+1)-FIND(",",RawSalesTable6[[#This Row],[Customer_Info]])-1))</f>
        <v>Toronto</v>
      </c>
      <c r="W270" s="8" t="str">
        <f>TRIM(RIGHT(RawSalesTable6[[#This Row],[Customer_Info]],LEN(RawSalesTable6[[#This Row],[Customer_Info]])-FIND(",",RawSalesTable6[[#This Row],[Customer_Info]],FIND(",",RawSalesTable6[[#This Row],[Customer_Info]])+1)))</f>
        <v>Consumer</v>
      </c>
      <c r="X270" s="8" t="str">
        <f>VLOOKUP(RawSalesTable6[[#This Row],[Product_ID_Clean]],ProductsTable[],2,FALSE)</f>
        <v>Backpack</v>
      </c>
      <c r="Y270" s="8" t="str">
        <f>VLOOKUP(RawSalesTable6[[#This Row],[Product_ID_Clean]],ProductsTable[],3,FALSE)</f>
        <v>Accessories</v>
      </c>
      <c r="Z270" s="8">
        <f>VLOOKUP(RawSalesTable6[[#This Row],[Product_ID_Clean]],ProductsTable[],5,FALSE)</f>
        <v>152.55000000000001</v>
      </c>
      <c r="AA270" s="8">
        <f>RawSalesTable6[[#This Row],[Unit_Price]]*RawSalesTable6[[#This Row],[Quantity]]</f>
        <v>290.17</v>
      </c>
      <c r="AB270" s="8">
        <f>RawSalesTable6[[#This Row],[Gross_Sales]]*RawSalesTable6[[#This Row],[Discount_Pct]]</f>
        <v>43.525500000000001</v>
      </c>
      <c r="AC270" s="8">
        <f>RawSalesTable6[[#This Row],[Gross_Sales]]-RawSalesTable6[[#This Row],[Discount_Amount]]</f>
        <v>246.64450000000002</v>
      </c>
      <c r="AD270" s="8">
        <f>RawSalesTable6[[#This Row],[Unit_Cost]]*RawSalesTable6[[#This Row],[Quantity]]</f>
        <v>152.55000000000001</v>
      </c>
      <c r="AE270" s="8">
        <f>RawSalesTable6[[#This Row],[Net_Sales]]-RawSalesTable6[[#This Row],[Total_Cost]]</f>
        <v>94.094500000000011</v>
      </c>
      <c r="AF270" s="9">
        <f>RawSalesTable6[[#This Row],[Profit]]/RawSalesTable6[[#This Row],[Net_Sales]]</f>
        <v>0.38149847249786639</v>
      </c>
      <c r="AG270" s="8">
        <f>YEAR(RawSalesTable6[[#This Row],[Order_Date]])</f>
        <v>2025</v>
      </c>
      <c r="AH270" s="8">
        <f>MONTH(RawSalesTable6[[#This Row],[Order_Date]])</f>
        <v>10</v>
      </c>
      <c r="AI270" s="8" t="str">
        <f>TEXT(RawSalesTable6[[#This Row],[Order_Date]],"mmmm")</f>
        <v>octobre</v>
      </c>
      <c r="AJ270" s="8" t="str">
        <f>IF(RawSalesTable6[[#This Row],[Month_Number]]&lt;=3,"Q1",IF(RawSalesTable6[[#This Row],[Month_Number]]&lt;=6,"Q2",IF(RawSalesTable6[[#This Row],[Month_Number]]&lt;=9,"Q3","Q4")))</f>
        <v>Q4</v>
      </c>
      <c r="AK270" s="8" t="str">
        <f>VLOOKUP(RawSalesTable6[[#This Row],[Customer_ID_Clean]],CustomersTable[],4,FALSE)</f>
        <v>Ontario</v>
      </c>
      <c r="AL270" s="8">
        <f>IF(RawSalesTable6[[#This Row],[Return_Status]]="Yes",1,0)</f>
        <v>0</v>
      </c>
    </row>
    <row r="271" spans="1:38">
      <c r="A271" t="s">
        <v>668</v>
      </c>
      <c r="B271" s="3">
        <v>45936</v>
      </c>
      <c r="C271" t="s">
        <v>203</v>
      </c>
      <c r="D271" t="s">
        <v>346</v>
      </c>
      <c r="E271" t="s">
        <v>573</v>
      </c>
      <c r="F271" t="s">
        <v>116</v>
      </c>
      <c r="G271" t="s">
        <v>104</v>
      </c>
      <c r="H271" t="s">
        <v>97</v>
      </c>
      <c r="I271">
        <v>2</v>
      </c>
      <c r="J271" s="2">
        <v>250.11</v>
      </c>
      <c r="K271" s="4">
        <v>0</v>
      </c>
      <c r="L271" t="s">
        <v>98</v>
      </c>
      <c r="M271">
        <v>2</v>
      </c>
      <c r="N271" t="s">
        <v>91</v>
      </c>
      <c r="O271" t="str">
        <f>SUBSTITUTE(PROPER(TRIM(RawSalesTable6[[#This Row],[Channel_Raw]])),"Market Place","Marketplace")</f>
        <v>Retail Store</v>
      </c>
      <c r="P271" t="str">
        <f>TRIM(RawSalesTable6[[#This Row],[Product_ID]])</f>
        <v>P1030</v>
      </c>
      <c r="Q271" t="str">
        <f>TRIM(RawSalesTable6[[#This Row],[Customer_ID]])</f>
        <v>C0029</v>
      </c>
      <c r="R271" s="8" t="str">
        <f>PROPER(TRIM(RawSalesTable6[[#This Row],[Store_Raw]]))</f>
        <v>Toronto Downtown</v>
      </c>
      <c r="S271" s="8" t="str">
        <f>IF(TRIM(RawSalesTable6[[#This Row],[Payment_Method_Raw]])="","Non renseigné",SUBSTITUTE(PROPER(TRIM(RawSalesTable6[[#This Row],[Payment_Method_Raw]])),"Cc","Credit Card"))</f>
        <v>Debit Card</v>
      </c>
      <c r="T271" s="8">
        <f>COUNTIF(A:A,RawSalesTable6[[#This Row],[Order_ID]])</f>
        <v>1</v>
      </c>
      <c r="U271" s="8" t="str">
        <f>TRIM(LEFT(RawSalesTable6[[#This Row],[Customer_Info]],FIND(",",RawSalesTable6[[#This Row],[Customer_Info]])-1))</f>
        <v>Olivia White</v>
      </c>
      <c r="V271" s="8" t="str">
        <f>TRIM(MID(RawSalesTable6[[#This Row],[Customer_Info]],FIND(",",RawSalesTable6[[#This Row],[Customer_Info]])+1,FIND(",",RawSalesTable6[[#This Row],[Customer_Info]],FIND(",",RawSalesTable6[[#This Row],[Customer_Info]])+1)-FIND(",",RawSalesTable6[[#This Row],[Customer_Info]])-1))</f>
        <v>Victoria</v>
      </c>
      <c r="W271" s="8" t="str">
        <f>TRIM(RIGHT(RawSalesTable6[[#This Row],[Customer_Info]],LEN(RawSalesTable6[[#This Row],[Customer_Info]])-FIND(",",RawSalesTable6[[#This Row],[Customer_Info]],FIND(",",RawSalesTable6[[#This Row],[Customer_Info]])+1)))</f>
        <v>Consumer</v>
      </c>
      <c r="X271" s="8" t="str">
        <f>VLOOKUP(RawSalesTable6[[#This Row],[Product_ID_Clean]],ProductsTable[],2,FALSE)</f>
        <v>Pull-up Bar</v>
      </c>
      <c r="Y271" s="8" t="str">
        <f>VLOOKUP(RawSalesTable6[[#This Row],[Product_ID_Clean]],ProductsTable[],3,FALSE)</f>
        <v>Fitness</v>
      </c>
      <c r="Z271" s="8">
        <f>VLOOKUP(RawSalesTable6[[#This Row],[Product_ID_Clean]],ProductsTable[],5,FALSE)</f>
        <v>125.4</v>
      </c>
      <c r="AA271" s="8">
        <f>RawSalesTable6[[#This Row],[Unit_Price]]*RawSalesTable6[[#This Row],[Quantity]]</f>
        <v>500.22</v>
      </c>
      <c r="AB271" s="8">
        <f>RawSalesTable6[[#This Row],[Gross_Sales]]*RawSalesTable6[[#This Row],[Discount_Pct]]</f>
        <v>0</v>
      </c>
      <c r="AC271" s="8">
        <f>RawSalesTable6[[#This Row],[Gross_Sales]]-RawSalesTable6[[#This Row],[Discount_Amount]]</f>
        <v>500.22</v>
      </c>
      <c r="AD271" s="8">
        <f>RawSalesTable6[[#This Row],[Unit_Cost]]*RawSalesTable6[[#This Row],[Quantity]]</f>
        <v>250.8</v>
      </c>
      <c r="AE271" s="8">
        <f>RawSalesTable6[[#This Row],[Net_Sales]]-RawSalesTable6[[#This Row],[Total_Cost]]</f>
        <v>249.42000000000002</v>
      </c>
      <c r="AF271" s="9">
        <f>RawSalesTable6[[#This Row],[Profit]]/RawSalesTable6[[#This Row],[Net_Sales]]</f>
        <v>0.49862060693294952</v>
      </c>
      <c r="AG271" s="8">
        <f>YEAR(RawSalesTable6[[#This Row],[Order_Date]])</f>
        <v>2025</v>
      </c>
      <c r="AH271" s="8">
        <f>MONTH(RawSalesTable6[[#This Row],[Order_Date]])</f>
        <v>10</v>
      </c>
      <c r="AI271" s="8" t="str">
        <f>TEXT(RawSalesTable6[[#This Row],[Order_Date]],"mmmm")</f>
        <v>octobre</v>
      </c>
      <c r="AJ271" s="8" t="str">
        <f>IF(RawSalesTable6[[#This Row],[Month_Number]]&lt;=3,"Q1",IF(RawSalesTable6[[#This Row],[Month_Number]]&lt;=6,"Q2",IF(RawSalesTable6[[#This Row],[Month_Number]]&lt;=9,"Q3","Q4")))</f>
        <v>Q4</v>
      </c>
      <c r="AK271" s="8" t="str">
        <f>VLOOKUP(RawSalesTable6[[#This Row],[Customer_ID_Clean]],CustomersTable[],4,FALSE)</f>
        <v>British Columbia</v>
      </c>
      <c r="AL271" s="8">
        <f>IF(RawSalesTable6[[#This Row],[Return_Status]]="Yes",1,0)</f>
        <v>0</v>
      </c>
    </row>
    <row r="272" spans="1:38">
      <c r="A272" t="s">
        <v>669</v>
      </c>
      <c r="B272" s="3">
        <v>45755</v>
      </c>
      <c r="C272" t="s">
        <v>670</v>
      </c>
      <c r="D272" t="s">
        <v>157</v>
      </c>
      <c r="E272" t="s">
        <v>671</v>
      </c>
      <c r="F272" t="s">
        <v>87</v>
      </c>
      <c r="G272" t="s">
        <v>130</v>
      </c>
      <c r="H272" t="s">
        <v>89</v>
      </c>
      <c r="I272">
        <v>2</v>
      </c>
      <c r="J272" s="2">
        <v>285.47000000000003</v>
      </c>
      <c r="K272" s="4">
        <v>0</v>
      </c>
      <c r="L272" t="s">
        <v>106</v>
      </c>
      <c r="M272">
        <v>1</v>
      </c>
      <c r="N272" t="s">
        <v>91</v>
      </c>
      <c r="O272" t="str">
        <f>SUBSTITUTE(PROPER(TRIM(RawSalesTable6[[#This Row],[Channel_Raw]])),"Market Place","Marketplace")</f>
        <v>Online</v>
      </c>
      <c r="P272" t="str">
        <f>TRIM(RawSalesTable6[[#This Row],[Product_ID]])</f>
        <v>P1009</v>
      </c>
      <c r="Q272" t="str">
        <f>TRIM(RawSalesTable6[[#This Row],[Customer_ID]])</f>
        <v>C0107</v>
      </c>
      <c r="R272" s="8" t="str">
        <f>PROPER(TRIM(RawSalesTable6[[#This Row],[Store_Raw]]))</f>
        <v>Online Fulfillment</v>
      </c>
      <c r="S272" s="8" t="str">
        <f>IF(TRIM(RawSalesTable6[[#This Row],[Payment_Method_Raw]])="","Non renseigné",SUBSTITUTE(PROPER(TRIM(RawSalesTable6[[#This Row],[Payment_Method_Raw]])),"Cc","Credit Card"))</f>
        <v>Credit Card</v>
      </c>
      <c r="T272" s="8">
        <f>COUNTIF(A:A,RawSalesTable6[[#This Row],[Order_ID]])</f>
        <v>1</v>
      </c>
      <c r="U272" s="8" t="str">
        <f>TRIM(LEFT(RawSalesTable6[[#This Row],[Customer_Info]],FIND(",",RawSalesTable6[[#This Row],[Customer_Info]])-1))</f>
        <v>Ava Lee</v>
      </c>
      <c r="V272" s="8" t="str">
        <f>TRIM(MID(RawSalesTable6[[#This Row],[Customer_Info]],FIND(",",RawSalesTable6[[#This Row],[Customer_Info]])+1,FIND(",",RawSalesTable6[[#This Row],[Customer_Info]],FIND(",",RawSalesTable6[[#This Row],[Customer_Info]])+1)-FIND(",",RawSalesTable6[[#This Row],[Customer_Info]])-1))</f>
        <v>Calgary</v>
      </c>
      <c r="W272" s="8" t="str">
        <f>TRIM(RIGHT(RawSalesTable6[[#This Row],[Customer_Info]],LEN(RawSalesTable6[[#This Row],[Customer_Info]])-FIND(",",RawSalesTable6[[#This Row],[Customer_Info]],FIND(",",RawSalesTable6[[#This Row],[Customer_Info]])+1)))</f>
        <v>Small Business</v>
      </c>
      <c r="X272" s="8" t="str">
        <f>VLOOKUP(RawSalesTable6[[#This Row],[Product_ID_Clean]],ProductsTable[],2,FALSE)</f>
        <v>Notebook</v>
      </c>
      <c r="Y272" s="8" t="str">
        <f>VLOOKUP(RawSalesTable6[[#This Row],[Product_ID_Clean]],ProductsTable[],3,FALSE)</f>
        <v>Office</v>
      </c>
      <c r="Z272" s="8">
        <f>VLOOKUP(RawSalesTable6[[#This Row],[Product_ID_Clean]],ProductsTable[],5,FALSE)</f>
        <v>176.13</v>
      </c>
      <c r="AA272" s="8">
        <f>RawSalesTable6[[#This Row],[Unit_Price]]*RawSalesTable6[[#This Row],[Quantity]]</f>
        <v>570.94000000000005</v>
      </c>
      <c r="AB272" s="8">
        <f>RawSalesTable6[[#This Row],[Gross_Sales]]*RawSalesTable6[[#This Row],[Discount_Pct]]</f>
        <v>0</v>
      </c>
      <c r="AC272" s="8">
        <f>RawSalesTable6[[#This Row],[Gross_Sales]]-RawSalesTable6[[#This Row],[Discount_Amount]]</f>
        <v>570.94000000000005</v>
      </c>
      <c r="AD272" s="8">
        <f>RawSalesTable6[[#This Row],[Unit_Cost]]*RawSalesTable6[[#This Row],[Quantity]]</f>
        <v>352.26</v>
      </c>
      <c r="AE272" s="8">
        <f>RawSalesTable6[[#This Row],[Net_Sales]]-RawSalesTable6[[#This Row],[Total_Cost]]</f>
        <v>218.68000000000006</v>
      </c>
      <c r="AF272" s="9">
        <f>RawSalesTable6[[#This Row],[Profit]]/RawSalesTable6[[#This Row],[Net_Sales]]</f>
        <v>0.38301747994535335</v>
      </c>
      <c r="AG272" s="8">
        <f>YEAR(RawSalesTable6[[#This Row],[Order_Date]])</f>
        <v>2025</v>
      </c>
      <c r="AH272" s="8">
        <f>MONTH(RawSalesTable6[[#This Row],[Order_Date]])</f>
        <v>4</v>
      </c>
      <c r="AI272" s="8" t="str">
        <f>TEXT(RawSalesTable6[[#This Row],[Order_Date]],"mmmm")</f>
        <v>avril</v>
      </c>
      <c r="AJ272" s="8" t="str">
        <f>IF(RawSalesTable6[[#This Row],[Month_Number]]&lt;=3,"Q1",IF(RawSalesTable6[[#This Row],[Month_Number]]&lt;=6,"Q2",IF(RawSalesTable6[[#This Row],[Month_Number]]&lt;=9,"Q3","Q4")))</f>
        <v>Q2</v>
      </c>
      <c r="AK272" s="8" t="str">
        <f>VLOOKUP(RawSalesTable6[[#This Row],[Customer_ID_Clean]],CustomersTable[],4,FALSE)</f>
        <v>Alberta</v>
      </c>
      <c r="AL272" s="8">
        <f>IF(RawSalesTable6[[#This Row],[Return_Status]]="Yes",1,0)</f>
        <v>0</v>
      </c>
    </row>
    <row r="273" spans="1:38">
      <c r="A273" t="s">
        <v>672</v>
      </c>
      <c r="B273" s="3">
        <v>45861</v>
      </c>
      <c r="C273" t="s">
        <v>597</v>
      </c>
      <c r="D273" t="s">
        <v>85</v>
      </c>
      <c r="E273" t="s">
        <v>598</v>
      </c>
      <c r="F273" t="s">
        <v>87</v>
      </c>
      <c r="G273" t="s">
        <v>104</v>
      </c>
      <c r="H273" t="s">
        <v>105</v>
      </c>
      <c r="I273">
        <v>3</v>
      </c>
      <c r="J273" s="2">
        <v>297.58999999999997</v>
      </c>
      <c r="K273" s="4">
        <v>0.05</v>
      </c>
      <c r="L273" t="s">
        <v>98</v>
      </c>
      <c r="M273">
        <v>6</v>
      </c>
      <c r="N273" t="s">
        <v>91</v>
      </c>
      <c r="O273" t="str">
        <f>SUBSTITUTE(PROPER(TRIM(RawSalesTable6[[#This Row],[Channel_Raw]])),"Market Place","Marketplace")</f>
        <v>Marketplace</v>
      </c>
      <c r="P273" t="str">
        <f>TRIM(RawSalesTable6[[#This Row],[Product_ID]])</f>
        <v>P1025</v>
      </c>
      <c r="Q273" t="str">
        <f>TRIM(RawSalesTable6[[#This Row],[Customer_ID]])</f>
        <v>C0004</v>
      </c>
      <c r="R273" s="8" t="str">
        <f>PROPER(TRIM(RawSalesTable6[[#This Row],[Store_Raw]]))</f>
        <v>Online Fulfillment</v>
      </c>
      <c r="S273" s="8" t="str">
        <f>IF(TRIM(RawSalesTable6[[#This Row],[Payment_Method_Raw]])="","Non renseigné",SUBSTITUTE(PROPER(TRIM(RawSalesTable6[[#This Row],[Payment_Method_Raw]])),"Cc","Credit Card"))</f>
        <v>Debit Card</v>
      </c>
      <c r="T273" s="8">
        <f>COUNTIF(A:A,RawSalesTable6[[#This Row],[Order_ID]])</f>
        <v>1</v>
      </c>
      <c r="U273" s="8" t="str">
        <f>TRIM(LEFT(RawSalesTable6[[#This Row],[Customer_Info]],FIND(",",RawSalesTable6[[#This Row],[Customer_Info]])-1))</f>
        <v>Mia Bennett</v>
      </c>
      <c r="V273" s="8" t="str">
        <f>TRIM(MID(RawSalesTable6[[#This Row],[Customer_Info]],FIND(",",RawSalesTable6[[#This Row],[Customer_Info]])+1,FIND(",",RawSalesTable6[[#This Row],[Customer_Info]],FIND(",",RawSalesTable6[[#This Row],[Customer_Info]])+1)-FIND(",",RawSalesTable6[[#This Row],[Customer_Info]])-1))</f>
        <v>Laval</v>
      </c>
      <c r="W273" s="8" t="str">
        <f>TRIM(RIGHT(RawSalesTable6[[#This Row],[Customer_Info]],LEN(RawSalesTable6[[#This Row],[Customer_Info]])-FIND(",",RawSalesTable6[[#This Row],[Customer_Info]],FIND(",",RawSalesTable6[[#This Row],[Customer_Info]])+1)))</f>
        <v>Consumer</v>
      </c>
      <c r="X273" s="8" t="str">
        <f>VLOOKUP(RawSalesTable6[[#This Row],[Product_ID_Clean]],ProductsTable[],2,FALSE)</f>
        <v>Yoga Mat</v>
      </c>
      <c r="Y273" s="8" t="str">
        <f>VLOOKUP(RawSalesTable6[[#This Row],[Product_ID_Clean]],ProductsTable[],3,FALSE)</f>
        <v>Fitness</v>
      </c>
      <c r="Z273" s="8">
        <f>VLOOKUP(RawSalesTable6[[#This Row],[Product_ID_Clean]],ProductsTable[],5,FALSE)</f>
        <v>197.33</v>
      </c>
      <c r="AA273" s="8">
        <f>RawSalesTable6[[#This Row],[Unit_Price]]*RawSalesTable6[[#This Row],[Quantity]]</f>
        <v>892.77</v>
      </c>
      <c r="AB273" s="8">
        <f>RawSalesTable6[[#This Row],[Gross_Sales]]*RawSalesTable6[[#This Row],[Discount_Pct]]</f>
        <v>44.638500000000001</v>
      </c>
      <c r="AC273" s="8">
        <f>RawSalesTable6[[#This Row],[Gross_Sales]]-RawSalesTable6[[#This Row],[Discount_Amount]]</f>
        <v>848.13149999999996</v>
      </c>
      <c r="AD273" s="8">
        <f>RawSalesTable6[[#This Row],[Unit_Cost]]*RawSalesTable6[[#This Row],[Quantity]]</f>
        <v>591.99</v>
      </c>
      <c r="AE273" s="8">
        <f>RawSalesTable6[[#This Row],[Net_Sales]]-RawSalesTable6[[#This Row],[Total_Cost]]</f>
        <v>256.14149999999995</v>
      </c>
      <c r="AF273" s="9">
        <f>RawSalesTable6[[#This Row],[Profit]]/RawSalesTable6[[#This Row],[Net_Sales]]</f>
        <v>0.30200682323436867</v>
      </c>
      <c r="AG273" s="8">
        <f>YEAR(RawSalesTable6[[#This Row],[Order_Date]])</f>
        <v>2025</v>
      </c>
      <c r="AH273" s="8">
        <f>MONTH(RawSalesTable6[[#This Row],[Order_Date]])</f>
        <v>7</v>
      </c>
      <c r="AI273" s="8" t="str">
        <f>TEXT(RawSalesTable6[[#This Row],[Order_Date]],"mmmm")</f>
        <v>juillet</v>
      </c>
      <c r="AJ273" s="8" t="str">
        <f>IF(RawSalesTable6[[#This Row],[Month_Number]]&lt;=3,"Q1",IF(RawSalesTable6[[#This Row],[Month_Number]]&lt;=6,"Q2",IF(RawSalesTable6[[#This Row],[Month_Number]]&lt;=9,"Q3","Q4")))</f>
        <v>Q3</v>
      </c>
      <c r="AK273" s="8" t="str">
        <f>VLOOKUP(RawSalesTable6[[#This Row],[Customer_ID_Clean]],CustomersTable[],4,FALSE)</f>
        <v>Quebec</v>
      </c>
      <c r="AL273" s="8">
        <f>IF(RawSalesTable6[[#This Row],[Return_Status]]="Yes",1,0)</f>
        <v>0</v>
      </c>
    </row>
    <row r="274" spans="1:38">
      <c r="A274" t="s">
        <v>673</v>
      </c>
      <c r="B274" s="3">
        <v>46004</v>
      </c>
      <c r="C274" t="s">
        <v>594</v>
      </c>
      <c r="D274" t="s">
        <v>252</v>
      </c>
      <c r="E274" t="s">
        <v>595</v>
      </c>
      <c r="F274" t="s">
        <v>116</v>
      </c>
      <c r="G274" t="s">
        <v>117</v>
      </c>
      <c r="H274" t="s">
        <v>105</v>
      </c>
      <c r="I274">
        <v>3</v>
      </c>
      <c r="J274" s="2">
        <v>272.70999999999998</v>
      </c>
      <c r="K274" s="4">
        <v>0.25</v>
      </c>
      <c r="L274" t="s">
        <v>106</v>
      </c>
      <c r="M274">
        <v>3</v>
      </c>
      <c r="N274" t="s">
        <v>91</v>
      </c>
      <c r="O274" t="str">
        <f>SUBSTITUTE(PROPER(TRIM(RawSalesTable6[[#This Row],[Channel_Raw]])),"Market Place","Marketplace")</f>
        <v>Marketplace</v>
      </c>
      <c r="P274" t="str">
        <f>TRIM(RawSalesTable6[[#This Row],[Product_ID]])</f>
        <v>P1019</v>
      </c>
      <c r="Q274" t="str">
        <f>TRIM(RawSalesTable6[[#This Row],[Customer_ID]])</f>
        <v>C0027</v>
      </c>
      <c r="R274" s="8" t="str">
        <f>PROPER(TRIM(RawSalesTable6[[#This Row],[Store_Raw]]))</f>
        <v>Toronto Downtown</v>
      </c>
      <c r="S274" s="8" t="str">
        <f>IF(TRIM(RawSalesTable6[[#This Row],[Payment_Method_Raw]])="","Non renseigné",SUBSTITUTE(PROPER(TRIM(RawSalesTable6[[#This Row],[Payment_Method_Raw]])),"Cc","Credit Card"))</f>
        <v>Credit Card</v>
      </c>
      <c r="T274" s="8">
        <f>COUNTIF(A:A,RawSalesTable6[[#This Row],[Order_ID]])</f>
        <v>1</v>
      </c>
      <c r="U274" s="8" t="str">
        <f>TRIM(LEFT(RawSalesTable6[[#This Row],[Customer_Info]],FIND(",",RawSalesTable6[[#This Row],[Customer_Info]])-1))</f>
        <v>Nora Wilson</v>
      </c>
      <c r="V274" s="8" t="str">
        <f>TRIM(MID(RawSalesTable6[[#This Row],[Customer_Info]],FIND(",",RawSalesTable6[[#This Row],[Customer_Info]])+1,FIND(",",RawSalesTable6[[#This Row],[Customer_Info]],FIND(",",RawSalesTable6[[#This Row],[Customer_Info]])+1)-FIND(",",RawSalesTable6[[#This Row],[Customer_Info]])-1))</f>
        <v>Toronto</v>
      </c>
      <c r="W274" s="8" t="str">
        <f>TRIM(RIGHT(RawSalesTable6[[#This Row],[Customer_Info]],LEN(RawSalesTable6[[#This Row],[Customer_Info]])-FIND(",",RawSalesTable6[[#This Row],[Customer_Info]],FIND(",",RawSalesTable6[[#This Row],[Customer_Info]])+1)))</f>
        <v>Small Business</v>
      </c>
      <c r="X274" s="8" t="str">
        <f>VLOOKUP(RawSalesTable6[[#This Row],[Product_ID_Clean]],ProductsTable[],2,FALSE)</f>
        <v>Vacuum</v>
      </c>
      <c r="Y274" s="8" t="str">
        <f>VLOOKUP(RawSalesTable6[[#This Row],[Product_ID_Clean]],ProductsTable[],3,FALSE)</f>
        <v>Home</v>
      </c>
      <c r="Z274" s="8">
        <f>VLOOKUP(RawSalesTable6[[#This Row],[Product_ID_Clean]],ProductsTable[],5,FALSE)</f>
        <v>186.94</v>
      </c>
      <c r="AA274" s="8">
        <f>RawSalesTable6[[#This Row],[Unit_Price]]*RawSalesTable6[[#This Row],[Quantity]]</f>
        <v>818.12999999999988</v>
      </c>
      <c r="AB274" s="8">
        <f>RawSalesTable6[[#This Row],[Gross_Sales]]*RawSalesTable6[[#This Row],[Discount_Pct]]</f>
        <v>204.53249999999997</v>
      </c>
      <c r="AC274" s="8">
        <f>RawSalesTable6[[#This Row],[Gross_Sales]]-RawSalesTable6[[#This Row],[Discount_Amount]]</f>
        <v>613.59749999999985</v>
      </c>
      <c r="AD274" s="8">
        <f>RawSalesTable6[[#This Row],[Unit_Cost]]*RawSalesTable6[[#This Row],[Quantity]]</f>
        <v>560.81999999999994</v>
      </c>
      <c r="AE274" s="8">
        <f>RawSalesTable6[[#This Row],[Net_Sales]]-RawSalesTable6[[#This Row],[Total_Cost]]</f>
        <v>52.777499999999918</v>
      </c>
      <c r="AF274" s="9">
        <f>RawSalesTable6[[#This Row],[Profit]]/RawSalesTable6[[#This Row],[Net_Sales]]</f>
        <v>8.6013225282045525E-2</v>
      </c>
      <c r="AG274" s="8">
        <f>YEAR(RawSalesTable6[[#This Row],[Order_Date]])</f>
        <v>2025</v>
      </c>
      <c r="AH274" s="8">
        <f>MONTH(RawSalesTable6[[#This Row],[Order_Date]])</f>
        <v>12</v>
      </c>
      <c r="AI274" s="8" t="str">
        <f>TEXT(RawSalesTable6[[#This Row],[Order_Date]],"mmmm")</f>
        <v>décembre</v>
      </c>
      <c r="AJ274" s="8" t="str">
        <f>IF(RawSalesTable6[[#This Row],[Month_Number]]&lt;=3,"Q1",IF(RawSalesTable6[[#This Row],[Month_Number]]&lt;=6,"Q2",IF(RawSalesTable6[[#This Row],[Month_Number]]&lt;=9,"Q3","Q4")))</f>
        <v>Q4</v>
      </c>
      <c r="AK274" s="8" t="str">
        <f>VLOOKUP(RawSalesTable6[[#This Row],[Customer_ID_Clean]],CustomersTable[],4,FALSE)</f>
        <v>Ontario</v>
      </c>
      <c r="AL274" s="8">
        <f>IF(RawSalesTable6[[#This Row],[Return_Status]]="Yes",1,0)</f>
        <v>0</v>
      </c>
    </row>
    <row r="275" spans="1:38">
      <c r="A275" t="s">
        <v>674</v>
      </c>
      <c r="B275" s="3">
        <v>45858</v>
      </c>
      <c r="C275" t="s">
        <v>675</v>
      </c>
      <c r="D275" t="s">
        <v>120</v>
      </c>
      <c r="E275" t="s">
        <v>676</v>
      </c>
      <c r="F275" t="s">
        <v>111</v>
      </c>
      <c r="G275" t="s">
        <v>104</v>
      </c>
      <c r="H275" t="s">
        <v>97</v>
      </c>
      <c r="I275">
        <v>1</v>
      </c>
      <c r="J275" s="2">
        <v>402.61</v>
      </c>
      <c r="K275" s="4">
        <v>0.05</v>
      </c>
      <c r="L275" t="s">
        <v>106</v>
      </c>
      <c r="M275">
        <v>4</v>
      </c>
      <c r="N275" t="s">
        <v>91</v>
      </c>
      <c r="O275" t="str">
        <f>SUBSTITUTE(PROPER(TRIM(RawSalesTable6[[#This Row],[Channel_Raw]])),"Market Place","Marketplace")</f>
        <v>Retail Store</v>
      </c>
      <c r="P275" t="str">
        <f>TRIM(RawSalesTable6[[#This Row],[Product_ID]])</f>
        <v>P1015</v>
      </c>
      <c r="Q275" t="str">
        <f>TRIM(RawSalesTable6[[#This Row],[Customer_ID]])</f>
        <v>C0101</v>
      </c>
      <c r="R275" s="8" t="str">
        <f>PROPER(TRIM(RawSalesTable6[[#This Row],[Store_Raw]]))</f>
        <v>Montreal Central</v>
      </c>
      <c r="S275" s="8" t="str">
        <f>IF(TRIM(RawSalesTable6[[#This Row],[Payment_Method_Raw]])="","Non renseigné",SUBSTITUTE(PROPER(TRIM(RawSalesTable6[[#This Row],[Payment_Method_Raw]])),"Cc","Credit Card"))</f>
        <v>Credit Card</v>
      </c>
      <c r="T275" s="8">
        <f>COUNTIF(A:A,RawSalesTable6[[#This Row],[Order_ID]])</f>
        <v>1</v>
      </c>
      <c r="U275" s="8" t="str">
        <f>TRIM(LEFT(RawSalesTable6[[#This Row],[Customer_Info]],FIND(",",RawSalesTable6[[#This Row],[Customer_Info]])-1))</f>
        <v>Noah Martin</v>
      </c>
      <c r="V275" s="8" t="str">
        <f>TRIM(MID(RawSalesTable6[[#This Row],[Customer_Info]],FIND(",",RawSalesTable6[[#This Row],[Customer_Info]])+1,FIND(",",RawSalesTable6[[#This Row],[Customer_Info]],FIND(",",RawSalesTable6[[#This Row],[Customer_Info]])+1)-FIND(",",RawSalesTable6[[#This Row],[Customer_Info]])-1))</f>
        <v>Saskatoon</v>
      </c>
      <c r="W275" s="8" t="str">
        <f>TRIM(RIGHT(RawSalesTable6[[#This Row],[Customer_Info]],LEN(RawSalesTable6[[#This Row],[Customer_Info]])-FIND(",",RawSalesTable6[[#This Row],[Customer_Info]],FIND(",",RawSalesTable6[[#This Row],[Customer_Info]])+1)))</f>
        <v>Small Business</v>
      </c>
      <c r="X275" s="8" t="str">
        <f>VLOOKUP(RawSalesTable6[[#This Row],[Product_ID_Clean]],ProductsTable[],2,FALSE)</f>
        <v>Desk Organizer</v>
      </c>
      <c r="Y275" s="8" t="str">
        <f>VLOOKUP(RawSalesTable6[[#This Row],[Product_ID_Clean]],ProductsTable[],3,FALSE)</f>
        <v>Office</v>
      </c>
      <c r="Z275" s="8">
        <f>VLOOKUP(RawSalesTable6[[#This Row],[Product_ID_Clean]],ProductsTable[],5,FALSE)</f>
        <v>235.76</v>
      </c>
      <c r="AA275" s="8">
        <f>RawSalesTable6[[#This Row],[Unit_Price]]*RawSalesTable6[[#This Row],[Quantity]]</f>
        <v>402.61</v>
      </c>
      <c r="AB275" s="8">
        <f>RawSalesTable6[[#This Row],[Gross_Sales]]*RawSalesTable6[[#This Row],[Discount_Pct]]</f>
        <v>20.130500000000001</v>
      </c>
      <c r="AC275" s="8">
        <f>RawSalesTable6[[#This Row],[Gross_Sales]]-RawSalesTable6[[#This Row],[Discount_Amount]]</f>
        <v>382.47950000000003</v>
      </c>
      <c r="AD275" s="8">
        <f>RawSalesTable6[[#This Row],[Unit_Cost]]*RawSalesTable6[[#This Row],[Quantity]]</f>
        <v>235.76</v>
      </c>
      <c r="AE275" s="8">
        <f>RawSalesTable6[[#This Row],[Net_Sales]]-RawSalesTable6[[#This Row],[Total_Cost]]</f>
        <v>146.71950000000004</v>
      </c>
      <c r="AF275" s="9">
        <f>RawSalesTable6[[#This Row],[Profit]]/RawSalesTable6[[#This Row],[Net_Sales]]</f>
        <v>0.38360095116208848</v>
      </c>
      <c r="AG275" s="8">
        <f>YEAR(RawSalesTable6[[#This Row],[Order_Date]])</f>
        <v>2025</v>
      </c>
      <c r="AH275" s="8">
        <f>MONTH(RawSalesTable6[[#This Row],[Order_Date]])</f>
        <v>7</v>
      </c>
      <c r="AI275" s="8" t="str">
        <f>TEXT(RawSalesTable6[[#This Row],[Order_Date]],"mmmm")</f>
        <v>juillet</v>
      </c>
      <c r="AJ275" s="8" t="str">
        <f>IF(RawSalesTable6[[#This Row],[Month_Number]]&lt;=3,"Q1",IF(RawSalesTable6[[#This Row],[Month_Number]]&lt;=6,"Q2",IF(RawSalesTable6[[#This Row],[Month_Number]]&lt;=9,"Q3","Q4")))</f>
        <v>Q3</v>
      </c>
      <c r="AK275" s="8" t="str">
        <f>VLOOKUP(RawSalesTable6[[#This Row],[Customer_ID_Clean]],CustomersTable[],4,FALSE)</f>
        <v>Saskatchewan</v>
      </c>
      <c r="AL275" s="8">
        <f>IF(RawSalesTable6[[#This Row],[Return_Status]]="Yes",1,0)</f>
        <v>0</v>
      </c>
    </row>
    <row r="276" spans="1:38">
      <c r="A276" t="s">
        <v>677</v>
      </c>
      <c r="B276" s="3">
        <v>45955</v>
      </c>
      <c r="C276" t="s">
        <v>248</v>
      </c>
      <c r="D276" t="s">
        <v>149</v>
      </c>
      <c r="E276" t="s">
        <v>678</v>
      </c>
      <c r="F276" t="s">
        <v>116</v>
      </c>
      <c r="G276" t="s">
        <v>122</v>
      </c>
      <c r="H276" t="s">
        <v>89</v>
      </c>
      <c r="I276">
        <v>3</v>
      </c>
      <c r="J276" s="2">
        <v>84.93</v>
      </c>
      <c r="K276" s="4">
        <v>0</v>
      </c>
      <c r="L276" t="s">
        <v>90</v>
      </c>
      <c r="M276">
        <v>6</v>
      </c>
      <c r="N276" t="s">
        <v>91</v>
      </c>
      <c r="O276" t="str">
        <f>SUBSTITUTE(PROPER(TRIM(RawSalesTable6[[#This Row],[Channel_Raw]])),"Market Place","Marketplace")</f>
        <v>Online</v>
      </c>
      <c r="P276" t="str">
        <f>TRIM(RawSalesTable6[[#This Row],[Product_ID]])</f>
        <v>P1011</v>
      </c>
      <c r="Q276" t="str">
        <f>TRIM(RawSalesTable6[[#This Row],[Customer_ID]])</f>
        <v>C0012</v>
      </c>
      <c r="R276" s="8" t="str">
        <f>PROPER(TRIM(RawSalesTable6[[#This Row],[Store_Raw]]))</f>
        <v>Toronto Downtown</v>
      </c>
      <c r="S276" s="8" t="str">
        <f>IF(TRIM(RawSalesTable6[[#This Row],[Payment_Method_Raw]])="","Non renseigné",SUBSTITUTE(PROPER(TRIM(RawSalesTable6[[#This Row],[Payment_Method_Raw]])),"Cc","Credit Card"))</f>
        <v>Paypal</v>
      </c>
      <c r="T276" s="8">
        <f>COUNTIF(A:A,RawSalesTable6[[#This Row],[Order_ID]])</f>
        <v>1</v>
      </c>
      <c r="U276" s="8" t="str">
        <f>TRIM(LEFT(RawSalesTable6[[#This Row],[Customer_Info]],FIND(",",RawSalesTable6[[#This Row],[Customer_Info]])-1))</f>
        <v>Daniel Taylor</v>
      </c>
      <c r="V276" s="8" t="str">
        <f>TRIM(MID(RawSalesTable6[[#This Row],[Customer_Info]],FIND(",",RawSalesTable6[[#This Row],[Customer_Info]])+1,FIND(",",RawSalesTable6[[#This Row],[Customer_Info]],FIND(",",RawSalesTable6[[#This Row],[Customer_Info]])+1)-FIND(",",RawSalesTable6[[#This Row],[Customer_Info]])-1))</f>
        <v>Victoria</v>
      </c>
      <c r="W276" s="8" t="str">
        <f>TRIM(RIGHT(RawSalesTable6[[#This Row],[Customer_Info]],LEN(RawSalesTable6[[#This Row],[Customer_Info]])-FIND(",",RawSalesTable6[[#This Row],[Customer_Info]],FIND(",",RawSalesTable6[[#This Row],[Customer_Info]])+1)))</f>
        <v>Corporate</v>
      </c>
      <c r="X276" s="8" t="str">
        <f>VLOOKUP(RawSalesTable6[[#This Row],[Product_ID_Clean]],ProductsTable[],2,FALSE)</f>
        <v>Office Chair</v>
      </c>
      <c r="Y276" s="8" t="str">
        <f>VLOOKUP(RawSalesTable6[[#This Row],[Product_ID_Clean]],ProductsTable[],3,FALSE)</f>
        <v>Office</v>
      </c>
      <c r="Z276" s="8">
        <f>VLOOKUP(RawSalesTable6[[#This Row],[Product_ID_Clean]],ProductsTable[],5,FALSE)</f>
        <v>39.26</v>
      </c>
      <c r="AA276" s="8">
        <f>RawSalesTable6[[#This Row],[Unit_Price]]*RawSalesTable6[[#This Row],[Quantity]]</f>
        <v>254.79000000000002</v>
      </c>
      <c r="AB276" s="8">
        <f>RawSalesTable6[[#This Row],[Gross_Sales]]*RawSalesTable6[[#This Row],[Discount_Pct]]</f>
        <v>0</v>
      </c>
      <c r="AC276" s="8">
        <f>RawSalesTable6[[#This Row],[Gross_Sales]]-RawSalesTable6[[#This Row],[Discount_Amount]]</f>
        <v>254.79000000000002</v>
      </c>
      <c r="AD276" s="8">
        <f>RawSalesTable6[[#This Row],[Unit_Cost]]*RawSalesTable6[[#This Row],[Quantity]]</f>
        <v>117.78</v>
      </c>
      <c r="AE276" s="8">
        <f>RawSalesTable6[[#This Row],[Net_Sales]]-RawSalesTable6[[#This Row],[Total_Cost]]</f>
        <v>137.01000000000002</v>
      </c>
      <c r="AF276" s="9">
        <f>RawSalesTable6[[#This Row],[Profit]]/RawSalesTable6[[#This Row],[Net_Sales]]</f>
        <v>0.53773695984928771</v>
      </c>
      <c r="AG276" s="8">
        <f>YEAR(RawSalesTable6[[#This Row],[Order_Date]])</f>
        <v>2025</v>
      </c>
      <c r="AH276" s="8">
        <f>MONTH(RawSalesTable6[[#This Row],[Order_Date]])</f>
        <v>10</v>
      </c>
      <c r="AI276" s="8" t="str">
        <f>TEXT(RawSalesTable6[[#This Row],[Order_Date]],"mmmm")</f>
        <v>octobre</v>
      </c>
      <c r="AJ276" s="8" t="str">
        <f>IF(RawSalesTable6[[#This Row],[Month_Number]]&lt;=3,"Q1",IF(RawSalesTable6[[#This Row],[Month_Number]]&lt;=6,"Q2",IF(RawSalesTable6[[#This Row],[Month_Number]]&lt;=9,"Q3","Q4")))</f>
        <v>Q4</v>
      </c>
      <c r="AK276" s="8" t="str">
        <f>VLOOKUP(RawSalesTable6[[#This Row],[Customer_ID_Clean]],CustomersTable[],4,FALSE)</f>
        <v>British Columbia</v>
      </c>
      <c r="AL276" s="8">
        <f>IF(RawSalesTable6[[#This Row],[Return_Status]]="Yes",1,0)</f>
        <v>0</v>
      </c>
    </row>
    <row r="277" spans="1:38">
      <c r="A277" t="s">
        <v>679</v>
      </c>
      <c r="B277" s="3">
        <v>45660</v>
      </c>
      <c r="C277" t="s">
        <v>93</v>
      </c>
      <c r="D277" t="s">
        <v>210</v>
      </c>
      <c r="E277" t="s">
        <v>95</v>
      </c>
      <c r="F277" t="s">
        <v>145</v>
      </c>
      <c r="G277" t="s">
        <v>117</v>
      </c>
      <c r="H277" t="s">
        <v>105</v>
      </c>
      <c r="I277">
        <v>2</v>
      </c>
      <c r="J277" s="2">
        <v>300.93</v>
      </c>
      <c r="K277" s="4">
        <v>0.2</v>
      </c>
      <c r="L277" t="s">
        <v>253</v>
      </c>
      <c r="M277">
        <v>1</v>
      </c>
      <c r="N277" t="s">
        <v>91</v>
      </c>
      <c r="O277" t="str">
        <f>SUBSTITUTE(PROPER(TRIM(RawSalesTable6[[#This Row],[Channel_Raw]])),"Market Place","Marketplace")</f>
        <v>Marketplace</v>
      </c>
      <c r="P277" t="str">
        <f>TRIM(RawSalesTable6[[#This Row],[Product_ID]])</f>
        <v>P1040</v>
      </c>
      <c r="Q277" t="str">
        <f>TRIM(RawSalesTable6[[#This Row],[Customer_ID]])</f>
        <v>C0084</v>
      </c>
      <c r="R277" s="8" t="str">
        <f>PROPER(TRIM(RawSalesTable6[[#This Row],[Store_Raw]]))</f>
        <v>Calgary North</v>
      </c>
      <c r="S277" s="8" t="str">
        <f>IF(TRIM(RawSalesTable6[[#This Row],[Payment_Method_Raw]])="","Non renseigné",SUBSTITUTE(PROPER(TRIM(RawSalesTable6[[#This Row],[Payment_Method_Raw]])),"Cc","Credit Card"))</f>
        <v>Credit Card</v>
      </c>
      <c r="T277" s="8">
        <f>COUNTIF(A:A,RawSalesTable6[[#This Row],[Order_ID]])</f>
        <v>1</v>
      </c>
      <c r="U277" s="8" t="str">
        <f>TRIM(LEFT(RawSalesTable6[[#This Row],[Customer_Info]],FIND(",",RawSalesTable6[[#This Row],[Customer_Info]])-1))</f>
        <v>Ryan Clark</v>
      </c>
      <c r="V277" s="8" t="str">
        <f>TRIM(MID(RawSalesTable6[[#This Row],[Customer_Info]],FIND(",",RawSalesTable6[[#This Row],[Customer_Info]])+1,FIND(",",RawSalesTable6[[#This Row],[Customer_Info]],FIND(",",RawSalesTable6[[#This Row],[Customer_Info]])+1)-FIND(",",RawSalesTable6[[#This Row],[Customer_Info]])-1))</f>
        <v>Montreal</v>
      </c>
      <c r="W277" s="8" t="str">
        <f>TRIM(RIGHT(RawSalesTable6[[#This Row],[Customer_Info]],LEN(RawSalesTable6[[#This Row],[Customer_Info]])-FIND(",",RawSalesTable6[[#This Row],[Customer_Info]],FIND(",",RawSalesTable6[[#This Row],[Customer_Info]])+1)))</f>
        <v>Corporate</v>
      </c>
      <c r="X277" s="8" t="str">
        <f>VLOOKUP(RawSalesTable6[[#This Row],[Product_ID_Clean]],ProductsTable[],2,FALSE)</f>
        <v>Desk Pad</v>
      </c>
      <c r="Y277" s="8" t="str">
        <f>VLOOKUP(RawSalesTable6[[#This Row],[Product_ID_Clean]],ProductsTable[],3,FALSE)</f>
        <v>Accessories</v>
      </c>
      <c r="Z277" s="8">
        <f>VLOOKUP(RawSalesTable6[[#This Row],[Product_ID_Clean]],ProductsTable[],5,FALSE)</f>
        <v>177.57</v>
      </c>
      <c r="AA277" s="8">
        <f>RawSalesTable6[[#This Row],[Unit_Price]]*RawSalesTable6[[#This Row],[Quantity]]</f>
        <v>601.86</v>
      </c>
      <c r="AB277" s="8">
        <f>RawSalesTable6[[#This Row],[Gross_Sales]]*RawSalesTable6[[#This Row],[Discount_Pct]]</f>
        <v>120.37200000000001</v>
      </c>
      <c r="AC277" s="8">
        <f>RawSalesTable6[[#This Row],[Gross_Sales]]-RawSalesTable6[[#This Row],[Discount_Amount]]</f>
        <v>481.488</v>
      </c>
      <c r="AD277" s="8">
        <f>RawSalesTable6[[#This Row],[Unit_Cost]]*RawSalesTable6[[#This Row],[Quantity]]</f>
        <v>355.14</v>
      </c>
      <c r="AE277" s="8">
        <f>RawSalesTable6[[#This Row],[Net_Sales]]-RawSalesTable6[[#This Row],[Total_Cost]]</f>
        <v>126.34800000000001</v>
      </c>
      <c r="AF277" s="9">
        <f>RawSalesTable6[[#This Row],[Profit]]/RawSalesTable6[[#This Row],[Net_Sales]]</f>
        <v>0.26241152427474829</v>
      </c>
      <c r="AG277" s="8">
        <f>YEAR(RawSalesTable6[[#This Row],[Order_Date]])</f>
        <v>2025</v>
      </c>
      <c r="AH277" s="8">
        <f>MONTH(RawSalesTable6[[#This Row],[Order_Date]])</f>
        <v>1</v>
      </c>
      <c r="AI277" s="8" t="str">
        <f>TEXT(RawSalesTable6[[#This Row],[Order_Date]],"mmmm")</f>
        <v>janvier</v>
      </c>
      <c r="AJ277" s="8" t="str">
        <f>IF(RawSalesTable6[[#This Row],[Month_Number]]&lt;=3,"Q1",IF(RawSalesTable6[[#This Row],[Month_Number]]&lt;=6,"Q2",IF(RawSalesTable6[[#This Row],[Month_Number]]&lt;=9,"Q3","Q4")))</f>
        <v>Q1</v>
      </c>
      <c r="AK277" s="8" t="str">
        <f>VLOOKUP(RawSalesTable6[[#This Row],[Customer_ID_Clean]],CustomersTable[],4,FALSE)</f>
        <v>Quebec</v>
      </c>
      <c r="AL277" s="8">
        <f>IF(RawSalesTable6[[#This Row],[Return_Status]]="Yes",1,0)</f>
        <v>0</v>
      </c>
    </row>
    <row r="278" spans="1:38">
      <c r="A278" t="s">
        <v>680</v>
      </c>
      <c r="B278" s="3">
        <v>45700</v>
      </c>
      <c r="C278" t="s">
        <v>193</v>
      </c>
      <c r="D278" t="s">
        <v>277</v>
      </c>
      <c r="E278" t="s">
        <v>195</v>
      </c>
      <c r="F278" t="s">
        <v>145</v>
      </c>
      <c r="G278" t="s">
        <v>88</v>
      </c>
      <c r="H278" t="s">
        <v>89</v>
      </c>
      <c r="I278">
        <v>2</v>
      </c>
      <c r="J278" s="2">
        <v>381.2</v>
      </c>
      <c r="K278" s="4">
        <v>0</v>
      </c>
      <c r="L278" t="s">
        <v>106</v>
      </c>
      <c r="M278">
        <v>7</v>
      </c>
      <c r="N278" t="s">
        <v>91</v>
      </c>
      <c r="O278" t="str">
        <f>SUBSTITUTE(PROPER(TRIM(RawSalesTable6[[#This Row],[Channel_Raw]])),"Market Place","Marketplace")</f>
        <v>Online</v>
      </c>
      <c r="P278" t="str">
        <f>TRIM(RawSalesTable6[[#This Row],[Product_ID]])</f>
        <v>P1001</v>
      </c>
      <c r="Q278" t="str">
        <f>TRIM(RawSalesTable6[[#This Row],[Customer_ID]])</f>
        <v>C0023</v>
      </c>
      <c r="R278" s="8" t="str">
        <f>PROPER(TRIM(RawSalesTable6[[#This Row],[Store_Raw]]))</f>
        <v>Calgary North</v>
      </c>
      <c r="S278" s="8" t="str">
        <f>IF(TRIM(RawSalesTable6[[#This Row],[Payment_Method_Raw]])="","Non renseigné",SUBSTITUTE(PROPER(TRIM(RawSalesTable6[[#This Row],[Payment_Method_Raw]])),"Cc","Credit Card"))</f>
        <v>Credit Card</v>
      </c>
      <c r="T278" s="8">
        <f>COUNTIF(A:A,RawSalesTable6[[#This Row],[Order_ID]])</f>
        <v>1</v>
      </c>
      <c r="U278" s="8" t="str">
        <f>TRIM(LEFT(RawSalesTable6[[#This Row],[Customer_Info]],FIND(",",RawSalesTable6[[#This Row],[Customer_Info]])-1))</f>
        <v>Ryan Gagnon</v>
      </c>
      <c r="V278" s="8" t="str">
        <f>TRIM(MID(RawSalesTable6[[#This Row],[Customer_Info]],FIND(",",RawSalesTable6[[#This Row],[Customer_Info]])+1,FIND(",",RawSalesTable6[[#This Row],[Customer_Info]],FIND(",",RawSalesTable6[[#This Row],[Customer_Info]])+1)-FIND(",",RawSalesTable6[[#This Row],[Customer_Info]])-1))</f>
        <v>Ottawa</v>
      </c>
      <c r="W278" s="8" t="str">
        <f>TRIM(RIGHT(RawSalesTable6[[#This Row],[Customer_Info]],LEN(RawSalesTable6[[#This Row],[Customer_Info]])-FIND(",",RawSalesTable6[[#This Row],[Customer_Info]],FIND(",",RawSalesTable6[[#This Row],[Customer_Info]])+1)))</f>
        <v>Small Business</v>
      </c>
      <c r="X278" s="8" t="str">
        <f>VLOOKUP(RawSalesTable6[[#This Row],[Product_ID_Clean]],ProductsTable[],2,FALSE)</f>
        <v>Headphones</v>
      </c>
      <c r="Y278" s="8" t="str">
        <f>VLOOKUP(RawSalesTable6[[#This Row],[Product_ID_Clean]],ProductsTable[],3,FALSE)</f>
        <v>Electronics</v>
      </c>
      <c r="Z278" s="8">
        <f>VLOOKUP(RawSalesTable6[[#This Row],[Product_ID_Clean]],ProductsTable[],5,FALSE)</f>
        <v>254.6</v>
      </c>
      <c r="AA278" s="8">
        <f>RawSalesTable6[[#This Row],[Unit_Price]]*RawSalesTable6[[#This Row],[Quantity]]</f>
        <v>762.4</v>
      </c>
      <c r="AB278" s="8">
        <f>RawSalesTable6[[#This Row],[Gross_Sales]]*RawSalesTable6[[#This Row],[Discount_Pct]]</f>
        <v>0</v>
      </c>
      <c r="AC278" s="8">
        <f>RawSalesTable6[[#This Row],[Gross_Sales]]-RawSalesTable6[[#This Row],[Discount_Amount]]</f>
        <v>762.4</v>
      </c>
      <c r="AD278" s="8">
        <f>RawSalesTable6[[#This Row],[Unit_Cost]]*RawSalesTable6[[#This Row],[Quantity]]</f>
        <v>509.2</v>
      </c>
      <c r="AE278" s="8">
        <f>RawSalesTable6[[#This Row],[Net_Sales]]-RawSalesTable6[[#This Row],[Total_Cost]]</f>
        <v>253.2</v>
      </c>
      <c r="AF278" s="9">
        <f>RawSalesTable6[[#This Row],[Profit]]/RawSalesTable6[[#This Row],[Net_Sales]]</f>
        <v>0.33210912906610701</v>
      </c>
      <c r="AG278" s="8">
        <f>YEAR(RawSalesTable6[[#This Row],[Order_Date]])</f>
        <v>2025</v>
      </c>
      <c r="AH278" s="8">
        <f>MONTH(RawSalesTable6[[#This Row],[Order_Date]])</f>
        <v>2</v>
      </c>
      <c r="AI278" s="8" t="str">
        <f>TEXT(RawSalesTable6[[#This Row],[Order_Date]],"mmmm")</f>
        <v>février</v>
      </c>
      <c r="AJ278" s="8" t="str">
        <f>IF(RawSalesTable6[[#This Row],[Month_Number]]&lt;=3,"Q1",IF(RawSalesTable6[[#This Row],[Month_Number]]&lt;=6,"Q2",IF(RawSalesTable6[[#This Row],[Month_Number]]&lt;=9,"Q3","Q4")))</f>
        <v>Q1</v>
      </c>
      <c r="AK278" s="8" t="str">
        <f>VLOOKUP(RawSalesTable6[[#This Row],[Customer_ID_Clean]],CustomersTable[],4,FALSE)</f>
        <v>Ontario</v>
      </c>
      <c r="AL278" s="8">
        <f>IF(RawSalesTable6[[#This Row],[Return_Status]]="Yes",1,0)</f>
        <v>0</v>
      </c>
    </row>
    <row r="279" spans="1:38">
      <c r="A279" t="s">
        <v>681</v>
      </c>
      <c r="B279" s="3">
        <v>45758</v>
      </c>
      <c r="C279" t="s">
        <v>177</v>
      </c>
      <c r="D279" t="s">
        <v>249</v>
      </c>
      <c r="E279" t="s">
        <v>682</v>
      </c>
      <c r="F279" t="s">
        <v>111</v>
      </c>
      <c r="G279" t="s">
        <v>88</v>
      </c>
      <c r="H279" t="s">
        <v>97</v>
      </c>
      <c r="I279">
        <v>2</v>
      </c>
      <c r="J279" s="2">
        <v>405.16</v>
      </c>
      <c r="K279" s="4">
        <v>0</v>
      </c>
      <c r="L279" t="s">
        <v>106</v>
      </c>
      <c r="M279">
        <v>1</v>
      </c>
      <c r="N279" t="s">
        <v>91</v>
      </c>
      <c r="O279" t="str">
        <f>SUBSTITUTE(PROPER(TRIM(RawSalesTable6[[#This Row],[Channel_Raw]])),"Market Place","Marketplace")</f>
        <v>Retail Store</v>
      </c>
      <c r="P279" t="str">
        <f>TRIM(RawSalesTable6[[#This Row],[Product_ID]])</f>
        <v>P1022</v>
      </c>
      <c r="Q279" t="str">
        <f>TRIM(RawSalesTable6[[#This Row],[Customer_ID]])</f>
        <v>C0041</v>
      </c>
      <c r="R279" s="8" t="str">
        <f>PROPER(TRIM(RawSalesTable6[[#This Row],[Store_Raw]]))</f>
        <v>Montreal Central</v>
      </c>
      <c r="S279" s="8" t="str">
        <f>IF(TRIM(RawSalesTable6[[#This Row],[Payment_Method_Raw]])="","Non renseigné",SUBSTITUTE(PROPER(TRIM(RawSalesTable6[[#This Row],[Payment_Method_Raw]])),"Cc","Credit Card"))</f>
        <v>Credit Card</v>
      </c>
      <c r="T279" s="8">
        <f>COUNTIF(A:A,RawSalesTable6[[#This Row],[Order_ID]])</f>
        <v>1</v>
      </c>
      <c r="U279" s="8" t="str">
        <f>TRIM(LEFT(RawSalesTable6[[#This Row],[Customer_Info]],FIND(",",RawSalesTable6[[#This Row],[Customer_Info]])-1))</f>
        <v>Amine Chen</v>
      </c>
      <c r="V279" s="8" t="str">
        <f>TRIM(MID(RawSalesTable6[[#This Row],[Customer_Info]],FIND(",",RawSalesTable6[[#This Row],[Customer_Info]])+1,FIND(",",RawSalesTable6[[#This Row],[Customer_Info]],FIND(",",RawSalesTable6[[#This Row],[Customer_Info]])+1)-FIND(",",RawSalesTable6[[#This Row],[Customer_Info]])-1))</f>
        <v>Halifax</v>
      </c>
      <c r="W279" s="8" t="str">
        <f>TRIM(RIGHT(RawSalesTable6[[#This Row],[Customer_Info]],LEN(RawSalesTable6[[#This Row],[Customer_Info]])-FIND(",",RawSalesTable6[[#This Row],[Customer_Info]],FIND(",",RawSalesTable6[[#This Row],[Customer_Info]])+1)))</f>
        <v>Small Business</v>
      </c>
      <c r="X279" s="8" t="str">
        <f>VLOOKUP(RawSalesTable6[[#This Row],[Product_ID_Clean]],ProductsTable[],2,FALSE)</f>
        <v>Humidifier</v>
      </c>
      <c r="Y279" s="8" t="str">
        <f>VLOOKUP(RawSalesTable6[[#This Row],[Product_ID_Clean]],ProductsTable[],3,FALSE)</f>
        <v>Home</v>
      </c>
      <c r="Z279" s="8">
        <f>VLOOKUP(RawSalesTable6[[#This Row],[Product_ID_Clean]],ProductsTable[],5,FALSE)</f>
        <v>239.67</v>
      </c>
      <c r="AA279" s="8">
        <f>RawSalesTable6[[#This Row],[Unit_Price]]*RawSalesTable6[[#This Row],[Quantity]]</f>
        <v>810.32</v>
      </c>
      <c r="AB279" s="8">
        <f>RawSalesTable6[[#This Row],[Gross_Sales]]*RawSalesTable6[[#This Row],[Discount_Pct]]</f>
        <v>0</v>
      </c>
      <c r="AC279" s="8">
        <f>RawSalesTable6[[#This Row],[Gross_Sales]]-RawSalesTable6[[#This Row],[Discount_Amount]]</f>
        <v>810.32</v>
      </c>
      <c r="AD279" s="8">
        <f>RawSalesTable6[[#This Row],[Unit_Cost]]*RawSalesTable6[[#This Row],[Quantity]]</f>
        <v>479.34</v>
      </c>
      <c r="AE279" s="8">
        <f>RawSalesTable6[[#This Row],[Net_Sales]]-RawSalesTable6[[#This Row],[Total_Cost]]</f>
        <v>330.98000000000008</v>
      </c>
      <c r="AF279" s="9">
        <f>RawSalesTable6[[#This Row],[Profit]]/RawSalesTable6[[#This Row],[Net_Sales]]</f>
        <v>0.40845591864942254</v>
      </c>
      <c r="AG279" s="8">
        <f>YEAR(RawSalesTable6[[#This Row],[Order_Date]])</f>
        <v>2025</v>
      </c>
      <c r="AH279" s="8">
        <f>MONTH(RawSalesTable6[[#This Row],[Order_Date]])</f>
        <v>4</v>
      </c>
      <c r="AI279" s="8" t="str">
        <f>TEXT(RawSalesTable6[[#This Row],[Order_Date]],"mmmm")</f>
        <v>avril</v>
      </c>
      <c r="AJ279" s="8" t="str">
        <f>IF(RawSalesTable6[[#This Row],[Month_Number]]&lt;=3,"Q1",IF(RawSalesTable6[[#This Row],[Month_Number]]&lt;=6,"Q2",IF(RawSalesTable6[[#This Row],[Month_Number]]&lt;=9,"Q3","Q4")))</f>
        <v>Q2</v>
      </c>
      <c r="AK279" s="8" t="str">
        <f>VLOOKUP(RawSalesTable6[[#This Row],[Customer_ID_Clean]],CustomersTable[],4,FALSE)</f>
        <v>Nova Scotia</v>
      </c>
      <c r="AL279" s="8">
        <f>IF(RawSalesTable6[[#This Row],[Return_Status]]="Yes",1,0)</f>
        <v>0</v>
      </c>
    </row>
    <row r="280" spans="1:38">
      <c r="A280" t="s">
        <v>683</v>
      </c>
      <c r="B280" s="3">
        <v>45660</v>
      </c>
      <c r="C280" t="s">
        <v>209</v>
      </c>
      <c r="D280" t="s">
        <v>152</v>
      </c>
      <c r="E280" t="s">
        <v>211</v>
      </c>
      <c r="F280" t="s">
        <v>655</v>
      </c>
      <c r="G280" t="s">
        <v>130</v>
      </c>
      <c r="H280" t="s">
        <v>97</v>
      </c>
      <c r="I280">
        <v>1</v>
      </c>
      <c r="J280" s="2">
        <v>139.33000000000001</v>
      </c>
      <c r="K280" s="4">
        <v>0.05</v>
      </c>
      <c r="L280" t="s">
        <v>106</v>
      </c>
      <c r="M280">
        <v>3</v>
      </c>
      <c r="N280" t="s">
        <v>91</v>
      </c>
      <c r="O280" t="str">
        <f>SUBSTITUTE(PROPER(TRIM(RawSalesTable6[[#This Row],[Channel_Raw]])),"Market Place","Marketplace")</f>
        <v>Retail Store</v>
      </c>
      <c r="P280" t="str">
        <f>TRIM(RawSalesTable6[[#This Row],[Product_ID]])</f>
        <v>P1008</v>
      </c>
      <c r="Q280" t="str">
        <f>TRIM(RawSalesTable6[[#This Row],[Customer_ID]])</f>
        <v>C0005</v>
      </c>
      <c r="R280" s="8" t="str">
        <f>PROPER(TRIM(RawSalesTable6[[#This Row],[Store_Raw]]))</f>
        <v>Online Fulfillment</v>
      </c>
      <c r="S280" s="8" t="str">
        <f>IF(TRIM(RawSalesTable6[[#This Row],[Payment_Method_Raw]])="","Non renseigné",SUBSTITUTE(PROPER(TRIM(RawSalesTable6[[#This Row],[Payment_Method_Raw]])),"Cc","Credit Card"))</f>
        <v>Credit Card</v>
      </c>
      <c r="T280" s="8">
        <f>COUNTIF(A:A,RawSalesTable6[[#This Row],[Order_ID]])</f>
        <v>1</v>
      </c>
      <c r="U280" s="8" t="str">
        <f>TRIM(LEFT(RawSalesTable6[[#This Row],[Customer_Info]],FIND(",",RawSalesTable6[[#This Row],[Customer_Info]])-1))</f>
        <v>Yasmine Taylor</v>
      </c>
      <c r="V280" s="8" t="str">
        <f>TRIM(MID(RawSalesTable6[[#This Row],[Customer_Info]],FIND(",",RawSalesTable6[[#This Row],[Customer_Info]])+1,FIND(",",RawSalesTable6[[#This Row],[Customer_Info]],FIND(",",RawSalesTable6[[#This Row],[Customer_Info]])+1)-FIND(",",RawSalesTable6[[#This Row],[Customer_Info]])-1))</f>
        <v>Calgary</v>
      </c>
      <c r="W280" s="8" t="str">
        <f>TRIM(RIGHT(RawSalesTable6[[#This Row],[Customer_Info]],LEN(RawSalesTable6[[#This Row],[Customer_Info]])-FIND(",",RawSalesTable6[[#This Row],[Customer_Info]],FIND(",",RawSalesTable6[[#This Row],[Customer_Info]])+1)))</f>
        <v>Consumer</v>
      </c>
      <c r="X280" s="8" t="str">
        <f>VLOOKUP(RawSalesTable6[[#This Row],[Product_ID_Clean]],ProductsTable[],2,FALSE)</f>
        <v>Smart Speaker</v>
      </c>
      <c r="Y280" s="8" t="str">
        <f>VLOOKUP(RawSalesTable6[[#This Row],[Product_ID_Clean]],ProductsTable[],3,FALSE)</f>
        <v>Electronics</v>
      </c>
      <c r="Z280" s="8">
        <f>VLOOKUP(RawSalesTable6[[#This Row],[Product_ID_Clean]],ProductsTable[],5,FALSE)</f>
        <v>69</v>
      </c>
      <c r="AA280" s="8">
        <f>RawSalesTable6[[#This Row],[Unit_Price]]*RawSalesTable6[[#This Row],[Quantity]]</f>
        <v>139.33000000000001</v>
      </c>
      <c r="AB280" s="8">
        <f>RawSalesTable6[[#This Row],[Gross_Sales]]*RawSalesTable6[[#This Row],[Discount_Pct]]</f>
        <v>6.9665000000000008</v>
      </c>
      <c r="AC280" s="8">
        <f>RawSalesTable6[[#This Row],[Gross_Sales]]-RawSalesTable6[[#This Row],[Discount_Amount]]</f>
        <v>132.36350000000002</v>
      </c>
      <c r="AD280" s="8">
        <f>RawSalesTable6[[#This Row],[Unit_Cost]]*RawSalesTable6[[#This Row],[Quantity]]</f>
        <v>69</v>
      </c>
      <c r="AE280" s="8">
        <f>RawSalesTable6[[#This Row],[Net_Sales]]-RawSalesTable6[[#This Row],[Total_Cost]]</f>
        <v>63.363500000000016</v>
      </c>
      <c r="AF280" s="9">
        <f>RawSalesTable6[[#This Row],[Profit]]/RawSalesTable6[[#This Row],[Net_Sales]]</f>
        <v>0.47870825416372342</v>
      </c>
      <c r="AG280" s="8">
        <f>YEAR(RawSalesTable6[[#This Row],[Order_Date]])</f>
        <v>2025</v>
      </c>
      <c r="AH280" s="8">
        <f>MONTH(RawSalesTable6[[#This Row],[Order_Date]])</f>
        <v>1</v>
      </c>
      <c r="AI280" s="8" t="str">
        <f>TEXT(RawSalesTable6[[#This Row],[Order_Date]],"mmmm")</f>
        <v>janvier</v>
      </c>
      <c r="AJ280" s="8" t="str">
        <f>IF(RawSalesTable6[[#This Row],[Month_Number]]&lt;=3,"Q1",IF(RawSalesTable6[[#This Row],[Month_Number]]&lt;=6,"Q2",IF(RawSalesTable6[[#This Row],[Month_Number]]&lt;=9,"Q3","Q4")))</f>
        <v>Q1</v>
      </c>
      <c r="AK280" s="8" t="str">
        <f>VLOOKUP(RawSalesTable6[[#This Row],[Customer_ID_Clean]],CustomersTable[],4,FALSE)</f>
        <v>Alberta</v>
      </c>
      <c r="AL280" s="8">
        <f>IF(RawSalesTable6[[#This Row],[Return_Status]]="Yes",1,0)</f>
        <v>0</v>
      </c>
    </row>
    <row r="281" spans="1:38">
      <c r="A281" t="s">
        <v>684</v>
      </c>
      <c r="B281" s="3">
        <v>45923</v>
      </c>
      <c r="C281" t="s">
        <v>239</v>
      </c>
      <c r="D281" t="s">
        <v>303</v>
      </c>
      <c r="E281" t="s">
        <v>240</v>
      </c>
      <c r="F281" t="s">
        <v>111</v>
      </c>
      <c r="G281" t="s">
        <v>88</v>
      </c>
      <c r="H281" t="s">
        <v>97</v>
      </c>
      <c r="I281">
        <v>4</v>
      </c>
      <c r="J281" s="2">
        <v>153.82</v>
      </c>
      <c r="K281" s="4">
        <v>0</v>
      </c>
      <c r="L281" t="s">
        <v>106</v>
      </c>
      <c r="M281">
        <v>2</v>
      </c>
      <c r="N281" t="s">
        <v>91</v>
      </c>
      <c r="O281" t="str">
        <f>SUBSTITUTE(PROPER(TRIM(RawSalesTable6[[#This Row],[Channel_Raw]])),"Market Place","Marketplace")</f>
        <v>Retail Store</v>
      </c>
      <c r="P281" t="str">
        <f>TRIM(RawSalesTable6[[#This Row],[Product_ID]])</f>
        <v>P1036</v>
      </c>
      <c r="Q281" t="str">
        <f>TRIM(RawSalesTable6[[#This Row],[Customer_ID]])</f>
        <v>C0089</v>
      </c>
      <c r="R281" s="8" t="str">
        <f>PROPER(TRIM(RawSalesTable6[[#This Row],[Store_Raw]]))</f>
        <v>Montreal Central</v>
      </c>
      <c r="S281" s="8" t="str">
        <f>IF(TRIM(RawSalesTable6[[#This Row],[Payment_Method_Raw]])="","Non renseigné",SUBSTITUTE(PROPER(TRIM(RawSalesTable6[[#This Row],[Payment_Method_Raw]])),"Cc","Credit Card"))</f>
        <v>Credit Card</v>
      </c>
      <c r="T281" s="8">
        <f>COUNTIF(A:A,RawSalesTable6[[#This Row],[Order_ID]])</f>
        <v>1</v>
      </c>
      <c r="U281" s="8" t="str">
        <f>TRIM(LEFT(RawSalesTable6[[#This Row],[Customer_Info]],FIND(",",RawSalesTable6[[#This Row],[Customer_Info]])-1))</f>
        <v>Lucas Martin</v>
      </c>
      <c r="V281" s="8" t="str">
        <f>TRIM(MID(RawSalesTable6[[#This Row],[Customer_Info]],FIND(",",RawSalesTable6[[#This Row],[Customer_Info]])+1,FIND(",",RawSalesTable6[[#This Row],[Customer_Info]],FIND(",",RawSalesTable6[[#This Row],[Customer_Info]])+1)-FIND(",",RawSalesTable6[[#This Row],[Customer_Info]])-1))</f>
        <v>Vancouver</v>
      </c>
      <c r="W281" s="8" t="str">
        <f>TRIM(RIGHT(RawSalesTable6[[#This Row],[Customer_Info]],LEN(RawSalesTable6[[#This Row],[Customer_Info]])-FIND(",",RawSalesTable6[[#This Row],[Customer_Info]],FIND(",",RawSalesTable6[[#This Row],[Customer_Info]])+1)))</f>
        <v>Consumer</v>
      </c>
      <c r="X281" s="8" t="str">
        <f>VLOOKUP(RawSalesTable6[[#This Row],[Product_ID_Clean]],ProductsTable[],2,FALSE)</f>
        <v>Power Bank</v>
      </c>
      <c r="Y281" s="8" t="str">
        <f>VLOOKUP(RawSalesTable6[[#This Row],[Product_ID_Clean]],ProductsTable[],3,FALSE)</f>
        <v>Accessories</v>
      </c>
      <c r="Z281" s="8">
        <f>VLOOKUP(RawSalesTable6[[#This Row],[Product_ID_Clean]],ProductsTable[],5,FALSE)</f>
        <v>76.97</v>
      </c>
      <c r="AA281" s="8">
        <f>RawSalesTable6[[#This Row],[Unit_Price]]*RawSalesTable6[[#This Row],[Quantity]]</f>
        <v>615.28</v>
      </c>
      <c r="AB281" s="8">
        <f>RawSalesTable6[[#This Row],[Gross_Sales]]*RawSalesTable6[[#This Row],[Discount_Pct]]</f>
        <v>0</v>
      </c>
      <c r="AC281" s="8">
        <f>RawSalesTable6[[#This Row],[Gross_Sales]]-RawSalesTable6[[#This Row],[Discount_Amount]]</f>
        <v>615.28</v>
      </c>
      <c r="AD281" s="8">
        <f>RawSalesTable6[[#This Row],[Unit_Cost]]*RawSalesTable6[[#This Row],[Quantity]]</f>
        <v>307.88</v>
      </c>
      <c r="AE281" s="8">
        <f>RawSalesTable6[[#This Row],[Net_Sales]]-RawSalesTable6[[#This Row],[Total_Cost]]</f>
        <v>307.39999999999998</v>
      </c>
      <c r="AF281" s="9">
        <f>RawSalesTable6[[#This Row],[Profit]]/RawSalesTable6[[#This Row],[Net_Sales]]</f>
        <v>0.49960993368872708</v>
      </c>
      <c r="AG281" s="8">
        <f>YEAR(RawSalesTable6[[#This Row],[Order_Date]])</f>
        <v>2025</v>
      </c>
      <c r="AH281" s="8">
        <f>MONTH(RawSalesTable6[[#This Row],[Order_Date]])</f>
        <v>9</v>
      </c>
      <c r="AI281" s="8" t="str">
        <f>TEXT(RawSalesTable6[[#This Row],[Order_Date]],"mmmm")</f>
        <v>septembre</v>
      </c>
      <c r="AJ281" s="8" t="str">
        <f>IF(RawSalesTable6[[#This Row],[Month_Number]]&lt;=3,"Q1",IF(RawSalesTable6[[#This Row],[Month_Number]]&lt;=6,"Q2",IF(RawSalesTable6[[#This Row],[Month_Number]]&lt;=9,"Q3","Q4")))</f>
        <v>Q3</v>
      </c>
      <c r="AK281" s="8" t="str">
        <f>VLOOKUP(RawSalesTable6[[#This Row],[Customer_ID_Clean]],CustomersTable[],4,FALSE)</f>
        <v>British Columbia</v>
      </c>
      <c r="AL281" s="8">
        <f>IF(RawSalesTable6[[#This Row],[Return_Status]]="Yes",1,0)</f>
        <v>0</v>
      </c>
    </row>
    <row r="282" spans="1:38">
      <c r="A282" t="s">
        <v>685</v>
      </c>
      <c r="B282" s="3">
        <v>45708</v>
      </c>
      <c r="C282" t="s">
        <v>600</v>
      </c>
      <c r="D282" t="s">
        <v>255</v>
      </c>
      <c r="E282" t="s">
        <v>601</v>
      </c>
      <c r="F282" t="s">
        <v>116</v>
      </c>
      <c r="G282" t="s">
        <v>122</v>
      </c>
      <c r="H282" t="s">
        <v>89</v>
      </c>
      <c r="I282">
        <v>1</v>
      </c>
      <c r="J282" s="2">
        <v>234.76</v>
      </c>
      <c r="K282" s="4">
        <v>0.15</v>
      </c>
      <c r="L282" t="s">
        <v>90</v>
      </c>
      <c r="M282">
        <v>1</v>
      </c>
      <c r="N282" t="s">
        <v>147</v>
      </c>
      <c r="O282" t="str">
        <f>SUBSTITUTE(PROPER(TRIM(RawSalesTable6[[#This Row],[Channel_Raw]])),"Market Place","Marketplace")</f>
        <v>Online</v>
      </c>
      <c r="P282" t="str">
        <f>TRIM(RawSalesTable6[[#This Row],[Product_ID]])</f>
        <v>P1014</v>
      </c>
      <c r="Q282" t="str">
        <f>TRIM(RawSalesTable6[[#This Row],[Customer_ID]])</f>
        <v>C0109</v>
      </c>
      <c r="R282" s="8" t="str">
        <f>PROPER(TRIM(RawSalesTable6[[#This Row],[Store_Raw]]))</f>
        <v>Toronto Downtown</v>
      </c>
      <c r="S282" s="8" t="str">
        <f>IF(TRIM(RawSalesTable6[[#This Row],[Payment_Method_Raw]])="","Non renseigné",SUBSTITUTE(PROPER(TRIM(RawSalesTable6[[#This Row],[Payment_Method_Raw]])),"Cc","Credit Card"))</f>
        <v>Paypal</v>
      </c>
      <c r="T282" s="8">
        <f>COUNTIF(A:A,RawSalesTable6[[#This Row],[Order_ID]])</f>
        <v>1</v>
      </c>
      <c r="U282" s="8" t="str">
        <f>TRIM(LEFT(RawSalesTable6[[#This Row],[Customer_Info]],FIND(",",RawSalesTable6[[#This Row],[Customer_Info]])-1))</f>
        <v>Emma Wilson</v>
      </c>
      <c r="V282" s="8" t="str">
        <f>TRIM(MID(RawSalesTable6[[#This Row],[Customer_Info]],FIND(",",RawSalesTable6[[#This Row],[Customer_Info]])+1,FIND(",",RawSalesTable6[[#This Row],[Customer_Info]],FIND(",",RawSalesTable6[[#This Row],[Customer_Info]])+1)-FIND(",",RawSalesTable6[[#This Row],[Customer_Info]])-1))</f>
        <v>Victoria</v>
      </c>
      <c r="W282" s="8" t="str">
        <f>TRIM(RIGHT(RawSalesTable6[[#This Row],[Customer_Info]],LEN(RawSalesTable6[[#This Row],[Customer_Info]])-FIND(",",RawSalesTable6[[#This Row],[Customer_Info]],FIND(",",RawSalesTable6[[#This Row],[Customer_Info]])+1)))</f>
        <v>Consumer</v>
      </c>
      <c r="X282" s="8" t="str">
        <f>VLOOKUP(RawSalesTable6[[#This Row],[Product_ID_Clean]],ProductsTable[],2,FALSE)</f>
        <v>Document Shredder</v>
      </c>
      <c r="Y282" s="8" t="str">
        <f>VLOOKUP(RawSalesTable6[[#This Row],[Product_ID_Clean]],ProductsTable[],3,FALSE)</f>
        <v>Office</v>
      </c>
      <c r="Z282" s="8">
        <f>VLOOKUP(RawSalesTable6[[#This Row],[Product_ID_Clean]],ProductsTable[],5,FALSE)</f>
        <v>117.65</v>
      </c>
      <c r="AA282" s="8">
        <f>RawSalesTable6[[#This Row],[Unit_Price]]*RawSalesTable6[[#This Row],[Quantity]]</f>
        <v>234.76</v>
      </c>
      <c r="AB282" s="8">
        <f>RawSalesTable6[[#This Row],[Gross_Sales]]*RawSalesTable6[[#This Row],[Discount_Pct]]</f>
        <v>35.213999999999999</v>
      </c>
      <c r="AC282" s="8">
        <f>RawSalesTable6[[#This Row],[Gross_Sales]]-RawSalesTable6[[#This Row],[Discount_Amount]]</f>
        <v>199.54599999999999</v>
      </c>
      <c r="AD282" s="8">
        <f>RawSalesTable6[[#This Row],[Unit_Cost]]*RawSalesTable6[[#This Row],[Quantity]]</f>
        <v>117.65</v>
      </c>
      <c r="AE282" s="8">
        <f>RawSalesTable6[[#This Row],[Net_Sales]]-RawSalesTable6[[#This Row],[Total_Cost]]</f>
        <v>81.895999999999987</v>
      </c>
      <c r="AF282" s="9">
        <f>RawSalesTable6[[#This Row],[Profit]]/RawSalesTable6[[#This Row],[Net_Sales]]</f>
        <v>0.41041163441011091</v>
      </c>
      <c r="AG282" s="8">
        <f>YEAR(RawSalesTable6[[#This Row],[Order_Date]])</f>
        <v>2025</v>
      </c>
      <c r="AH282" s="8">
        <f>MONTH(RawSalesTable6[[#This Row],[Order_Date]])</f>
        <v>2</v>
      </c>
      <c r="AI282" s="8" t="str">
        <f>TEXT(RawSalesTable6[[#This Row],[Order_Date]],"mmmm")</f>
        <v>février</v>
      </c>
      <c r="AJ282" s="8" t="str">
        <f>IF(RawSalesTable6[[#This Row],[Month_Number]]&lt;=3,"Q1",IF(RawSalesTable6[[#This Row],[Month_Number]]&lt;=6,"Q2",IF(RawSalesTable6[[#This Row],[Month_Number]]&lt;=9,"Q3","Q4")))</f>
        <v>Q1</v>
      </c>
      <c r="AK282" s="8" t="str">
        <f>VLOOKUP(RawSalesTable6[[#This Row],[Customer_ID_Clean]],CustomersTable[],4,FALSE)</f>
        <v>British Columbia</v>
      </c>
      <c r="AL282" s="8">
        <f>IF(RawSalesTable6[[#This Row],[Return_Status]]="Yes",1,0)</f>
        <v>1</v>
      </c>
    </row>
    <row r="283" spans="1:38">
      <c r="A283" t="s">
        <v>686</v>
      </c>
      <c r="B283" s="3">
        <v>45682</v>
      </c>
      <c r="C283" t="s">
        <v>374</v>
      </c>
      <c r="D283" t="s">
        <v>323</v>
      </c>
      <c r="E283" t="s">
        <v>375</v>
      </c>
      <c r="F283" t="s">
        <v>145</v>
      </c>
      <c r="G283" t="s">
        <v>96</v>
      </c>
      <c r="H283" t="s">
        <v>308</v>
      </c>
      <c r="I283">
        <v>1</v>
      </c>
      <c r="J283" s="2">
        <v>337.81</v>
      </c>
      <c r="K283" s="4">
        <v>0.1</v>
      </c>
      <c r="L283" t="s">
        <v>521</v>
      </c>
      <c r="M283">
        <v>5</v>
      </c>
      <c r="N283" t="s">
        <v>147</v>
      </c>
      <c r="O283" t="str">
        <f>SUBSTITUTE(PROPER(TRIM(RawSalesTable6[[#This Row],[Channel_Raw]])),"Market Place","Marketplace")</f>
        <v>Online</v>
      </c>
      <c r="P283" t="str">
        <f>TRIM(RawSalesTable6[[#This Row],[Product_ID]])</f>
        <v>P1023</v>
      </c>
      <c r="Q283" t="str">
        <f>TRIM(RawSalesTable6[[#This Row],[Customer_ID]])</f>
        <v>C0035</v>
      </c>
      <c r="R283" s="8" t="str">
        <f>PROPER(TRIM(RawSalesTable6[[#This Row],[Store_Raw]]))</f>
        <v>Calgary North</v>
      </c>
      <c r="S283" s="8" t="str">
        <f>IF(TRIM(RawSalesTable6[[#This Row],[Payment_Method_Raw]])="","Non renseigné",SUBSTITUTE(PROPER(TRIM(RawSalesTable6[[#This Row],[Payment_Method_Raw]])),"Cc","Credit Card"))</f>
        <v>Debit Card</v>
      </c>
      <c r="T283" s="8">
        <f>COUNTIF(A:A,RawSalesTable6[[#This Row],[Order_ID]])</f>
        <v>1</v>
      </c>
      <c r="U283" s="8" t="str">
        <f>TRIM(LEFT(RawSalesTable6[[#This Row],[Customer_Info]],FIND(",",RawSalesTable6[[#This Row],[Customer_Info]])-1))</f>
        <v>Amelia Scott</v>
      </c>
      <c r="V283" s="8" t="str">
        <f>TRIM(MID(RawSalesTable6[[#This Row],[Customer_Info]],FIND(",",RawSalesTable6[[#This Row],[Customer_Info]])+1,FIND(",",RawSalesTable6[[#This Row],[Customer_Info]],FIND(",",RawSalesTable6[[#This Row],[Customer_Info]])+1)-FIND(",",RawSalesTable6[[#This Row],[Customer_Info]])-1))</f>
        <v>Edmonton</v>
      </c>
      <c r="W283" s="8" t="str">
        <f>TRIM(RIGHT(RawSalesTable6[[#This Row],[Customer_Info]],LEN(RawSalesTable6[[#This Row],[Customer_Info]])-FIND(",",RawSalesTable6[[#This Row],[Customer_Info]],FIND(",",RawSalesTable6[[#This Row],[Customer_Info]])+1)))</f>
        <v>Small Business</v>
      </c>
      <c r="X283" s="8" t="str">
        <f>VLOOKUP(RawSalesTable6[[#This Row],[Product_ID_Clean]],ProductsTable[],2,FALSE)</f>
        <v>Toaster</v>
      </c>
      <c r="Y283" s="8" t="str">
        <f>VLOOKUP(RawSalesTable6[[#This Row],[Product_ID_Clean]],ProductsTable[],3,FALSE)</f>
        <v>Home</v>
      </c>
      <c r="Z283" s="8">
        <f>VLOOKUP(RawSalesTable6[[#This Row],[Product_ID_Clean]],ProductsTable[],5,FALSE)</f>
        <v>152.88</v>
      </c>
      <c r="AA283" s="8">
        <f>RawSalesTable6[[#This Row],[Unit_Price]]*RawSalesTable6[[#This Row],[Quantity]]</f>
        <v>337.81</v>
      </c>
      <c r="AB283" s="8">
        <f>RawSalesTable6[[#This Row],[Gross_Sales]]*RawSalesTable6[[#This Row],[Discount_Pct]]</f>
        <v>33.780999999999999</v>
      </c>
      <c r="AC283" s="8">
        <f>RawSalesTable6[[#This Row],[Gross_Sales]]-RawSalesTable6[[#This Row],[Discount_Amount]]</f>
        <v>304.029</v>
      </c>
      <c r="AD283" s="8">
        <f>RawSalesTable6[[#This Row],[Unit_Cost]]*RawSalesTable6[[#This Row],[Quantity]]</f>
        <v>152.88</v>
      </c>
      <c r="AE283" s="8">
        <f>RawSalesTable6[[#This Row],[Net_Sales]]-RawSalesTable6[[#This Row],[Total_Cost]]</f>
        <v>151.149</v>
      </c>
      <c r="AF283" s="9">
        <f>RawSalesTable6[[#This Row],[Profit]]/RawSalesTable6[[#This Row],[Net_Sales]]</f>
        <v>0.49715323209299112</v>
      </c>
      <c r="AG283" s="8">
        <f>YEAR(RawSalesTable6[[#This Row],[Order_Date]])</f>
        <v>2025</v>
      </c>
      <c r="AH283" s="8">
        <f>MONTH(RawSalesTable6[[#This Row],[Order_Date]])</f>
        <v>1</v>
      </c>
      <c r="AI283" s="8" t="str">
        <f>TEXT(RawSalesTable6[[#This Row],[Order_Date]],"mmmm")</f>
        <v>janvier</v>
      </c>
      <c r="AJ283" s="8" t="str">
        <f>IF(RawSalesTable6[[#This Row],[Month_Number]]&lt;=3,"Q1",IF(RawSalesTable6[[#This Row],[Month_Number]]&lt;=6,"Q2",IF(RawSalesTable6[[#This Row],[Month_Number]]&lt;=9,"Q3","Q4")))</f>
        <v>Q1</v>
      </c>
      <c r="AK283" s="8" t="str">
        <f>VLOOKUP(RawSalesTable6[[#This Row],[Customer_ID_Clean]],CustomersTable[],4,FALSE)</f>
        <v>Alberta</v>
      </c>
      <c r="AL283" s="8">
        <f>IF(RawSalesTable6[[#This Row],[Return_Status]]="Yes",1,0)</f>
        <v>1</v>
      </c>
    </row>
    <row r="284" spans="1:38">
      <c r="A284" t="s">
        <v>687</v>
      </c>
      <c r="B284" s="3">
        <v>45872</v>
      </c>
      <c r="C284" t="s">
        <v>463</v>
      </c>
      <c r="D284" t="s">
        <v>181</v>
      </c>
      <c r="E284" t="s">
        <v>464</v>
      </c>
      <c r="F284" t="s">
        <v>145</v>
      </c>
      <c r="G284" t="s">
        <v>171</v>
      </c>
      <c r="H284" t="s">
        <v>105</v>
      </c>
      <c r="I284">
        <v>3</v>
      </c>
      <c r="J284" s="2">
        <v>359.35</v>
      </c>
      <c r="K284" s="4">
        <v>0.2</v>
      </c>
      <c r="L284" t="s">
        <v>106</v>
      </c>
      <c r="M284">
        <v>2</v>
      </c>
      <c r="N284" t="s">
        <v>91</v>
      </c>
      <c r="O284" t="str">
        <f>SUBSTITUTE(PROPER(TRIM(RawSalesTable6[[#This Row],[Channel_Raw]])),"Market Place","Marketplace")</f>
        <v>Marketplace</v>
      </c>
      <c r="P284" t="str">
        <f>TRIM(RawSalesTable6[[#This Row],[Product_ID]])</f>
        <v>P1007</v>
      </c>
      <c r="Q284" t="str">
        <f>TRIM(RawSalesTable6[[#This Row],[Customer_ID]])</f>
        <v>C0030</v>
      </c>
      <c r="R284" s="8" t="str">
        <f>PROPER(TRIM(RawSalesTable6[[#This Row],[Store_Raw]]))</f>
        <v>Calgary North</v>
      </c>
      <c r="S284" s="8" t="str">
        <f>IF(TRIM(RawSalesTable6[[#This Row],[Payment_Method_Raw]])="","Non renseigné",SUBSTITUTE(PROPER(TRIM(RawSalesTable6[[#This Row],[Payment_Method_Raw]])),"Cc","Credit Card"))</f>
        <v>Credit Card</v>
      </c>
      <c r="T284" s="8">
        <f>COUNTIF(A:A,RawSalesTable6[[#This Row],[Order_ID]])</f>
        <v>1</v>
      </c>
      <c r="U284" s="8" t="str">
        <f>TRIM(LEFT(RawSalesTable6[[#This Row],[Customer_Info]],FIND(",",RawSalesTable6[[#This Row],[Customer_Info]])-1))</f>
        <v>Emma Lee</v>
      </c>
      <c r="V284" s="8" t="str">
        <f>TRIM(MID(RawSalesTable6[[#This Row],[Customer_Info]],FIND(",",RawSalesTable6[[#This Row],[Customer_Info]])+1,FIND(",",RawSalesTable6[[#This Row],[Customer_Info]],FIND(",",RawSalesTable6[[#This Row],[Customer_Info]])+1)-FIND(",",RawSalesTable6[[#This Row],[Customer_Info]])-1))</f>
        <v>Calgary</v>
      </c>
      <c r="W284" s="8" t="str">
        <f>TRIM(RIGHT(RawSalesTable6[[#This Row],[Customer_Info]],LEN(RawSalesTable6[[#This Row],[Customer_Info]])-FIND(",",RawSalesTable6[[#This Row],[Customer_Info]],FIND(",",RawSalesTable6[[#This Row],[Customer_Info]])+1)))</f>
        <v>Corporate</v>
      </c>
      <c r="X284" s="8" t="str">
        <f>VLOOKUP(RawSalesTable6[[#This Row],[Product_ID_Clean]],ProductsTable[],2,FALSE)</f>
        <v>Monitor</v>
      </c>
      <c r="Y284" s="8" t="str">
        <f>VLOOKUP(RawSalesTable6[[#This Row],[Product_ID_Clean]],ProductsTable[],3,FALSE)</f>
        <v>Electronics</v>
      </c>
      <c r="Z284" s="8">
        <f>VLOOKUP(RawSalesTable6[[#This Row],[Product_ID_Clean]],ProductsTable[],5,FALSE)</f>
        <v>224.47</v>
      </c>
      <c r="AA284" s="8">
        <f>RawSalesTable6[[#This Row],[Unit_Price]]*RawSalesTable6[[#This Row],[Quantity]]</f>
        <v>1078.0500000000002</v>
      </c>
      <c r="AB284" s="8">
        <f>RawSalesTable6[[#This Row],[Gross_Sales]]*RawSalesTable6[[#This Row],[Discount_Pct]]</f>
        <v>215.61000000000004</v>
      </c>
      <c r="AC284" s="8">
        <f>RawSalesTable6[[#This Row],[Gross_Sales]]-RawSalesTable6[[#This Row],[Discount_Amount]]</f>
        <v>862.44000000000017</v>
      </c>
      <c r="AD284" s="8">
        <f>RawSalesTable6[[#This Row],[Unit_Cost]]*RawSalesTable6[[#This Row],[Quantity]]</f>
        <v>673.41</v>
      </c>
      <c r="AE284" s="8">
        <f>RawSalesTable6[[#This Row],[Net_Sales]]-RawSalesTable6[[#This Row],[Total_Cost]]</f>
        <v>189.0300000000002</v>
      </c>
      <c r="AF284" s="9">
        <f>RawSalesTable6[[#This Row],[Profit]]/RawSalesTable6[[#This Row],[Net_Sales]]</f>
        <v>0.21918046472798128</v>
      </c>
      <c r="AG284" s="8">
        <f>YEAR(RawSalesTable6[[#This Row],[Order_Date]])</f>
        <v>2025</v>
      </c>
      <c r="AH284" s="8">
        <f>MONTH(RawSalesTable6[[#This Row],[Order_Date]])</f>
        <v>8</v>
      </c>
      <c r="AI284" s="8" t="str">
        <f>TEXT(RawSalesTable6[[#This Row],[Order_Date]],"mmmm")</f>
        <v>août</v>
      </c>
      <c r="AJ284" s="8" t="str">
        <f>IF(RawSalesTable6[[#This Row],[Month_Number]]&lt;=3,"Q1",IF(RawSalesTable6[[#This Row],[Month_Number]]&lt;=6,"Q2",IF(RawSalesTable6[[#This Row],[Month_Number]]&lt;=9,"Q3","Q4")))</f>
        <v>Q3</v>
      </c>
      <c r="AK284" s="8" t="str">
        <f>VLOOKUP(RawSalesTable6[[#This Row],[Customer_ID_Clean]],CustomersTable[],4,FALSE)</f>
        <v>Alberta</v>
      </c>
      <c r="AL284" s="8">
        <f>IF(RawSalesTable6[[#This Row],[Return_Status]]="Yes",1,0)</f>
        <v>0</v>
      </c>
    </row>
    <row r="285" spans="1:38">
      <c r="A285" t="s">
        <v>688</v>
      </c>
      <c r="B285" s="3">
        <v>45879</v>
      </c>
      <c r="C285" t="s">
        <v>480</v>
      </c>
      <c r="D285" t="s">
        <v>133</v>
      </c>
      <c r="E285" t="s">
        <v>481</v>
      </c>
      <c r="F285" t="s">
        <v>103</v>
      </c>
      <c r="G285" t="s">
        <v>117</v>
      </c>
      <c r="H285" t="s">
        <v>228</v>
      </c>
      <c r="I285">
        <v>2</v>
      </c>
      <c r="J285" s="2">
        <v>331.42</v>
      </c>
      <c r="K285" s="4">
        <v>0</v>
      </c>
      <c r="L285" t="s">
        <v>432</v>
      </c>
      <c r="M285">
        <v>7</v>
      </c>
      <c r="N285" t="s">
        <v>91</v>
      </c>
      <c r="O285" t="str">
        <f>SUBSTITUTE(PROPER(TRIM(RawSalesTable6[[#This Row],[Channel_Raw]])),"Market Place","Marketplace")</f>
        <v>Online</v>
      </c>
      <c r="P285" t="str">
        <f>TRIM(RawSalesTable6[[#This Row],[Product_ID]])</f>
        <v>P1039</v>
      </c>
      <c r="Q285" t="str">
        <f>TRIM(RawSalesTable6[[#This Row],[Customer_ID]])</f>
        <v>C0053</v>
      </c>
      <c r="R285" s="8" t="str">
        <f>PROPER(TRIM(RawSalesTable6[[#This Row],[Store_Raw]]))</f>
        <v>Vancouver West</v>
      </c>
      <c r="S285" s="8" t="str">
        <f>IF(TRIM(RawSalesTable6[[#This Row],[Payment_Method_Raw]])="","Non renseigné",SUBSTITUTE(PROPER(TRIM(RawSalesTable6[[#This Row],[Payment_Method_Raw]])),"Cc","Credit Card"))</f>
        <v>Paypal</v>
      </c>
      <c r="T285" s="8">
        <f>COUNTIF(A:A,RawSalesTable6[[#This Row],[Order_ID]])</f>
        <v>1</v>
      </c>
      <c r="U285" s="8" t="str">
        <f>TRIM(LEFT(RawSalesTable6[[#This Row],[Customer_Info]],FIND(",",RawSalesTable6[[#This Row],[Customer_Info]])-1))</f>
        <v>Ryan Lee</v>
      </c>
      <c r="V285" s="8" t="str">
        <f>TRIM(MID(RawSalesTable6[[#This Row],[Customer_Info]],FIND(",",RawSalesTable6[[#This Row],[Customer_Info]])+1,FIND(",",RawSalesTable6[[#This Row],[Customer_Info]],FIND(",",RawSalesTable6[[#This Row],[Customer_Info]])+1)-FIND(",",RawSalesTable6[[#This Row],[Customer_Info]])-1))</f>
        <v>Laval</v>
      </c>
      <c r="W285" s="8" t="str">
        <f>TRIM(RIGHT(RawSalesTable6[[#This Row],[Customer_Info]],LEN(RawSalesTable6[[#This Row],[Customer_Info]])-FIND(",",RawSalesTable6[[#This Row],[Customer_Info]],FIND(",",RawSalesTable6[[#This Row],[Customer_Info]])+1)))</f>
        <v>Consumer</v>
      </c>
      <c r="X285" s="8" t="str">
        <f>VLOOKUP(RawSalesTable6[[#This Row],[Product_ID_Clean]],ProductsTable[],2,FALSE)</f>
        <v>Travel Adapter</v>
      </c>
      <c r="Y285" s="8" t="str">
        <f>VLOOKUP(RawSalesTable6[[#This Row],[Product_ID_Clean]],ProductsTable[],3,FALSE)</f>
        <v>Accessories</v>
      </c>
      <c r="Z285" s="8">
        <f>VLOOKUP(RawSalesTable6[[#This Row],[Product_ID_Clean]],ProductsTable[],5,FALSE)</f>
        <v>229.86</v>
      </c>
      <c r="AA285" s="8">
        <f>RawSalesTable6[[#This Row],[Unit_Price]]*RawSalesTable6[[#This Row],[Quantity]]</f>
        <v>662.84</v>
      </c>
      <c r="AB285" s="8">
        <f>RawSalesTable6[[#This Row],[Gross_Sales]]*RawSalesTable6[[#This Row],[Discount_Pct]]</f>
        <v>0</v>
      </c>
      <c r="AC285" s="8">
        <f>RawSalesTable6[[#This Row],[Gross_Sales]]-RawSalesTable6[[#This Row],[Discount_Amount]]</f>
        <v>662.84</v>
      </c>
      <c r="AD285" s="8">
        <f>RawSalesTable6[[#This Row],[Unit_Cost]]*RawSalesTable6[[#This Row],[Quantity]]</f>
        <v>459.72</v>
      </c>
      <c r="AE285" s="8">
        <f>RawSalesTable6[[#This Row],[Net_Sales]]-RawSalesTable6[[#This Row],[Total_Cost]]</f>
        <v>203.12</v>
      </c>
      <c r="AF285" s="9">
        <f>RawSalesTable6[[#This Row],[Profit]]/RawSalesTable6[[#This Row],[Net_Sales]]</f>
        <v>0.30643895962826623</v>
      </c>
      <c r="AG285" s="8">
        <f>YEAR(RawSalesTable6[[#This Row],[Order_Date]])</f>
        <v>2025</v>
      </c>
      <c r="AH285" s="8">
        <f>MONTH(RawSalesTable6[[#This Row],[Order_Date]])</f>
        <v>8</v>
      </c>
      <c r="AI285" s="8" t="str">
        <f>TEXT(RawSalesTable6[[#This Row],[Order_Date]],"mmmm")</f>
        <v>août</v>
      </c>
      <c r="AJ285" s="8" t="str">
        <f>IF(RawSalesTable6[[#This Row],[Month_Number]]&lt;=3,"Q1",IF(RawSalesTable6[[#This Row],[Month_Number]]&lt;=6,"Q2",IF(RawSalesTable6[[#This Row],[Month_Number]]&lt;=9,"Q3","Q4")))</f>
        <v>Q3</v>
      </c>
      <c r="AK285" s="8" t="str">
        <f>VLOOKUP(RawSalesTable6[[#This Row],[Customer_ID_Clean]],CustomersTable[],4,FALSE)</f>
        <v>Quebec</v>
      </c>
      <c r="AL285" s="8">
        <f>IF(RawSalesTable6[[#This Row],[Return_Status]]="Yes",1,0)</f>
        <v>0</v>
      </c>
    </row>
    <row r="286" spans="1:38">
      <c r="A286" t="s">
        <v>689</v>
      </c>
      <c r="B286" s="3">
        <v>45845</v>
      </c>
      <c r="C286" t="s">
        <v>675</v>
      </c>
      <c r="D286" t="s">
        <v>85</v>
      </c>
      <c r="E286" t="s">
        <v>676</v>
      </c>
      <c r="F286" t="s">
        <v>87</v>
      </c>
      <c r="G286" t="s">
        <v>117</v>
      </c>
      <c r="H286" t="s">
        <v>97</v>
      </c>
      <c r="I286">
        <v>1</v>
      </c>
      <c r="J286" s="2">
        <v>307.8</v>
      </c>
      <c r="K286" s="4">
        <v>0</v>
      </c>
      <c r="L286" t="s">
        <v>90</v>
      </c>
      <c r="M286">
        <v>1</v>
      </c>
      <c r="N286" t="s">
        <v>91</v>
      </c>
      <c r="O286" t="str">
        <f>SUBSTITUTE(PROPER(TRIM(RawSalesTable6[[#This Row],[Channel_Raw]])),"Market Place","Marketplace")</f>
        <v>Retail Store</v>
      </c>
      <c r="P286" t="str">
        <f>TRIM(RawSalesTable6[[#This Row],[Product_ID]])</f>
        <v>P1025</v>
      </c>
      <c r="Q286" t="str">
        <f>TRIM(RawSalesTable6[[#This Row],[Customer_ID]])</f>
        <v>C0101</v>
      </c>
      <c r="R286" s="8" t="str">
        <f>PROPER(TRIM(RawSalesTable6[[#This Row],[Store_Raw]]))</f>
        <v>Online Fulfillment</v>
      </c>
      <c r="S286" s="8" t="str">
        <f>IF(TRIM(RawSalesTable6[[#This Row],[Payment_Method_Raw]])="","Non renseigné",SUBSTITUTE(PROPER(TRIM(RawSalesTable6[[#This Row],[Payment_Method_Raw]])),"Cc","Credit Card"))</f>
        <v>Paypal</v>
      </c>
      <c r="T286" s="8">
        <f>COUNTIF(A:A,RawSalesTable6[[#This Row],[Order_ID]])</f>
        <v>1</v>
      </c>
      <c r="U286" s="8" t="str">
        <f>TRIM(LEFT(RawSalesTable6[[#This Row],[Customer_Info]],FIND(",",RawSalesTable6[[#This Row],[Customer_Info]])-1))</f>
        <v>Noah Martin</v>
      </c>
      <c r="V286" s="8" t="str">
        <f>TRIM(MID(RawSalesTable6[[#This Row],[Customer_Info]],FIND(",",RawSalesTable6[[#This Row],[Customer_Info]])+1,FIND(",",RawSalesTable6[[#This Row],[Customer_Info]],FIND(",",RawSalesTable6[[#This Row],[Customer_Info]])+1)-FIND(",",RawSalesTable6[[#This Row],[Customer_Info]])-1))</f>
        <v>Saskatoon</v>
      </c>
      <c r="W286" s="8" t="str">
        <f>TRIM(RIGHT(RawSalesTable6[[#This Row],[Customer_Info]],LEN(RawSalesTable6[[#This Row],[Customer_Info]])-FIND(",",RawSalesTable6[[#This Row],[Customer_Info]],FIND(",",RawSalesTable6[[#This Row],[Customer_Info]])+1)))</f>
        <v>Small Business</v>
      </c>
      <c r="X286" s="8" t="str">
        <f>VLOOKUP(RawSalesTable6[[#This Row],[Product_ID_Clean]],ProductsTable[],2,FALSE)</f>
        <v>Yoga Mat</v>
      </c>
      <c r="Y286" s="8" t="str">
        <f>VLOOKUP(RawSalesTable6[[#This Row],[Product_ID_Clean]],ProductsTable[],3,FALSE)</f>
        <v>Fitness</v>
      </c>
      <c r="Z286" s="8">
        <f>VLOOKUP(RawSalesTable6[[#This Row],[Product_ID_Clean]],ProductsTable[],5,FALSE)</f>
        <v>197.33</v>
      </c>
      <c r="AA286" s="8">
        <f>RawSalesTable6[[#This Row],[Unit_Price]]*RawSalesTable6[[#This Row],[Quantity]]</f>
        <v>307.8</v>
      </c>
      <c r="AB286" s="8">
        <f>RawSalesTable6[[#This Row],[Gross_Sales]]*RawSalesTable6[[#This Row],[Discount_Pct]]</f>
        <v>0</v>
      </c>
      <c r="AC286" s="8">
        <f>RawSalesTable6[[#This Row],[Gross_Sales]]-RawSalesTable6[[#This Row],[Discount_Amount]]</f>
        <v>307.8</v>
      </c>
      <c r="AD286" s="8">
        <f>RawSalesTable6[[#This Row],[Unit_Cost]]*RawSalesTable6[[#This Row],[Quantity]]</f>
        <v>197.33</v>
      </c>
      <c r="AE286" s="8">
        <f>RawSalesTable6[[#This Row],[Net_Sales]]-RawSalesTable6[[#This Row],[Total_Cost]]</f>
        <v>110.47</v>
      </c>
      <c r="AF286" s="9">
        <f>RawSalesTable6[[#This Row],[Profit]]/RawSalesTable6[[#This Row],[Net_Sales]]</f>
        <v>0.35890188434048081</v>
      </c>
      <c r="AG286" s="8">
        <f>YEAR(RawSalesTable6[[#This Row],[Order_Date]])</f>
        <v>2025</v>
      </c>
      <c r="AH286" s="8">
        <f>MONTH(RawSalesTable6[[#This Row],[Order_Date]])</f>
        <v>7</v>
      </c>
      <c r="AI286" s="8" t="str">
        <f>TEXT(RawSalesTable6[[#This Row],[Order_Date]],"mmmm")</f>
        <v>juillet</v>
      </c>
      <c r="AJ286" s="8" t="str">
        <f>IF(RawSalesTable6[[#This Row],[Month_Number]]&lt;=3,"Q1",IF(RawSalesTable6[[#This Row],[Month_Number]]&lt;=6,"Q2",IF(RawSalesTable6[[#This Row],[Month_Number]]&lt;=9,"Q3","Q4")))</f>
        <v>Q3</v>
      </c>
      <c r="AK286" s="8" t="str">
        <f>VLOOKUP(RawSalesTable6[[#This Row],[Customer_ID_Clean]],CustomersTable[],4,FALSE)</f>
        <v>Saskatchewan</v>
      </c>
      <c r="AL286" s="8">
        <f>IF(RawSalesTable6[[#This Row],[Return_Status]]="Yes",1,0)</f>
        <v>0</v>
      </c>
    </row>
    <row r="287" spans="1:38">
      <c r="A287" t="s">
        <v>690</v>
      </c>
      <c r="B287" s="3">
        <v>45969</v>
      </c>
      <c r="C287" t="s">
        <v>356</v>
      </c>
      <c r="D287" t="s">
        <v>194</v>
      </c>
      <c r="E287" t="s">
        <v>357</v>
      </c>
      <c r="F287" t="s">
        <v>145</v>
      </c>
      <c r="G287" t="s">
        <v>96</v>
      </c>
      <c r="H287" t="s">
        <v>89</v>
      </c>
      <c r="I287">
        <v>3</v>
      </c>
      <c r="J287" s="2">
        <v>194.83</v>
      </c>
      <c r="K287" s="4">
        <v>0</v>
      </c>
      <c r="L287" t="s">
        <v>106</v>
      </c>
      <c r="M287">
        <v>1</v>
      </c>
      <c r="N287" t="s">
        <v>91</v>
      </c>
      <c r="O287" t="str">
        <f>SUBSTITUTE(PROPER(TRIM(RawSalesTable6[[#This Row],[Channel_Raw]])),"Market Place","Marketplace")</f>
        <v>Online</v>
      </c>
      <c r="P287" t="str">
        <f>TRIM(RawSalesTable6[[#This Row],[Product_ID]])</f>
        <v>P1029</v>
      </c>
      <c r="Q287" t="str">
        <f>TRIM(RawSalesTable6[[#This Row],[Customer_ID]])</f>
        <v>C0008</v>
      </c>
      <c r="R287" s="8" t="str">
        <f>PROPER(TRIM(RawSalesTable6[[#This Row],[Store_Raw]]))</f>
        <v>Calgary North</v>
      </c>
      <c r="S287" s="8" t="str">
        <f>IF(TRIM(RawSalesTable6[[#This Row],[Payment_Method_Raw]])="","Non renseigné",SUBSTITUTE(PROPER(TRIM(RawSalesTable6[[#This Row],[Payment_Method_Raw]])),"Cc","Credit Card"))</f>
        <v>Credit Card</v>
      </c>
      <c r="T287" s="8">
        <f>COUNTIF(A:A,RawSalesTable6[[#This Row],[Order_ID]])</f>
        <v>1</v>
      </c>
      <c r="U287" s="8" t="str">
        <f>TRIM(LEFT(RawSalesTable6[[#This Row],[Customer_Info]],FIND(",",RawSalesTable6[[#This Row],[Customer_Info]])-1))</f>
        <v>Mia Wilson</v>
      </c>
      <c r="V287" s="8" t="str">
        <f>TRIM(MID(RawSalesTable6[[#This Row],[Customer_Info]],FIND(",",RawSalesTable6[[#This Row],[Customer_Info]])+1,FIND(",",RawSalesTable6[[#This Row],[Customer_Info]],FIND(",",RawSalesTable6[[#This Row],[Customer_Info]])+1)-FIND(",",RawSalesTable6[[#This Row],[Customer_Info]])-1))</f>
        <v>Calgary</v>
      </c>
      <c r="W287" s="8" t="str">
        <f>TRIM(RIGHT(RawSalesTable6[[#This Row],[Customer_Info]],LEN(RawSalesTable6[[#This Row],[Customer_Info]])-FIND(",",RawSalesTable6[[#This Row],[Customer_Info]],FIND(",",RawSalesTable6[[#This Row],[Customer_Info]])+1)))</f>
        <v>Consumer</v>
      </c>
      <c r="X287" s="8" t="str">
        <f>VLOOKUP(RawSalesTable6[[#This Row],[Product_ID_Clean]],ProductsTable[],2,FALSE)</f>
        <v>Jump Rope</v>
      </c>
      <c r="Y287" s="8" t="str">
        <f>VLOOKUP(RawSalesTable6[[#This Row],[Product_ID_Clean]],ProductsTable[],3,FALSE)</f>
        <v>Fitness</v>
      </c>
      <c r="Z287" s="8">
        <f>VLOOKUP(RawSalesTable6[[#This Row],[Product_ID_Clean]],ProductsTable[],5,FALSE)</f>
        <v>101</v>
      </c>
      <c r="AA287" s="8">
        <f>RawSalesTable6[[#This Row],[Unit_Price]]*RawSalesTable6[[#This Row],[Quantity]]</f>
        <v>584.49</v>
      </c>
      <c r="AB287" s="8">
        <f>RawSalesTable6[[#This Row],[Gross_Sales]]*RawSalesTable6[[#This Row],[Discount_Pct]]</f>
        <v>0</v>
      </c>
      <c r="AC287" s="8">
        <f>RawSalesTable6[[#This Row],[Gross_Sales]]-RawSalesTable6[[#This Row],[Discount_Amount]]</f>
        <v>584.49</v>
      </c>
      <c r="AD287" s="8">
        <f>RawSalesTable6[[#This Row],[Unit_Cost]]*RawSalesTable6[[#This Row],[Quantity]]</f>
        <v>303</v>
      </c>
      <c r="AE287" s="8">
        <f>RawSalesTable6[[#This Row],[Net_Sales]]-RawSalesTable6[[#This Row],[Total_Cost]]</f>
        <v>281.49</v>
      </c>
      <c r="AF287" s="9">
        <f>RawSalesTable6[[#This Row],[Profit]]/RawSalesTable6[[#This Row],[Net_Sales]]</f>
        <v>0.4815993430169892</v>
      </c>
      <c r="AG287" s="8">
        <f>YEAR(RawSalesTable6[[#This Row],[Order_Date]])</f>
        <v>2025</v>
      </c>
      <c r="AH287" s="8">
        <f>MONTH(RawSalesTable6[[#This Row],[Order_Date]])</f>
        <v>11</v>
      </c>
      <c r="AI287" s="8" t="str">
        <f>TEXT(RawSalesTable6[[#This Row],[Order_Date]],"mmmm")</f>
        <v>novembre</v>
      </c>
      <c r="AJ287" s="8" t="str">
        <f>IF(RawSalesTable6[[#This Row],[Month_Number]]&lt;=3,"Q1",IF(RawSalesTable6[[#This Row],[Month_Number]]&lt;=6,"Q2",IF(RawSalesTable6[[#This Row],[Month_Number]]&lt;=9,"Q3","Q4")))</f>
        <v>Q4</v>
      </c>
      <c r="AK287" s="8" t="str">
        <f>VLOOKUP(RawSalesTable6[[#This Row],[Customer_ID_Clean]],CustomersTable[],4,FALSE)</f>
        <v>Alberta</v>
      </c>
      <c r="AL287" s="8">
        <f>IF(RawSalesTable6[[#This Row],[Return_Status]]="Yes",1,0)</f>
        <v>0</v>
      </c>
    </row>
    <row r="288" spans="1:38">
      <c r="A288" t="s">
        <v>691</v>
      </c>
      <c r="B288" s="3">
        <v>45871</v>
      </c>
      <c r="C288" t="s">
        <v>594</v>
      </c>
      <c r="D288" t="s">
        <v>255</v>
      </c>
      <c r="E288" t="s">
        <v>595</v>
      </c>
      <c r="F288" t="s">
        <v>116</v>
      </c>
      <c r="G288" t="s">
        <v>117</v>
      </c>
      <c r="H288" t="s">
        <v>97</v>
      </c>
      <c r="I288">
        <v>2</v>
      </c>
      <c r="J288" s="2">
        <v>238.26</v>
      </c>
      <c r="K288" s="4">
        <v>0</v>
      </c>
      <c r="L288" t="s">
        <v>90</v>
      </c>
      <c r="M288">
        <v>3</v>
      </c>
      <c r="N288" t="s">
        <v>91</v>
      </c>
      <c r="O288" t="str">
        <f>SUBSTITUTE(PROPER(TRIM(RawSalesTable6[[#This Row],[Channel_Raw]])),"Market Place","Marketplace")</f>
        <v>Retail Store</v>
      </c>
      <c r="P288" t="str">
        <f>TRIM(RawSalesTable6[[#This Row],[Product_ID]])</f>
        <v>P1014</v>
      </c>
      <c r="Q288" t="str">
        <f>TRIM(RawSalesTable6[[#This Row],[Customer_ID]])</f>
        <v>C0027</v>
      </c>
      <c r="R288" s="8" t="str">
        <f>PROPER(TRIM(RawSalesTable6[[#This Row],[Store_Raw]]))</f>
        <v>Toronto Downtown</v>
      </c>
      <c r="S288" s="8" t="str">
        <f>IF(TRIM(RawSalesTable6[[#This Row],[Payment_Method_Raw]])="","Non renseigné",SUBSTITUTE(PROPER(TRIM(RawSalesTable6[[#This Row],[Payment_Method_Raw]])),"Cc","Credit Card"))</f>
        <v>Paypal</v>
      </c>
      <c r="T288" s="8">
        <f>COUNTIF(A:A,RawSalesTable6[[#This Row],[Order_ID]])</f>
        <v>1</v>
      </c>
      <c r="U288" s="8" t="str">
        <f>TRIM(LEFT(RawSalesTable6[[#This Row],[Customer_Info]],FIND(",",RawSalesTable6[[#This Row],[Customer_Info]])-1))</f>
        <v>Nora Wilson</v>
      </c>
      <c r="V288" s="8" t="str">
        <f>TRIM(MID(RawSalesTable6[[#This Row],[Customer_Info]],FIND(",",RawSalesTable6[[#This Row],[Customer_Info]])+1,FIND(",",RawSalesTable6[[#This Row],[Customer_Info]],FIND(",",RawSalesTable6[[#This Row],[Customer_Info]])+1)-FIND(",",RawSalesTable6[[#This Row],[Customer_Info]])-1))</f>
        <v>Toronto</v>
      </c>
      <c r="W288" s="8" t="str">
        <f>TRIM(RIGHT(RawSalesTable6[[#This Row],[Customer_Info]],LEN(RawSalesTable6[[#This Row],[Customer_Info]])-FIND(",",RawSalesTable6[[#This Row],[Customer_Info]],FIND(",",RawSalesTable6[[#This Row],[Customer_Info]])+1)))</f>
        <v>Small Business</v>
      </c>
      <c r="X288" s="8" t="str">
        <f>VLOOKUP(RawSalesTable6[[#This Row],[Product_ID_Clean]],ProductsTable[],2,FALSE)</f>
        <v>Document Shredder</v>
      </c>
      <c r="Y288" s="8" t="str">
        <f>VLOOKUP(RawSalesTable6[[#This Row],[Product_ID_Clean]],ProductsTable[],3,FALSE)</f>
        <v>Office</v>
      </c>
      <c r="Z288" s="8">
        <f>VLOOKUP(RawSalesTable6[[#This Row],[Product_ID_Clean]],ProductsTable[],5,FALSE)</f>
        <v>117.65</v>
      </c>
      <c r="AA288" s="8">
        <f>RawSalesTable6[[#This Row],[Unit_Price]]*RawSalesTable6[[#This Row],[Quantity]]</f>
        <v>476.52</v>
      </c>
      <c r="AB288" s="8">
        <f>RawSalesTable6[[#This Row],[Gross_Sales]]*RawSalesTable6[[#This Row],[Discount_Pct]]</f>
        <v>0</v>
      </c>
      <c r="AC288" s="8">
        <f>RawSalesTable6[[#This Row],[Gross_Sales]]-RawSalesTable6[[#This Row],[Discount_Amount]]</f>
        <v>476.52</v>
      </c>
      <c r="AD288" s="8">
        <f>RawSalesTable6[[#This Row],[Unit_Cost]]*RawSalesTable6[[#This Row],[Quantity]]</f>
        <v>235.3</v>
      </c>
      <c r="AE288" s="8">
        <f>RawSalesTable6[[#This Row],[Net_Sales]]-RawSalesTable6[[#This Row],[Total_Cost]]</f>
        <v>241.21999999999997</v>
      </c>
      <c r="AF288" s="9">
        <f>RawSalesTable6[[#This Row],[Profit]]/RawSalesTable6[[#This Row],[Net_Sales]]</f>
        <v>0.50621170150256023</v>
      </c>
      <c r="AG288" s="8">
        <f>YEAR(RawSalesTable6[[#This Row],[Order_Date]])</f>
        <v>2025</v>
      </c>
      <c r="AH288" s="8">
        <f>MONTH(RawSalesTable6[[#This Row],[Order_Date]])</f>
        <v>8</v>
      </c>
      <c r="AI288" s="8" t="str">
        <f>TEXT(RawSalesTable6[[#This Row],[Order_Date]],"mmmm")</f>
        <v>août</v>
      </c>
      <c r="AJ288" s="8" t="str">
        <f>IF(RawSalesTable6[[#This Row],[Month_Number]]&lt;=3,"Q1",IF(RawSalesTable6[[#This Row],[Month_Number]]&lt;=6,"Q2",IF(RawSalesTable6[[#This Row],[Month_Number]]&lt;=9,"Q3","Q4")))</f>
        <v>Q3</v>
      </c>
      <c r="AK288" s="8" t="str">
        <f>VLOOKUP(RawSalesTable6[[#This Row],[Customer_ID_Clean]],CustomersTable[],4,FALSE)</f>
        <v>Ontario</v>
      </c>
      <c r="AL288" s="8">
        <f>IF(RawSalesTable6[[#This Row],[Return_Status]]="Yes",1,0)</f>
        <v>0</v>
      </c>
    </row>
    <row r="289" spans="1:38">
      <c r="A289" t="s">
        <v>692</v>
      </c>
      <c r="B289" s="3">
        <v>45912</v>
      </c>
      <c r="C289" t="s">
        <v>169</v>
      </c>
      <c r="D289" t="s">
        <v>157</v>
      </c>
      <c r="E289" t="s">
        <v>170</v>
      </c>
      <c r="F289" t="s">
        <v>145</v>
      </c>
      <c r="G289" t="s">
        <v>96</v>
      </c>
      <c r="H289" t="s">
        <v>89</v>
      </c>
      <c r="I289">
        <v>1</v>
      </c>
      <c r="J289" s="2">
        <v>293.91000000000003</v>
      </c>
      <c r="K289" s="4">
        <v>0.15</v>
      </c>
      <c r="L289" t="s">
        <v>106</v>
      </c>
      <c r="M289">
        <v>8</v>
      </c>
      <c r="N289" t="s">
        <v>91</v>
      </c>
      <c r="O289" t="str">
        <f>SUBSTITUTE(PROPER(TRIM(RawSalesTable6[[#This Row],[Channel_Raw]])),"Market Place","Marketplace")</f>
        <v>Online</v>
      </c>
      <c r="P289" t="str">
        <f>TRIM(RawSalesTable6[[#This Row],[Product_ID]])</f>
        <v>P1009</v>
      </c>
      <c r="Q289" t="str">
        <f>TRIM(RawSalesTable6[[#This Row],[Customer_ID]])</f>
        <v>C0064</v>
      </c>
      <c r="R289" s="8" t="str">
        <f>PROPER(TRIM(RawSalesTable6[[#This Row],[Store_Raw]]))</f>
        <v>Calgary North</v>
      </c>
      <c r="S289" s="8" t="str">
        <f>IF(TRIM(RawSalesTable6[[#This Row],[Payment_Method_Raw]])="","Non renseigné",SUBSTITUTE(PROPER(TRIM(RawSalesTable6[[#This Row],[Payment_Method_Raw]])),"Cc","Credit Card"))</f>
        <v>Credit Card</v>
      </c>
      <c r="T289" s="8">
        <f>COUNTIF(A:A,RawSalesTable6[[#This Row],[Order_ID]])</f>
        <v>1</v>
      </c>
      <c r="U289" s="8" t="str">
        <f>TRIM(LEFT(RawSalesTable6[[#This Row],[Customer_Info]],FIND(",",RawSalesTable6[[#This Row],[Customer_Info]])-1))</f>
        <v>Amine Khan</v>
      </c>
      <c r="V289" s="8" t="str">
        <f>TRIM(MID(RawSalesTable6[[#This Row],[Customer_Info]],FIND(",",RawSalesTable6[[#This Row],[Customer_Info]])+1,FIND(",",RawSalesTable6[[#This Row],[Customer_Info]],FIND(",",RawSalesTable6[[#This Row],[Customer_Info]])+1)-FIND(",",RawSalesTable6[[#This Row],[Customer_Info]])-1))</f>
        <v>Edmonton</v>
      </c>
      <c r="W289" s="8" t="str">
        <f>TRIM(RIGHT(RawSalesTable6[[#This Row],[Customer_Info]],LEN(RawSalesTable6[[#This Row],[Customer_Info]])-FIND(",",RawSalesTable6[[#This Row],[Customer_Info]],FIND(",",RawSalesTable6[[#This Row],[Customer_Info]])+1)))</f>
        <v>Consumer</v>
      </c>
      <c r="X289" s="8" t="str">
        <f>VLOOKUP(RawSalesTable6[[#This Row],[Product_ID_Clean]],ProductsTable[],2,FALSE)</f>
        <v>Notebook</v>
      </c>
      <c r="Y289" s="8" t="str">
        <f>VLOOKUP(RawSalesTable6[[#This Row],[Product_ID_Clean]],ProductsTable[],3,FALSE)</f>
        <v>Office</v>
      </c>
      <c r="Z289" s="8">
        <f>VLOOKUP(RawSalesTable6[[#This Row],[Product_ID_Clean]],ProductsTable[],5,FALSE)</f>
        <v>176.13</v>
      </c>
      <c r="AA289" s="8">
        <f>RawSalesTable6[[#This Row],[Unit_Price]]*RawSalesTable6[[#This Row],[Quantity]]</f>
        <v>293.91000000000003</v>
      </c>
      <c r="AB289" s="8">
        <f>RawSalesTable6[[#This Row],[Gross_Sales]]*RawSalesTable6[[#This Row],[Discount_Pct]]</f>
        <v>44.086500000000001</v>
      </c>
      <c r="AC289" s="8">
        <f>RawSalesTable6[[#This Row],[Gross_Sales]]-RawSalesTable6[[#This Row],[Discount_Amount]]</f>
        <v>249.82350000000002</v>
      </c>
      <c r="AD289" s="8">
        <f>RawSalesTable6[[#This Row],[Unit_Cost]]*RawSalesTable6[[#This Row],[Quantity]]</f>
        <v>176.13</v>
      </c>
      <c r="AE289" s="8">
        <f>RawSalesTable6[[#This Row],[Net_Sales]]-RawSalesTable6[[#This Row],[Total_Cost]]</f>
        <v>73.693500000000029</v>
      </c>
      <c r="AF289" s="9">
        <f>RawSalesTable6[[#This Row],[Profit]]/RawSalesTable6[[#This Row],[Net_Sales]]</f>
        <v>0.2949822574737766</v>
      </c>
      <c r="AG289" s="8">
        <f>YEAR(RawSalesTable6[[#This Row],[Order_Date]])</f>
        <v>2025</v>
      </c>
      <c r="AH289" s="8">
        <f>MONTH(RawSalesTable6[[#This Row],[Order_Date]])</f>
        <v>9</v>
      </c>
      <c r="AI289" s="8" t="str">
        <f>TEXT(RawSalesTable6[[#This Row],[Order_Date]],"mmmm")</f>
        <v>septembre</v>
      </c>
      <c r="AJ289" s="8" t="str">
        <f>IF(RawSalesTable6[[#This Row],[Month_Number]]&lt;=3,"Q1",IF(RawSalesTable6[[#This Row],[Month_Number]]&lt;=6,"Q2",IF(RawSalesTable6[[#This Row],[Month_Number]]&lt;=9,"Q3","Q4")))</f>
        <v>Q3</v>
      </c>
      <c r="AK289" s="8" t="str">
        <f>VLOOKUP(RawSalesTable6[[#This Row],[Customer_ID_Clean]],CustomersTable[],4,FALSE)</f>
        <v>Alberta</v>
      </c>
      <c r="AL289" s="8">
        <f>IF(RawSalesTable6[[#This Row],[Return_Status]]="Yes",1,0)</f>
        <v>0</v>
      </c>
    </row>
    <row r="290" spans="1:38">
      <c r="A290" t="s">
        <v>693</v>
      </c>
      <c r="B290" s="3">
        <v>45920</v>
      </c>
      <c r="C290" t="s">
        <v>316</v>
      </c>
      <c r="D290" t="s">
        <v>143</v>
      </c>
      <c r="E290" t="s">
        <v>317</v>
      </c>
      <c r="F290" t="s">
        <v>116</v>
      </c>
      <c r="G290" t="s">
        <v>104</v>
      </c>
      <c r="H290" t="s">
        <v>89</v>
      </c>
      <c r="I290">
        <v>1</v>
      </c>
      <c r="J290" s="2">
        <v>274.36</v>
      </c>
      <c r="K290" s="4">
        <v>0</v>
      </c>
      <c r="L290" t="s">
        <v>106</v>
      </c>
      <c r="M290">
        <v>8</v>
      </c>
      <c r="N290" t="s">
        <v>91</v>
      </c>
      <c r="O290" t="str">
        <f>SUBSTITUTE(PROPER(TRIM(RawSalesTable6[[#This Row],[Channel_Raw]])),"Market Place","Marketplace")</f>
        <v>Online</v>
      </c>
      <c r="P290" t="str">
        <f>TRIM(RawSalesTable6[[#This Row],[Product_ID]])</f>
        <v>P1038</v>
      </c>
      <c r="Q290" t="str">
        <f>TRIM(RawSalesTable6[[#This Row],[Customer_ID]])</f>
        <v>C0075</v>
      </c>
      <c r="R290" s="8" t="str">
        <f>PROPER(TRIM(RawSalesTable6[[#This Row],[Store_Raw]]))</f>
        <v>Toronto Downtown</v>
      </c>
      <c r="S290" s="8" t="str">
        <f>IF(TRIM(RawSalesTable6[[#This Row],[Payment_Method_Raw]])="","Non renseigné",SUBSTITUTE(PROPER(TRIM(RawSalesTable6[[#This Row],[Payment_Method_Raw]])),"Cc","Credit Card"))</f>
        <v>Credit Card</v>
      </c>
      <c r="T290" s="8">
        <f>COUNTIF(A:A,RawSalesTable6[[#This Row],[Order_ID]])</f>
        <v>1</v>
      </c>
      <c r="U290" s="8" t="str">
        <f>TRIM(LEFT(RawSalesTable6[[#This Row],[Customer_Info]],FIND(",",RawSalesTable6[[#This Row],[Customer_Info]])-1))</f>
        <v>Amelia Wilson</v>
      </c>
      <c r="V290" s="8" t="str">
        <f>TRIM(MID(RawSalesTable6[[#This Row],[Customer_Info]],FIND(",",RawSalesTable6[[#This Row],[Customer_Info]])+1,FIND(",",RawSalesTable6[[#This Row],[Customer_Info]],FIND(",",RawSalesTable6[[#This Row],[Customer_Info]])+1)-FIND(",",RawSalesTable6[[#This Row],[Customer_Info]])-1))</f>
        <v>Vancouver</v>
      </c>
      <c r="W290" s="8" t="str">
        <f>TRIM(RIGHT(RawSalesTable6[[#This Row],[Customer_Info]],LEN(RawSalesTable6[[#This Row],[Customer_Info]])-FIND(",",RawSalesTable6[[#This Row],[Customer_Info]],FIND(",",RawSalesTable6[[#This Row],[Customer_Info]])+1)))</f>
        <v>Consumer</v>
      </c>
      <c r="X290" s="8" t="str">
        <f>VLOOKUP(RawSalesTable6[[#This Row],[Product_ID_Clean]],ProductsTable[],2,FALSE)</f>
        <v>Water Bottle</v>
      </c>
      <c r="Y290" s="8" t="str">
        <f>VLOOKUP(RawSalesTable6[[#This Row],[Product_ID_Clean]],ProductsTable[],3,FALSE)</f>
        <v>Accessories</v>
      </c>
      <c r="Z290" s="8">
        <f>VLOOKUP(RawSalesTable6[[#This Row],[Product_ID_Clean]],ProductsTable[],5,FALSE)</f>
        <v>119.16</v>
      </c>
      <c r="AA290" s="8">
        <f>RawSalesTable6[[#This Row],[Unit_Price]]*RawSalesTable6[[#This Row],[Quantity]]</f>
        <v>274.36</v>
      </c>
      <c r="AB290" s="8">
        <f>RawSalesTable6[[#This Row],[Gross_Sales]]*RawSalesTable6[[#This Row],[Discount_Pct]]</f>
        <v>0</v>
      </c>
      <c r="AC290" s="8">
        <f>RawSalesTable6[[#This Row],[Gross_Sales]]-RawSalesTable6[[#This Row],[Discount_Amount]]</f>
        <v>274.36</v>
      </c>
      <c r="AD290" s="8">
        <f>RawSalesTable6[[#This Row],[Unit_Cost]]*RawSalesTable6[[#This Row],[Quantity]]</f>
        <v>119.16</v>
      </c>
      <c r="AE290" s="8">
        <f>RawSalesTable6[[#This Row],[Net_Sales]]-RawSalesTable6[[#This Row],[Total_Cost]]</f>
        <v>155.20000000000002</v>
      </c>
      <c r="AF290" s="9">
        <f>RawSalesTable6[[#This Row],[Profit]]/RawSalesTable6[[#This Row],[Net_Sales]]</f>
        <v>0.56568012829858583</v>
      </c>
      <c r="AG290" s="8">
        <f>YEAR(RawSalesTable6[[#This Row],[Order_Date]])</f>
        <v>2025</v>
      </c>
      <c r="AH290" s="8">
        <f>MONTH(RawSalesTable6[[#This Row],[Order_Date]])</f>
        <v>9</v>
      </c>
      <c r="AI290" s="8" t="str">
        <f>TEXT(RawSalesTable6[[#This Row],[Order_Date]],"mmmm")</f>
        <v>septembre</v>
      </c>
      <c r="AJ290" s="8" t="str">
        <f>IF(RawSalesTable6[[#This Row],[Month_Number]]&lt;=3,"Q1",IF(RawSalesTable6[[#This Row],[Month_Number]]&lt;=6,"Q2",IF(RawSalesTable6[[#This Row],[Month_Number]]&lt;=9,"Q3","Q4")))</f>
        <v>Q3</v>
      </c>
      <c r="AK290" s="8" t="str">
        <f>VLOOKUP(RawSalesTable6[[#This Row],[Customer_ID_Clean]],CustomersTable[],4,FALSE)</f>
        <v>British Columbia</v>
      </c>
      <c r="AL290" s="8">
        <f>IF(RawSalesTable6[[#This Row],[Return_Status]]="Yes",1,0)</f>
        <v>0</v>
      </c>
    </row>
    <row r="291" spans="1:38">
      <c r="A291" t="s">
        <v>694</v>
      </c>
      <c r="B291" s="3">
        <v>45769</v>
      </c>
      <c r="C291" t="s">
        <v>695</v>
      </c>
      <c r="D291" t="s">
        <v>165</v>
      </c>
      <c r="E291" t="s">
        <v>696</v>
      </c>
      <c r="F291" t="s">
        <v>145</v>
      </c>
      <c r="G291" t="s">
        <v>88</v>
      </c>
      <c r="H291" t="s">
        <v>233</v>
      </c>
      <c r="I291">
        <v>2</v>
      </c>
      <c r="J291" s="2">
        <v>100.73</v>
      </c>
      <c r="K291" s="4">
        <v>0</v>
      </c>
      <c r="L291" t="s">
        <v>90</v>
      </c>
      <c r="M291">
        <v>3</v>
      </c>
      <c r="N291" t="s">
        <v>91</v>
      </c>
      <c r="O291" t="str">
        <f>SUBSTITUTE(PROPER(TRIM(RawSalesTable6[[#This Row],[Channel_Raw]])),"Market Place","Marketplace")</f>
        <v>Retail Store</v>
      </c>
      <c r="P291" t="str">
        <f>TRIM(RawSalesTable6[[#This Row],[Product_ID]])</f>
        <v>P1024</v>
      </c>
      <c r="Q291" t="str">
        <f>TRIM(RawSalesTable6[[#This Row],[Customer_ID]])</f>
        <v>C0019</v>
      </c>
      <c r="R291" s="8" t="str">
        <f>PROPER(TRIM(RawSalesTable6[[#This Row],[Store_Raw]]))</f>
        <v>Calgary North</v>
      </c>
      <c r="S291" s="8" t="str">
        <f>IF(TRIM(RawSalesTable6[[#This Row],[Payment_Method_Raw]])="","Non renseigné",SUBSTITUTE(PROPER(TRIM(RawSalesTable6[[#This Row],[Payment_Method_Raw]])),"Cc","Credit Card"))</f>
        <v>Paypal</v>
      </c>
      <c r="T291" s="8">
        <f>COUNTIF(A:A,RawSalesTable6[[#This Row],[Order_ID]])</f>
        <v>1</v>
      </c>
      <c r="U291" s="8" t="str">
        <f>TRIM(LEFT(RawSalesTable6[[#This Row],[Customer_Info]],FIND(",",RawSalesTable6[[#This Row],[Customer_Info]])-1))</f>
        <v>Lucas Taylor</v>
      </c>
      <c r="V291" s="8" t="str">
        <f>TRIM(MID(RawSalesTable6[[#This Row],[Customer_Info]],FIND(",",RawSalesTable6[[#This Row],[Customer_Info]])+1,FIND(",",RawSalesTable6[[#This Row],[Customer_Info]],FIND(",",RawSalesTable6[[#This Row],[Customer_Info]])+1)-FIND(",",RawSalesTable6[[#This Row],[Customer_Info]])-1))</f>
        <v>Montreal</v>
      </c>
      <c r="W291" s="8" t="str">
        <f>TRIM(RIGHT(RawSalesTable6[[#This Row],[Customer_Info]],LEN(RawSalesTable6[[#This Row],[Customer_Info]])-FIND(",",RawSalesTable6[[#This Row],[Customer_Info]],FIND(",",RawSalesTable6[[#This Row],[Customer_Info]])+1)))</f>
        <v>Small Business</v>
      </c>
      <c r="X291" s="8" t="str">
        <f>VLOOKUP(RawSalesTable6[[#This Row],[Product_ID_Clean]],ProductsTable[],2,FALSE)</f>
        <v>Food Scale</v>
      </c>
      <c r="Y291" s="8" t="str">
        <f>VLOOKUP(RawSalesTable6[[#This Row],[Product_ID_Clean]],ProductsTable[],3,FALSE)</f>
        <v>Home</v>
      </c>
      <c r="Z291" s="8">
        <f>VLOOKUP(RawSalesTable6[[#This Row],[Product_ID_Clean]],ProductsTable[],5,FALSE)</f>
        <v>46.07</v>
      </c>
      <c r="AA291" s="8">
        <f>RawSalesTable6[[#This Row],[Unit_Price]]*RawSalesTable6[[#This Row],[Quantity]]</f>
        <v>201.46</v>
      </c>
      <c r="AB291" s="8">
        <f>RawSalesTable6[[#This Row],[Gross_Sales]]*RawSalesTable6[[#This Row],[Discount_Pct]]</f>
        <v>0</v>
      </c>
      <c r="AC291" s="8">
        <f>RawSalesTable6[[#This Row],[Gross_Sales]]-RawSalesTable6[[#This Row],[Discount_Amount]]</f>
        <v>201.46</v>
      </c>
      <c r="AD291" s="8">
        <f>RawSalesTable6[[#This Row],[Unit_Cost]]*RawSalesTable6[[#This Row],[Quantity]]</f>
        <v>92.14</v>
      </c>
      <c r="AE291" s="8">
        <f>RawSalesTable6[[#This Row],[Net_Sales]]-RawSalesTable6[[#This Row],[Total_Cost]]</f>
        <v>109.32000000000001</v>
      </c>
      <c r="AF291" s="9">
        <f>RawSalesTable6[[#This Row],[Profit]]/RawSalesTable6[[#This Row],[Net_Sales]]</f>
        <v>0.54263873721830636</v>
      </c>
      <c r="AG291" s="8">
        <f>YEAR(RawSalesTable6[[#This Row],[Order_Date]])</f>
        <v>2025</v>
      </c>
      <c r="AH291" s="8">
        <f>MONTH(RawSalesTable6[[#This Row],[Order_Date]])</f>
        <v>4</v>
      </c>
      <c r="AI291" s="8" t="str">
        <f>TEXT(RawSalesTable6[[#This Row],[Order_Date]],"mmmm")</f>
        <v>avril</v>
      </c>
      <c r="AJ291" s="8" t="str">
        <f>IF(RawSalesTable6[[#This Row],[Month_Number]]&lt;=3,"Q1",IF(RawSalesTable6[[#This Row],[Month_Number]]&lt;=6,"Q2",IF(RawSalesTable6[[#This Row],[Month_Number]]&lt;=9,"Q3","Q4")))</f>
        <v>Q2</v>
      </c>
      <c r="AK291" s="8" t="str">
        <f>VLOOKUP(RawSalesTable6[[#This Row],[Customer_ID_Clean]],CustomersTable[],4,FALSE)</f>
        <v>Quebec</v>
      </c>
      <c r="AL291" s="8">
        <f>IF(RawSalesTable6[[#This Row],[Return_Status]]="Yes",1,0)</f>
        <v>0</v>
      </c>
    </row>
    <row r="292" spans="1:38">
      <c r="A292" t="s">
        <v>697</v>
      </c>
      <c r="B292" s="3">
        <v>45996</v>
      </c>
      <c r="C292" t="s">
        <v>319</v>
      </c>
      <c r="D292" t="s">
        <v>303</v>
      </c>
      <c r="E292" t="s">
        <v>320</v>
      </c>
      <c r="F292" t="s">
        <v>111</v>
      </c>
      <c r="G292" t="s">
        <v>171</v>
      </c>
      <c r="H292" t="s">
        <v>97</v>
      </c>
      <c r="I292">
        <v>2</v>
      </c>
      <c r="J292" s="2">
        <v>165.88</v>
      </c>
      <c r="K292" s="4">
        <v>0.15</v>
      </c>
      <c r="L292" t="s">
        <v>90</v>
      </c>
      <c r="M292">
        <v>2</v>
      </c>
      <c r="N292" t="s">
        <v>91</v>
      </c>
      <c r="O292" t="str">
        <f>SUBSTITUTE(PROPER(TRIM(RawSalesTable6[[#This Row],[Channel_Raw]])),"Market Place","Marketplace")</f>
        <v>Retail Store</v>
      </c>
      <c r="P292" t="str">
        <f>TRIM(RawSalesTable6[[#This Row],[Product_ID]])</f>
        <v>P1036</v>
      </c>
      <c r="Q292" t="str">
        <f>TRIM(RawSalesTable6[[#This Row],[Customer_ID]])</f>
        <v>C0013</v>
      </c>
      <c r="R292" s="8" t="str">
        <f>PROPER(TRIM(RawSalesTable6[[#This Row],[Store_Raw]]))</f>
        <v>Montreal Central</v>
      </c>
      <c r="S292" s="8" t="str">
        <f>IF(TRIM(RawSalesTable6[[#This Row],[Payment_Method_Raw]])="","Non renseigné",SUBSTITUTE(PROPER(TRIM(RawSalesTable6[[#This Row],[Payment_Method_Raw]])),"Cc","Credit Card"))</f>
        <v>Paypal</v>
      </c>
      <c r="T292" s="8">
        <f>COUNTIF(A:A,RawSalesTable6[[#This Row],[Order_ID]])</f>
        <v>1</v>
      </c>
      <c r="U292" s="8" t="str">
        <f>TRIM(LEFT(RawSalesTable6[[#This Row],[Customer_Info]],FIND(",",RawSalesTable6[[#This Row],[Customer_Info]])-1))</f>
        <v>Amelia Martin</v>
      </c>
      <c r="V292" s="8" t="str">
        <f>TRIM(MID(RawSalesTable6[[#This Row],[Customer_Info]],FIND(",",RawSalesTable6[[#This Row],[Customer_Info]])+1,FIND(",",RawSalesTable6[[#This Row],[Customer_Info]],FIND(",",RawSalesTable6[[#This Row],[Customer_Info]])+1)-FIND(",",RawSalesTable6[[#This Row],[Customer_Info]])-1))</f>
        <v>Quebec City</v>
      </c>
      <c r="W292" s="8" t="str">
        <f>TRIM(RIGHT(RawSalesTable6[[#This Row],[Customer_Info]],LEN(RawSalesTable6[[#This Row],[Customer_Info]])-FIND(",",RawSalesTable6[[#This Row],[Customer_Info]],FIND(",",RawSalesTable6[[#This Row],[Customer_Info]])+1)))</f>
        <v>Small Business</v>
      </c>
      <c r="X292" s="8" t="str">
        <f>VLOOKUP(RawSalesTable6[[#This Row],[Product_ID_Clean]],ProductsTable[],2,FALSE)</f>
        <v>Power Bank</v>
      </c>
      <c r="Y292" s="8" t="str">
        <f>VLOOKUP(RawSalesTable6[[#This Row],[Product_ID_Clean]],ProductsTable[],3,FALSE)</f>
        <v>Accessories</v>
      </c>
      <c r="Z292" s="8">
        <f>VLOOKUP(RawSalesTable6[[#This Row],[Product_ID_Clean]],ProductsTable[],5,FALSE)</f>
        <v>76.97</v>
      </c>
      <c r="AA292" s="8">
        <f>RawSalesTable6[[#This Row],[Unit_Price]]*RawSalesTable6[[#This Row],[Quantity]]</f>
        <v>331.76</v>
      </c>
      <c r="AB292" s="8">
        <f>RawSalesTable6[[#This Row],[Gross_Sales]]*RawSalesTable6[[#This Row],[Discount_Pct]]</f>
        <v>49.763999999999996</v>
      </c>
      <c r="AC292" s="8">
        <f>RawSalesTable6[[#This Row],[Gross_Sales]]-RawSalesTable6[[#This Row],[Discount_Amount]]</f>
        <v>281.99599999999998</v>
      </c>
      <c r="AD292" s="8">
        <f>RawSalesTable6[[#This Row],[Unit_Cost]]*RawSalesTable6[[#This Row],[Quantity]]</f>
        <v>153.94</v>
      </c>
      <c r="AE292" s="8">
        <f>RawSalesTable6[[#This Row],[Net_Sales]]-RawSalesTable6[[#This Row],[Total_Cost]]</f>
        <v>128.05599999999998</v>
      </c>
      <c r="AF292" s="9">
        <f>RawSalesTable6[[#This Row],[Profit]]/RawSalesTable6[[#This Row],[Net_Sales]]</f>
        <v>0.45410573199619853</v>
      </c>
      <c r="AG292" s="8">
        <f>YEAR(RawSalesTable6[[#This Row],[Order_Date]])</f>
        <v>2025</v>
      </c>
      <c r="AH292" s="8">
        <f>MONTH(RawSalesTable6[[#This Row],[Order_Date]])</f>
        <v>12</v>
      </c>
      <c r="AI292" s="8" t="str">
        <f>TEXT(RawSalesTable6[[#This Row],[Order_Date]],"mmmm")</f>
        <v>décembre</v>
      </c>
      <c r="AJ292" s="8" t="str">
        <f>IF(RawSalesTable6[[#This Row],[Month_Number]]&lt;=3,"Q1",IF(RawSalesTable6[[#This Row],[Month_Number]]&lt;=6,"Q2",IF(RawSalesTable6[[#This Row],[Month_Number]]&lt;=9,"Q3","Q4")))</f>
        <v>Q4</v>
      </c>
      <c r="AK292" s="8" t="str">
        <f>VLOOKUP(RawSalesTable6[[#This Row],[Customer_ID_Clean]],CustomersTable[],4,FALSE)</f>
        <v>Quebec</v>
      </c>
      <c r="AL292" s="8">
        <f>IF(RawSalesTable6[[#This Row],[Return_Status]]="Yes",1,0)</f>
        <v>0</v>
      </c>
    </row>
    <row r="293" spans="1:38">
      <c r="A293" t="s">
        <v>698</v>
      </c>
      <c r="B293" s="3">
        <v>45852</v>
      </c>
      <c r="C293" t="s">
        <v>699</v>
      </c>
      <c r="D293" t="s">
        <v>114</v>
      </c>
      <c r="E293" t="s">
        <v>700</v>
      </c>
      <c r="F293" t="s">
        <v>87</v>
      </c>
      <c r="G293" t="s">
        <v>171</v>
      </c>
      <c r="H293" t="s">
        <v>97</v>
      </c>
      <c r="I293">
        <v>2</v>
      </c>
      <c r="J293" s="2">
        <v>144.15</v>
      </c>
      <c r="K293" s="4">
        <v>0.2</v>
      </c>
      <c r="L293" t="s">
        <v>98</v>
      </c>
      <c r="M293">
        <v>0</v>
      </c>
      <c r="N293" t="s">
        <v>91</v>
      </c>
      <c r="O293" t="str">
        <f>SUBSTITUTE(PROPER(TRIM(RawSalesTable6[[#This Row],[Channel_Raw]])),"Market Place","Marketplace")</f>
        <v>Retail Store</v>
      </c>
      <c r="P293" t="str">
        <f>TRIM(RawSalesTable6[[#This Row],[Product_ID]])</f>
        <v>P1034</v>
      </c>
      <c r="Q293" t="str">
        <f>TRIM(RawSalesTable6[[#This Row],[Customer_ID]])</f>
        <v>C0097</v>
      </c>
      <c r="R293" s="8" t="str">
        <f>PROPER(TRIM(RawSalesTable6[[#This Row],[Store_Raw]]))</f>
        <v>Online Fulfillment</v>
      </c>
      <c r="S293" s="8" t="str">
        <f>IF(TRIM(RawSalesTable6[[#This Row],[Payment_Method_Raw]])="","Non renseigné",SUBSTITUTE(PROPER(TRIM(RawSalesTable6[[#This Row],[Payment_Method_Raw]])),"Cc","Credit Card"))</f>
        <v>Debit Card</v>
      </c>
      <c r="T293" s="8">
        <f>COUNTIF(A:A,RawSalesTable6[[#This Row],[Order_ID]])</f>
        <v>1</v>
      </c>
      <c r="U293" s="8" t="str">
        <f>TRIM(LEFT(RawSalesTable6[[#This Row],[Customer_Info]],FIND(",",RawSalesTable6[[#This Row],[Customer_Info]])-1))</f>
        <v>Sarah Khan</v>
      </c>
      <c r="V293" s="8" t="str">
        <f>TRIM(MID(RawSalesTable6[[#This Row],[Customer_Info]],FIND(",",RawSalesTable6[[#This Row],[Customer_Info]])+1,FIND(",",RawSalesTable6[[#This Row],[Customer_Info]],FIND(",",RawSalesTable6[[#This Row],[Customer_Info]])+1)-FIND(",",RawSalesTable6[[#This Row],[Customer_Info]])-1))</f>
        <v>Montreal</v>
      </c>
      <c r="W293" s="8" t="str">
        <f>TRIM(RIGHT(RawSalesTable6[[#This Row],[Customer_Info]],LEN(RawSalesTable6[[#This Row],[Customer_Info]])-FIND(",",RawSalesTable6[[#This Row],[Customer_Info]],FIND(",",RawSalesTable6[[#This Row],[Customer_Info]])+1)))</f>
        <v>Consumer</v>
      </c>
      <c r="X293" s="8" t="str">
        <f>VLOOKUP(RawSalesTable6[[#This Row],[Product_ID_Clean]],ProductsTable[],2,FALSE)</f>
        <v>Laptop Sleeve</v>
      </c>
      <c r="Y293" s="8" t="str">
        <f>VLOOKUP(RawSalesTable6[[#This Row],[Product_ID_Clean]],ProductsTable[],3,FALSE)</f>
        <v>Accessories</v>
      </c>
      <c r="Z293" s="8">
        <f>VLOOKUP(RawSalesTable6[[#This Row],[Product_ID_Clean]],ProductsTable[],5,FALSE)</f>
        <v>78.95</v>
      </c>
      <c r="AA293" s="8">
        <f>RawSalesTable6[[#This Row],[Unit_Price]]*RawSalesTable6[[#This Row],[Quantity]]</f>
        <v>288.3</v>
      </c>
      <c r="AB293" s="8">
        <f>RawSalesTable6[[#This Row],[Gross_Sales]]*RawSalesTable6[[#This Row],[Discount_Pct]]</f>
        <v>57.660000000000004</v>
      </c>
      <c r="AC293" s="8">
        <f>RawSalesTable6[[#This Row],[Gross_Sales]]-RawSalesTable6[[#This Row],[Discount_Amount]]</f>
        <v>230.64000000000001</v>
      </c>
      <c r="AD293" s="8">
        <f>RawSalesTable6[[#This Row],[Unit_Cost]]*RawSalesTable6[[#This Row],[Quantity]]</f>
        <v>157.9</v>
      </c>
      <c r="AE293" s="8">
        <f>RawSalesTable6[[#This Row],[Net_Sales]]-RawSalesTable6[[#This Row],[Total_Cost]]</f>
        <v>72.740000000000009</v>
      </c>
      <c r="AF293" s="9">
        <f>RawSalesTable6[[#This Row],[Profit]]/RawSalesTable6[[#This Row],[Net_Sales]]</f>
        <v>0.31538328130419702</v>
      </c>
      <c r="AG293" s="8">
        <f>YEAR(RawSalesTable6[[#This Row],[Order_Date]])</f>
        <v>2025</v>
      </c>
      <c r="AH293" s="8">
        <f>MONTH(RawSalesTable6[[#This Row],[Order_Date]])</f>
        <v>7</v>
      </c>
      <c r="AI293" s="8" t="str">
        <f>TEXT(RawSalesTable6[[#This Row],[Order_Date]],"mmmm")</f>
        <v>juillet</v>
      </c>
      <c r="AJ293" s="8" t="str">
        <f>IF(RawSalesTable6[[#This Row],[Month_Number]]&lt;=3,"Q1",IF(RawSalesTable6[[#This Row],[Month_Number]]&lt;=6,"Q2",IF(RawSalesTable6[[#This Row],[Month_Number]]&lt;=9,"Q3","Q4")))</f>
        <v>Q3</v>
      </c>
      <c r="AK293" s="8" t="str">
        <f>VLOOKUP(RawSalesTable6[[#This Row],[Customer_ID_Clean]],CustomersTable[],4,FALSE)</f>
        <v>Quebec</v>
      </c>
      <c r="AL293" s="8">
        <f>IF(RawSalesTable6[[#This Row],[Return_Status]]="Yes",1,0)</f>
        <v>0</v>
      </c>
    </row>
    <row r="294" spans="1:38">
      <c r="A294" t="s">
        <v>701</v>
      </c>
      <c r="B294" s="3">
        <v>45828</v>
      </c>
      <c r="C294" t="s">
        <v>209</v>
      </c>
      <c r="D294" t="s">
        <v>360</v>
      </c>
      <c r="E294" t="s">
        <v>211</v>
      </c>
      <c r="F294" t="s">
        <v>103</v>
      </c>
      <c r="G294" t="s">
        <v>183</v>
      </c>
      <c r="H294" t="s">
        <v>89</v>
      </c>
      <c r="I294">
        <v>1</v>
      </c>
      <c r="J294" s="2">
        <v>64.86</v>
      </c>
      <c r="K294" s="4">
        <v>0.1</v>
      </c>
      <c r="L294" t="s">
        <v>106</v>
      </c>
      <c r="M294">
        <v>3</v>
      </c>
      <c r="N294" t="s">
        <v>91</v>
      </c>
      <c r="O294" t="str">
        <f>SUBSTITUTE(PROPER(TRIM(RawSalesTable6[[#This Row],[Channel_Raw]])),"Market Place","Marketplace")</f>
        <v>Online</v>
      </c>
      <c r="P294" t="str">
        <f>TRIM(RawSalesTable6[[#This Row],[Product_ID]])</f>
        <v>P1020</v>
      </c>
      <c r="Q294" t="str">
        <f>TRIM(RawSalesTable6[[#This Row],[Customer_ID]])</f>
        <v>C0005</v>
      </c>
      <c r="R294" s="8" t="str">
        <f>PROPER(TRIM(RawSalesTable6[[#This Row],[Store_Raw]]))</f>
        <v>Vancouver West</v>
      </c>
      <c r="S294" s="8" t="str">
        <f>IF(TRIM(RawSalesTable6[[#This Row],[Payment_Method_Raw]])="","Non renseigné",SUBSTITUTE(PROPER(TRIM(RawSalesTable6[[#This Row],[Payment_Method_Raw]])),"Cc","Credit Card"))</f>
        <v>Credit Card</v>
      </c>
      <c r="T294" s="8">
        <f>COUNTIF(A:A,RawSalesTable6[[#This Row],[Order_ID]])</f>
        <v>1</v>
      </c>
      <c r="U294" s="8" t="str">
        <f>TRIM(LEFT(RawSalesTable6[[#This Row],[Customer_Info]],FIND(",",RawSalesTable6[[#This Row],[Customer_Info]])-1))</f>
        <v>Yasmine Taylor</v>
      </c>
      <c r="V294" s="8" t="str">
        <f>TRIM(MID(RawSalesTable6[[#This Row],[Customer_Info]],FIND(",",RawSalesTable6[[#This Row],[Customer_Info]])+1,FIND(",",RawSalesTable6[[#This Row],[Customer_Info]],FIND(",",RawSalesTable6[[#This Row],[Customer_Info]])+1)-FIND(",",RawSalesTable6[[#This Row],[Customer_Info]])-1))</f>
        <v>Calgary</v>
      </c>
      <c r="W294" s="8" t="str">
        <f>TRIM(RIGHT(RawSalesTable6[[#This Row],[Customer_Info]],LEN(RawSalesTable6[[#This Row],[Customer_Info]])-FIND(",",RawSalesTable6[[#This Row],[Customer_Info]],FIND(",",RawSalesTable6[[#This Row],[Customer_Info]])+1)))</f>
        <v>Consumer</v>
      </c>
      <c r="X294" s="8" t="str">
        <f>VLOOKUP(RawSalesTable6[[#This Row],[Product_ID_Clean]],ProductsTable[],2,FALSE)</f>
        <v>Blender</v>
      </c>
      <c r="Y294" s="8" t="str">
        <f>VLOOKUP(RawSalesTable6[[#This Row],[Product_ID_Clean]],ProductsTable[],3,FALSE)</f>
        <v>Home</v>
      </c>
      <c r="Z294" s="8">
        <f>VLOOKUP(RawSalesTable6[[#This Row],[Product_ID_Clean]],ProductsTable[],5,FALSE)</f>
        <v>37.46</v>
      </c>
      <c r="AA294" s="8">
        <f>RawSalesTable6[[#This Row],[Unit_Price]]*RawSalesTable6[[#This Row],[Quantity]]</f>
        <v>64.86</v>
      </c>
      <c r="AB294" s="8">
        <f>RawSalesTable6[[#This Row],[Gross_Sales]]*RawSalesTable6[[#This Row],[Discount_Pct]]</f>
        <v>6.4860000000000007</v>
      </c>
      <c r="AC294" s="8">
        <f>RawSalesTable6[[#This Row],[Gross_Sales]]-RawSalesTable6[[#This Row],[Discount_Amount]]</f>
        <v>58.373999999999995</v>
      </c>
      <c r="AD294" s="8">
        <f>RawSalesTable6[[#This Row],[Unit_Cost]]*RawSalesTable6[[#This Row],[Quantity]]</f>
        <v>37.46</v>
      </c>
      <c r="AE294" s="8">
        <f>RawSalesTable6[[#This Row],[Net_Sales]]-RawSalesTable6[[#This Row],[Total_Cost]]</f>
        <v>20.913999999999994</v>
      </c>
      <c r="AF294" s="9">
        <f>RawSalesTable6[[#This Row],[Profit]]/RawSalesTable6[[#This Row],[Net_Sales]]</f>
        <v>0.35827594476993174</v>
      </c>
      <c r="AG294" s="8">
        <f>YEAR(RawSalesTable6[[#This Row],[Order_Date]])</f>
        <v>2025</v>
      </c>
      <c r="AH294" s="8">
        <f>MONTH(RawSalesTable6[[#This Row],[Order_Date]])</f>
        <v>6</v>
      </c>
      <c r="AI294" s="8" t="str">
        <f>TEXT(RawSalesTable6[[#This Row],[Order_Date]],"mmmm")</f>
        <v>juin</v>
      </c>
      <c r="AJ294" s="8" t="str">
        <f>IF(RawSalesTable6[[#This Row],[Month_Number]]&lt;=3,"Q1",IF(RawSalesTable6[[#This Row],[Month_Number]]&lt;=6,"Q2",IF(RawSalesTable6[[#This Row],[Month_Number]]&lt;=9,"Q3","Q4")))</f>
        <v>Q2</v>
      </c>
      <c r="AK294" s="8" t="str">
        <f>VLOOKUP(RawSalesTable6[[#This Row],[Customer_ID_Clean]],CustomersTable[],4,FALSE)</f>
        <v>Alberta</v>
      </c>
      <c r="AL294" s="8">
        <f>IF(RawSalesTable6[[#This Row],[Return_Status]]="Yes",1,0)</f>
        <v>0</v>
      </c>
    </row>
    <row r="295" spans="1:38">
      <c r="A295" t="s">
        <v>702</v>
      </c>
      <c r="B295" s="3">
        <v>45793</v>
      </c>
      <c r="C295" t="s">
        <v>637</v>
      </c>
      <c r="D295" t="s">
        <v>174</v>
      </c>
      <c r="E295" t="s">
        <v>638</v>
      </c>
      <c r="F295" t="s">
        <v>103</v>
      </c>
      <c r="G295" t="s">
        <v>183</v>
      </c>
      <c r="H295" t="s">
        <v>89</v>
      </c>
      <c r="I295">
        <v>1</v>
      </c>
      <c r="J295" s="2">
        <v>39.409999999999997</v>
      </c>
      <c r="K295" s="4">
        <v>0.25</v>
      </c>
      <c r="L295" t="s">
        <v>98</v>
      </c>
      <c r="M295">
        <v>1</v>
      </c>
      <c r="N295" t="s">
        <v>91</v>
      </c>
      <c r="O295" t="str">
        <f>SUBSTITUTE(PROPER(TRIM(RawSalesTable6[[#This Row],[Channel_Raw]])),"Market Place","Marketplace")</f>
        <v>Online</v>
      </c>
      <c r="P295" t="str">
        <f>TRIM(RawSalesTable6[[#This Row],[Product_ID]])</f>
        <v>P1002</v>
      </c>
      <c r="Q295" t="str">
        <f>TRIM(RawSalesTable6[[#This Row],[Customer_ID]])</f>
        <v>C0024</v>
      </c>
      <c r="R295" s="8" t="str">
        <f>PROPER(TRIM(RawSalesTable6[[#This Row],[Store_Raw]]))</f>
        <v>Vancouver West</v>
      </c>
      <c r="S295" s="8" t="str">
        <f>IF(TRIM(RawSalesTable6[[#This Row],[Payment_Method_Raw]])="","Non renseigné",SUBSTITUTE(PROPER(TRIM(RawSalesTable6[[#This Row],[Payment_Method_Raw]])),"Cc","Credit Card"))</f>
        <v>Debit Card</v>
      </c>
      <c r="T295" s="8">
        <f>COUNTIF(A:A,RawSalesTable6[[#This Row],[Order_ID]])</f>
        <v>1</v>
      </c>
      <c r="U295" s="8" t="str">
        <f>TRIM(LEFT(RawSalesTable6[[#This Row],[Customer_Info]],FIND(",",RawSalesTable6[[#This Row],[Customer_Info]])-1))</f>
        <v>Ryan King</v>
      </c>
      <c r="V295" s="8" t="str">
        <f>TRIM(MID(RawSalesTable6[[#This Row],[Customer_Info]],FIND(",",RawSalesTable6[[#This Row],[Customer_Info]])+1,FIND(",",RawSalesTable6[[#This Row],[Customer_Info]],FIND(",",RawSalesTable6[[#This Row],[Customer_Info]])+1)-FIND(",",RawSalesTable6[[#This Row],[Customer_Info]])-1))</f>
        <v>Mississauga</v>
      </c>
      <c r="W295" s="8" t="str">
        <f>TRIM(RIGHT(RawSalesTable6[[#This Row],[Customer_Info]],LEN(RawSalesTable6[[#This Row],[Customer_Info]])-FIND(",",RawSalesTable6[[#This Row],[Customer_Info]],FIND(",",RawSalesTable6[[#This Row],[Customer_Info]])+1)))</f>
        <v>Consumer</v>
      </c>
      <c r="X295" s="8" t="str">
        <f>VLOOKUP(RawSalesTable6[[#This Row],[Product_ID_Clean]],ProductsTable[],2,FALSE)</f>
        <v>Keyboard</v>
      </c>
      <c r="Y295" s="8" t="str">
        <f>VLOOKUP(RawSalesTable6[[#This Row],[Product_ID_Clean]],ProductsTable[],3,FALSE)</f>
        <v>Electronics</v>
      </c>
      <c r="Z295" s="8">
        <f>VLOOKUP(RawSalesTable6[[#This Row],[Product_ID_Clean]],ProductsTable[],5,FALSE)</f>
        <v>23.5</v>
      </c>
      <c r="AA295" s="8">
        <f>RawSalesTable6[[#This Row],[Unit_Price]]*RawSalesTable6[[#This Row],[Quantity]]</f>
        <v>39.409999999999997</v>
      </c>
      <c r="AB295" s="8">
        <f>RawSalesTable6[[#This Row],[Gross_Sales]]*RawSalesTable6[[#This Row],[Discount_Pct]]</f>
        <v>9.8524999999999991</v>
      </c>
      <c r="AC295" s="8">
        <f>RawSalesTable6[[#This Row],[Gross_Sales]]-RawSalesTable6[[#This Row],[Discount_Amount]]</f>
        <v>29.557499999999997</v>
      </c>
      <c r="AD295" s="8">
        <f>RawSalesTable6[[#This Row],[Unit_Cost]]*RawSalesTable6[[#This Row],[Quantity]]</f>
        <v>23.5</v>
      </c>
      <c r="AE295" s="8">
        <f>RawSalesTable6[[#This Row],[Net_Sales]]-RawSalesTable6[[#This Row],[Total_Cost]]</f>
        <v>6.0574999999999974</v>
      </c>
      <c r="AF295" s="9">
        <f>RawSalesTable6[[#This Row],[Profit]]/RawSalesTable6[[#This Row],[Net_Sales]]</f>
        <v>0.20493952465533274</v>
      </c>
      <c r="AG295" s="8">
        <f>YEAR(RawSalesTable6[[#This Row],[Order_Date]])</f>
        <v>2025</v>
      </c>
      <c r="AH295" s="8">
        <f>MONTH(RawSalesTable6[[#This Row],[Order_Date]])</f>
        <v>5</v>
      </c>
      <c r="AI295" s="8" t="str">
        <f>TEXT(RawSalesTable6[[#This Row],[Order_Date]],"mmmm")</f>
        <v>mai</v>
      </c>
      <c r="AJ295" s="8" t="str">
        <f>IF(RawSalesTable6[[#This Row],[Month_Number]]&lt;=3,"Q1",IF(RawSalesTable6[[#This Row],[Month_Number]]&lt;=6,"Q2",IF(RawSalesTable6[[#This Row],[Month_Number]]&lt;=9,"Q3","Q4")))</f>
        <v>Q2</v>
      </c>
      <c r="AK295" s="8" t="str">
        <f>VLOOKUP(RawSalesTable6[[#This Row],[Customer_ID_Clean]],CustomersTable[],4,FALSE)</f>
        <v>Ontario</v>
      </c>
      <c r="AL295" s="8">
        <f>IF(RawSalesTable6[[#This Row],[Return_Status]]="Yes",1,0)</f>
        <v>0</v>
      </c>
    </row>
    <row r="296" spans="1:38">
      <c r="A296" t="s">
        <v>703</v>
      </c>
      <c r="B296" s="3">
        <v>45864</v>
      </c>
      <c r="C296" t="s">
        <v>414</v>
      </c>
      <c r="D296" t="s">
        <v>149</v>
      </c>
      <c r="E296" t="s">
        <v>415</v>
      </c>
      <c r="F296" t="s">
        <v>116</v>
      </c>
      <c r="G296" t="s">
        <v>171</v>
      </c>
      <c r="H296" t="s">
        <v>89</v>
      </c>
      <c r="I296">
        <v>1</v>
      </c>
      <c r="J296" s="2">
        <v>76.13</v>
      </c>
      <c r="K296" s="4">
        <v>0.15</v>
      </c>
      <c r="L296" t="s">
        <v>90</v>
      </c>
      <c r="M296">
        <v>2</v>
      </c>
      <c r="N296" t="s">
        <v>91</v>
      </c>
      <c r="O296" t="str">
        <f>SUBSTITUTE(PROPER(TRIM(RawSalesTable6[[#This Row],[Channel_Raw]])),"Market Place","Marketplace")</f>
        <v>Online</v>
      </c>
      <c r="P296" t="str">
        <f>TRIM(RawSalesTable6[[#This Row],[Product_ID]])</f>
        <v>P1011</v>
      </c>
      <c r="Q296" t="str">
        <f>TRIM(RawSalesTable6[[#This Row],[Customer_ID]])</f>
        <v>C0052</v>
      </c>
      <c r="R296" s="8" t="str">
        <f>PROPER(TRIM(RawSalesTable6[[#This Row],[Store_Raw]]))</f>
        <v>Toronto Downtown</v>
      </c>
      <c r="S296" s="8" t="str">
        <f>IF(TRIM(RawSalesTable6[[#This Row],[Payment_Method_Raw]])="","Non renseigné",SUBSTITUTE(PROPER(TRIM(RawSalesTable6[[#This Row],[Payment_Method_Raw]])),"Cc","Credit Card"))</f>
        <v>Paypal</v>
      </c>
      <c r="T296" s="8">
        <f>COUNTIF(A:A,RawSalesTable6[[#This Row],[Order_ID]])</f>
        <v>1</v>
      </c>
      <c r="U296" s="8" t="str">
        <f>TRIM(LEFT(RawSalesTable6[[#This Row],[Customer_Info]],FIND(",",RawSalesTable6[[#This Row],[Customer_Info]])-1))</f>
        <v>Liam Bennett</v>
      </c>
      <c r="V296" s="8" t="str">
        <f>TRIM(MID(RawSalesTable6[[#This Row],[Customer_Info]],FIND(",",RawSalesTable6[[#This Row],[Customer_Info]])+1,FIND(",",RawSalesTable6[[#This Row],[Customer_Info]],FIND(",",RawSalesTable6[[#This Row],[Customer_Info]])+1)-FIND(",",RawSalesTable6[[#This Row],[Customer_Info]])-1))</f>
        <v>Edmonton</v>
      </c>
      <c r="W296" s="8" t="str">
        <f>TRIM(RIGHT(RawSalesTable6[[#This Row],[Customer_Info]],LEN(RawSalesTable6[[#This Row],[Customer_Info]])-FIND(",",RawSalesTable6[[#This Row],[Customer_Info]],FIND(",",RawSalesTable6[[#This Row],[Customer_Info]])+1)))</f>
        <v>Corporate</v>
      </c>
      <c r="X296" s="8" t="str">
        <f>VLOOKUP(RawSalesTable6[[#This Row],[Product_ID_Clean]],ProductsTable[],2,FALSE)</f>
        <v>Office Chair</v>
      </c>
      <c r="Y296" s="8" t="str">
        <f>VLOOKUP(RawSalesTable6[[#This Row],[Product_ID_Clean]],ProductsTable[],3,FALSE)</f>
        <v>Office</v>
      </c>
      <c r="Z296" s="8">
        <f>VLOOKUP(RawSalesTable6[[#This Row],[Product_ID_Clean]],ProductsTable[],5,FALSE)</f>
        <v>39.26</v>
      </c>
      <c r="AA296" s="8">
        <f>RawSalesTable6[[#This Row],[Unit_Price]]*RawSalesTable6[[#This Row],[Quantity]]</f>
        <v>76.13</v>
      </c>
      <c r="AB296" s="8">
        <f>RawSalesTable6[[#This Row],[Gross_Sales]]*RawSalesTable6[[#This Row],[Discount_Pct]]</f>
        <v>11.419499999999999</v>
      </c>
      <c r="AC296" s="8">
        <f>RawSalesTable6[[#This Row],[Gross_Sales]]-RawSalesTable6[[#This Row],[Discount_Amount]]</f>
        <v>64.710499999999996</v>
      </c>
      <c r="AD296" s="8">
        <f>RawSalesTable6[[#This Row],[Unit_Cost]]*RawSalesTable6[[#This Row],[Quantity]]</f>
        <v>39.26</v>
      </c>
      <c r="AE296" s="8">
        <f>RawSalesTable6[[#This Row],[Net_Sales]]-RawSalesTable6[[#This Row],[Total_Cost]]</f>
        <v>25.450499999999998</v>
      </c>
      <c r="AF296" s="9">
        <f>RawSalesTable6[[#This Row],[Profit]]/RawSalesTable6[[#This Row],[Net_Sales]]</f>
        <v>0.39329784192673523</v>
      </c>
      <c r="AG296" s="8">
        <f>YEAR(RawSalesTable6[[#This Row],[Order_Date]])</f>
        <v>2025</v>
      </c>
      <c r="AH296" s="8">
        <f>MONTH(RawSalesTable6[[#This Row],[Order_Date]])</f>
        <v>7</v>
      </c>
      <c r="AI296" s="8" t="str">
        <f>TEXT(RawSalesTable6[[#This Row],[Order_Date]],"mmmm")</f>
        <v>juillet</v>
      </c>
      <c r="AJ296" s="8" t="str">
        <f>IF(RawSalesTable6[[#This Row],[Month_Number]]&lt;=3,"Q1",IF(RawSalesTable6[[#This Row],[Month_Number]]&lt;=6,"Q2",IF(RawSalesTable6[[#This Row],[Month_Number]]&lt;=9,"Q3","Q4")))</f>
        <v>Q3</v>
      </c>
      <c r="AK296" s="8" t="str">
        <f>VLOOKUP(RawSalesTable6[[#This Row],[Customer_ID_Clean]],CustomersTable[],4,FALSE)</f>
        <v>Alberta</v>
      </c>
      <c r="AL296" s="8">
        <f>IF(RawSalesTable6[[#This Row],[Return_Status]]="Yes",1,0)</f>
        <v>0</v>
      </c>
    </row>
    <row r="297" spans="1:38">
      <c r="A297" t="s">
        <v>704</v>
      </c>
      <c r="B297" s="3">
        <v>45798</v>
      </c>
      <c r="C297" t="s">
        <v>466</v>
      </c>
      <c r="D297" t="s">
        <v>323</v>
      </c>
      <c r="E297" t="s">
        <v>467</v>
      </c>
      <c r="F297" t="s">
        <v>145</v>
      </c>
      <c r="G297" t="s">
        <v>130</v>
      </c>
      <c r="H297" t="s">
        <v>97</v>
      </c>
      <c r="I297">
        <v>2</v>
      </c>
      <c r="J297" s="2">
        <v>324.64</v>
      </c>
      <c r="K297" s="4">
        <v>0.15</v>
      </c>
      <c r="L297" t="s">
        <v>154</v>
      </c>
      <c r="M297">
        <v>1</v>
      </c>
      <c r="N297" t="s">
        <v>91</v>
      </c>
      <c r="O297" t="str">
        <f>SUBSTITUTE(PROPER(TRIM(RawSalesTable6[[#This Row],[Channel_Raw]])),"Market Place","Marketplace")</f>
        <v>Retail Store</v>
      </c>
      <c r="P297" t="str">
        <f>TRIM(RawSalesTable6[[#This Row],[Product_ID]])</f>
        <v>P1023</v>
      </c>
      <c r="Q297" t="str">
        <f>TRIM(RawSalesTable6[[#This Row],[Customer_ID]])</f>
        <v>C0096</v>
      </c>
      <c r="R297" s="8" t="str">
        <f>PROPER(TRIM(RawSalesTable6[[#This Row],[Store_Raw]]))</f>
        <v>Calgary North</v>
      </c>
      <c r="S297" s="8" t="str">
        <f>IF(TRIM(RawSalesTable6[[#This Row],[Payment_Method_Raw]])="","Non renseigné",SUBSTITUTE(PROPER(TRIM(RawSalesTable6[[#This Row],[Payment_Method_Raw]])),"Cc","Credit Card"))</f>
        <v>Gift Card</v>
      </c>
      <c r="T297" s="8">
        <f>COUNTIF(A:A,RawSalesTable6[[#This Row],[Order_ID]])</f>
        <v>1</v>
      </c>
      <c r="U297" s="8" t="str">
        <f>TRIM(LEFT(RawSalesTable6[[#This Row],[Customer_Info]],FIND(",",RawSalesTable6[[#This Row],[Customer_Info]])-1))</f>
        <v>Ryan Roy</v>
      </c>
      <c r="V297" s="8" t="str">
        <f>TRIM(MID(RawSalesTable6[[#This Row],[Customer_Info]],FIND(",",RawSalesTable6[[#This Row],[Customer_Info]])+1,FIND(",",RawSalesTable6[[#This Row],[Customer_Info]],FIND(",",RawSalesTable6[[#This Row],[Customer_Info]])+1)-FIND(",",RawSalesTable6[[#This Row],[Customer_Info]])-1))</f>
        <v>Laval</v>
      </c>
      <c r="W297" s="8" t="str">
        <f>TRIM(RIGHT(RawSalesTable6[[#This Row],[Customer_Info]],LEN(RawSalesTable6[[#This Row],[Customer_Info]])-FIND(",",RawSalesTable6[[#This Row],[Customer_Info]],FIND(",",RawSalesTable6[[#This Row],[Customer_Info]])+1)))</f>
        <v>Corporate</v>
      </c>
      <c r="X297" s="8" t="str">
        <f>VLOOKUP(RawSalesTable6[[#This Row],[Product_ID_Clean]],ProductsTable[],2,FALSE)</f>
        <v>Toaster</v>
      </c>
      <c r="Y297" s="8" t="str">
        <f>VLOOKUP(RawSalesTable6[[#This Row],[Product_ID_Clean]],ProductsTable[],3,FALSE)</f>
        <v>Home</v>
      </c>
      <c r="Z297" s="8">
        <f>VLOOKUP(RawSalesTable6[[#This Row],[Product_ID_Clean]],ProductsTable[],5,FALSE)</f>
        <v>152.88</v>
      </c>
      <c r="AA297" s="8">
        <f>RawSalesTable6[[#This Row],[Unit_Price]]*RawSalesTable6[[#This Row],[Quantity]]</f>
        <v>649.28</v>
      </c>
      <c r="AB297" s="8">
        <f>RawSalesTable6[[#This Row],[Gross_Sales]]*RawSalesTable6[[#This Row],[Discount_Pct]]</f>
        <v>97.391999999999996</v>
      </c>
      <c r="AC297" s="8">
        <f>RawSalesTable6[[#This Row],[Gross_Sales]]-RawSalesTable6[[#This Row],[Discount_Amount]]</f>
        <v>551.88799999999992</v>
      </c>
      <c r="AD297" s="8">
        <f>RawSalesTable6[[#This Row],[Unit_Cost]]*RawSalesTable6[[#This Row],[Quantity]]</f>
        <v>305.76</v>
      </c>
      <c r="AE297" s="8">
        <f>RawSalesTable6[[#This Row],[Net_Sales]]-RawSalesTable6[[#This Row],[Total_Cost]]</f>
        <v>246.12799999999993</v>
      </c>
      <c r="AF297" s="9">
        <f>RawSalesTable6[[#This Row],[Profit]]/RawSalesTable6[[#This Row],[Net_Sales]]</f>
        <v>0.44597454555996863</v>
      </c>
      <c r="AG297" s="8">
        <f>YEAR(RawSalesTable6[[#This Row],[Order_Date]])</f>
        <v>2025</v>
      </c>
      <c r="AH297" s="8">
        <f>MONTH(RawSalesTable6[[#This Row],[Order_Date]])</f>
        <v>5</v>
      </c>
      <c r="AI297" s="8" t="str">
        <f>TEXT(RawSalesTable6[[#This Row],[Order_Date]],"mmmm")</f>
        <v>mai</v>
      </c>
      <c r="AJ297" s="8" t="str">
        <f>IF(RawSalesTable6[[#This Row],[Month_Number]]&lt;=3,"Q1",IF(RawSalesTable6[[#This Row],[Month_Number]]&lt;=6,"Q2",IF(RawSalesTable6[[#This Row],[Month_Number]]&lt;=9,"Q3","Q4")))</f>
        <v>Q2</v>
      </c>
      <c r="AK297" s="8" t="str">
        <f>VLOOKUP(RawSalesTable6[[#This Row],[Customer_ID_Clean]],CustomersTable[],4,FALSE)</f>
        <v>Quebec</v>
      </c>
      <c r="AL297" s="8">
        <f>IF(RawSalesTable6[[#This Row],[Return_Status]]="Yes",1,0)</f>
        <v>0</v>
      </c>
    </row>
    <row r="298" spans="1:38">
      <c r="A298" t="s">
        <v>705</v>
      </c>
      <c r="B298" s="3">
        <v>45727</v>
      </c>
      <c r="C298" t="s">
        <v>706</v>
      </c>
      <c r="D298" t="s">
        <v>217</v>
      </c>
      <c r="E298" t="s">
        <v>707</v>
      </c>
      <c r="F298" t="s">
        <v>111</v>
      </c>
      <c r="G298" t="s">
        <v>130</v>
      </c>
      <c r="H298" t="s">
        <v>97</v>
      </c>
      <c r="I298">
        <v>1</v>
      </c>
      <c r="J298" s="2">
        <v>100.86</v>
      </c>
      <c r="K298" s="4">
        <v>0.2</v>
      </c>
      <c r="L298" t="s">
        <v>98</v>
      </c>
      <c r="M298">
        <v>2</v>
      </c>
      <c r="N298" t="s">
        <v>91</v>
      </c>
      <c r="O298" t="str">
        <f>SUBSTITUTE(PROPER(TRIM(RawSalesTable6[[#This Row],[Channel_Raw]])),"Market Place","Marketplace")</f>
        <v>Retail Store</v>
      </c>
      <c r="P298" t="str">
        <f>TRIM(RawSalesTable6[[#This Row],[Product_ID]])</f>
        <v>P1006</v>
      </c>
      <c r="Q298" t="str">
        <f>TRIM(RawSalesTable6[[#This Row],[Customer_ID]])</f>
        <v>C0006</v>
      </c>
      <c r="R298" s="8" t="str">
        <f>PROPER(TRIM(RawSalesTable6[[#This Row],[Store_Raw]]))</f>
        <v>Montreal Central</v>
      </c>
      <c r="S298" s="8" t="str">
        <f>IF(TRIM(RawSalesTable6[[#This Row],[Payment_Method_Raw]])="","Non renseigné",SUBSTITUTE(PROPER(TRIM(RawSalesTable6[[#This Row],[Payment_Method_Raw]])),"Cc","Credit Card"))</f>
        <v>Debit Card</v>
      </c>
      <c r="T298" s="8">
        <f>COUNTIF(A:A,RawSalesTable6[[#This Row],[Order_ID]])</f>
        <v>1</v>
      </c>
      <c r="U298" s="8" t="str">
        <f>TRIM(LEFT(RawSalesTable6[[#This Row],[Customer_Info]],FIND(",",RawSalesTable6[[#This Row],[Customer_Info]])-1))</f>
        <v>Nora Wilson</v>
      </c>
      <c r="V298" s="8" t="str">
        <f>TRIM(MID(RawSalesTable6[[#This Row],[Customer_Info]],FIND(",",RawSalesTable6[[#This Row],[Customer_Info]])+1,FIND(",",RawSalesTable6[[#This Row],[Customer_Info]],FIND(",",RawSalesTable6[[#This Row],[Customer_Info]])+1)-FIND(",",RawSalesTable6[[#This Row],[Customer_Info]])-1))</f>
        <v>Laval</v>
      </c>
      <c r="W298" s="8" t="str">
        <f>TRIM(RIGHT(RawSalesTable6[[#This Row],[Customer_Info]],LEN(RawSalesTable6[[#This Row],[Customer_Info]])-FIND(",",RawSalesTable6[[#This Row],[Customer_Info]],FIND(",",RawSalesTable6[[#This Row],[Customer_Info]])+1)))</f>
        <v>Consumer</v>
      </c>
      <c r="X298" s="8" t="str">
        <f>VLOOKUP(RawSalesTable6[[#This Row],[Product_ID_Clean]],ProductsTable[],2,FALSE)</f>
        <v>USB-C Hub</v>
      </c>
      <c r="Y298" s="8" t="str">
        <f>VLOOKUP(RawSalesTable6[[#This Row],[Product_ID_Clean]],ProductsTable[],3,FALSE)</f>
        <v>Electronics</v>
      </c>
      <c r="Z298" s="8">
        <f>VLOOKUP(RawSalesTable6[[#This Row],[Product_ID_Clean]],ProductsTable[],5,FALSE)</f>
        <v>72</v>
      </c>
      <c r="AA298" s="8">
        <f>RawSalesTable6[[#This Row],[Unit_Price]]*RawSalesTable6[[#This Row],[Quantity]]</f>
        <v>100.86</v>
      </c>
      <c r="AB298" s="8">
        <f>RawSalesTable6[[#This Row],[Gross_Sales]]*RawSalesTable6[[#This Row],[Discount_Pct]]</f>
        <v>20.172000000000001</v>
      </c>
      <c r="AC298" s="8">
        <f>RawSalesTable6[[#This Row],[Gross_Sales]]-RawSalesTable6[[#This Row],[Discount_Amount]]</f>
        <v>80.688000000000002</v>
      </c>
      <c r="AD298" s="8">
        <f>RawSalesTable6[[#This Row],[Unit_Cost]]*RawSalesTable6[[#This Row],[Quantity]]</f>
        <v>72</v>
      </c>
      <c r="AE298" s="8">
        <f>RawSalesTable6[[#This Row],[Net_Sales]]-RawSalesTable6[[#This Row],[Total_Cost]]</f>
        <v>8.6880000000000024</v>
      </c>
      <c r="AF298" s="9">
        <f>RawSalesTable6[[#This Row],[Profit]]/RawSalesTable6[[#This Row],[Net_Sales]]</f>
        <v>0.10767400356930401</v>
      </c>
      <c r="AG298" s="8">
        <f>YEAR(RawSalesTable6[[#This Row],[Order_Date]])</f>
        <v>2025</v>
      </c>
      <c r="AH298" s="8">
        <f>MONTH(RawSalesTable6[[#This Row],[Order_Date]])</f>
        <v>3</v>
      </c>
      <c r="AI298" s="8" t="str">
        <f>TEXT(RawSalesTable6[[#This Row],[Order_Date]],"mmmm")</f>
        <v>mars</v>
      </c>
      <c r="AJ298" s="8" t="str">
        <f>IF(RawSalesTable6[[#This Row],[Month_Number]]&lt;=3,"Q1",IF(RawSalesTable6[[#This Row],[Month_Number]]&lt;=6,"Q2",IF(RawSalesTable6[[#This Row],[Month_Number]]&lt;=9,"Q3","Q4")))</f>
        <v>Q1</v>
      </c>
      <c r="AK298" s="8" t="str">
        <f>VLOOKUP(RawSalesTable6[[#This Row],[Customer_ID_Clean]],CustomersTable[],4,FALSE)</f>
        <v>Quebec</v>
      </c>
      <c r="AL298" s="8">
        <f>IF(RawSalesTable6[[#This Row],[Return_Status]]="Yes",1,0)</f>
        <v>0</v>
      </c>
    </row>
    <row r="299" spans="1:38">
      <c r="A299" t="s">
        <v>708</v>
      </c>
      <c r="B299" s="3">
        <v>45849</v>
      </c>
      <c r="C299" t="s">
        <v>189</v>
      </c>
      <c r="D299" t="s">
        <v>303</v>
      </c>
      <c r="E299" t="s">
        <v>457</v>
      </c>
      <c r="F299" t="s">
        <v>111</v>
      </c>
      <c r="G299" t="s">
        <v>96</v>
      </c>
      <c r="H299" t="s">
        <v>97</v>
      </c>
      <c r="I299">
        <v>1</v>
      </c>
      <c r="J299" s="2">
        <v>152.72999999999999</v>
      </c>
      <c r="K299" s="4">
        <v>0.25</v>
      </c>
      <c r="L299" t="s">
        <v>98</v>
      </c>
      <c r="M299">
        <v>3</v>
      </c>
      <c r="N299" t="s">
        <v>91</v>
      </c>
      <c r="O299" t="str">
        <f>SUBSTITUTE(PROPER(TRIM(RawSalesTable6[[#This Row],[Channel_Raw]])),"Market Place","Marketplace")</f>
        <v>Retail Store</v>
      </c>
      <c r="P299" t="str">
        <f>TRIM(RawSalesTable6[[#This Row],[Product_ID]])</f>
        <v>P1036</v>
      </c>
      <c r="Q299" t="str">
        <f>TRIM(RawSalesTable6[[#This Row],[Customer_ID]])</f>
        <v>C0054</v>
      </c>
      <c r="R299" s="8" t="str">
        <f>PROPER(TRIM(RawSalesTable6[[#This Row],[Store_Raw]]))</f>
        <v>Montreal Central</v>
      </c>
      <c r="S299" s="8" t="str">
        <f>IF(TRIM(RawSalesTable6[[#This Row],[Payment_Method_Raw]])="","Non renseigné",SUBSTITUTE(PROPER(TRIM(RawSalesTable6[[#This Row],[Payment_Method_Raw]])),"Cc","Credit Card"))</f>
        <v>Debit Card</v>
      </c>
      <c r="T299" s="8">
        <f>COUNTIF(A:A,RawSalesTable6[[#This Row],[Order_ID]])</f>
        <v>1</v>
      </c>
      <c r="U299" s="8" t="str">
        <f>TRIM(LEFT(RawSalesTable6[[#This Row],[Customer_Info]],FIND(",",RawSalesTable6[[#This Row],[Customer_Info]])-1))</f>
        <v>Maya Hall</v>
      </c>
      <c r="V299" s="8" t="str">
        <f>TRIM(MID(RawSalesTable6[[#This Row],[Customer_Info]],FIND(",",RawSalesTable6[[#This Row],[Customer_Info]])+1,FIND(",",RawSalesTable6[[#This Row],[Customer_Info]],FIND(",",RawSalesTable6[[#This Row],[Customer_Info]])+1)-FIND(",",RawSalesTable6[[#This Row],[Customer_Info]])-1))</f>
        <v>Surrey</v>
      </c>
      <c r="W299" s="8" t="str">
        <f>TRIM(RIGHT(RawSalesTable6[[#This Row],[Customer_Info]],LEN(RawSalesTable6[[#This Row],[Customer_Info]])-FIND(",",RawSalesTable6[[#This Row],[Customer_Info]],FIND(",",RawSalesTable6[[#This Row],[Customer_Info]])+1)))</f>
        <v>Small Business</v>
      </c>
      <c r="X299" s="8" t="str">
        <f>VLOOKUP(RawSalesTable6[[#This Row],[Product_ID_Clean]],ProductsTable[],2,FALSE)</f>
        <v>Power Bank</v>
      </c>
      <c r="Y299" s="8" t="str">
        <f>VLOOKUP(RawSalesTable6[[#This Row],[Product_ID_Clean]],ProductsTable[],3,FALSE)</f>
        <v>Accessories</v>
      </c>
      <c r="Z299" s="8">
        <f>VLOOKUP(RawSalesTable6[[#This Row],[Product_ID_Clean]],ProductsTable[],5,FALSE)</f>
        <v>76.97</v>
      </c>
      <c r="AA299" s="8">
        <f>RawSalesTable6[[#This Row],[Unit_Price]]*RawSalesTable6[[#This Row],[Quantity]]</f>
        <v>152.72999999999999</v>
      </c>
      <c r="AB299" s="8">
        <f>RawSalesTable6[[#This Row],[Gross_Sales]]*RawSalesTable6[[#This Row],[Discount_Pct]]</f>
        <v>38.182499999999997</v>
      </c>
      <c r="AC299" s="8">
        <f>RawSalesTable6[[#This Row],[Gross_Sales]]-RawSalesTable6[[#This Row],[Discount_Amount]]</f>
        <v>114.54749999999999</v>
      </c>
      <c r="AD299" s="8">
        <f>RawSalesTable6[[#This Row],[Unit_Cost]]*RawSalesTable6[[#This Row],[Quantity]]</f>
        <v>76.97</v>
      </c>
      <c r="AE299" s="8">
        <f>RawSalesTable6[[#This Row],[Net_Sales]]-RawSalesTable6[[#This Row],[Total_Cost]]</f>
        <v>37.577499999999986</v>
      </c>
      <c r="AF299" s="9">
        <f>RawSalesTable6[[#This Row],[Profit]]/RawSalesTable6[[#This Row],[Net_Sales]]</f>
        <v>0.32805168161679643</v>
      </c>
      <c r="AG299" s="8">
        <f>YEAR(RawSalesTable6[[#This Row],[Order_Date]])</f>
        <v>2025</v>
      </c>
      <c r="AH299" s="8">
        <f>MONTH(RawSalesTable6[[#This Row],[Order_Date]])</f>
        <v>7</v>
      </c>
      <c r="AI299" s="8" t="str">
        <f>TEXT(RawSalesTable6[[#This Row],[Order_Date]],"mmmm")</f>
        <v>juillet</v>
      </c>
      <c r="AJ299" s="8" t="str">
        <f>IF(RawSalesTable6[[#This Row],[Month_Number]]&lt;=3,"Q1",IF(RawSalesTable6[[#This Row],[Month_Number]]&lt;=6,"Q2",IF(RawSalesTable6[[#This Row],[Month_Number]]&lt;=9,"Q3","Q4")))</f>
        <v>Q3</v>
      </c>
      <c r="AK299" s="8" t="str">
        <f>VLOOKUP(RawSalesTable6[[#This Row],[Customer_ID_Clean]],CustomersTable[],4,FALSE)</f>
        <v>British Columbia</v>
      </c>
      <c r="AL299" s="8">
        <f>IF(RawSalesTable6[[#This Row],[Return_Status]]="Yes",1,0)</f>
        <v>0</v>
      </c>
    </row>
    <row r="300" spans="1:38">
      <c r="A300" t="s">
        <v>709</v>
      </c>
      <c r="B300" s="3">
        <v>45973</v>
      </c>
      <c r="C300" t="s">
        <v>613</v>
      </c>
      <c r="D300" t="s">
        <v>323</v>
      </c>
      <c r="E300" t="s">
        <v>710</v>
      </c>
      <c r="F300" t="s">
        <v>111</v>
      </c>
      <c r="G300" t="s">
        <v>122</v>
      </c>
      <c r="H300" t="s">
        <v>97</v>
      </c>
      <c r="I300">
        <v>1</v>
      </c>
      <c r="J300" s="2">
        <v>316.62</v>
      </c>
      <c r="K300" s="4">
        <v>0</v>
      </c>
      <c r="L300" t="s">
        <v>106</v>
      </c>
      <c r="M300">
        <v>1</v>
      </c>
      <c r="N300" t="s">
        <v>91</v>
      </c>
      <c r="O300" t="str">
        <f>SUBSTITUTE(PROPER(TRIM(RawSalesTable6[[#This Row],[Channel_Raw]])),"Market Place","Marketplace")</f>
        <v>Retail Store</v>
      </c>
      <c r="P300" t="str">
        <f>TRIM(RawSalesTable6[[#This Row],[Product_ID]])</f>
        <v>P1023</v>
      </c>
      <c r="Q300" t="str">
        <f>TRIM(RawSalesTable6[[#This Row],[Customer_ID]])</f>
        <v>C0060</v>
      </c>
      <c r="R300" s="8" t="str">
        <f>PROPER(TRIM(RawSalesTable6[[#This Row],[Store_Raw]]))</f>
        <v>Montreal Central</v>
      </c>
      <c r="S300" s="8" t="str">
        <f>IF(TRIM(RawSalesTable6[[#This Row],[Payment_Method_Raw]])="","Non renseigné",SUBSTITUTE(PROPER(TRIM(RawSalesTable6[[#This Row],[Payment_Method_Raw]])),"Cc","Credit Card"))</f>
        <v>Credit Card</v>
      </c>
      <c r="T300" s="8">
        <f>COUNTIF(A:A,RawSalesTable6[[#This Row],[Order_ID]])</f>
        <v>1</v>
      </c>
      <c r="U300" s="8" t="str">
        <f>TRIM(LEFT(RawSalesTable6[[#This Row],[Customer_Info]],FIND(",",RawSalesTable6[[#This Row],[Customer_Info]])-1))</f>
        <v>Sarah Wilson</v>
      </c>
      <c r="V300" s="8" t="str">
        <f>TRIM(MID(RawSalesTable6[[#This Row],[Customer_Info]],FIND(",",RawSalesTable6[[#This Row],[Customer_Info]])+1,FIND(",",RawSalesTable6[[#This Row],[Customer_Info]],FIND(",",RawSalesTable6[[#This Row],[Customer_Info]])+1)-FIND(",",RawSalesTable6[[#This Row],[Customer_Info]])-1))</f>
        <v>Quebec City</v>
      </c>
      <c r="W300" s="8" t="str">
        <f>TRIM(RIGHT(RawSalesTable6[[#This Row],[Customer_Info]],LEN(RawSalesTable6[[#This Row],[Customer_Info]])-FIND(",",RawSalesTable6[[#This Row],[Customer_Info]],FIND(",",RawSalesTable6[[#This Row],[Customer_Info]])+1)))</f>
        <v>Corporate</v>
      </c>
      <c r="X300" s="8" t="str">
        <f>VLOOKUP(RawSalesTable6[[#This Row],[Product_ID_Clean]],ProductsTable[],2,FALSE)</f>
        <v>Toaster</v>
      </c>
      <c r="Y300" s="8" t="str">
        <f>VLOOKUP(RawSalesTable6[[#This Row],[Product_ID_Clean]],ProductsTable[],3,FALSE)</f>
        <v>Home</v>
      </c>
      <c r="Z300" s="8">
        <f>VLOOKUP(RawSalesTable6[[#This Row],[Product_ID_Clean]],ProductsTable[],5,FALSE)</f>
        <v>152.88</v>
      </c>
      <c r="AA300" s="8">
        <f>RawSalesTable6[[#This Row],[Unit_Price]]*RawSalesTable6[[#This Row],[Quantity]]</f>
        <v>316.62</v>
      </c>
      <c r="AB300" s="8">
        <f>RawSalesTable6[[#This Row],[Gross_Sales]]*RawSalesTable6[[#This Row],[Discount_Pct]]</f>
        <v>0</v>
      </c>
      <c r="AC300" s="8">
        <f>RawSalesTable6[[#This Row],[Gross_Sales]]-RawSalesTable6[[#This Row],[Discount_Amount]]</f>
        <v>316.62</v>
      </c>
      <c r="AD300" s="8">
        <f>RawSalesTable6[[#This Row],[Unit_Cost]]*RawSalesTable6[[#This Row],[Quantity]]</f>
        <v>152.88</v>
      </c>
      <c r="AE300" s="8">
        <f>RawSalesTable6[[#This Row],[Net_Sales]]-RawSalesTable6[[#This Row],[Total_Cost]]</f>
        <v>163.74</v>
      </c>
      <c r="AF300" s="9">
        <f>RawSalesTable6[[#This Row],[Profit]]/RawSalesTable6[[#This Row],[Net_Sales]]</f>
        <v>0.51714989577411408</v>
      </c>
      <c r="AG300" s="8">
        <f>YEAR(RawSalesTable6[[#This Row],[Order_Date]])</f>
        <v>2025</v>
      </c>
      <c r="AH300" s="8">
        <f>MONTH(RawSalesTable6[[#This Row],[Order_Date]])</f>
        <v>11</v>
      </c>
      <c r="AI300" s="8" t="str">
        <f>TEXT(RawSalesTable6[[#This Row],[Order_Date]],"mmmm")</f>
        <v>novembre</v>
      </c>
      <c r="AJ300" s="8" t="str">
        <f>IF(RawSalesTable6[[#This Row],[Month_Number]]&lt;=3,"Q1",IF(RawSalesTable6[[#This Row],[Month_Number]]&lt;=6,"Q2",IF(RawSalesTable6[[#This Row],[Month_Number]]&lt;=9,"Q3","Q4")))</f>
        <v>Q4</v>
      </c>
      <c r="AK300" s="8" t="str">
        <f>VLOOKUP(RawSalesTable6[[#This Row],[Customer_ID_Clean]],CustomersTable[],4,FALSE)</f>
        <v>Quebec</v>
      </c>
      <c r="AL300" s="8">
        <f>IF(RawSalesTable6[[#This Row],[Return_Status]]="Yes",1,0)</f>
        <v>0</v>
      </c>
    </row>
    <row r="301" spans="1:38">
      <c r="A301" t="s">
        <v>711</v>
      </c>
      <c r="B301" s="3">
        <v>45809</v>
      </c>
      <c r="C301" t="s">
        <v>438</v>
      </c>
      <c r="D301" t="s">
        <v>85</v>
      </c>
      <c r="E301" t="s">
        <v>439</v>
      </c>
      <c r="F301" t="s">
        <v>111</v>
      </c>
      <c r="G301" t="s">
        <v>117</v>
      </c>
      <c r="H301" t="s">
        <v>97</v>
      </c>
      <c r="I301">
        <v>2</v>
      </c>
      <c r="J301" s="2">
        <v>308.31</v>
      </c>
      <c r="K301" s="4">
        <v>0.05</v>
      </c>
      <c r="L301" t="s">
        <v>504</v>
      </c>
      <c r="M301">
        <v>3</v>
      </c>
      <c r="N301" t="s">
        <v>91</v>
      </c>
      <c r="O301" t="str">
        <f>SUBSTITUTE(PROPER(TRIM(RawSalesTable6[[#This Row],[Channel_Raw]])),"Market Place","Marketplace")</f>
        <v>Retail Store</v>
      </c>
      <c r="P301" t="str">
        <f>TRIM(RawSalesTable6[[#This Row],[Product_ID]])</f>
        <v>P1025</v>
      </c>
      <c r="Q301" t="str">
        <f>TRIM(RawSalesTable6[[#This Row],[Customer_ID]])</f>
        <v>C0028</v>
      </c>
      <c r="R301" s="8" t="str">
        <f>PROPER(TRIM(RawSalesTable6[[#This Row],[Store_Raw]]))</f>
        <v>Montreal Central</v>
      </c>
      <c r="S301" s="8" t="str">
        <f>IF(TRIM(RawSalesTable6[[#This Row],[Payment_Method_Raw]])="","Non renseigné",SUBSTITUTE(PROPER(TRIM(RawSalesTable6[[#This Row],[Payment_Method_Raw]])),"Cc","Credit Card"))</f>
        <v>Debit Card</v>
      </c>
      <c r="T301" s="8">
        <f>COUNTIF(A:A,RawSalesTable6[[#This Row],[Order_ID]])</f>
        <v>1</v>
      </c>
      <c r="U301" s="8" t="str">
        <f>TRIM(LEFT(RawSalesTable6[[#This Row],[Customer_Info]],FIND(",",RawSalesTable6[[#This Row],[Customer_Info]])-1))</f>
        <v>Mia Clark</v>
      </c>
      <c r="V301" s="8" t="str">
        <f>TRIM(MID(RawSalesTable6[[#This Row],[Customer_Info]],FIND(",",RawSalesTable6[[#This Row],[Customer_Info]])+1,FIND(",",RawSalesTable6[[#This Row],[Customer_Info]],FIND(",",RawSalesTable6[[#This Row],[Customer_Info]])+1)-FIND(",",RawSalesTable6[[#This Row],[Customer_Info]])-1))</f>
        <v>Victoria</v>
      </c>
      <c r="W301" s="8" t="str">
        <f>TRIM(RIGHT(RawSalesTable6[[#This Row],[Customer_Info]],LEN(RawSalesTable6[[#This Row],[Customer_Info]])-FIND(",",RawSalesTable6[[#This Row],[Customer_Info]],FIND(",",RawSalesTable6[[#This Row],[Customer_Info]])+1)))</f>
        <v>Consumer</v>
      </c>
      <c r="X301" s="8" t="str">
        <f>VLOOKUP(RawSalesTable6[[#This Row],[Product_ID_Clean]],ProductsTable[],2,FALSE)</f>
        <v>Yoga Mat</v>
      </c>
      <c r="Y301" s="8" t="str">
        <f>VLOOKUP(RawSalesTable6[[#This Row],[Product_ID_Clean]],ProductsTable[],3,FALSE)</f>
        <v>Fitness</v>
      </c>
      <c r="Z301" s="8">
        <f>VLOOKUP(RawSalesTable6[[#This Row],[Product_ID_Clean]],ProductsTable[],5,FALSE)</f>
        <v>197.33</v>
      </c>
      <c r="AA301" s="8">
        <f>RawSalesTable6[[#This Row],[Unit_Price]]*RawSalesTable6[[#This Row],[Quantity]]</f>
        <v>616.62</v>
      </c>
      <c r="AB301" s="8">
        <f>RawSalesTable6[[#This Row],[Gross_Sales]]*RawSalesTable6[[#This Row],[Discount_Pct]]</f>
        <v>30.831000000000003</v>
      </c>
      <c r="AC301" s="8">
        <f>RawSalesTable6[[#This Row],[Gross_Sales]]-RawSalesTable6[[#This Row],[Discount_Amount]]</f>
        <v>585.78899999999999</v>
      </c>
      <c r="AD301" s="8">
        <f>RawSalesTable6[[#This Row],[Unit_Cost]]*RawSalesTable6[[#This Row],[Quantity]]</f>
        <v>394.66</v>
      </c>
      <c r="AE301" s="8">
        <f>RawSalesTable6[[#This Row],[Net_Sales]]-RawSalesTable6[[#This Row],[Total_Cost]]</f>
        <v>191.12899999999996</v>
      </c>
      <c r="AF301" s="9">
        <f>RawSalesTable6[[#This Row],[Profit]]/RawSalesTable6[[#This Row],[Net_Sales]]</f>
        <v>0.3262761847696013</v>
      </c>
      <c r="AG301" s="8">
        <f>YEAR(RawSalesTable6[[#This Row],[Order_Date]])</f>
        <v>2025</v>
      </c>
      <c r="AH301" s="8">
        <f>MONTH(RawSalesTable6[[#This Row],[Order_Date]])</f>
        <v>6</v>
      </c>
      <c r="AI301" s="8" t="str">
        <f>TEXT(RawSalesTable6[[#This Row],[Order_Date]],"mmmm")</f>
        <v>juin</v>
      </c>
      <c r="AJ301" s="8" t="str">
        <f>IF(RawSalesTable6[[#This Row],[Month_Number]]&lt;=3,"Q1",IF(RawSalesTable6[[#This Row],[Month_Number]]&lt;=6,"Q2",IF(RawSalesTable6[[#This Row],[Month_Number]]&lt;=9,"Q3","Q4")))</f>
        <v>Q2</v>
      </c>
      <c r="AK301" s="8" t="str">
        <f>VLOOKUP(RawSalesTable6[[#This Row],[Customer_ID_Clean]],CustomersTable[],4,FALSE)</f>
        <v>British Columbia</v>
      </c>
      <c r="AL301" s="8">
        <f>IF(RawSalesTable6[[#This Row],[Return_Status]]="Yes",1,0)</f>
        <v>0</v>
      </c>
    </row>
    <row r="302" spans="1:38">
      <c r="A302" t="s">
        <v>712</v>
      </c>
      <c r="B302" s="3">
        <v>45676</v>
      </c>
      <c r="C302" t="s">
        <v>326</v>
      </c>
      <c r="D302" t="s">
        <v>143</v>
      </c>
      <c r="E302" t="s">
        <v>327</v>
      </c>
      <c r="F302" t="s">
        <v>103</v>
      </c>
      <c r="G302" t="s">
        <v>104</v>
      </c>
      <c r="H302" t="s">
        <v>89</v>
      </c>
      <c r="I302">
        <v>2</v>
      </c>
      <c r="J302" s="2">
        <v>253.83</v>
      </c>
      <c r="K302" s="4">
        <v>0.1</v>
      </c>
      <c r="L302" t="s">
        <v>98</v>
      </c>
      <c r="M302">
        <v>9</v>
      </c>
      <c r="N302" t="s">
        <v>91</v>
      </c>
      <c r="O302" t="str">
        <f>SUBSTITUTE(PROPER(TRIM(RawSalesTable6[[#This Row],[Channel_Raw]])),"Market Place","Marketplace")</f>
        <v>Online</v>
      </c>
      <c r="P302" t="str">
        <f>TRIM(RawSalesTable6[[#This Row],[Product_ID]])</f>
        <v>P1038</v>
      </c>
      <c r="Q302" t="str">
        <f>TRIM(RawSalesTable6[[#This Row],[Customer_ID]])</f>
        <v>C0092</v>
      </c>
      <c r="R302" s="8" t="str">
        <f>PROPER(TRIM(RawSalesTable6[[#This Row],[Store_Raw]]))</f>
        <v>Vancouver West</v>
      </c>
      <c r="S302" s="8" t="str">
        <f>IF(TRIM(RawSalesTable6[[#This Row],[Payment_Method_Raw]])="","Non renseigné",SUBSTITUTE(PROPER(TRIM(RawSalesTable6[[#This Row],[Payment_Method_Raw]])),"Cc","Credit Card"))</f>
        <v>Debit Card</v>
      </c>
      <c r="T302" s="8">
        <f>COUNTIF(A:A,RawSalesTable6[[#This Row],[Order_ID]])</f>
        <v>1</v>
      </c>
      <c r="U302" s="8" t="str">
        <f>TRIM(LEFT(RawSalesTable6[[#This Row],[Customer_Info]],FIND(",",RawSalesTable6[[#This Row],[Customer_Info]])-1))</f>
        <v>Lucas Tremblay</v>
      </c>
      <c r="V302" s="8" t="str">
        <f>TRIM(MID(RawSalesTable6[[#This Row],[Customer_Info]],FIND(",",RawSalesTable6[[#This Row],[Customer_Info]])+1,FIND(",",RawSalesTable6[[#This Row],[Customer_Info]],FIND(",",RawSalesTable6[[#This Row],[Customer_Info]])+1)-FIND(",",RawSalesTable6[[#This Row],[Customer_Info]])-1))</f>
        <v>Saskatoon</v>
      </c>
      <c r="W302" s="8" t="str">
        <f>TRIM(RIGHT(RawSalesTable6[[#This Row],[Customer_Info]],LEN(RawSalesTable6[[#This Row],[Customer_Info]])-FIND(",",RawSalesTable6[[#This Row],[Customer_Info]],FIND(",",RawSalesTable6[[#This Row],[Customer_Info]])+1)))</f>
        <v>Consumer</v>
      </c>
      <c r="X302" s="8" t="str">
        <f>VLOOKUP(RawSalesTable6[[#This Row],[Product_ID_Clean]],ProductsTable[],2,FALSE)</f>
        <v>Water Bottle</v>
      </c>
      <c r="Y302" s="8" t="str">
        <f>VLOOKUP(RawSalesTable6[[#This Row],[Product_ID_Clean]],ProductsTable[],3,FALSE)</f>
        <v>Accessories</v>
      </c>
      <c r="Z302" s="8">
        <f>VLOOKUP(RawSalesTable6[[#This Row],[Product_ID_Clean]],ProductsTable[],5,FALSE)</f>
        <v>119.16</v>
      </c>
      <c r="AA302" s="8">
        <f>RawSalesTable6[[#This Row],[Unit_Price]]*RawSalesTable6[[#This Row],[Quantity]]</f>
        <v>507.66</v>
      </c>
      <c r="AB302" s="8">
        <f>RawSalesTable6[[#This Row],[Gross_Sales]]*RawSalesTable6[[#This Row],[Discount_Pct]]</f>
        <v>50.766000000000005</v>
      </c>
      <c r="AC302" s="8">
        <f>RawSalesTable6[[#This Row],[Gross_Sales]]-RawSalesTable6[[#This Row],[Discount_Amount]]</f>
        <v>456.89400000000001</v>
      </c>
      <c r="AD302" s="8">
        <f>RawSalesTable6[[#This Row],[Unit_Cost]]*RawSalesTable6[[#This Row],[Quantity]]</f>
        <v>238.32</v>
      </c>
      <c r="AE302" s="8">
        <f>RawSalesTable6[[#This Row],[Net_Sales]]-RawSalesTable6[[#This Row],[Total_Cost]]</f>
        <v>218.57400000000001</v>
      </c>
      <c r="AF302" s="9">
        <f>RawSalesTable6[[#This Row],[Profit]]/RawSalesTable6[[#This Row],[Net_Sales]]</f>
        <v>0.47839104912736874</v>
      </c>
      <c r="AG302" s="8">
        <f>YEAR(RawSalesTable6[[#This Row],[Order_Date]])</f>
        <v>2025</v>
      </c>
      <c r="AH302" s="8">
        <f>MONTH(RawSalesTable6[[#This Row],[Order_Date]])</f>
        <v>1</v>
      </c>
      <c r="AI302" s="8" t="str">
        <f>TEXT(RawSalesTable6[[#This Row],[Order_Date]],"mmmm")</f>
        <v>janvier</v>
      </c>
      <c r="AJ302" s="8" t="str">
        <f>IF(RawSalesTable6[[#This Row],[Month_Number]]&lt;=3,"Q1",IF(RawSalesTable6[[#This Row],[Month_Number]]&lt;=6,"Q2",IF(RawSalesTable6[[#This Row],[Month_Number]]&lt;=9,"Q3","Q4")))</f>
        <v>Q1</v>
      </c>
      <c r="AK302" s="8" t="str">
        <f>VLOOKUP(RawSalesTable6[[#This Row],[Customer_ID_Clean]],CustomersTable[],4,FALSE)</f>
        <v>Saskatchewan</v>
      </c>
      <c r="AL302" s="8">
        <f>IF(RawSalesTable6[[#This Row],[Return_Status]]="Yes",1,0)</f>
        <v>0</v>
      </c>
    </row>
    <row r="303" spans="1:38">
      <c r="A303" t="s">
        <v>713</v>
      </c>
      <c r="B303" s="3">
        <v>45696</v>
      </c>
      <c r="C303" t="s">
        <v>414</v>
      </c>
      <c r="D303" t="s">
        <v>226</v>
      </c>
      <c r="E303" t="s">
        <v>415</v>
      </c>
      <c r="F303" t="s">
        <v>145</v>
      </c>
      <c r="G303" t="s">
        <v>171</v>
      </c>
      <c r="H303" t="s">
        <v>89</v>
      </c>
      <c r="I303">
        <v>1</v>
      </c>
      <c r="J303" s="2">
        <v>218.34</v>
      </c>
      <c r="K303" s="4">
        <v>0.15</v>
      </c>
      <c r="L303" t="s">
        <v>106</v>
      </c>
      <c r="M303">
        <v>5</v>
      </c>
      <c r="N303" t="s">
        <v>91</v>
      </c>
      <c r="O303" t="str">
        <f>SUBSTITUTE(PROPER(TRIM(RawSalesTable6[[#This Row],[Channel_Raw]])),"Market Place","Marketplace")</f>
        <v>Online</v>
      </c>
      <c r="P303" t="str">
        <f>TRIM(RawSalesTable6[[#This Row],[Product_ID]])</f>
        <v>P1010</v>
      </c>
      <c r="Q303" t="str">
        <f>TRIM(RawSalesTable6[[#This Row],[Customer_ID]])</f>
        <v>C0052</v>
      </c>
      <c r="R303" s="8" t="str">
        <f>PROPER(TRIM(RawSalesTable6[[#This Row],[Store_Raw]]))</f>
        <v>Calgary North</v>
      </c>
      <c r="S303" s="8" t="str">
        <f>IF(TRIM(RawSalesTable6[[#This Row],[Payment_Method_Raw]])="","Non renseigné",SUBSTITUTE(PROPER(TRIM(RawSalesTable6[[#This Row],[Payment_Method_Raw]])),"Cc","Credit Card"))</f>
        <v>Credit Card</v>
      </c>
      <c r="T303" s="8">
        <f>COUNTIF(A:A,RawSalesTable6[[#This Row],[Order_ID]])</f>
        <v>1</v>
      </c>
      <c r="U303" s="8" t="str">
        <f>TRIM(LEFT(RawSalesTable6[[#This Row],[Customer_Info]],FIND(",",RawSalesTable6[[#This Row],[Customer_Info]])-1))</f>
        <v>Liam Bennett</v>
      </c>
      <c r="V303" s="8" t="str">
        <f>TRIM(MID(RawSalesTable6[[#This Row],[Customer_Info]],FIND(",",RawSalesTable6[[#This Row],[Customer_Info]])+1,FIND(",",RawSalesTable6[[#This Row],[Customer_Info]],FIND(",",RawSalesTable6[[#This Row],[Customer_Info]])+1)-FIND(",",RawSalesTable6[[#This Row],[Customer_Info]])-1))</f>
        <v>Edmonton</v>
      </c>
      <c r="W303" s="8" t="str">
        <f>TRIM(RIGHT(RawSalesTable6[[#This Row],[Customer_Info]],LEN(RawSalesTable6[[#This Row],[Customer_Info]])-FIND(",",RawSalesTable6[[#This Row],[Customer_Info]],FIND(",",RawSalesTable6[[#This Row],[Customer_Info]])+1)))</f>
        <v>Corporate</v>
      </c>
      <c r="X303" s="8" t="str">
        <f>VLOOKUP(RawSalesTable6[[#This Row],[Product_ID_Clean]],ProductsTable[],2,FALSE)</f>
        <v>Desk Lamp</v>
      </c>
      <c r="Y303" s="8" t="str">
        <f>VLOOKUP(RawSalesTable6[[#This Row],[Product_ID_Clean]],ProductsTable[],3,FALSE)</f>
        <v>Office</v>
      </c>
      <c r="Z303" s="8">
        <f>VLOOKUP(RawSalesTable6[[#This Row],[Product_ID_Clean]],ProductsTable[],5,FALSE)</f>
        <v>127.21</v>
      </c>
      <c r="AA303" s="8">
        <f>RawSalesTable6[[#This Row],[Unit_Price]]*RawSalesTable6[[#This Row],[Quantity]]</f>
        <v>218.34</v>
      </c>
      <c r="AB303" s="8">
        <f>RawSalesTable6[[#This Row],[Gross_Sales]]*RawSalesTable6[[#This Row],[Discount_Pct]]</f>
        <v>32.750999999999998</v>
      </c>
      <c r="AC303" s="8">
        <f>RawSalesTable6[[#This Row],[Gross_Sales]]-RawSalesTable6[[#This Row],[Discount_Amount]]</f>
        <v>185.589</v>
      </c>
      <c r="AD303" s="8">
        <f>RawSalesTable6[[#This Row],[Unit_Cost]]*RawSalesTable6[[#This Row],[Quantity]]</f>
        <v>127.21</v>
      </c>
      <c r="AE303" s="8">
        <f>RawSalesTable6[[#This Row],[Net_Sales]]-RawSalesTable6[[#This Row],[Total_Cost]]</f>
        <v>58.379000000000005</v>
      </c>
      <c r="AF303" s="9">
        <f>RawSalesTable6[[#This Row],[Profit]]/RawSalesTable6[[#This Row],[Net_Sales]]</f>
        <v>0.31456066900516738</v>
      </c>
      <c r="AG303" s="8">
        <f>YEAR(RawSalesTable6[[#This Row],[Order_Date]])</f>
        <v>2025</v>
      </c>
      <c r="AH303" s="8">
        <f>MONTH(RawSalesTable6[[#This Row],[Order_Date]])</f>
        <v>2</v>
      </c>
      <c r="AI303" s="8" t="str">
        <f>TEXT(RawSalesTable6[[#This Row],[Order_Date]],"mmmm")</f>
        <v>février</v>
      </c>
      <c r="AJ303" s="8" t="str">
        <f>IF(RawSalesTable6[[#This Row],[Month_Number]]&lt;=3,"Q1",IF(RawSalesTable6[[#This Row],[Month_Number]]&lt;=6,"Q2",IF(RawSalesTable6[[#This Row],[Month_Number]]&lt;=9,"Q3","Q4")))</f>
        <v>Q1</v>
      </c>
      <c r="AK303" s="8" t="str">
        <f>VLOOKUP(RawSalesTable6[[#This Row],[Customer_ID_Clean]],CustomersTable[],4,FALSE)</f>
        <v>Alberta</v>
      </c>
      <c r="AL303" s="8">
        <f>IF(RawSalesTable6[[#This Row],[Return_Status]]="Yes",1,0)</f>
        <v>0</v>
      </c>
    </row>
    <row r="304" spans="1:38">
      <c r="A304" t="s">
        <v>714</v>
      </c>
      <c r="B304" s="3">
        <v>45682</v>
      </c>
      <c r="C304" t="s">
        <v>330</v>
      </c>
      <c r="D304" t="s">
        <v>165</v>
      </c>
      <c r="E304" t="s">
        <v>424</v>
      </c>
      <c r="F304" t="s">
        <v>87</v>
      </c>
      <c r="G304" t="s">
        <v>130</v>
      </c>
      <c r="H304" t="s">
        <v>228</v>
      </c>
      <c r="I304">
        <v>4</v>
      </c>
      <c r="J304" s="2">
        <v>106.03</v>
      </c>
      <c r="K304" s="4">
        <v>0.05</v>
      </c>
      <c r="L304" t="s">
        <v>106</v>
      </c>
      <c r="M304">
        <v>7</v>
      </c>
      <c r="N304" t="s">
        <v>91</v>
      </c>
      <c r="O304" t="str">
        <f>SUBSTITUTE(PROPER(TRIM(RawSalesTable6[[#This Row],[Channel_Raw]])),"Market Place","Marketplace")</f>
        <v>Online</v>
      </c>
      <c r="P304" t="str">
        <f>TRIM(RawSalesTable6[[#This Row],[Product_ID]])</f>
        <v>P1024</v>
      </c>
      <c r="Q304" t="str">
        <f>TRIM(RawSalesTable6[[#This Row],[Customer_ID]])</f>
        <v>C0108</v>
      </c>
      <c r="R304" s="8" t="str">
        <f>PROPER(TRIM(RawSalesTable6[[#This Row],[Store_Raw]]))</f>
        <v>Online Fulfillment</v>
      </c>
      <c r="S304" s="8" t="str">
        <f>IF(TRIM(RawSalesTable6[[#This Row],[Payment_Method_Raw]])="","Non renseigné",SUBSTITUTE(PROPER(TRIM(RawSalesTable6[[#This Row],[Payment_Method_Raw]])),"Cc","Credit Card"))</f>
        <v>Credit Card</v>
      </c>
      <c r="T304" s="8">
        <f>COUNTIF(A:A,RawSalesTable6[[#This Row],[Order_ID]])</f>
        <v>1</v>
      </c>
      <c r="U304" s="8" t="str">
        <f>TRIM(LEFT(RawSalesTable6[[#This Row],[Customer_Info]],FIND(",",RawSalesTable6[[#This Row],[Customer_Info]])-1))</f>
        <v>Noah Lee</v>
      </c>
      <c r="V304" s="8" t="str">
        <f>TRIM(MID(RawSalesTable6[[#This Row],[Customer_Info]],FIND(",",RawSalesTable6[[#This Row],[Customer_Info]])+1,FIND(",",RawSalesTable6[[#This Row],[Customer_Info]],FIND(",",RawSalesTable6[[#This Row],[Customer_Info]])+1)-FIND(",",RawSalesTable6[[#This Row],[Customer_Info]])-1))</f>
        <v>Surrey</v>
      </c>
      <c r="W304" s="8" t="str">
        <f>TRIM(RIGHT(RawSalesTable6[[#This Row],[Customer_Info]],LEN(RawSalesTable6[[#This Row],[Customer_Info]])-FIND(",",RawSalesTable6[[#This Row],[Customer_Info]],FIND(",",RawSalesTable6[[#This Row],[Customer_Info]])+1)))</f>
        <v>Consumer</v>
      </c>
      <c r="X304" s="8" t="str">
        <f>VLOOKUP(RawSalesTable6[[#This Row],[Product_ID_Clean]],ProductsTable[],2,FALSE)</f>
        <v>Food Scale</v>
      </c>
      <c r="Y304" s="8" t="str">
        <f>VLOOKUP(RawSalesTable6[[#This Row],[Product_ID_Clean]],ProductsTable[],3,FALSE)</f>
        <v>Home</v>
      </c>
      <c r="Z304" s="8">
        <f>VLOOKUP(RawSalesTable6[[#This Row],[Product_ID_Clean]],ProductsTable[],5,FALSE)</f>
        <v>46.07</v>
      </c>
      <c r="AA304" s="8">
        <f>RawSalesTable6[[#This Row],[Unit_Price]]*RawSalesTable6[[#This Row],[Quantity]]</f>
        <v>424.12</v>
      </c>
      <c r="AB304" s="8">
        <f>RawSalesTable6[[#This Row],[Gross_Sales]]*RawSalesTable6[[#This Row],[Discount_Pct]]</f>
        <v>21.206000000000003</v>
      </c>
      <c r="AC304" s="8">
        <f>RawSalesTable6[[#This Row],[Gross_Sales]]-RawSalesTable6[[#This Row],[Discount_Amount]]</f>
        <v>402.91399999999999</v>
      </c>
      <c r="AD304" s="8">
        <f>RawSalesTable6[[#This Row],[Unit_Cost]]*RawSalesTable6[[#This Row],[Quantity]]</f>
        <v>184.28</v>
      </c>
      <c r="AE304" s="8">
        <f>RawSalesTable6[[#This Row],[Net_Sales]]-RawSalesTable6[[#This Row],[Total_Cost]]</f>
        <v>218.63399999999999</v>
      </c>
      <c r="AF304" s="9">
        <f>RawSalesTable6[[#This Row],[Profit]]/RawSalesTable6[[#This Row],[Net_Sales]]</f>
        <v>0.54263192641605895</v>
      </c>
      <c r="AG304" s="8">
        <f>YEAR(RawSalesTable6[[#This Row],[Order_Date]])</f>
        <v>2025</v>
      </c>
      <c r="AH304" s="8">
        <f>MONTH(RawSalesTable6[[#This Row],[Order_Date]])</f>
        <v>1</v>
      </c>
      <c r="AI304" s="8" t="str">
        <f>TEXT(RawSalesTable6[[#This Row],[Order_Date]],"mmmm")</f>
        <v>janvier</v>
      </c>
      <c r="AJ304" s="8" t="str">
        <f>IF(RawSalesTable6[[#This Row],[Month_Number]]&lt;=3,"Q1",IF(RawSalesTable6[[#This Row],[Month_Number]]&lt;=6,"Q2",IF(RawSalesTable6[[#This Row],[Month_Number]]&lt;=9,"Q3","Q4")))</f>
        <v>Q1</v>
      </c>
      <c r="AK304" s="8" t="str">
        <f>VLOOKUP(RawSalesTable6[[#This Row],[Customer_ID_Clean]],CustomersTable[],4,FALSE)</f>
        <v>British Columbia</v>
      </c>
      <c r="AL304" s="8">
        <f>IF(RawSalesTable6[[#This Row],[Return_Status]]="Yes",1,0)</f>
        <v>0</v>
      </c>
    </row>
    <row r="305" spans="1:38">
      <c r="A305" t="s">
        <v>715</v>
      </c>
      <c r="B305" s="3">
        <v>45765</v>
      </c>
      <c r="C305" t="s">
        <v>300</v>
      </c>
      <c r="D305" t="s">
        <v>174</v>
      </c>
      <c r="E305" t="s">
        <v>301</v>
      </c>
      <c r="F305" t="s">
        <v>111</v>
      </c>
      <c r="G305" t="s">
        <v>96</v>
      </c>
      <c r="H305" t="s">
        <v>89</v>
      </c>
      <c r="I305">
        <v>3</v>
      </c>
      <c r="J305" s="2">
        <v>40.25</v>
      </c>
      <c r="K305" s="4">
        <v>0</v>
      </c>
      <c r="L305" t="s">
        <v>90</v>
      </c>
      <c r="M305">
        <v>1</v>
      </c>
      <c r="N305" t="s">
        <v>91</v>
      </c>
      <c r="O305" t="str">
        <f>SUBSTITUTE(PROPER(TRIM(RawSalesTable6[[#This Row],[Channel_Raw]])),"Market Place","Marketplace")</f>
        <v>Online</v>
      </c>
      <c r="P305" t="str">
        <f>TRIM(RawSalesTable6[[#This Row],[Product_ID]])</f>
        <v>P1002</v>
      </c>
      <c r="Q305" t="str">
        <f>TRIM(RawSalesTable6[[#This Row],[Customer_ID]])</f>
        <v>C0016</v>
      </c>
      <c r="R305" s="8" t="str">
        <f>PROPER(TRIM(RawSalesTable6[[#This Row],[Store_Raw]]))</f>
        <v>Montreal Central</v>
      </c>
      <c r="S305" s="8" t="str">
        <f>IF(TRIM(RawSalesTable6[[#This Row],[Payment_Method_Raw]])="","Non renseigné",SUBSTITUTE(PROPER(TRIM(RawSalesTable6[[#This Row],[Payment_Method_Raw]])),"Cc","Credit Card"))</f>
        <v>Paypal</v>
      </c>
      <c r="T305" s="8">
        <f>COUNTIF(A:A,RawSalesTable6[[#This Row],[Order_ID]])</f>
        <v>1</v>
      </c>
      <c r="U305" s="8" t="str">
        <f>TRIM(LEFT(RawSalesTable6[[#This Row],[Customer_Info]],FIND(",",RawSalesTable6[[#This Row],[Customer_Info]])-1))</f>
        <v>Nora Singh</v>
      </c>
      <c r="V305" s="8" t="str">
        <f>TRIM(MID(RawSalesTable6[[#This Row],[Customer_Info]],FIND(",",RawSalesTable6[[#This Row],[Customer_Info]])+1,FIND(",",RawSalesTable6[[#This Row],[Customer_Info]],FIND(",",RawSalesTable6[[#This Row],[Customer_Info]])+1)-FIND(",",RawSalesTable6[[#This Row],[Customer_Info]])-1))</f>
        <v>Calgary</v>
      </c>
      <c r="W305" s="8" t="str">
        <f>TRIM(RIGHT(RawSalesTable6[[#This Row],[Customer_Info]],LEN(RawSalesTable6[[#This Row],[Customer_Info]])-FIND(",",RawSalesTable6[[#This Row],[Customer_Info]],FIND(",",RawSalesTable6[[#This Row],[Customer_Info]])+1)))</f>
        <v>Consumer</v>
      </c>
      <c r="X305" s="8" t="str">
        <f>VLOOKUP(RawSalesTable6[[#This Row],[Product_ID_Clean]],ProductsTable[],2,FALSE)</f>
        <v>Keyboard</v>
      </c>
      <c r="Y305" s="8" t="str">
        <f>VLOOKUP(RawSalesTable6[[#This Row],[Product_ID_Clean]],ProductsTable[],3,FALSE)</f>
        <v>Electronics</v>
      </c>
      <c r="Z305" s="8">
        <f>VLOOKUP(RawSalesTable6[[#This Row],[Product_ID_Clean]],ProductsTable[],5,FALSE)</f>
        <v>23.5</v>
      </c>
      <c r="AA305" s="8">
        <f>RawSalesTable6[[#This Row],[Unit_Price]]*RawSalesTable6[[#This Row],[Quantity]]</f>
        <v>120.75</v>
      </c>
      <c r="AB305" s="8">
        <f>RawSalesTable6[[#This Row],[Gross_Sales]]*RawSalesTable6[[#This Row],[Discount_Pct]]</f>
        <v>0</v>
      </c>
      <c r="AC305" s="8">
        <f>RawSalesTable6[[#This Row],[Gross_Sales]]-RawSalesTable6[[#This Row],[Discount_Amount]]</f>
        <v>120.75</v>
      </c>
      <c r="AD305" s="8">
        <f>RawSalesTable6[[#This Row],[Unit_Cost]]*RawSalesTable6[[#This Row],[Quantity]]</f>
        <v>70.5</v>
      </c>
      <c r="AE305" s="8">
        <f>RawSalesTable6[[#This Row],[Net_Sales]]-RawSalesTable6[[#This Row],[Total_Cost]]</f>
        <v>50.25</v>
      </c>
      <c r="AF305" s="9">
        <f>RawSalesTable6[[#This Row],[Profit]]/RawSalesTable6[[#This Row],[Net_Sales]]</f>
        <v>0.41614906832298137</v>
      </c>
      <c r="AG305" s="8">
        <f>YEAR(RawSalesTable6[[#This Row],[Order_Date]])</f>
        <v>2025</v>
      </c>
      <c r="AH305" s="8">
        <f>MONTH(RawSalesTable6[[#This Row],[Order_Date]])</f>
        <v>4</v>
      </c>
      <c r="AI305" s="8" t="str">
        <f>TEXT(RawSalesTable6[[#This Row],[Order_Date]],"mmmm")</f>
        <v>avril</v>
      </c>
      <c r="AJ305" s="8" t="str">
        <f>IF(RawSalesTable6[[#This Row],[Month_Number]]&lt;=3,"Q1",IF(RawSalesTable6[[#This Row],[Month_Number]]&lt;=6,"Q2",IF(RawSalesTable6[[#This Row],[Month_Number]]&lt;=9,"Q3","Q4")))</f>
        <v>Q2</v>
      </c>
      <c r="AK305" s="8" t="str">
        <f>VLOOKUP(RawSalesTable6[[#This Row],[Customer_ID_Clean]],CustomersTable[],4,FALSE)</f>
        <v>Alberta</v>
      </c>
      <c r="AL305" s="8">
        <f>IF(RawSalesTable6[[#This Row],[Return_Status]]="Yes",1,0)</f>
        <v>0</v>
      </c>
    </row>
    <row r="306" spans="1:38">
      <c r="A306" t="s">
        <v>716</v>
      </c>
      <c r="B306" s="3">
        <v>45968</v>
      </c>
      <c r="C306" t="s">
        <v>507</v>
      </c>
      <c r="D306" t="s">
        <v>149</v>
      </c>
      <c r="E306" t="s">
        <v>508</v>
      </c>
      <c r="F306" t="s">
        <v>103</v>
      </c>
      <c r="G306" t="s">
        <v>130</v>
      </c>
      <c r="H306" t="s">
        <v>97</v>
      </c>
      <c r="I306">
        <v>1</v>
      </c>
      <c r="J306" s="2">
        <v>79.12</v>
      </c>
      <c r="K306" s="4">
        <v>0</v>
      </c>
      <c r="L306" t="s">
        <v>106</v>
      </c>
      <c r="M306">
        <v>3</v>
      </c>
      <c r="N306" t="s">
        <v>91</v>
      </c>
      <c r="O306" t="str">
        <f>SUBSTITUTE(PROPER(TRIM(RawSalesTable6[[#This Row],[Channel_Raw]])),"Market Place","Marketplace")</f>
        <v>Retail Store</v>
      </c>
      <c r="P306" t="str">
        <f>TRIM(RawSalesTable6[[#This Row],[Product_ID]])</f>
        <v>P1011</v>
      </c>
      <c r="Q306" t="str">
        <f>TRIM(RawSalesTable6[[#This Row],[Customer_ID]])</f>
        <v>C0078</v>
      </c>
      <c r="R306" s="8" t="str">
        <f>PROPER(TRIM(RawSalesTable6[[#This Row],[Store_Raw]]))</f>
        <v>Vancouver West</v>
      </c>
      <c r="S306" s="8" t="str">
        <f>IF(TRIM(RawSalesTable6[[#This Row],[Payment_Method_Raw]])="","Non renseigné",SUBSTITUTE(PROPER(TRIM(RawSalesTable6[[#This Row],[Payment_Method_Raw]])),"Cc","Credit Card"))</f>
        <v>Credit Card</v>
      </c>
      <c r="T306" s="8">
        <f>COUNTIF(A:A,RawSalesTable6[[#This Row],[Order_ID]])</f>
        <v>1</v>
      </c>
      <c r="U306" s="8" t="str">
        <f>TRIM(LEFT(RawSalesTable6[[#This Row],[Customer_Info]],FIND(",",RawSalesTable6[[#This Row],[Customer_Info]])-1))</f>
        <v>Sarah Smith</v>
      </c>
      <c r="V306" s="8" t="str">
        <f>TRIM(MID(RawSalesTable6[[#This Row],[Customer_Info]],FIND(",",RawSalesTable6[[#This Row],[Customer_Info]])+1,FIND(",",RawSalesTable6[[#This Row],[Customer_Info]],FIND(",",RawSalesTable6[[#This Row],[Customer_Info]])+1)-FIND(",",RawSalesTable6[[#This Row],[Customer_Info]])-1))</f>
        <v>Edmonton</v>
      </c>
      <c r="W306" s="8" t="str">
        <f>TRIM(RIGHT(RawSalesTable6[[#This Row],[Customer_Info]],LEN(RawSalesTable6[[#This Row],[Customer_Info]])-FIND(",",RawSalesTable6[[#This Row],[Customer_Info]],FIND(",",RawSalesTable6[[#This Row],[Customer_Info]])+1)))</f>
        <v>Corporate</v>
      </c>
      <c r="X306" s="8" t="str">
        <f>VLOOKUP(RawSalesTable6[[#This Row],[Product_ID_Clean]],ProductsTable[],2,FALSE)</f>
        <v>Office Chair</v>
      </c>
      <c r="Y306" s="8" t="str">
        <f>VLOOKUP(RawSalesTable6[[#This Row],[Product_ID_Clean]],ProductsTable[],3,FALSE)</f>
        <v>Office</v>
      </c>
      <c r="Z306" s="8">
        <f>VLOOKUP(RawSalesTable6[[#This Row],[Product_ID_Clean]],ProductsTable[],5,FALSE)</f>
        <v>39.26</v>
      </c>
      <c r="AA306" s="8">
        <f>RawSalesTable6[[#This Row],[Unit_Price]]*RawSalesTable6[[#This Row],[Quantity]]</f>
        <v>79.12</v>
      </c>
      <c r="AB306" s="8">
        <f>RawSalesTable6[[#This Row],[Gross_Sales]]*RawSalesTable6[[#This Row],[Discount_Pct]]</f>
        <v>0</v>
      </c>
      <c r="AC306" s="8">
        <f>RawSalesTable6[[#This Row],[Gross_Sales]]-RawSalesTable6[[#This Row],[Discount_Amount]]</f>
        <v>79.12</v>
      </c>
      <c r="AD306" s="8">
        <f>RawSalesTable6[[#This Row],[Unit_Cost]]*RawSalesTable6[[#This Row],[Quantity]]</f>
        <v>39.26</v>
      </c>
      <c r="AE306" s="8">
        <f>RawSalesTable6[[#This Row],[Net_Sales]]-RawSalesTable6[[#This Row],[Total_Cost]]</f>
        <v>39.860000000000007</v>
      </c>
      <c r="AF306" s="9">
        <f>RawSalesTable6[[#This Row],[Profit]]/RawSalesTable6[[#This Row],[Net_Sales]]</f>
        <v>0.50379170879676449</v>
      </c>
      <c r="AG306" s="8">
        <f>YEAR(RawSalesTable6[[#This Row],[Order_Date]])</f>
        <v>2025</v>
      </c>
      <c r="AH306" s="8">
        <f>MONTH(RawSalesTable6[[#This Row],[Order_Date]])</f>
        <v>11</v>
      </c>
      <c r="AI306" s="8" t="str">
        <f>TEXT(RawSalesTable6[[#This Row],[Order_Date]],"mmmm")</f>
        <v>novembre</v>
      </c>
      <c r="AJ306" s="8" t="str">
        <f>IF(RawSalesTable6[[#This Row],[Month_Number]]&lt;=3,"Q1",IF(RawSalesTable6[[#This Row],[Month_Number]]&lt;=6,"Q2",IF(RawSalesTable6[[#This Row],[Month_Number]]&lt;=9,"Q3","Q4")))</f>
        <v>Q4</v>
      </c>
      <c r="AK306" s="8" t="str">
        <f>VLOOKUP(RawSalesTable6[[#This Row],[Customer_ID_Clean]],CustomersTable[],4,FALSE)</f>
        <v>Alberta</v>
      </c>
      <c r="AL306" s="8">
        <f>IF(RawSalesTable6[[#This Row],[Return_Status]]="Yes",1,0)</f>
        <v>0</v>
      </c>
    </row>
    <row r="307" spans="1:38">
      <c r="A307" t="s">
        <v>717</v>
      </c>
      <c r="B307" s="3">
        <v>45683</v>
      </c>
      <c r="C307" t="s">
        <v>108</v>
      </c>
      <c r="D307" t="s">
        <v>261</v>
      </c>
      <c r="E307" t="s">
        <v>110</v>
      </c>
      <c r="F307" t="s">
        <v>116</v>
      </c>
      <c r="G307" t="s">
        <v>183</v>
      </c>
      <c r="H307" t="s">
        <v>97</v>
      </c>
      <c r="I307">
        <v>4</v>
      </c>
      <c r="J307" s="2">
        <v>253.26</v>
      </c>
      <c r="K307" s="4">
        <v>0.15</v>
      </c>
      <c r="L307" t="s">
        <v>106</v>
      </c>
      <c r="M307">
        <v>4</v>
      </c>
      <c r="N307" t="s">
        <v>91</v>
      </c>
      <c r="O307" t="str">
        <f>SUBSTITUTE(PROPER(TRIM(RawSalesTable6[[#This Row],[Channel_Raw]])),"Market Place","Marketplace")</f>
        <v>Retail Store</v>
      </c>
      <c r="P307" t="str">
        <f>TRIM(RawSalesTable6[[#This Row],[Product_ID]])</f>
        <v>P1031</v>
      </c>
      <c r="Q307" t="str">
        <f>TRIM(RawSalesTable6[[#This Row],[Customer_ID]])</f>
        <v>C0071</v>
      </c>
      <c r="R307" s="8" t="str">
        <f>PROPER(TRIM(RawSalesTable6[[#This Row],[Store_Raw]]))</f>
        <v>Toronto Downtown</v>
      </c>
      <c r="S307" s="8" t="str">
        <f>IF(TRIM(RawSalesTable6[[#This Row],[Payment_Method_Raw]])="","Non renseigné",SUBSTITUTE(PROPER(TRIM(RawSalesTable6[[#This Row],[Payment_Method_Raw]])),"Cc","Credit Card"))</f>
        <v>Credit Card</v>
      </c>
      <c r="T307" s="8">
        <f>COUNTIF(A:A,RawSalesTable6[[#This Row],[Order_ID]])</f>
        <v>1</v>
      </c>
      <c r="U307" s="8" t="str">
        <f>TRIM(LEFT(RawSalesTable6[[#This Row],[Customer_Info]],FIND(",",RawSalesTable6[[#This Row],[Customer_Info]])-1))</f>
        <v>Ethan Lee</v>
      </c>
      <c r="V307" s="8" t="str">
        <f>TRIM(MID(RawSalesTable6[[#This Row],[Customer_Info]],FIND(",",RawSalesTable6[[#This Row],[Customer_Info]])+1,FIND(",",RawSalesTable6[[#This Row],[Customer_Info]],FIND(",",RawSalesTable6[[#This Row],[Customer_Info]])+1)-FIND(",",RawSalesTable6[[#This Row],[Customer_Info]])-1))</f>
        <v>Surrey</v>
      </c>
      <c r="W307" s="8" t="str">
        <f>TRIM(RIGHT(RawSalesTable6[[#This Row],[Customer_Info]],LEN(RawSalesTable6[[#This Row],[Customer_Info]])-FIND(",",RawSalesTable6[[#This Row],[Customer_Info]],FIND(",",RawSalesTable6[[#This Row],[Customer_Info]])+1)))</f>
        <v>Consumer</v>
      </c>
      <c r="X307" s="8" t="str">
        <f>VLOOKUP(RawSalesTable6[[#This Row],[Product_ID_Clean]],ProductsTable[],2,FALSE)</f>
        <v>Dumbbell Set</v>
      </c>
      <c r="Y307" s="8" t="str">
        <f>VLOOKUP(RawSalesTable6[[#This Row],[Product_ID_Clean]],ProductsTable[],3,FALSE)</f>
        <v>Fitness</v>
      </c>
      <c r="Z307" s="8">
        <f>VLOOKUP(RawSalesTable6[[#This Row],[Product_ID_Clean]],ProductsTable[],5,FALSE)</f>
        <v>131.72999999999999</v>
      </c>
      <c r="AA307" s="8">
        <f>RawSalesTable6[[#This Row],[Unit_Price]]*RawSalesTable6[[#This Row],[Quantity]]</f>
        <v>1013.04</v>
      </c>
      <c r="AB307" s="8">
        <f>RawSalesTable6[[#This Row],[Gross_Sales]]*RawSalesTable6[[#This Row],[Discount_Pct]]</f>
        <v>151.95599999999999</v>
      </c>
      <c r="AC307" s="8">
        <f>RawSalesTable6[[#This Row],[Gross_Sales]]-RawSalesTable6[[#This Row],[Discount_Amount]]</f>
        <v>861.08399999999995</v>
      </c>
      <c r="AD307" s="8">
        <f>RawSalesTable6[[#This Row],[Unit_Cost]]*RawSalesTable6[[#This Row],[Quantity]]</f>
        <v>526.91999999999996</v>
      </c>
      <c r="AE307" s="8">
        <f>RawSalesTable6[[#This Row],[Net_Sales]]-RawSalesTable6[[#This Row],[Total_Cost]]</f>
        <v>334.16399999999999</v>
      </c>
      <c r="AF307" s="9">
        <f>RawSalesTable6[[#This Row],[Profit]]/RawSalesTable6[[#This Row],[Net_Sales]]</f>
        <v>0.3880736374151651</v>
      </c>
      <c r="AG307" s="8">
        <f>YEAR(RawSalesTable6[[#This Row],[Order_Date]])</f>
        <v>2025</v>
      </c>
      <c r="AH307" s="8">
        <f>MONTH(RawSalesTable6[[#This Row],[Order_Date]])</f>
        <v>1</v>
      </c>
      <c r="AI307" s="8" t="str">
        <f>TEXT(RawSalesTable6[[#This Row],[Order_Date]],"mmmm")</f>
        <v>janvier</v>
      </c>
      <c r="AJ307" s="8" t="str">
        <f>IF(RawSalesTable6[[#This Row],[Month_Number]]&lt;=3,"Q1",IF(RawSalesTable6[[#This Row],[Month_Number]]&lt;=6,"Q2",IF(RawSalesTable6[[#This Row],[Month_Number]]&lt;=9,"Q3","Q4")))</f>
        <v>Q1</v>
      </c>
      <c r="AK307" s="8" t="str">
        <f>VLOOKUP(RawSalesTable6[[#This Row],[Customer_ID_Clean]],CustomersTable[],4,FALSE)</f>
        <v>British Columbia</v>
      </c>
      <c r="AL307" s="8">
        <f>IF(RawSalesTable6[[#This Row],[Return_Status]]="Yes",1,0)</f>
        <v>0</v>
      </c>
    </row>
    <row r="308" spans="1:38">
      <c r="A308" t="s">
        <v>718</v>
      </c>
      <c r="B308" s="3">
        <v>45818</v>
      </c>
      <c r="C308" t="s">
        <v>279</v>
      </c>
      <c r="D308" t="s">
        <v>109</v>
      </c>
      <c r="E308" t="s">
        <v>280</v>
      </c>
      <c r="F308" t="s">
        <v>87</v>
      </c>
      <c r="G308" t="s">
        <v>183</v>
      </c>
      <c r="H308" t="s">
        <v>97</v>
      </c>
      <c r="I308">
        <v>2</v>
      </c>
      <c r="J308" s="2">
        <v>201.38</v>
      </c>
      <c r="K308" s="4">
        <v>0</v>
      </c>
      <c r="L308" t="s">
        <v>504</v>
      </c>
      <c r="M308">
        <v>1</v>
      </c>
      <c r="N308" t="s">
        <v>91</v>
      </c>
      <c r="O308" t="str">
        <f>SUBSTITUTE(PROPER(TRIM(RawSalesTable6[[#This Row],[Channel_Raw]])),"Market Place","Marketplace")</f>
        <v>Retail Store</v>
      </c>
      <c r="P308" t="str">
        <f>TRIM(RawSalesTable6[[#This Row],[Product_ID]])</f>
        <v>P1032</v>
      </c>
      <c r="Q308" t="str">
        <f>TRIM(RawSalesTable6[[#This Row],[Customer_ID]])</f>
        <v>C0069</v>
      </c>
      <c r="R308" s="8" t="str">
        <f>PROPER(TRIM(RawSalesTable6[[#This Row],[Store_Raw]]))</f>
        <v>Online Fulfillment</v>
      </c>
      <c r="S308" s="8" t="str">
        <f>IF(TRIM(RawSalesTable6[[#This Row],[Payment_Method_Raw]])="","Non renseigné",SUBSTITUTE(PROPER(TRIM(RawSalesTable6[[#This Row],[Payment_Method_Raw]])),"Cc","Credit Card"))</f>
        <v>Debit Card</v>
      </c>
      <c r="T308" s="8">
        <f>COUNTIF(A:A,RawSalesTable6[[#This Row],[Order_ID]])</f>
        <v>1</v>
      </c>
      <c r="U308" s="8" t="str">
        <f>TRIM(LEFT(RawSalesTable6[[#This Row],[Customer_Info]],FIND(",",RawSalesTable6[[#This Row],[Customer_Info]])-1))</f>
        <v>Sarah White</v>
      </c>
      <c r="V308" s="8" t="str">
        <f>TRIM(MID(RawSalesTable6[[#This Row],[Customer_Info]],FIND(",",RawSalesTable6[[#This Row],[Customer_Info]])+1,FIND(",",RawSalesTable6[[#This Row],[Customer_Info]],FIND(",",RawSalesTable6[[#This Row],[Customer_Info]])+1)-FIND(",",RawSalesTable6[[#This Row],[Customer_Info]])-1))</f>
        <v>Ottawa</v>
      </c>
      <c r="W308" s="8" t="str">
        <f>TRIM(RIGHT(RawSalesTable6[[#This Row],[Customer_Info]],LEN(RawSalesTable6[[#This Row],[Customer_Info]])-FIND(",",RawSalesTable6[[#This Row],[Customer_Info]],FIND(",",RawSalesTable6[[#This Row],[Customer_Info]])+1)))</f>
        <v>Consumer</v>
      </c>
      <c r="X308" s="8" t="str">
        <f>VLOOKUP(RawSalesTable6[[#This Row],[Product_ID_Clean]],ProductsTable[],2,FALSE)</f>
        <v>Gym Bag</v>
      </c>
      <c r="Y308" s="8" t="str">
        <f>VLOOKUP(RawSalesTable6[[#This Row],[Product_ID_Clean]],ProductsTable[],3,FALSE)</f>
        <v>Fitness</v>
      </c>
      <c r="Z308" s="8">
        <f>VLOOKUP(RawSalesTable6[[#This Row],[Product_ID_Clean]],ProductsTable[],5,FALSE)</f>
        <v>132.72</v>
      </c>
      <c r="AA308" s="8">
        <f>RawSalesTable6[[#This Row],[Unit_Price]]*RawSalesTable6[[#This Row],[Quantity]]</f>
        <v>402.76</v>
      </c>
      <c r="AB308" s="8">
        <f>RawSalesTable6[[#This Row],[Gross_Sales]]*RawSalesTable6[[#This Row],[Discount_Pct]]</f>
        <v>0</v>
      </c>
      <c r="AC308" s="8">
        <f>RawSalesTable6[[#This Row],[Gross_Sales]]-RawSalesTable6[[#This Row],[Discount_Amount]]</f>
        <v>402.76</v>
      </c>
      <c r="AD308" s="8">
        <f>RawSalesTable6[[#This Row],[Unit_Cost]]*RawSalesTable6[[#This Row],[Quantity]]</f>
        <v>265.44</v>
      </c>
      <c r="AE308" s="8">
        <f>RawSalesTable6[[#This Row],[Net_Sales]]-RawSalesTable6[[#This Row],[Total_Cost]]</f>
        <v>137.32</v>
      </c>
      <c r="AF308" s="9">
        <f>RawSalesTable6[[#This Row],[Profit]]/RawSalesTable6[[#This Row],[Net_Sales]]</f>
        <v>0.34094746250869001</v>
      </c>
      <c r="AG308" s="8">
        <f>YEAR(RawSalesTable6[[#This Row],[Order_Date]])</f>
        <v>2025</v>
      </c>
      <c r="AH308" s="8">
        <f>MONTH(RawSalesTable6[[#This Row],[Order_Date]])</f>
        <v>6</v>
      </c>
      <c r="AI308" s="8" t="str">
        <f>TEXT(RawSalesTable6[[#This Row],[Order_Date]],"mmmm")</f>
        <v>juin</v>
      </c>
      <c r="AJ308" s="8" t="str">
        <f>IF(RawSalesTable6[[#This Row],[Month_Number]]&lt;=3,"Q1",IF(RawSalesTable6[[#This Row],[Month_Number]]&lt;=6,"Q2",IF(RawSalesTable6[[#This Row],[Month_Number]]&lt;=9,"Q3","Q4")))</f>
        <v>Q2</v>
      </c>
      <c r="AK308" s="8" t="str">
        <f>VLOOKUP(RawSalesTable6[[#This Row],[Customer_ID_Clean]],CustomersTable[],4,FALSE)</f>
        <v>Ontario</v>
      </c>
      <c r="AL308" s="8">
        <f>IF(RawSalesTable6[[#This Row],[Return_Status]]="Yes",1,0)</f>
        <v>0</v>
      </c>
    </row>
    <row r="309" spans="1:38">
      <c r="A309" t="s">
        <v>719</v>
      </c>
      <c r="B309" s="3">
        <v>45995</v>
      </c>
      <c r="C309" t="s">
        <v>197</v>
      </c>
      <c r="D309" t="s">
        <v>133</v>
      </c>
      <c r="E309" t="s">
        <v>198</v>
      </c>
      <c r="F309" t="s">
        <v>111</v>
      </c>
      <c r="G309" t="s">
        <v>117</v>
      </c>
      <c r="H309" t="s">
        <v>89</v>
      </c>
      <c r="I309">
        <v>1</v>
      </c>
      <c r="J309" s="2">
        <v>341.39</v>
      </c>
      <c r="K309" s="4">
        <v>0</v>
      </c>
      <c r="M309">
        <v>4</v>
      </c>
      <c r="N309" t="s">
        <v>91</v>
      </c>
      <c r="O309" t="str">
        <f>SUBSTITUTE(PROPER(TRIM(RawSalesTable6[[#This Row],[Channel_Raw]])),"Market Place","Marketplace")</f>
        <v>Online</v>
      </c>
      <c r="P309" t="str">
        <f>TRIM(RawSalesTable6[[#This Row],[Product_ID]])</f>
        <v>P1039</v>
      </c>
      <c r="Q309" t="str">
        <f>TRIM(RawSalesTable6[[#This Row],[Customer_ID]])</f>
        <v>C0091</v>
      </c>
      <c r="R309" s="8" t="str">
        <f>PROPER(TRIM(RawSalesTable6[[#This Row],[Store_Raw]]))</f>
        <v>Montreal Central</v>
      </c>
      <c r="S309" s="8" t="str">
        <f>IF(TRIM(RawSalesTable6[[#This Row],[Payment_Method_Raw]])="","Non renseigné",SUBSTITUTE(PROPER(TRIM(RawSalesTable6[[#This Row],[Payment_Method_Raw]])),"Cc","Credit Card"))</f>
        <v>Non renseigné</v>
      </c>
      <c r="T309" s="8">
        <f>COUNTIF(A:A,RawSalesTable6[[#This Row],[Order_ID]])</f>
        <v>1</v>
      </c>
      <c r="U309" s="8" t="str">
        <f>TRIM(LEFT(RawSalesTable6[[#This Row],[Customer_Info]],FIND(",",RawSalesTable6[[#This Row],[Customer_Info]])-1))</f>
        <v>Leo Taylor</v>
      </c>
      <c r="V309" s="8" t="str">
        <f>TRIM(MID(RawSalesTable6[[#This Row],[Customer_Info]],FIND(",",RawSalesTable6[[#This Row],[Customer_Info]])+1,FIND(",",RawSalesTable6[[#This Row],[Customer_Info]],FIND(",",RawSalesTable6[[#This Row],[Customer_Info]])+1)-FIND(",",RawSalesTable6[[#This Row],[Customer_Info]])-1))</f>
        <v>Victoria</v>
      </c>
      <c r="W309" s="8" t="str">
        <f>TRIM(RIGHT(RawSalesTable6[[#This Row],[Customer_Info]],LEN(RawSalesTable6[[#This Row],[Customer_Info]])-FIND(",",RawSalesTable6[[#This Row],[Customer_Info]],FIND(",",RawSalesTable6[[#This Row],[Customer_Info]])+1)))</f>
        <v>Small Business</v>
      </c>
      <c r="X309" s="8" t="str">
        <f>VLOOKUP(RawSalesTable6[[#This Row],[Product_ID_Clean]],ProductsTable[],2,FALSE)</f>
        <v>Travel Adapter</v>
      </c>
      <c r="Y309" s="8" t="str">
        <f>VLOOKUP(RawSalesTable6[[#This Row],[Product_ID_Clean]],ProductsTable[],3,FALSE)</f>
        <v>Accessories</v>
      </c>
      <c r="Z309" s="8">
        <f>VLOOKUP(RawSalesTable6[[#This Row],[Product_ID_Clean]],ProductsTable[],5,FALSE)</f>
        <v>229.86</v>
      </c>
      <c r="AA309" s="8">
        <f>RawSalesTable6[[#This Row],[Unit_Price]]*RawSalesTable6[[#This Row],[Quantity]]</f>
        <v>341.39</v>
      </c>
      <c r="AB309" s="8">
        <f>RawSalesTable6[[#This Row],[Gross_Sales]]*RawSalesTable6[[#This Row],[Discount_Pct]]</f>
        <v>0</v>
      </c>
      <c r="AC309" s="8">
        <f>RawSalesTable6[[#This Row],[Gross_Sales]]-RawSalesTable6[[#This Row],[Discount_Amount]]</f>
        <v>341.39</v>
      </c>
      <c r="AD309" s="8">
        <f>RawSalesTable6[[#This Row],[Unit_Cost]]*RawSalesTable6[[#This Row],[Quantity]]</f>
        <v>229.86</v>
      </c>
      <c r="AE309" s="8">
        <f>RawSalesTable6[[#This Row],[Net_Sales]]-RawSalesTable6[[#This Row],[Total_Cost]]</f>
        <v>111.52999999999997</v>
      </c>
      <c r="AF309" s="9">
        <f>RawSalesTable6[[#This Row],[Profit]]/RawSalesTable6[[#This Row],[Net_Sales]]</f>
        <v>0.32669381059784991</v>
      </c>
      <c r="AG309" s="8">
        <f>YEAR(RawSalesTable6[[#This Row],[Order_Date]])</f>
        <v>2025</v>
      </c>
      <c r="AH309" s="8">
        <f>MONTH(RawSalesTable6[[#This Row],[Order_Date]])</f>
        <v>12</v>
      </c>
      <c r="AI309" s="8" t="str">
        <f>TEXT(RawSalesTable6[[#This Row],[Order_Date]],"mmmm")</f>
        <v>décembre</v>
      </c>
      <c r="AJ309" s="8" t="str">
        <f>IF(RawSalesTable6[[#This Row],[Month_Number]]&lt;=3,"Q1",IF(RawSalesTable6[[#This Row],[Month_Number]]&lt;=6,"Q2",IF(RawSalesTable6[[#This Row],[Month_Number]]&lt;=9,"Q3","Q4")))</f>
        <v>Q4</v>
      </c>
      <c r="AK309" s="8" t="str">
        <f>VLOOKUP(RawSalesTable6[[#This Row],[Customer_ID_Clean]],CustomersTable[],4,FALSE)</f>
        <v>British Columbia</v>
      </c>
      <c r="AL309" s="8">
        <f>IF(RawSalesTable6[[#This Row],[Return_Status]]="Yes",1,0)</f>
        <v>0</v>
      </c>
    </row>
    <row r="310" spans="1:38">
      <c r="A310" t="s">
        <v>720</v>
      </c>
      <c r="B310" s="3">
        <v>45856</v>
      </c>
      <c r="C310" t="s">
        <v>100</v>
      </c>
      <c r="D310" t="s">
        <v>261</v>
      </c>
      <c r="E310" t="s">
        <v>102</v>
      </c>
      <c r="F310" t="s">
        <v>145</v>
      </c>
      <c r="G310" t="s">
        <v>183</v>
      </c>
      <c r="H310" t="s">
        <v>89</v>
      </c>
      <c r="I310">
        <v>3</v>
      </c>
      <c r="J310" s="2">
        <v>252.56</v>
      </c>
      <c r="K310" s="4">
        <v>0.15</v>
      </c>
      <c r="L310" t="s">
        <v>90</v>
      </c>
      <c r="M310">
        <v>5</v>
      </c>
      <c r="N310" t="s">
        <v>91</v>
      </c>
      <c r="O310" t="str">
        <f>SUBSTITUTE(PROPER(TRIM(RawSalesTable6[[#This Row],[Channel_Raw]])),"Market Place","Marketplace")</f>
        <v>Online</v>
      </c>
      <c r="P310" t="str">
        <f>TRIM(RawSalesTable6[[#This Row],[Product_ID]])</f>
        <v>P1031</v>
      </c>
      <c r="Q310" t="str">
        <f>TRIM(RawSalesTable6[[#This Row],[Customer_ID]])</f>
        <v>C0003</v>
      </c>
      <c r="R310" s="8" t="str">
        <f>PROPER(TRIM(RawSalesTable6[[#This Row],[Store_Raw]]))</f>
        <v>Calgary North</v>
      </c>
      <c r="S310" s="8" t="str">
        <f>IF(TRIM(RawSalesTable6[[#This Row],[Payment_Method_Raw]])="","Non renseigné",SUBSTITUTE(PROPER(TRIM(RawSalesTable6[[#This Row],[Payment_Method_Raw]])),"Cc","Credit Card"))</f>
        <v>Paypal</v>
      </c>
      <c r="T310" s="8">
        <f>COUNTIF(A:A,RawSalesTable6[[#This Row],[Order_ID]])</f>
        <v>1</v>
      </c>
      <c r="U310" s="8" t="str">
        <f>TRIM(LEFT(RawSalesTable6[[#This Row],[Customer_Info]],FIND(",",RawSalesTable6[[#This Row],[Customer_Info]])-1))</f>
        <v>Amelia Young</v>
      </c>
      <c r="V310" s="8" t="str">
        <f>TRIM(MID(RawSalesTable6[[#This Row],[Customer_Info]],FIND(",",RawSalesTable6[[#This Row],[Customer_Info]])+1,FIND(",",RawSalesTable6[[#This Row],[Customer_Info]],FIND(",",RawSalesTable6[[#This Row],[Customer_Info]])+1)-FIND(",",RawSalesTable6[[#This Row],[Customer_Info]])-1))</f>
        <v>Ottawa</v>
      </c>
      <c r="W310" s="8" t="str">
        <f>TRIM(RIGHT(RawSalesTable6[[#This Row],[Customer_Info]],LEN(RawSalesTable6[[#This Row],[Customer_Info]])-FIND(",",RawSalesTable6[[#This Row],[Customer_Info]],FIND(",",RawSalesTable6[[#This Row],[Customer_Info]])+1)))</f>
        <v>Corporate</v>
      </c>
      <c r="X310" s="8" t="str">
        <f>VLOOKUP(RawSalesTable6[[#This Row],[Product_ID_Clean]],ProductsTable[],2,FALSE)</f>
        <v>Dumbbell Set</v>
      </c>
      <c r="Y310" s="8" t="str">
        <f>VLOOKUP(RawSalesTable6[[#This Row],[Product_ID_Clean]],ProductsTable[],3,FALSE)</f>
        <v>Fitness</v>
      </c>
      <c r="Z310" s="8">
        <f>VLOOKUP(RawSalesTable6[[#This Row],[Product_ID_Clean]],ProductsTable[],5,FALSE)</f>
        <v>131.72999999999999</v>
      </c>
      <c r="AA310" s="8">
        <f>RawSalesTable6[[#This Row],[Unit_Price]]*RawSalesTable6[[#This Row],[Quantity]]</f>
        <v>757.68000000000006</v>
      </c>
      <c r="AB310" s="8">
        <f>RawSalesTable6[[#This Row],[Gross_Sales]]*RawSalesTable6[[#This Row],[Discount_Pct]]</f>
        <v>113.652</v>
      </c>
      <c r="AC310" s="8">
        <f>RawSalesTable6[[#This Row],[Gross_Sales]]-RawSalesTable6[[#This Row],[Discount_Amount]]</f>
        <v>644.02800000000002</v>
      </c>
      <c r="AD310" s="8">
        <f>RawSalesTable6[[#This Row],[Unit_Cost]]*RawSalesTable6[[#This Row],[Quantity]]</f>
        <v>395.18999999999994</v>
      </c>
      <c r="AE310" s="8">
        <f>RawSalesTable6[[#This Row],[Net_Sales]]-RawSalesTable6[[#This Row],[Total_Cost]]</f>
        <v>248.83800000000008</v>
      </c>
      <c r="AF310" s="9">
        <f>RawSalesTable6[[#This Row],[Profit]]/RawSalesTable6[[#This Row],[Net_Sales]]</f>
        <v>0.38637761091132694</v>
      </c>
      <c r="AG310" s="8">
        <f>YEAR(RawSalesTable6[[#This Row],[Order_Date]])</f>
        <v>2025</v>
      </c>
      <c r="AH310" s="8">
        <f>MONTH(RawSalesTable6[[#This Row],[Order_Date]])</f>
        <v>7</v>
      </c>
      <c r="AI310" s="8" t="str">
        <f>TEXT(RawSalesTable6[[#This Row],[Order_Date]],"mmmm")</f>
        <v>juillet</v>
      </c>
      <c r="AJ310" s="8" t="str">
        <f>IF(RawSalesTable6[[#This Row],[Month_Number]]&lt;=3,"Q1",IF(RawSalesTable6[[#This Row],[Month_Number]]&lt;=6,"Q2",IF(RawSalesTable6[[#This Row],[Month_Number]]&lt;=9,"Q3","Q4")))</f>
        <v>Q3</v>
      </c>
      <c r="AK310" s="8" t="str">
        <f>VLOOKUP(RawSalesTable6[[#This Row],[Customer_ID_Clean]],CustomersTable[],4,FALSE)</f>
        <v>Ontario</v>
      </c>
      <c r="AL310" s="8">
        <f>IF(RawSalesTable6[[#This Row],[Return_Status]]="Yes",1,0)</f>
        <v>0</v>
      </c>
    </row>
    <row r="311" spans="1:38">
      <c r="A311" t="s">
        <v>721</v>
      </c>
      <c r="B311" s="3">
        <v>46007</v>
      </c>
      <c r="C311" t="s">
        <v>124</v>
      </c>
      <c r="D311" t="s">
        <v>114</v>
      </c>
      <c r="E311" t="s">
        <v>126</v>
      </c>
      <c r="F311" t="s">
        <v>145</v>
      </c>
      <c r="G311" t="s">
        <v>130</v>
      </c>
      <c r="H311" t="s">
        <v>105</v>
      </c>
      <c r="I311">
        <v>2</v>
      </c>
      <c r="J311" s="2">
        <v>140.47</v>
      </c>
      <c r="K311" s="4">
        <v>0.15</v>
      </c>
      <c r="L311" t="s">
        <v>106</v>
      </c>
      <c r="M311">
        <v>6</v>
      </c>
      <c r="N311" t="s">
        <v>91</v>
      </c>
      <c r="O311" t="str">
        <f>SUBSTITUTE(PROPER(TRIM(RawSalesTable6[[#This Row],[Channel_Raw]])),"Market Place","Marketplace")</f>
        <v>Marketplace</v>
      </c>
      <c r="P311" t="str">
        <f>TRIM(RawSalesTable6[[#This Row],[Product_ID]])</f>
        <v>P1034</v>
      </c>
      <c r="Q311" t="str">
        <f>TRIM(RawSalesTable6[[#This Row],[Customer_ID]])</f>
        <v>C0021</v>
      </c>
      <c r="R311" s="8" t="str">
        <f>PROPER(TRIM(RawSalesTable6[[#This Row],[Store_Raw]]))</f>
        <v>Calgary North</v>
      </c>
      <c r="S311" s="8" t="str">
        <f>IF(TRIM(RawSalesTable6[[#This Row],[Payment_Method_Raw]])="","Non renseigné",SUBSTITUTE(PROPER(TRIM(RawSalesTable6[[#This Row],[Payment_Method_Raw]])),"Cc","Credit Card"))</f>
        <v>Credit Card</v>
      </c>
      <c r="T311" s="8">
        <f>COUNTIF(A:A,RawSalesTable6[[#This Row],[Order_ID]])</f>
        <v>1</v>
      </c>
      <c r="U311" s="8" t="str">
        <f>TRIM(LEFT(RawSalesTable6[[#This Row],[Customer_Info]],FIND(",",RawSalesTable6[[#This Row],[Customer_Info]])-1))</f>
        <v>Nora King</v>
      </c>
      <c r="V311" s="8" t="str">
        <f>TRIM(MID(RawSalesTable6[[#This Row],[Customer_Info]],FIND(",",RawSalesTable6[[#This Row],[Customer_Info]])+1,FIND(",",RawSalesTable6[[#This Row],[Customer_Info]],FIND(",",RawSalesTable6[[#This Row],[Customer_Info]])+1)-FIND(",",RawSalesTable6[[#This Row],[Customer_Info]])-1))</f>
        <v>Halifax</v>
      </c>
      <c r="W311" s="8" t="str">
        <f>TRIM(RIGHT(RawSalesTable6[[#This Row],[Customer_Info]],LEN(RawSalesTable6[[#This Row],[Customer_Info]])-FIND(",",RawSalesTable6[[#This Row],[Customer_Info]],FIND(",",RawSalesTable6[[#This Row],[Customer_Info]])+1)))</f>
        <v>Corporate</v>
      </c>
      <c r="X311" s="8" t="str">
        <f>VLOOKUP(RawSalesTable6[[#This Row],[Product_ID_Clean]],ProductsTable[],2,FALSE)</f>
        <v>Laptop Sleeve</v>
      </c>
      <c r="Y311" s="8" t="str">
        <f>VLOOKUP(RawSalesTable6[[#This Row],[Product_ID_Clean]],ProductsTable[],3,FALSE)</f>
        <v>Accessories</v>
      </c>
      <c r="Z311" s="8">
        <f>VLOOKUP(RawSalesTable6[[#This Row],[Product_ID_Clean]],ProductsTable[],5,FALSE)</f>
        <v>78.95</v>
      </c>
      <c r="AA311" s="8">
        <f>RawSalesTable6[[#This Row],[Unit_Price]]*RawSalesTable6[[#This Row],[Quantity]]</f>
        <v>280.94</v>
      </c>
      <c r="AB311" s="8">
        <f>RawSalesTable6[[#This Row],[Gross_Sales]]*RawSalesTable6[[#This Row],[Discount_Pct]]</f>
        <v>42.140999999999998</v>
      </c>
      <c r="AC311" s="8">
        <f>RawSalesTable6[[#This Row],[Gross_Sales]]-RawSalesTable6[[#This Row],[Discount_Amount]]</f>
        <v>238.79900000000001</v>
      </c>
      <c r="AD311" s="8">
        <f>RawSalesTable6[[#This Row],[Unit_Cost]]*RawSalesTable6[[#This Row],[Quantity]]</f>
        <v>157.9</v>
      </c>
      <c r="AE311" s="8">
        <f>RawSalesTable6[[#This Row],[Net_Sales]]-RawSalesTable6[[#This Row],[Total_Cost]]</f>
        <v>80.899000000000001</v>
      </c>
      <c r="AF311" s="9">
        <f>RawSalesTable6[[#This Row],[Profit]]/RawSalesTable6[[#This Row],[Net_Sales]]</f>
        <v>0.33877445047927335</v>
      </c>
      <c r="AG311" s="8">
        <f>YEAR(RawSalesTable6[[#This Row],[Order_Date]])</f>
        <v>2025</v>
      </c>
      <c r="AH311" s="8">
        <f>MONTH(RawSalesTable6[[#This Row],[Order_Date]])</f>
        <v>12</v>
      </c>
      <c r="AI311" s="8" t="str">
        <f>TEXT(RawSalesTable6[[#This Row],[Order_Date]],"mmmm")</f>
        <v>décembre</v>
      </c>
      <c r="AJ311" s="8" t="str">
        <f>IF(RawSalesTable6[[#This Row],[Month_Number]]&lt;=3,"Q1",IF(RawSalesTable6[[#This Row],[Month_Number]]&lt;=6,"Q2",IF(RawSalesTable6[[#This Row],[Month_Number]]&lt;=9,"Q3","Q4")))</f>
        <v>Q4</v>
      </c>
      <c r="AK311" s="8" t="str">
        <f>VLOOKUP(RawSalesTable6[[#This Row],[Customer_ID_Clean]],CustomersTable[],4,FALSE)</f>
        <v>Nova Scotia</v>
      </c>
      <c r="AL311" s="8">
        <f>IF(RawSalesTable6[[#This Row],[Return_Status]]="Yes",1,0)</f>
        <v>0</v>
      </c>
    </row>
    <row r="312" spans="1:38">
      <c r="A312" t="s">
        <v>722</v>
      </c>
      <c r="B312" s="3">
        <v>45923</v>
      </c>
      <c r="C312" t="s">
        <v>647</v>
      </c>
      <c r="D312" t="s">
        <v>303</v>
      </c>
      <c r="E312" t="s">
        <v>648</v>
      </c>
      <c r="F312" t="s">
        <v>103</v>
      </c>
      <c r="G312" t="s">
        <v>104</v>
      </c>
      <c r="H312" t="s">
        <v>97</v>
      </c>
      <c r="I312">
        <v>1</v>
      </c>
      <c r="J312" s="2">
        <v>168.49</v>
      </c>
      <c r="K312" s="4">
        <v>0.05</v>
      </c>
      <c r="L312" t="s">
        <v>98</v>
      </c>
      <c r="M312">
        <v>3</v>
      </c>
      <c r="N312" t="s">
        <v>91</v>
      </c>
      <c r="O312" t="str">
        <f>SUBSTITUTE(PROPER(TRIM(RawSalesTable6[[#This Row],[Channel_Raw]])),"Market Place","Marketplace")</f>
        <v>Retail Store</v>
      </c>
      <c r="P312" t="str">
        <f>TRIM(RawSalesTable6[[#This Row],[Product_ID]])</f>
        <v>P1036</v>
      </c>
      <c r="Q312" t="str">
        <f>TRIM(RawSalesTable6[[#This Row],[Customer_ID]])</f>
        <v>C0050</v>
      </c>
      <c r="R312" s="8" t="str">
        <f>PROPER(TRIM(RawSalesTable6[[#This Row],[Store_Raw]]))</f>
        <v>Vancouver West</v>
      </c>
      <c r="S312" s="8" t="str">
        <f>IF(TRIM(RawSalesTable6[[#This Row],[Payment_Method_Raw]])="","Non renseigné",SUBSTITUTE(PROPER(TRIM(RawSalesTable6[[#This Row],[Payment_Method_Raw]])),"Cc","Credit Card"))</f>
        <v>Debit Card</v>
      </c>
      <c r="T312" s="8">
        <f>COUNTIF(A:A,RawSalesTable6[[#This Row],[Order_ID]])</f>
        <v>1</v>
      </c>
      <c r="U312" s="8" t="str">
        <f>TRIM(LEFT(RawSalesTable6[[#This Row],[Customer_Info]],FIND(",",RawSalesTable6[[#This Row],[Customer_Info]])-1))</f>
        <v>Sarah Singh</v>
      </c>
      <c r="V312" s="8" t="str">
        <f>TRIM(MID(RawSalesTable6[[#This Row],[Customer_Info]],FIND(",",RawSalesTable6[[#This Row],[Customer_Info]])+1,FIND(",",RawSalesTable6[[#This Row],[Customer_Info]],FIND(",",RawSalesTable6[[#This Row],[Customer_Info]])+1)-FIND(",",RawSalesTable6[[#This Row],[Customer_Info]])-1))</f>
        <v>Mississauga</v>
      </c>
      <c r="W312" s="8" t="str">
        <f>TRIM(RIGHT(RawSalesTable6[[#This Row],[Customer_Info]],LEN(RawSalesTable6[[#This Row],[Customer_Info]])-FIND(",",RawSalesTable6[[#This Row],[Customer_Info]],FIND(",",RawSalesTable6[[#This Row],[Customer_Info]])+1)))</f>
        <v>Consumer</v>
      </c>
      <c r="X312" s="8" t="str">
        <f>VLOOKUP(RawSalesTable6[[#This Row],[Product_ID_Clean]],ProductsTable[],2,FALSE)</f>
        <v>Power Bank</v>
      </c>
      <c r="Y312" s="8" t="str">
        <f>VLOOKUP(RawSalesTable6[[#This Row],[Product_ID_Clean]],ProductsTable[],3,FALSE)</f>
        <v>Accessories</v>
      </c>
      <c r="Z312" s="8">
        <f>VLOOKUP(RawSalesTable6[[#This Row],[Product_ID_Clean]],ProductsTable[],5,FALSE)</f>
        <v>76.97</v>
      </c>
      <c r="AA312" s="8">
        <f>RawSalesTable6[[#This Row],[Unit_Price]]*RawSalesTable6[[#This Row],[Quantity]]</f>
        <v>168.49</v>
      </c>
      <c r="AB312" s="8">
        <f>RawSalesTable6[[#This Row],[Gross_Sales]]*RawSalesTable6[[#This Row],[Discount_Pct]]</f>
        <v>8.4245000000000001</v>
      </c>
      <c r="AC312" s="8">
        <f>RawSalesTable6[[#This Row],[Gross_Sales]]-RawSalesTable6[[#This Row],[Discount_Amount]]</f>
        <v>160.06550000000001</v>
      </c>
      <c r="AD312" s="8">
        <f>RawSalesTable6[[#This Row],[Unit_Cost]]*RawSalesTable6[[#This Row],[Quantity]]</f>
        <v>76.97</v>
      </c>
      <c r="AE312" s="8">
        <f>RawSalesTable6[[#This Row],[Net_Sales]]-RawSalesTable6[[#This Row],[Total_Cost]]</f>
        <v>83.095500000000015</v>
      </c>
      <c r="AF312" s="9">
        <f>RawSalesTable6[[#This Row],[Profit]]/RawSalesTable6[[#This Row],[Net_Sales]]</f>
        <v>0.51913435437367828</v>
      </c>
      <c r="AG312" s="8">
        <f>YEAR(RawSalesTable6[[#This Row],[Order_Date]])</f>
        <v>2025</v>
      </c>
      <c r="AH312" s="8">
        <f>MONTH(RawSalesTable6[[#This Row],[Order_Date]])</f>
        <v>9</v>
      </c>
      <c r="AI312" s="8" t="str">
        <f>TEXT(RawSalesTable6[[#This Row],[Order_Date]],"mmmm")</f>
        <v>septembre</v>
      </c>
      <c r="AJ312" s="8" t="str">
        <f>IF(RawSalesTable6[[#This Row],[Month_Number]]&lt;=3,"Q1",IF(RawSalesTable6[[#This Row],[Month_Number]]&lt;=6,"Q2",IF(RawSalesTable6[[#This Row],[Month_Number]]&lt;=9,"Q3","Q4")))</f>
        <v>Q3</v>
      </c>
      <c r="AK312" s="8" t="str">
        <f>VLOOKUP(RawSalesTable6[[#This Row],[Customer_ID_Clean]],CustomersTable[],4,FALSE)</f>
        <v>Ontario</v>
      </c>
      <c r="AL312" s="8">
        <f>IF(RawSalesTable6[[#This Row],[Return_Status]]="Yes",1,0)</f>
        <v>0</v>
      </c>
    </row>
    <row r="313" spans="1:38">
      <c r="A313" t="s">
        <v>723</v>
      </c>
      <c r="B313" s="3">
        <v>45795</v>
      </c>
      <c r="C313" t="s">
        <v>670</v>
      </c>
      <c r="D313" t="s">
        <v>469</v>
      </c>
      <c r="E313" t="s">
        <v>671</v>
      </c>
      <c r="F313" t="s">
        <v>111</v>
      </c>
      <c r="G313" t="s">
        <v>130</v>
      </c>
      <c r="H313" t="s">
        <v>228</v>
      </c>
      <c r="I313">
        <v>2</v>
      </c>
      <c r="J313" s="2">
        <v>82.55</v>
      </c>
      <c r="K313" s="4">
        <v>0.05</v>
      </c>
      <c r="L313" t="s">
        <v>90</v>
      </c>
      <c r="M313">
        <v>7</v>
      </c>
      <c r="N313" t="s">
        <v>91</v>
      </c>
      <c r="O313" t="str">
        <f>SUBSTITUTE(PROPER(TRIM(RawSalesTable6[[#This Row],[Channel_Raw]])),"Market Place","Marketplace")</f>
        <v>Online</v>
      </c>
      <c r="P313" t="str">
        <f>TRIM(RawSalesTable6[[#This Row],[Product_ID]])</f>
        <v>P1035</v>
      </c>
      <c r="Q313" t="str">
        <f>TRIM(RawSalesTable6[[#This Row],[Customer_ID]])</f>
        <v>C0107</v>
      </c>
      <c r="R313" s="8" t="str">
        <f>PROPER(TRIM(RawSalesTable6[[#This Row],[Store_Raw]]))</f>
        <v>Montreal Central</v>
      </c>
      <c r="S313" s="8" t="str">
        <f>IF(TRIM(RawSalesTable6[[#This Row],[Payment_Method_Raw]])="","Non renseigné",SUBSTITUTE(PROPER(TRIM(RawSalesTable6[[#This Row],[Payment_Method_Raw]])),"Cc","Credit Card"))</f>
        <v>Paypal</v>
      </c>
      <c r="T313" s="8">
        <f>COUNTIF(A:A,RawSalesTable6[[#This Row],[Order_ID]])</f>
        <v>1</v>
      </c>
      <c r="U313" s="8" t="str">
        <f>TRIM(LEFT(RawSalesTable6[[#This Row],[Customer_Info]],FIND(",",RawSalesTable6[[#This Row],[Customer_Info]])-1))</f>
        <v>Ava Lee</v>
      </c>
      <c r="V313" s="8" t="str">
        <f>TRIM(MID(RawSalesTable6[[#This Row],[Customer_Info]],FIND(",",RawSalesTable6[[#This Row],[Customer_Info]])+1,FIND(",",RawSalesTable6[[#This Row],[Customer_Info]],FIND(",",RawSalesTable6[[#This Row],[Customer_Info]])+1)-FIND(",",RawSalesTable6[[#This Row],[Customer_Info]])-1))</f>
        <v>Calgary</v>
      </c>
      <c r="W313" s="8" t="str">
        <f>TRIM(RIGHT(RawSalesTable6[[#This Row],[Customer_Info]],LEN(RawSalesTable6[[#This Row],[Customer_Info]])-FIND(",",RawSalesTable6[[#This Row],[Customer_Info]],FIND(",",RawSalesTable6[[#This Row],[Customer_Info]])+1)))</f>
        <v>Small Business</v>
      </c>
      <c r="X313" s="8" t="str">
        <f>VLOOKUP(RawSalesTable6[[#This Row],[Product_ID_Clean]],ProductsTable[],2,FALSE)</f>
        <v>Phone Stand</v>
      </c>
      <c r="Y313" s="8" t="str">
        <f>VLOOKUP(RawSalesTable6[[#This Row],[Product_ID_Clean]],ProductsTable[],3,FALSE)</f>
        <v>Accessories</v>
      </c>
      <c r="Z313" s="8">
        <f>VLOOKUP(RawSalesTable6[[#This Row],[Product_ID_Clean]],ProductsTable[],5,FALSE)</f>
        <v>59.85</v>
      </c>
      <c r="AA313" s="8">
        <f>RawSalesTable6[[#This Row],[Unit_Price]]*RawSalesTable6[[#This Row],[Quantity]]</f>
        <v>165.1</v>
      </c>
      <c r="AB313" s="8">
        <f>RawSalesTable6[[#This Row],[Gross_Sales]]*RawSalesTable6[[#This Row],[Discount_Pct]]</f>
        <v>8.2550000000000008</v>
      </c>
      <c r="AC313" s="8">
        <f>RawSalesTable6[[#This Row],[Gross_Sales]]-RawSalesTable6[[#This Row],[Discount_Amount]]</f>
        <v>156.845</v>
      </c>
      <c r="AD313" s="8">
        <f>RawSalesTable6[[#This Row],[Unit_Cost]]*RawSalesTable6[[#This Row],[Quantity]]</f>
        <v>119.7</v>
      </c>
      <c r="AE313" s="8">
        <f>RawSalesTable6[[#This Row],[Net_Sales]]-RawSalesTable6[[#This Row],[Total_Cost]]</f>
        <v>37.144999999999996</v>
      </c>
      <c r="AF313" s="9">
        <f>RawSalesTable6[[#This Row],[Profit]]/RawSalesTable6[[#This Row],[Net_Sales]]</f>
        <v>0.2368261659600242</v>
      </c>
      <c r="AG313" s="8">
        <f>YEAR(RawSalesTable6[[#This Row],[Order_Date]])</f>
        <v>2025</v>
      </c>
      <c r="AH313" s="8">
        <f>MONTH(RawSalesTable6[[#This Row],[Order_Date]])</f>
        <v>5</v>
      </c>
      <c r="AI313" s="8" t="str">
        <f>TEXT(RawSalesTable6[[#This Row],[Order_Date]],"mmmm")</f>
        <v>mai</v>
      </c>
      <c r="AJ313" s="8" t="str">
        <f>IF(RawSalesTable6[[#This Row],[Month_Number]]&lt;=3,"Q1",IF(RawSalesTable6[[#This Row],[Month_Number]]&lt;=6,"Q2",IF(RawSalesTable6[[#This Row],[Month_Number]]&lt;=9,"Q3","Q4")))</f>
        <v>Q2</v>
      </c>
      <c r="AK313" s="8" t="str">
        <f>VLOOKUP(RawSalesTable6[[#This Row],[Customer_ID_Clean]],CustomersTable[],4,FALSE)</f>
        <v>Alberta</v>
      </c>
      <c r="AL313" s="8">
        <f>IF(RawSalesTable6[[#This Row],[Return_Status]]="Yes",1,0)</f>
        <v>0</v>
      </c>
    </row>
    <row r="314" spans="1:38">
      <c r="A314" t="s">
        <v>724</v>
      </c>
      <c r="B314" s="3">
        <v>45855</v>
      </c>
      <c r="C314" t="s">
        <v>695</v>
      </c>
      <c r="D314" t="s">
        <v>194</v>
      </c>
      <c r="E314" t="s">
        <v>696</v>
      </c>
      <c r="F314" t="s">
        <v>111</v>
      </c>
      <c r="G314" t="s">
        <v>130</v>
      </c>
      <c r="H314" t="s">
        <v>97</v>
      </c>
      <c r="I314">
        <v>2</v>
      </c>
      <c r="J314" s="2">
        <v>197.34</v>
      </c>
      <c r="K314" s="4">
        <v>0.1</v>
      </c>
      <c r="L314" t="s">
        <v>253</v>
      </c>
      <c r="M314">
        <v>1</v>
      </c>
      <c r="N314" t="s">
        <v>91</v>
      </c>
      <c r="O314" t="str">
        <f>SUBSTITUTE(PROPER(TRIM(RawSalesTable6[[#This Row],[Channel_Raw]])),"Market Place","Marketplace")</f>
        <v>Retail Store</v>
      </c>
      <c r="P314" t="str">
        <f>TRIM(RawSalesTable6[[#This Row],[Product_ID]])</f>
        <v>P1029</v>
      </c>
      <c r="Q314" t="str">
        <f>TRIM(RawSalesTable6[[#This Row],[Customer_ID]])</f>
        <v>C0019</v>
      </c>
      <c r="R314" s="8" t="str">
        <f>PROPER(TRIM(RawSalesTable6[[#This Row],[Store_Raw]]))</f>
        <v>Montreal Central</v>
      </c>
      <c r="S314" s="8" t="str">
        <f>IF(TRIM(RawSalesTable6[[#This Row],[Payment_Method_Raw]])="","Non renseigné",SUBSTITUTE(PROPER(TRIM(RawSalesTable6[[#This Row],[Payment_Method_Raw]])),"Cc","Credit Card"))</f>
        <v>Credit Card</v>
      </c>
      <c r="T314" s="8">
        <f>COUNTIF(A:A,RawSalesTable6[[#This Row],[Order_ID]])</f>
        <v>1</v>
      </c>
      <c r="U314" s="8" t="str">
        <f>TRIM(LEFT(RawSalesTable6[[#This Row],[Customer_Info]],FIND(",",RawSalesTable6[[#This Row],[Customer_Info]])-1))</f>
        <v>Lucas Taylor</v>
      </c>
      <c r="V314" s="8" t="str">
        <f>TRIM(MID(RawSalesTable6[[#This Row],[Customer_Info]],FIND(",",RawSalesTable6[[#This Row],[Customer_Info]])+1,FIND(",",RawSalesTable6[[#This Row],[Customer_Info]],FIND(",",RawSalesTable6[[#This Row],[Customer_Info]])+1)-FIND(",",RawSalesTable6[[#This Row],[Customer_Info]])-1))</f>
        <v>Montreal</v>
      </c>
      <c r="W314" s="8" t="str">
        <f>TRIM(RIGHT(RawSalesTable6[[#This Row],[Customer_Info]],LEN(RawSalesTable6[[#This Row],[Customer_Info]])-FIND(",",RawSalesTable6[[#This Row],[Customer_Info]],FIND(",",RawSalesTable6[[#This Row],[Customer_Info]])+1)))</f>
        <v>Small Business</v>
      </c>
      <c r="X314" s="8" t="str">
        <f>VLOOKUP(RawSalesTable6[[#This Row],[Product_ID_Clean]],ProductsTable[],2,FALSE)</f>
        <v>Jump Rope</v>
      </c>
      <c r="Y314" s="8" t="str">
        <f>VLOOKUP(RawSalesTable6[[#This Row],[Product_ID_Clean]],ProductsTable[],3,FALSE)</f>
        <v>Fitness</v>
      </c>
      <c r="Z314" s="8">
        <f>VLOOKUP(RawSalesTable6[[#This Row],[Product_ID_Clean]],ProductsTable[],5,FALSE)</f>
        <v>101</v>
      </c>
      <c r="AA314" s="8">
        <f>RawSalesTable6[[#This Row],[Unit_Price]]*RawSalesTable6[[#This Row],[Quantity]]</f>
        <v>394.68</v>
      </c>
      <c r="AB314" s="8">
        <f>RawSalesTable6[[#This Row],[Gross_Sales]]*RawSalesTable6[[#This Row],[Discount_Pct]]</f>
        <v>39.468000000000004</v>
      </c>
      <c r="AC314" s="8">
        <f>RawSalesTable6[[#This Row],[Gross_Sales]]-RawSalesTable6[[#This Row],[Discount_Amount]]</f>
        <v>355.21199999999999</v>
      </c>
      <c r="AD314" s="8">
        <f>RawSalesTable6[[#This Row],[Unit_Cost]]*RawSalesTable6[[#This Row],[Quantity]]</f>
        <v>202</v>
      </c>
      <c r="AE314" s="8">
        <f>RawSalesTable6[[#This Row],[Net_Sales]]-RawSalesTable6[[#This Row],[Total_Cost]]</f>
        <v>153.21199999999999</v>
      </c>
      <c r="AF314" s="9">
        <f>RawSalesTable6[[#This Row],[Profit]]/RawSalesTable6[[#This Row],[Net_Sales]]</f>
        <v>0.43132551828204002</v>
      </c>
      <c r="AG314" s="8">
        <f>YEAR(RawSalesTable6[[#This Row],[Order_Date]])</f>
        <v>2025</v>
      </c>
      <c r="AH314" s="8">
        <f>MONTH(RawSalesTable6[[#This Row],[Order_Date]])</f>
        <v>7</v>
      </c>
      <c r="AI314" s="8" t="str">
        <f>TEXT(RawSalesTable6[[#This Row],[Order_Date]],"mmmm")</f>
        <v>juillet</v>
      </c>
      <c r="AJ314" s="8" t="str">
        <f>IF(RawSalesTable6[[#This Row],[Month_Number]]&lt;=3,"Q1",IF(RawSalesTable6[[#This Row],[Month_Number]]&lt;=6,"Q2",IF(RawSalesTable6[[#This Row],[Month_Number]]&lt;=9,"Q3","Q4")))</f>
        <v>Q3</v>
      </c>
      <c r="AK314" s="8" t="str">
        <f>VLOOKUP(RawSalesTable6[[#This Row],[Customer_ID_Clean]],CustomersTable[],4,FALSE)</f>
        <v>Quebec</v>
      </c>
      <c r="AL314" s="8">
        <f>IF(RawSalesTable6[[#This Row],[Return_Status]]="Yes",1,0)</f>
        <v>0</v>
      </c>
    </row>
    <row r="315" spans="1:38">
      <c r="A315" t="s">
        <v>725</v>
      </c>
      <c r="B315" s="3">
        <v>45876</v>
      </c>
      <c r="C315" t="s">
        <v>293</v>
      </c>
      <c r="D315" t="s">
        <v>94</v>
      </c>
      <c r="E315" t="s">
        <v>394</v>
      </c>
      <c r="F315" t="s">
        <v>145</v>
      </c>
      <c r="G315" t="s">
        <v>183</v>
      </c>
      <c r="H315" t="s">
        <v>97</v>
      </c>
      <c r="I315">
        <v>1</v>
      </c>
      <c r="J315" s="2">
        <v>301.12</v>
      </c>
      <c r="K315" s="4">
        <v>0.2</v>
      </c>
      <c r="L315" t="s">
        <v>106</v>
      </c>
      <c r="M315">
        <v>0</v>
      </c>
      <c r="N315" t="s">
        <v>91</v>
      </c>
      <c r="O315" t="str">
        <f>SUBSTITUTE(PROPER(TRIM(RawSalesTable6[[#This Row],[Channel_Raw]])),"Market Place","Marketplace")</f>
        <v>Retail Store</v>
      </c>
      <c r="P315" t="str">
        <f>TRIM(RawSalesTable6[[#This Row],[Product_ID]])</f>
        <v>P1033</v>
      </c>
      <c r="Q315" t="str">
        <f>TRIM(RawSalesTable6[[#This Row],[Customer_ID]])</f>
        <v>C0007</v>
      </c>
      <c r="R315" s="8" t="str">
        <f>PROPER(TRIM(RawSalesTable6[[#This Row],[Store_Raw]]))</f>
        <v>Calgary North</v>
      </c>
      <c r="S315" s="8" t="str">
        <f>IF(TRIM(RawSalesTable6[[#This Row],[Payment_Method_Raw]])="","Non renseigné",SUBSTITUTE(PROPER(TRIM(RawSalesTable6[[#This Row],[Payment_Method_Raw]])),"Cc","Credit Card"))</f>
        <v>Credit Card</v>
      </c>
      <c r="T315" s="8">
        <f>COUNTIF(A:A,RawSalesTable6[[#This Row],[Order_ID]])</f>
        <v>1</v>
      </c>
      <c r="U315" s="8" t="str">
        <f>TRIM(LEFT(RawSalesTable6[[#This Row],[Customer_Info]],FIND(",",RawSalesTable6[[#This Row],[Customer_Info]])-1))</f>
        <v>Lucas Wilson</v>
      </c>
      <c r="V315" s="8" t="str">
        <f>TRIM(MID(RawSalesTable6[[#This Row],[Customer_Info]],FIND(",",RawSalesTable6[[#This Row],[Customer_Info]])+1,FIND(",",RawSalesTable6[[#This Row],[Customer_Info]],FIND(",",RawSalesTable6[[#This Row],[Customer_Info]])+1)-FIND(",",RawSalesTable6[[#This Row],[Customer_Info]])-1))</f>
        <v>Ottawa</v>
      </c>
      <c r="W315" s="8" t="str">
        <f>TRIM(RIGHT(RawSalesTable6[[#This Row],[Customer_Info]],LEN(RawSalesTable6[[#This Row],[Customer_Info]])-FIND(",",RawSalesTable6[[#This Row],[Customer_Info]],FIND(",",RawSalesTable6[[#This Row],[Customer_Info]])+1)))</f>
        <v>Consumer</v>
      </c>
      <c r="X315" s="8" t="str">
        <f>VLOOKUP(RawSalesTable6[[#This Row],[Product_ID_Clean]],ProductsTable[],2,FALSE)</f>
        <v>Backpack</v>
      </c>
      <c r="Y315" s="8" t="str">
        <f>VLOOKUP(RawSalesTable6[[#This Row],[Product_ID_Clean]],ProductsTable[],3,FALSE)</f>
        <v>Accessories</v>
      </c>
      <c r="Z315" s="8">
        <f>VLOOKUP(RawSalesTable6[[#This Row],[Product_ID_Clean]],ProductsTable[],5,FALSE)</f>
        <v>152.55000000000001</v>
      </c>
      <c r="AA315" s="8">
        <f>RawSalesTable6[[#This Row],[Unit_Price]]*RawSalesTable6[[#This Row],[Quantity]]</f>
        <v>301.12</v>
      </c>
      <c r="AB315" s="8">
        <f>RawSalesTable6[[#This Row],[Gross_Sales]]*RawSalesTable6[[#This Row],[Discount_Pct]]</f>
        <v>60.224000000000004</v>
      </c>
      <c r="AC315" s="8">
        <f>RawSalesTable6[[#This Row],[Gross_Sales]]-RawSalesTable6[[#This Row],[Discount_Amount]]</f>
        <v>240.89600000000002</v>
      </c>
      <c r="AD315" s="8">
        <f>RawSalesTable6[[#This Row],[Unit_Cost]]*RawSalesTable6[[#This Row],[Quantity]]</f>
        <v>152.55000000000001</v>
      </c>
      <c r="AE315" s="8">
        <f>RawSalesTable6[[#This Row],[Net_Sales]]-RawSalesTable6[[#This Row],[Total_Cost]]</f>
        <v>88.346000000000004</v>
      </c>
      <c r="AF315" s="9">
        <f>RawSalesTable6[[#This Row],[Profit]]/RawSalesTable6[[#This Row],[Net_Sales]]</f>
        <v>0.36673917375132836</v>
      </c>
      <c r="AG315" s="8">
        <f>YEAR(RawSalesTable6[[#This Row],[Order_Date]])</f>
        <v>2025</v>
      </c>
      <c r="AH315" s="8">
        <f>MONTH(RawSalesTable6[[#This Row],[Order_Date]])</f>
        <v>8</v>
      </c>
      <c r="AI315" s="8" t="str">
        <f>TEXT(RawSalesTable6[[#This Row],[Order_Date]],"mmmm")</f>
        <v>août</v>
      </c>
      <c r="AJ315" s="8" t="str">
        <f>IF(RawSalesTable6[[#This Row],[Month_Number]]&lt;=3,"Q1",IF(RawSalesTable6[[#This Row],[Month_Number]]&lt;=6,"Q2",IF(RawSalesTable6[[#This Row],[Month_Number]]&lt;=9,"Q3","Q4")))</f>
        <v>Q3</v>
      </c>
      <c r="AK315" s="8" t="str">
        <f>VLOOKUP(RawSalesTable6[[#This Row],[Customer_ID_Clean]],CustomersTable[],4,FALSE)</f>
        <v>Ontario</v>
      </c>
      <c r="AL315" s="8">
        <f>IF(RawSalesTable6[[#This Row],[Return_Status]]="Yes",1,0)</f>
        <v>0</v>
      </c>
    </row>
    <row r="316" spans="1:38">
      <c r="A316" t="s">
        <v>726</v>
      </c>
      <c r="B316" s="3">
        <v>45761</v>
      </c>
      <c r="C316" t="s">
        <v>695</v>
      </c>
      <c r="D316" t="s">
        <v>503</v>
      </c>
      <c r="E316" t="s">
        <v>696</v>
      </c>
      <c r="F316" t="s">
        <v>145</v>
      </c>
      <c r="G316" t="s">
        <v>104</v>
      </c>
      <c r="H316" t="s">
        <v>89</v>
      </c>
      <c r="I316">
        <v>1</v>
      </c>
      <c r="J316" s="2">
        <v>127.63</v>
      </c>
      <c r="K316" s="4">
        <v>0.05</v>
      </c>
      <c r="L316" t="s">
        <v>98</v>
      </c>
      <c r="M316">
        <v>4</v>
      </c>
      <c r="N316" t="s">
        <v>91</v>
      </c>
      <c r="O316" t="str">
        <f>SUBSTITUTE(PROPER(TRIM(RawSalesTable6[[#This Row],[Channel_Raw]])),"Market Place","Marketplace")</f>
        <v>Online</v>
      </c>
      <c r="P316" t="str">
        <f>TRIM(RawSalesTable6[[#This Row],[Product_ID]])</f>
        <v>P1013</v>
      </c>
      <c r="Q316" t="str">
        <f>TRIM(RawSalesTable6[[#This Row],[Customer_ID]])</f>
        <v>C0019</v>
      </c>
      <c r="R316" s="8" t="str">
        <f>PROPER(TRIM(RawSalesTable6[[#This Row],[Store_Raw]]))</f>
        <v>Calgary North</v>
      </c>
      <c r="S316" s="8" t="str">
        <f>IF(TRIM(RawSalesTable6[[#This Row],[Payment_Method_Raw]])="","Non renseigné",SUBSTITUTE(PROPER(TRIM(RawSalesTable6[[#This Row],[Payment_Method_Raw]])),"Cc","Credit Card"))</f>
        <v>Debit Card</v>
      </c>
      <c r="T316" s="8">
        <f>COUNTIF(A:A,RawSalesTable6[[#This Row],[Order_ID]])</f>
        <v>1</v>
      </c>
      <c r="U316" s="8" t="str">
        <f>TRIM(LEFT(RawSalesTable6[[#This Row],[Customer_Info]],FIND(",",RawSalesTable6[[#This Row],[Customer_Info]])-1))</f>
        <v>Lucas Taylor</v>
      </c>
      <c r="V316" s="8" t="str">
        <f>TRIM(MID(RawSalesTable6[[#This Row],[Customer_Info]],FIND(",",RawSalesTable6[[#This Row],[Customer_Info]])+1,FIND(",",RawSalesTable6[[#This Row],[Customer_Info]],FIND(",",RawSalesTable6[[#This Row],[Customer_Info]])+1)-FIND(",",RawSalesTable6[[#This Row],[Customer_Info]])-1))</f>
        <v>Montreal</v>
      </c>
      <c r="W316" s="8" t="str">
        <f>TRIM(RIGHT(RawSalesTable6[[#This Row],[Customer_Info]],LEN(RawSalesTable6[[#This Row],[Customer_Info]])-FIND(",",RawSalesTable6[[#This Row],[Customer_Info]],FIND(",",RawSalesTable6[[#This Row],[Customer_Info]])+1)))</f>
        <v>Small Business</v>
      </c>
      <c r="X316" s="8" t="str">
        <f>VLOOKUP(RawSalesTable6[[#This Row],[Product_ID_Clean]],ProductsTable[],2,FALSE)</f>
        <v>Whiteboard</v>
      </c>
      <c r="Y316" s="8" t="str">
        <f>VLOOKUP(RawSalesTable6[[#This Row],[Product_ID_Clean]],ProductsTable[],3,FALSE)</f>
        <v>Office</v>
      </c>
      <c r="Z316" s="8">
        <f>VLOOKUP(RawSalesTable6[[#This Row],[Product_ID_Clean]],ProductsTable[],5,FALSE)</f>
        <v>85.73</v>
      </c>
      <c r="AA316" s="8">
        <f>RawSalesTable6[[#This Row],[Unit_Price]]*RawSalesTable6[[#This Row],[Quantity]]</f>
        <v>127.63</v>
      </c>
      <c r="AB316" s="8">
        <f>RawSalesTable6[[#This Row],[Gross_Sales]]*RawSalesTable6[[#This Row],[Discount_Pct]]</f>
        <v>6.3815</v>
      </c>
      <c r="AC316" s="8">
        <f>RawSalesTable6[[#This Row],[Gross_Sales]]-RawSalesTable6[[#This Row],[Discount_Amount]]</f>
        <v>121.24849999999999</v>
      </c>
      <c r="AD316" s="8">
        <f>RawSalesTable6[[#This Row],[Unit_Cost]]*RawSalesTable6[[#This Row],[Quantity]]</f>
        <v>85.73</v>
      </c>
      <c r="AE316" s="8">
        <f>RawSalesTable6[[#This Row],[Net_Sales]]-RawSalesTable6[[#This Row],[Total_Cost]]</f>
        <v>35.518499999999989</v>
      </c>
      <c r="AF316" s="9">
        <f>RawSalesTable6[[#This Row],[Profit]]/RawSalesTable6[[#This Row],[Net_Sales]]</f>
        <v>0.29293970647059542</v>
      </c>
      <c r="AG316" s="8">
        <f>YEAR(RawSalesTable6[[#This Row],[Order_Date]])</f>
        <v>2025</v>
      </c>
      <c r="AH316" s="8">
        <f>MONTH(RawSalesTable6[[#This Row],[Order_Date]])</f>
        <v>4</v>
      </c>
      <c r="AI316" s="8" t="str">
        <f>TEXT(RawSalesTable6[[#This Row],[Order_Date]],"mmmm")</f>
        <v>avril</v>
      </c>
      <c r="AJ316" s="8" t="str">
        <f>IF(RawSalesTable6[[#This Row],[Month_Number]]&lt;=3,"Q1",IF(RawSalesTable6[[#This Row],[Month_Number]]&lt;=6,"Q2",IF(RawSalesTable6[[#This Row],[Month_Number]]&lt;=9,"Q3","Q4")))</f>
        <v>Q2</v>
      </c>
      <c r="AK316" s="8" t="str">
        <f>VLOOKUP(RawSalesTable6[[#This Row],[Customer_ID_Clean]],CustomersTable[],4,FALSE)</f>
        <v>Quebec</v>
      </c>
      <c r="AL316" s="8">
        <f>IF(RawSalesTable6[[#This Row],[Return_Status]]="Yes",1,0)</f>
        <v>0</v>
      </c>
    </row>
    <row r="317" spans="1:38">
      <c r="A317" t="s">
        <v>727</v>
      </c>
      <c r="B317" s="3">
        <v>45762</v>
      </c>
      <c r="C317" t="s">
        <v>213</v>
      </c>
      <c r="D317" t="s">
        <v>133</v>
      </c>
      <c r="E317" t="s">
        <v>214</v>
      </c>
      <c r="F317" t="s">
        <v>103</v>
      </c>
      <c r="G317" t="s">
        <v>117</v>
      </c>
      <c r="H317" t="s">
        <v>97</v>
      </c>
      <c r="I317">
        <v>1</v>
      </c>
      <c r="J317" s="2">
        <v>337.2</v>
      </c>
      <c r="K317" s="4">
        <v>0.05</v>
      </c>
      <c r="L317" t="s">
        <v>106</v>
      </c>
      <c r="M317">
        <v>1</v>
      </c>
      <c r="N317" t="s">
        <v>91</v>
      </c>
      <c r="O317" t="str">
        <f>SUBSTITUTE(PROPER(TRIM(RawSalesTable6[[#This Row],[Channel_Raw]])),"Market Place","Marketplace")</f>
        <v>Retail Store</v>
      </c>
      <c r="P317" t="str">
        <f>TRIM(RawSalesTable6[[#This Row],[Product_ID]])</f>
        <v>P1039</v>
      </c>
      <c r="Q317" t="str">
        <f>TRIM(RawSalesTable6[[#This Row],[Customer_ID]])</f>
        <v>C0001</v>
      </c>
      <c r="R317" s="8" t="str">
        <f>PROPER(TRIM(RawSalesTable6[[#This Row],[Store_Raw]]))</f>
        <v>Vancouver West</v>
      </c>
      <c r="S317" s="8" t="str">
        <f>IF(TRIM(RawSalesTable6[[#This Row],[Payment_Method_Raw]])="","Non renseigné",SUBSTITUTE(PROPER(TRIM(RawSalesTable6[[#This Row],[Payment_Method_Raw]])),"Cc","Credit Card"))</f>
        <v>Credit Card</v>
      </c>
      <c r="T317" s="8">
        <f>COUNTIF(A:A,RawSalesTable6[[#This Row],[Order_ID]])</f>
        <v>1</v>
      </c>
      <c r="U317" s="8" t="str">
        <f>TRIM(LEFT(RawSalesTable6[[#This Row],[Customer_Info]],FIND(",",RawSalesTable6[[#This Row],[Customer_Info]])-1))</f>
        <v>Ethan Roy</v>
      </c>
      <c r="V317" s="8" t="str">
        <f>TRIM(MID(RawSalesTable6[[#This Row],[Customer_Info]],FIND(",",RawSalesTable6[[#This Row],[Customer_Info]])+1,FIND(",",RawSalesTable6[[#This Row],[Customer_Info]],FIND(",",RawSalesTable6[[#This Row],[Customer_Info]])+1)-FIND(",",RawSalesTable6[[#This Row],[Customer_Info]])-1))</f>
        <v>Halifax</v>
      </c>
      <c r="W317" s="8" t="str">
        <f>TRIM(RIGHT(RawSalesTable6[[#This Row],[Customer_Info]],LEN(RawSalesTable6[[#This Row],[Customer_Info]])-FIND(",",RawSalesTable6[[#This Row],[Customer_Info]],FIND(",",RawSalesTable6[[#This Row],[Customer_Info]])+1)))</f>
        <v>Consumer</v>
      </c>
      <c r="X317" s="8" t="str">
        <f>VLOOKUP(RawSalesTable6[[#This Row],[Product_ID_Clean]],ProductsTable[],2,FALSE)</f>
        <v>Travel Adapter</v>
      </c>
      <c r="Y317" s="8" t="str">
        <f>VLOOKUP(RawSalesTable6[[#This Row],[Product_ID_Clean]],ProductsTable[],3,FALSE)</f>
        <v>Accessories</v>
      </c>
      <c r="Z317" s="8">
        <f>VLOOKUP(RawSalesTable6[[#This Row],[Product_ID_Clean]],ProductsTable[],5,FALSE)</f>
        <v>229.86</v>
      </c>
      <c r="AA317" s="8">
        <f>RawSalesTable6[[#This Row],[Unit_Price]]*RawSalesTable6[[#This Row],[Quantity]]</f>
        <v>337.2</v>
      </c>
      <c r="AB317" s="8">
        <f>RawSalesTable6[[#This Row],[Gross_Sales]]*RawSalesTable6[[#This Row],[Discount_Pct]]</f>
        <v>16.86</v>
      </c>
      <c r="AC317" s="8">
        <f>RawSalesTable6[[#This Row],[Gross_Sales]]-RawSalesTable6[[#This Row],[Discount_Amount]]</f>
        <v>320.33999999999997</v>
      </c>
      <c r="AD317" s="8">
        <f>RawSalesTable6[[#This Row],[Unit_Cost]]*RawSalesTable6[[#This Row],[Quantity]]</f>
        <v>229.86</v>
      </c>
      <c r="AE317" s="8">
        <f>RawSalesTable6[[#This Row],[Net_Sales]]-RawSalesTable6[[#This Row],[Total_Cost]]</f>
        <v>90.479999999999961</v>
      </c>
      <c r="AF317" s="9">
        <f>RawSalesTable6[[#This Row],[Profit]]/RawSalesTable6[[#This Row],[Net_Sales]]</f>
        <v>0.28244989698445394</v>
      </c>
      <c r="AG317" s="8">
        <f>YEAR(RawSalesTable6[[#This Row],[Order_Date]])</f>
        <v>2025</v>
      </c>
      <c r="AH317" s="8">
        <f>MONTH(RawSalesTable6[[#This Row],[Order_Date]])</f>
        <v>4</v>
      </c>
      <c r="AI317" s="8" t="str">
        <f>TEXT(RawSalesTable6[[#This Row],[Order_Date]],"mmmm")</f>
        <v>avril</v>
      </c>
      <c r="AJ317" s="8" t="str">
        <f>IF(RawSalesTable6[[#This Row],[Month_Number]]&lt;=3,"Q1",IF(RawSalesTable6[[#This Row],[Month_Number]]&lt;=6,"Q2",IF(RawSalesTable6[[#This Row],[Month_Number]]&lt;=9,"Q3","Q4")))</f>
        <v>Q2</v>
      </c>
      <c r="AK317" s="8" t="str">
        <f>VLOOKUP(RawSalesTable6[[#This Row],[Customer_ID_Clean]],CustomersTable[],4,FALSE)</f>
        <v>Nova Scotia</v>
      </c>
      <c r="AL317" s="8">
        <f>IF(RawSalesTable6[[#This Row],[Return_Status]]="Yes",1,0)</f>
        <v>0</v>
      </c>
    </row>
    <row r="318" spans="1:38">
      <c r="A318" t="s">
        <v>728</v>
      </c>
      <c r="B318" s="3">
        <v>45823</v>
      </c>
      <c r="C318" t="s">
        <v>200</v>
      </c>
      <c r="D318" t="s">
        <v>133</v>
      </c>
      <c r="E318" t="s">
        <v>201</v>
      </c>
      <c r="F318" t="s">
        <v>87</v>
      </c>
      <c r="G318" t="s">
        <v>130</v>
      </c>
      <c r="H318" t="s">
        <v>89</v>
      </c>
      <c r="I318">
        <v>1</v>
      </c>
      <c r="J318" s="2">
        <v>334.17</v>
      </c>
      <c r="K318" s="4">
        <v>0.05</v>
      </c>
      <c r="L318" t="s">
        <v>521</v>
      </c>
      <c r="M318">
        <v>7</v>
      </c>
      <c r="N318" t="s">
        <v>91</v>
      </c>
      <c r="O318" t="str">
        <f>SUBSTITUTE(PROPER(TRIM(RawSalesTable6[[#This Row],[Channel_Raw]])),"Market Place","Marketplace")</f>
        <v>Online</v>
      </c>
      <c r="P318" t="str">
        <f>TRIM(RawSalesTable6[[#This Row],[Product_ID]])</f>
        <v>P1039</v>
      </c>
      <c r="Q318" t="str">
        <f>TRIM(RawSalesTable6[[#This Row],[Customer_ID]])</f>
        <v>C0118</v>
      </c>
      <c r="R318" s="8" t="str">
        <f>PROPER(TRIM(RawSalesTable6[[#This Row],[Store_Raw]]))</f>
        <v>Online Fulfillment</v>
      </c>
      <c r="S318" s="8" t="str">
        <f>IF(TRIM(RawSalesTable6[[#This Row],[Payment_Method_Raw]])="","Non renseigné",SUBSTITUTE(PROPER(TRIM(RawSalesTable6[[#This Row],[Payment_Method_Raw]])),"Cc","Credit Card"))</f>
        <v>Debit Card</v>
      </c>
      <c r="T318" s="8">
        <f>COUNTIF(A:A,RawSalesTable6[[#This Row],[Order_ID]])</f>
        <v>1</v>
      </c>
      <c r="U318" s="8" t="str">
        <f>TRIM(LEFT(RawSalesTable6[[#This Row],[Customer_Info]],FIND(",",RawSalesTable6[[#This Row],[Customer_Info]])-1))</f>
        <v>Ryan Smith</v>
      </c>
      <c r="V318" s="8" t="str">
        <f>TRIM(MID(RawSalesTable6[[#This Row],[Customer_Info]],FIND(",",RawSalesTable6[[#This Row],[Customer_Info]])+1,FIND(",",RawSalesTable6[[#This Row],[Customer_Info]],FIND(",",RawSalesTable6[[#This Row],[Customer_Info]])+1)-FIND(",",RawSalesTable6[[#This Row],[Customer_Info]])-1))</f>
        <v>Victoria</v>
      </c>
      <c r="W318" s="8" t="str">
        <f>TRIM(RIGHT(RawSalesTable6[[#This Row],[Customer_Info]],LEN(RawSalesTable6[[#This Row],[Customer_Info]])-FIND(",",RawSalesTable6[[#This Row],[Customer_Info]],FIND(",",RawSalesTable6[[#This Row],[Customer_Info]])+1)))</f>
        <v>Small Business</v>
      </c>
      <c r="X318" s="8" t="str">
        <f>VLOOKUP(RawSalesTable6[[#This Row],[Product_ID_Clean]],ProductsTable[],2,FALSE)</f>
        <v>Travel Adapter</v>
      </c>
      <c r="Y318" s="8" t="str">
        <f>VLOOKUP(RawSalesTable6[[#This Row],[Product_ID_Clean]],ProductsTable[],3,FALSE)</f>
        <v>Accessories</v>
      </c>
      <c r="Z318" s="8">
        <f>VLOOKUP(RawSalesTable6[[#This Row],[Product_ID_Clean]],ProductsTable[],5,FALSE)</f>
        <v>229.86</v>
      </c>
      <c r="AA318" s="8">
        <f>RawSalesTable6[[#This Row],[Unit_Price]]*RawSalesTable6[[#This Row],[Quantity]]</f>
        <v>334.17</v>
      </c>
      <c r="AB318" s="8">
        <f>RawSalesTable6[[#This Row],[Gross_Sales]]*RawSalesTable6[[#This Row],[Discount_Pct]]</f>
        <v>16.708500000000001</v>
      </c>
      <c r="AC318" s="8">
        <f>RawSalesTable6[[#This Row],[Gross_Sales]]-RawSalesTable6[[#This Row],[Discount_Amount]]</f>
        <v>317.4615</v>
      </c>
      <c r="AD318" s="8">
        <f>RawSalesTable6[[#This Row],[Unit_Cost]]*RawSalesTable6[[#This Row],[Quantity]]</f>
        <v>229.86</v>
      </c>
      <c r="AE318" s="8">
        <f>RawSalesTable6[[#This Row],[Net_Sales]]-RawSalesTable6[[#This Row],[Total_Cost]]</f>
        <v>87.601499999999987</v>
      </c>
      <c r="AF318" s="9">
        <f>RawSalesTable6[[#This Row],[Profit]]/RawSalesTable6[[#This Row],[Net_Sales]]</f>
        <v>0.27594369710972821</v>
      </c>
      <c r="AG318" s="8">
        <f>YEAR(RawSalesTable6[[#This Row],[Order_Date]])</f>
        <v>2025</v>
      </c>
      <c r="AH318" s="8">
        <f>MONTH(RawSalesTable6[[#This Row],[Order_Date]])</f>
        <v>6</v>
      </c>
      <c r="AI318" s="8" t="str">
        <f>TEXT(RawSalesTable6[[#This Row],[Order_Date]],"mmmm")</f>
        <v>juin</v>
      </c>
      <c r="AJ318" s="8" t="str">
        <f>IF(RawSalesTable6[[#This Row],[Month_Number]]&lt;=3,"Q1",IF(RawSalesTable6[[#This Row],[Month_Number]]&lt;=6,"Q2",IF(RawSalesTable6[[#This Row],[Month_Number]]&lt;=9,"Q3","Q4")))</f>
        <v>Q2</v>
      </c>
      <c r="AK318" s="8" t="str">
        <f>VLOOKUP(RawSalesTable6[[#This Row],[Customer_ID_Clean]],CustomersTable[],4,FALSE)</f>
        <v>British Columbia</v>
      </c>
      <c r="AL318" s="8">
        <f>IF(RawSalesTable6[[#This Row],[Return_Status]]="Yes",1,0)</f>
        <v>0</v>
      </c>
    </row>
    <row r="319" spans="1:38">
      <c r="A319" t="s">
        <v>729</v>
      </c>
      <c r="B319" s="3">
        <v>45795</v>
      </c>
      <c r="C319" t="s">
        <v>313</v>
      </c>
      <c r="D319" t="s">
        <v>120</v>
      </c>
      <c r="E319" t="s">
        <v>314</v>
      </c>
      <c r="F319" t="s">
        <v>87</v>
      </c>
      <c r="G319" t="s">
        <v>104</v>
      </c>
      <c r="H319" t="s">
        <v>308</v>
      </c>
      <c r="I319">
        <v>1</v>
      </c>
      <c r="J319" s="2">
        <v>390.94</v>
      </c>
      <c r="K319" s="4">
        <v>0.2</v>
      </c>
      <c r="L319" t="s">
        <v>253</v>
      </c>
      <c r="M319">
        <v>4</v>
      </c>
      <c r="N319" t="s">
        <v>91</v>
      </c>
      <c r="O319" t="str">
        <f>SUBSTITUTE(PROPER(TRIM(RawSalesTable6[[#This Row],[Channel_Raw]])),"Market Place","Marketplace")</f>
        <v>Online</v>
      </c>
      <c r="P319" t="str">
        <f>TRIM(RawSalesTable6[[#This Row],[Product_ID]])</f>
        <v>P1015</v>
      </c>
      <c r="Q319" t="str">
        <f>TRIM(RawSalesTable6[[#This Row],[Customer_ID]])</f>
        <v>C0080</v>
      </c>
      <c r="R319" s="8" t="str">
        <f>PROPER(TRIM(RawSalesTable6[[#This Row],[Store_Raw]]))</f>
        <v>Online Fulfillment</v>
      </c>
      <c r="S319" s="8" t="str">
        <f>IF(TRIM(RawSalesTable6[[#This Row],[Payment_Method_Raw]])="","Non renseigné",SUBSTITUTE(PROPER(TRIM(RawSalesTable6[[#This Row],[Payment_Method_Raw]])),"Cc","Credit Card"))</f>
        <v>Credit Card</v>
      </c>
      <c r="T319" s="8">
        <f>COUNTIF(A:A,RawSalesTable6[[#This Row],[Order_ID]])</f>
        <v>1</v>
      </c>
      <c r="U319" s="8" t="str">
        <f>TRIM(LEFT(RawSalesTable6[[#This Row],[Customer_Info]],FIND(",",RawSalesTable6[[#This Row],[Customer_Info]])-1))</f>
        <v>Sarah Smith</v>
      </c>
      <c r="V319" s="8" t="str">
        <f>TRIM(MID(RawSalesTable6[[#This Row],[Customer_Info]],FIND(",",RawSalesTable6[[#This Row],[Customer_Info]])+1,FIND(",",RawSalesTable6[[#This Row],[Customer_Info]],FIND(",",RawSalesTable6[[#This Row],[Customer_Info]])+1)-FIND(",",RawSalesTable6[[#This Row],[Customer_Info]])-1))</f>
        <v>Mississauga</v>
      </c>
      <c r="W319" s="8" t="str">
        <f>TRIM(RIGHT(RawSalesTable6[[#This Row],[Customer_Info]],LEN(RawSalesTable6[[#This Row],[Customer_Info]])-FIND(",",RawSalesTable6[[#This Row],[Customer_Info]],FIND(",",RawSalesTable6[[#This Row],[Customer_Info]])+1)))</f>
        <v>Corporate</v>
      </c>
      <c r="X319" s="8" t="str">
        <f>VLOOKUP(RawSalesTable6[[#This Row],[Product_ID_Clean]],ProductsTable[],2,FALSE)</f>
        <v>Desk Organizer</v>
      </c>
      <c r="Y319" s="8" t="str">
        <f>VLOOKUP(RawSalesTable6[[#This Row],[Product_ID_Clean]],ProductsTable[],3,FALSE)</f>
        <v>Office</v>
      </c>
      <c r="Z319" s="8">
        <f>VLOOKUP(RawSalesTable6[[#This Row],[Product_ID_Clean]],ProductsTable[],5,FALSE)</f>
        <v>235.76</v>
      </c>
      <c r="AA319" s="8">
        <f>RawSalesTable6[[#This Row],[Unit_Price]]*RawSalesTable6[[#This Row],[Quantity]]</f>
        <v>390.94</v>
      </c>
      <c r="AB319" s="8">
        <f>RawSalesTable6[[#This Row],[Gross_Sales]]*RawSalesTable6[[#This Row],[Discount_Pct]]</f>
        <v>78.188000000000002</v>
      </c>
      <c r="AC319" s="8">
        <f>RawSalesTable6[[#This Row],[Gross_Sales]]-RawSalesTable6[[#This Row],[Discount_Amount]]</f>
        <v>312.75200000000001</v>
      </c>
      <c r="AD319" s="8">
        <f>RawSalesTable6[[#This Row],[Unit_Cost]]*RawSalesTable6[[#This Row],[Quantity]]</f>
        <v>235.76</v>
      </c>
      <c r="AE319" s="8">
        <f>RawSalesTable6[[#This Row],[Net_Sales]]-RawSalesTable6[[#This Row],[Total_Cost]]</f>
        <v>76.992000000000019</v>
      </c>
      <c r="AF319" s="9">
        <f>RawSalesTable6[[#This Row],[Profit]]/RawSalesTable6[[#This Row],[Net_Sales]]</f>
        <v>0.24617588376733007</v>
      </c>
      <c r="AG319" s="8">
        <f>YEAR(RawSalesTable6[[#This Row],[Order_Date]])</f>
        <v>2025</v>
      </c>
      <c r="AH319" s="8">
        <f>MONTH(RawSalesTable6[[#This Row],[Order_Date]])</f>
        <v>5</v>
      </c>
      <c r="AI319" s="8" t="str">
        <f>TEXT(RawSalesTable6[[#This Row],[Order_Date]],"mmmm")</f>
        <v>mai</v>
      </c>
      <c r="AJ319" s="8" t="str">
        <f>IF(RawSalesTable6[[#This Row],[Month_Number]]&lt;=3,"Q1",IF(RawSalesTable6[[#This Row],[Month_Number]]&lt;=6,"Q2",IF(RawSalesTable6[[#This Row],[Month_Number]]&lt;=9,"Q3","Q4")))</f>
        <v>Q2</v>
      </c>
      <c r="AK319" s="8" t="str">
        <f>VLOOKUP(RawSalesTable6[[#This Row],[Customer_ID_Clean]],CustomersTable[],4,FALSE)</f>
        <v>Ontario</v>
      </c>
      <c r="AL319" s="8">
        <f>IF(RawSalesTable6[[#This Row],[Return_Status]]="Yes",1,0)</f>
        <v>0</v>
      </c>
    </row>
    <row r="320" spans="1:38">
      <c r="A320" t="s">
        <v>730</v>
      </c>
      <c r="B320" s="3">
        <v>45709</v>
      </c>
      <c r="C320" t="s">
        <v>610</v>
      </c>
      <c r="D320" t="s">
        <v>133</v>
      </c>
      <c r="E320" t="s">
        <v>611</v>
      </c>
      <c r="F320" t="s">
        <v>145</v>
      </c>
      <c r="G320" t="s">
        <v>88</v>
      </c>
      <c r="H320" t="s">
        <v>105</v>
      </c>
      <c r="I320">
        <v>4</v>
      </c>
      <c r="J320" s="2">
        <v>339.87</v>
      </c>
      <c r="K320" s="4">
        <v>0</v>
      </c>
      <c r="L320" t="s">
        <v>98</v>
      </c>
      <c r="M320">
        <v>8</v>
      </c>
      <c r="N320" t="s">
        <v>91</v>
      </c>
      <c r="O320" t="str">
        <f>SUBSTITUTE(PROPER(TRIM(RawSalesTable6[[#This Row],[Channel_Raw]])),"Market Place","Marketplace")</f>
        <v>Marketplace</v>
      </c>
      <c r="P320" t="str">
        <f>TRIM(RawSalesTable6[[#This Row],[Product_ID]])</f>
        <v>P1039</v>
      </c>
      <c r="Q320" t="str">
        <f>TRIM(RawSalesTable6[[#This Row],[Customer_ID]])</f>
        <v>C0051</v>
      </c>
      <c r="R320" s="8" t="str">
        <f>PROPER(TRIM(RawSalesTable6[[#This Row],[Store_Raw]]))</f>
        <v>Calgary North</v>
      </c>
      <c r="S320" s="8" t="str">
        <f>IF(TRIM(RawSalesTable6[[#This Row],[Payment_Method_Raw]])="","Non renseigné",SUBSTITUTE(PROPER(TRIM(RawSalesTable6[[#This Row],[Payment_Method_Raw]])),"Cc","Credit Card"))</f>
        <v>Debit Card</v>
      </c>
      <c r="T320" s="8">
        <f>COUNTIF(A:A,RawSalesTable6[[#This Row],[Order_ID]])</f>
        <v>1</v>
      </c>
      <c r="U320" s="8" t="str">
        <f>TRIM(LEFT(RawSalesTable6[[#This Row],[Customer_Info]],FIND(",",RawSalesTable6[[#This Row],[Customer_Info]])-1))</f>
        <v>Daniel Brown</v>
      </c>
      <c r="V320" s="8" t="str">
        <f>TRIM(MID(RawSalesTable6[[#This Row],[Customer_Info]],FIND(",",RawSalesTable6[[#This Row],[Customer_Info]])+1,FIND(",",RawSalesTable6[[#This Row],[Customer_Info]],FIND(",",RawSalesTable6[[#This Row],[Customer_Info]])+1)-FIND(",",RawSalesTable6[[#This Row],[Customer_Info]])-1))</f>
        <v>Vancouver</v>
      </c>
      <c r="W320" s="8" t="str">
        <f>TRIM(RIGHT(RawSalesTable6[[#This Row],[Customer_Info]],LEN(RawSalesTable6[[#This Row],[Customer_Info]])-FIND(",",RawSalesTable6[[#This Row],[Customer_Info]],FIND(",",RawSalesTable6[[#This Row],[Customer_Info]])+1)))</f>
        <v>Small Business</v>
      </c>
      <c r="X320" s="8" t="str">
        <f>VLOOKUP(RawSalesTable6[[#This Row],[Product_ID_Clean]],ProductsTable[],2,FALSE)</f>
        <v>Travel Adapter</v>
      </c>
      <c r="Y320" s="8" t="str">
        <f>VLOOKUP(RawSalesTable6[[#This Row],[Product_ID_Clean]],ProductsTable[],3,FALSE)</f>
        <v>Accessories</v>
      </c>
      <c r="Z320" s="8">
        <f>VLOOKUP(RawSalesTable6[[#This Row],[Product_ID_Clean]],ProductsTable[],5,FALSE)</f>
        <v>229.86</v>
      </c>
      <c r="AA320" s="8">
        <f>RawSalesTable6[[#This Row],[Unit_Price]]*RawSalesTable6[[#This Row],[Quantity]]</f>
        <v>1359.48</v>
      </c>
      <c r="AB320" s="8">
        <f>RawSalesTable6[[#This Row],[Gross_Sales]]*RawSalesTable6[[#This Row],[Discount_Pct]]</f>
        <v>0</v>
      </c>
      <c r="AC320" s="8">
        <f>RawSalesTable6[[#This Row],[Gross_Sales]]-RawSalesTable6[[#This Row],[Discount_Amount]]</f>
        <v>1359.48</v>
      </c>
      <c r="AD320" s="8">
        <f>RawSalesTable6[[#This Row],[Unit_Cost]]*RawSalesTable6[[#This Row],[Quantity]]</f>
        <v>919.44</v>
      </c>
      <c r="AE320" s="8">
        <f>RawSalesTable6[[#This Row],[Net_Sales]]-RawSalesTable6[[#This Row],[Total_Cost]]</f>
        <v>440.03999999999996</v>
      </c>
      <c r="AF320" s="9">
        <f>RawSalesTable6[[#This Row],[Profit]]/RawSalesTable6[[#This Row],[Net_Sales]]</f>
        <v>0.32368258451760962</v>
      </c>
      <c r="AG320" s="8">
        <f>YEAR(RawSalesTable6[[#This Row],[Order_Date]])</f>
        <v>2025</v>
      </c>
      <c r="AH320" s="8">
        <f>MONTH(RawSalesTable6[[#This Row],[Order_Date]])</f>
        <v>2</v>
      </c>
      <c r="AI320" s="8" t="str">
        <f>TEXT(RawSalesTable6[[#This Row],[Order_Date]],"mmmm")</f>
        <v>février</v>
      </c>
      <c r="AJ320" s="8" t="str">
        <f>IF(RawSalesTable6[[#This Row],[Month_Number]]&lt;=3,"Q1",IF(RawSalesTable6[[#This Row],[Month_Number]]&lt;=6,"Q2",IF(RawSalesTable6[[#This Row],[Month_Number]]&lt;=9,"Q3","Q4")))</f>
        <v>Q1</v>
      </c>
      <c r="AK320" s="8" t="str">
        <f>VLOOKUP(RawSalesTable6[[#This Row],[Customer_ID_Clean]],CustomersTable[],4,FALSE)</f>
        <v>British Columbia</v>
      </c>
      <c r="AL320" s="8">
        <f>IF(RawSalesTable6[[#This Row],[Return_Status]]="Yes",1,0)</f>
        <v>0</v>
      </c>
    </row>
    <row r="321" spans="1:38">
      <c r="A321" t="s">
        <v>731</v>
      </c>
      <c r="B321" s="3">
        <v>45866</v>
      </c>
      <c r="C321" t="s">
        <v>290</v>
      </c>
      <c r="D321" t="s">
        <v>252</v>
      </c>
      <c r="E321" t="s">
        <v>732</v>
      </c>
      <c r="F321" t="s">
        <v>111</v>
      </c>
      <c r="G321" t="s">
        <v>183</v>
      </c>
      <c r="H321" t="s">
        <v>97</v>
      </c>
      <c r="I321">
        <v>2</v>
      </c>
      <c r="J321" s="2">
        <v>268.60000000000002</v>
      </c>
      <c r="K321" s="4">
        <v>0.15</v>
      </c>
      <c r="L321" t="s">
        <v>90</v>
      </c>
      <c r="M321">
        <v>1</v>
      </c>
      <c r="N321" t="s">
        <v>91</v>
      </c>
      <c r="O321" t="str">
        <f>SUBSTITUTE(PROPER(TRIM(RawSalesTable6[[#This Row],[Channel_Raw]])),"Market Place","Marketplace")</f>
        <v>Retail Store</v>
      </c>
      <c r="P321" t="str">
        <f>TRIM(RawSalesTable6[[#This Row],[Product_ID]])</f>
        <v>P1019</v>
      </c>
      <c r="Q321" t="str">
        <f>TRIM(RawSalesTable6[[#This Row],[Customer_ID]])</f>
        <v>C0116</v>
      </c>
      <c r="R321" s="8" t="str">
        <f>PROPER(TRIM(RawSalesTable6[[#This Row],[Store_Raw]]))</f>
        <v>Montreal Central</v>
      </c>
      <c r="S321" s="8" t="str">
        <f>IF(TRIM(RawSalesTable6[[#This Row],[Payment_Method_Raw]])="","Non renseigné",SUBSTITUTE(PROPER(TRIM(RawSalesTable6[[#This Row],[Payment_Method_Raw]])),"Cc","Credit Card"))</f>
        <v>Paypal</v>
      </c>
      <c r="T321" s="8">
        <f>COUNTIF(A:A,RawSalesTable6[[#This Row],[Order_ID]])</f>
        <v>1</v>
      </c>
      <c r="U321" s="8" t="str">
        <f>TRIM(LEFT(RawSalesTable6[[#This Row],[Customer_Info]],FIND(",",RawSalesTable6[[#This Row],[Customer_Info]])-1))</f>
        <v>Lucas Brown</v>
      </c>
      <c r="V321" s="8" t="str">
        <f>TRIM(MID(RawSalesTable6[[#This Row],[Customer_Info]],FIND(",",RawSalesTable6[[#This Row],[Customer_Info]])+1,FIND(",",RawSalesTable6[[#This Row],[Customer_Info]],FIND(",",RawSalesTable6[[#This Row],[Customer_Info]])+1)-FIND(",",RawSalesTable6[[#This Row],[Customer_Info]])-1))</f>
        <v>Mississauga</v>
      </c>
      <c r="W321" s="8" t="str">
        <f>TRIM(RIGHT(RawSalesTable6[[#This Row],[Customer_Info]],LEN(RawSalesTable6[[#This Row],[Customer_Info]])-FIND(",",RawSalesTable6[[#This Row],[Customer_Info]],FIND(",",RawSalesTable6[[#This Row],[Customer_Info]])+1)))</f>
        <v>Corporate</v>
      </c>
      <c r="X321" s="8" t="str">
        <f>VLOOKUP(RawSalesTable6[[#This Row],[Product_ID_Clean]],ProductsTable[],2,FALSE)</f>
        <v>Vacuum</v>
      </c>
      <c r="Y321" s="8" t="str">
        <f>VLOOKUP(RawSalesTable6[[#This Row],[Product_ID_Clean]],ProductsTable[],3,FALSE)</f>
        <v>Home</v>
      </c>
      <c r="Z321" s="8">
        <f>VLOOKUP(RawSalesTable6[[#This Row],[Product_ID_Clean]],ProductsTable[],5,FALSE)</f>
        <v>186.94</v>
      </c>
      <c r="AA321" s="8">
        <f>RawSalesTable6[[#This Row],[Unit_Price]]*RawSalesTable6[[#This Row],[Quantity]]</f>
        <v>537.20000000000005</v>
      </c>
      <c r="AB321" s="8">
        <f>RawSalesTable6[[#This Row],[Gross_Sales]]*RawSalesTable6[[#This Row],[Discount_Pct]]</f>
        <v>80.58</v>
      </c>
      <c r="AC321" s="8">
        <f>RawSalesTable6[[#This Row],[Gross_Sales]]-RawSalesTable6[[#This Row],[Discount_Amount]]</f>
        <v>456.62000000000006</v>
      </c>
      <c r="AD321" s="8">
        <f>RawSalesTable6[[#This Row],[Unit_Cost]]*RawSalesTable6[[#This Row],[Quantity]]</f>
        <v>373.88</v>
      </c>
      <c r="AE321" s="8">
        <f>RawSalesTable6[[#This Row],[Net_Sales]]-RawSalesTable6[[#This Row],[Total_Cost]]</f>
        <v>82.740000000000066</v>
      </c>
      <c r="AF321" s="9">
        <f>RawSalesTable6[[#This Row],[Profit]]/RawSalesTable6[[#This Row],[Net_Sales]]</f>
        <v>0.18120099864219713</v>
      </c>
      <c r="AG321" s="8">
        <f>YEAR(RawSalesTable6[[#This Row],[Order_Date]])</f>
        <v>2025</v>
      </c>
      <c r="AH321" s="8">
        <f>MONTH(RawSalesTable6[[#This Row],[Order_Date]])</f>
        <v>7</v>
      </c>
      <c r="AI321" s="8" t="str">
        <f>TEXT(RawSalesTable6[[#This Row],[Order_Date]],"mmmm")</f>
        <v>juillet</v>
      </c>
      <c r="AJ321" s="8" t="str">
        <f>IF(RawSalesTable6[[#This Row],[Month_Number]]&lt;=3,"Q1",IF(RawSalesTable6[[#This Row],[Month_Number]]&lt;=6,"Q2",IF(RawSalesTable6[[#This Row],[Month_Number]]&lt;=9,"Q3","Q4")))</f>
        <v>Q3</v>
      </c>
      <c r="AK321" s="8" t="str">
        <f>VLOOKUP(RawSalesTable6[[#This Row],[Customer_ID_Clean]],CustomersTable[],4,FALSE)</f>
        <v>Ontario</v>
      </c>
      <c r="AL321" s="8">
        <f>IF(RawSalesTable6[[#This Row],[Return_Status]]="Yes",1,0)</f>
        <v>0</v>
      </c>
    </row>
    <row r="322" spans="1:38">
      <c r="A322" t="s">
        <v>733</v>
      </c>
      <c r="B322" s="3">
        <v>45727</v>
      </c>
      <c r="C322" t="s">
        <v>396</v>
      </c>
      <c r="D322" t="s">
        <v>323</v>
      </c>
      <c r="E322" t="s">
        <v>397</v>
      </c>
      <c r="F322" t="s">
        <v>116</v>
      </c>
      <c r="G322" t="s">
        <v>104</v>
      </c>
      <c r="H322" t="s">
        <v>97</v>
      </c>
      <c r="I322">
        <v>3</v>
      </c>
      <c r="J322" s="2">
        <v>325.47000000000003</v>
      </c>
      <c r="K322" s="4">
        <v>0.25</v>
      </c>
      <c r="L322" t="s">
        <v>90</v>
      </c>
      <c r="M322">
        <v>3</v>
      </c>
      <c r="N322" t="s">
        <v>91</v>
      </c>
      <c r="O322" t="str">
        <f>SUBSTITUTE(PROPER(TRIM(RawSalesTable6[[#This Row],[Channel_Raw]])),"Market Place","Marketplace")</f>
        <v>Retail Store</v>
      </c>
      <c r="P322" t="str">
        <f>TRIM(RawSalesTable6[[#This Row],[Product_ID]])</f>
        <v>P1023</v>
      </c>
      <c r="Q322" t="str">
        <f>TRIM(RawSalesTable6[[#This Row],[Customer_ID]])</f>
        <v>C0058</v>
      </c>
      <c r="R322" s="8" t="str">
        <f>PROPER(TRIM(RawSalesTable6[[#This Row],[Store_Raw]]))</f>
        <v>Toronto Downtown</v>
      </c>
      <c r="S322" s="8" t="str">
        <f>IF(TRIM(RawSalesTable6[[#This Row],[Payment_Method_Raw]])="","Non renseigné",SUBSTITUTE(PROPER(TRIM(RawSalesTable6[[#This Row],[Payment_Method_Raw]])),"Cc","Credit Card"))</f>
        <v>Paypal</v>
      </c>
      <c r="T322" s="8">
        <f>COUNTIF(A:A,RawSalesTable6[[#This Row],[Order_ID]])</f>
        <v>1</v>
      </c>
      <c r="U322" s="8" t="str">
        <f>TRIM(LEFT(RawSalesTable6[[#This Row],[Customer_Info]],FIND(",",RawSalesTable6[[#This Row],[Customer_Info]])-1))</f>
        <v>Mia Singh</v>
      </c>
      <c r="V322" s="8" t="str">
        <f>TRIM(MID(RawSalesTable6[[#This Row],[Customer_Info]],FIND(",",RawSalesTable6[[#This Row],[Customer_Info]])+1,FIND(",",RawSalesTable6[[#This Row],[Customer_Info]],FIND(",",RawSalesTable6[[#This Row],[Customer_Info]])+1)-FIND(",",RawSalesTable6[[#This Row],[Customer_Info]])-1))</f>
        <v>Laval</v>
      </c>
      <c r="W322" s="8" t="str">
        <f>TRIM(RIGHT(RawSalesTable6[[#This Row],[Customer_Info]],LEN(RawSalesTable6[[#This Row],[Customer_Info]])-FIND(",",RawSalesTable6[[#This Row],[Customer_Info]],FIND(",",RawSalesTable6[[#This Row],[Customer_Info]])+1)))</f>
        <v>Consumer</v>
      </c>
      <c r="X322" s="8" t="str">
        <f>VLOOKUP(RawSalesTable6[[#This Row],[Product_ID_Clean]],ProductsTable[],2,FALSE)</f>
        <v>Toaster</v>
      </c>
      <c r="Y322" s="8" t="str">
        <f>VLOOKUP(RawSalesTable6[[#This Row],[Product_ID_Clean]],ProductsTable[],3,FALSE)</f>
        <v>Home</v>
      </c>
      <c r="Z322" s="8">
        <f>VLOOKUP(RawSalesTable6[[#This Row],[Product_ID_Clean]],ProductsTable[],5,FALSE)</f>
        <v>152.88</v>
      </c>
      <c r="AA322" s="8">
        <f>RawSalesTable6[[#This Row],[Unit_Price]]*RawSalesTable6[[#This Row],[Quantity]]</f>
        <v>976.41000000000008</v>
      </c>
      <c r="AB322" s="8">
        <f>RawSalesTable6[[#This Row],[Gross_Sales]]*RawSalesTable6[[#This Row],[Discount_Pct]]</f>
        <v>244.10250000000002</v>
      </c>
      <c r="AC322" s="8">
        <f>RawSalesTable6[[#This Row],[Gross_Sales]]-RawSalesTable6[[#This Row],[Discount_Amount]]</f>
        <v>732.30750000000012</v>
      </c>
      <c r="AD322" s="8">
        <f>RawSalesTable6[[#This Row],[Unit_Cost]]*RawSalesTable6[[#This Row],[Quantity]]</f>
        <v>458.64</v>
      </c>
      <c r="AE322" s="8">
        <f>RawSalesTable6[[#This Row],[Net_Sales]]-RawSalesTable6[[#This Row],[Total_Cost]]</f>
        <v>273.66750000000013</v>
      </c>
      <c r="AF322" s="9">
        <f>RawSalesTable6[[#This Row],[Profit]]/RawSalesTable6[[#This Row],[Net_Sales]]</f>
        <v>0.37370571788490503</v>
      </c>
      <c r="AG322" s="8">
        <f>YEAR(RawSalesTable6[[#This Row],[Order_Date]])</f>
        <v>2025</v>
      </c>
      <c r="AH322" s="8">
        <f>MONTH(RawSalesTable6[[#This Row],[Order_Date]])</f>
        <v>3</v>
      </c>
      <c r="AI322" s="8" t="str">
        <f>TEXT(RawSalesTable6[[#This Row],[Order_Date]],"mmmm")</f>
        <v>mars</v>
      </c>
      <c r="AJ322" s="8" t="str">
        <f>IF(RawSalesTable6[[#This Row],[Month_Number]]&lt;=3,"Q1",IF(RawSalesTable6[[#This Row],[Month_Number]]&lt;=6,"Q2",IF(RawSalesTable6[[#This Row],[Month_Number]]&lt;=9,"Q3","Q4")))</f>
        <v>Q1</v>
      </c>
      <c r="AK322" s="8" t="str">
        <f>VLOOKUP(RawSalesTable6[[#This Row],[Customer_ID_Clean]],CustomersTable[],4,FALSE)</f>
        <v>Quebec</v>
      </c>
      <c r="AL322" s="8">
        <f>IF(RawSalesTable6[[#This Row],[Return_Status]]="Yes",1,0)</f>
        <v>0</v>
      </c>
    </row>
    <row r="323" spans="1:38">
      <c r="A323" t="s">
        <v>734</v>
      </c>
      <c r="B323" s="3">
        <v>46007</v>
      </c>
      <c r="C323" t="s">
        <v>239</v>
      </c>
      <c r="D323" t="s">
        <v>133</v>
      </c>
      <c r="E323" t="s">
        <v>560</v>
      </c>
      <c r="F323" t="s">
        <v>87</v>
      </c>
      <c r="G323" t="s">
        <v>171</v>
      </c>
      <c r="H323" t="s">
        <v>105</v>
      </c>
      <c r="I323">
        <v>1</v>
      </c>
      <c r="J323" s="2">
        <v>354.82</v>
      </c>
      <c r="K323" s="4">
        <v>0.1</v>
      </c>
      <c r="L323" t="s">
        <v>106</v>
      </c>
      <c r="M323">
        <v>7</v>
      </c>
      <c r="N323" t="s">
        <v>91</v>
      </c>
      <c r="O323" t="str">
        <f>SUBSTITUTE(PROPER(TRIM(RawSalesTable6[[#This Row],[Channel_Raw]])),"Market Place","Marketplace")</f>
        <v>Marketplace</v>
      </c>
      <c r="P323" t="str">
        <f>TRIM(RawSalesTable6[[#This Row],[Product_ID]])</f>
        <v>P1039</v>
      </c>
      <c r="Q323" t="str">
        <f>TRIM(RawSalesTable6[[#This Row],[Customer_ID]])</f>
        <v>C0089</v>
      </c>
      <c r="R323" s="8" t="str">
        <f>PROPER(TRIM(RawSalesTable6[[#This Row],[Store_Raw]]))</f>
        <v>Online Fulfillment</v>
      </c>
      <c r="S323" s="8" t="str">
        <f>IF(TRIM(RawSalesTable6[[#This Row],[Payment_Method_Raw]])="","Non renseigné",SUBSTITUTE(PROPER(TRIM(RawSalesTable6[[#This Row],[Payment_Method_Raw]])),"Cc","Credit Card"))</f>
        <v>Credit Card</v>
      </c>
      <c r="T323" s="8">
        <f>COUNTIF(A:A,RawSalesTable6[[#This Row],[Order_ID]])</f>
        <v>1</v>
      </c>
      <c r="U323" s="8" t="str">
        <f>TRIM(LEFT(RawSalesTable6[[#This Row],[Customer_Info]],FIND(",",RawSalesTable6[[#This Row],[Customer_Info]])-1))</f>
        <v>Lucas Martin</v>
      </c>
      <c r="V323" s="8" t="str">
        <f>TRIM(MID(RawSalesTable6[[#This Row],[Customer_Info]],FIND(",",RawSalesTable6[[#This Row],[Customer_Info]])+1,FIND(",",RawSalesTable6[[#This Row],[Customer_Info]],FIND(",",RawSalesTable6[[#This Row],[Customer_Info]])+1)-FIND(",",RawSalesTable6[[#This Row],[Customer_Info]])-1))</f>
        <v>Vancouver</v>
      </c>
      <c r="W323" s="8" t="str">
        <f>TRIM(RIGHT(RawSalesTable6[[#This Row],[Customer_Info]],LEN(RawSalesTable6[[#This Row],[Customer_Info]])-FIND(",",RawSalesTable6[[#This Row],[Customer_Info]],FIND(",",RawSalesTable6[[#This Row],[Customer_Info]])+1)))</f>
        <v>Consumer</v>
      </c>
      <c r="X323" s="8" t="str">
        <f>VLOOKUP(RawSalesTable6[[#This Row],[Product_ID_Clean]],ProductsTable[],2,FALSE)</f>
        <v>Travel Adapter</v>
      </c>
      <c r="Y323" s="8" t="str">
        <f>VLOOKUP(RawSalesTable6[[#This Row],[Product_ID_Clean]],ProductsTable[],3,FALSE)</f>
        <v>Accessories</v>
      </c>
      <c r="Z323" s="8">
        <f>VLOOKUP(RawSalesTable6[[#This Row],[Product_ID_Clean]],ProductsTable[],5,FALSE)</f>
        <v>229.86</v>
      </c>
      <c r="AA323" s="8">
        <f>RawSalesTable6[[#This Row],[Unit_Price]]*RawSalesTable6[[#This Row],[Quantity]]</f>
        <v>354.82</v>
      </c>
      <c r="AB323" s="8">
        <f>RawSalesTable6[[#This Row],[Gross_Sales]]*RawSalesTable6[[#This Row],[Discount_Pct]]</f>
        <v>35.481999999999999</v>
      </c>
      <c r="AC323" s="8">
        <f>RawSalesTable6[[#This Row],[Gross_Sales]]-RawSalesTable6[[#This Row],[Discount_Amount]]</f>
        <v>319.33799999999997</v>
      </c>
      <c r="AD323" s="8">
        <f>RawSalesTable6[[#This Row],[Unit_Cost]]*RawSalesTable6[[#This Row],[Quantity]]</f>
        <v>229.86</v>
      </c>
      <c r="AE323" s="8">
        <f>RawSalesTable6[[#This Row],[Net_Sales]]-RawSalesTable6[[#This Row],[Total_Cost]]</f>
        <v>89.477999999999952</v>
      </c>
      <c r="AF323" s="9">
        <f>RawSalesTable6[[#This Row],[Profit]]/RawSalesTable6[[#This Row],[Net_Sales]]</f>
        <v>0.2801984104616424</v>
      </c>
      <c r="AG323" s="8">
        <f>YEAR(RawSalesTable6[[#This Row],[Order_Date]])</f>
        <v>2025</v>
      </c>
      <c r="AH323" s="8">
        <f>MONTH(RawSalesTable6[[#This Row],[Order_Date]])</f>
        <v>12</v>
      </c>
      <c r="AI323" s="8" t="str">
        <f>TEXT(RawSalesTable6[[#This Row],[Order_Date]],"mmmm")</f>
        <v>décembre</v>
      </c>
      <c r="AJ323" s="8" t="str">
        <f>IF(RawSalesTable6[[#This Row],[Month_Number]]&lt;=3,"Q1",IF(RawSalesTable6[[#This Row],[Month_Number]]&lt;=6,"Q2",IF(RawSalesTable6[[#This Row],[Month_Number]]&lt;=9,"Q3","Q4")))</f>
        <v>Q4</v>
      </c>
      <c r="AK323" s="8" t="str">
        <f>VLOOKUP(RawSalesTable6[[#This Row],[Customer_ID_Clean]],CustomersTable[],4,FALSE)</f>
        <v>British Columbia</v>
      </c>
      <c r="AL323" s="8">
        <f>IF(RawSalesTable6[[#This Row],[Return_Status]]="Yes",1,0)</f>
        <v>0</v>
      </c>
    </row>
    <row r="324" spans="1:38">
      <c r="A324" t="s">
        <v>735</v>
      </c>
      <c r="B324" s="3">
        <v>45901</v>
      </c>
      <c r="C324" t="s">
        <v>248</v>
      </c>
      <c r="D324" t="s">
        <v>271</v>
      </c>
      <c r="E324" t="s">
        <v>250</v>
      </c>
      <c r="F324" t="s">
        <v>103</v>
      </c>
      <c r="G324" t="s">
        <v>104</v>
      </c>
      <c r="H324" t="s">
        <v>89</v>
      </c>
      <c r="I324">
        <v>1</v>
      </c>
      <c r="J324" s="2">
        <v>225.3</v>
      </c>
      <c r="K324" s="4">
        <v>0.05</v>
      </c>
      <c r="L324" t="s">
        <v>90</v>
      </c>
      <c r="M324">
        <v>4</v>
      </c>
      <c r="N324" t="s">
        <v>91</v>
      </c>
      <c r="O324" t="str">
        <f>SUBSTITUTE(PROPER(TRIM(RawSalesTable6[[#This Row],[Channel_Raw]])),"Market Place","Marketplace")</f>
        <v>Online</v>
      </c>
      <c r="P324" t="str">
        <f>TRIM(RawSalesTable6[[#This Row],[Product_ID]])</f>
        <v>P1026</v>
      </c>
      <c r="Q324" t="str">
        <f>TRIM(RawSalesTable6[[#This Row],[Customer_ID]])</f>
        <v>C0012</v>
      </c>
      <c r="R324" s="8" t="str">
        <f>PROPER(TRIM(RawSalesTable6[[#This Row],[Store_Raw]]))</f>
        <v>Vancouver West</v>
      </c>
      <c r="S324" s="8" t="str">
        <f>IF(TRIM(RawSalesTable6[[#This Row],[Payment_Method_Raw]])="","Non renseigné",SUBSTITUTE(PROPER(TRIM(RawSalesTable6[[#This Row],[Payment_Method_Raw]])),"Cc","Credit Card"))</f>
        <v>Paypal</v>
      </c>
      <c r="T324" s="8">
        <f>COUNTIF(A:A,RawSalesTable6[[#This Row],[Order_ID]])</f>
        <v>1</v>
      </c>
      <c r="U324" s="8" t="str">
        <f>TRIM(LEFT(RawSalesTable6[[#This Row],[Customer_Info]],FIND(",",RawSalesTable6[[#This Row],[Customer_Info]])-1))</f>
        <v>Daniel Taylor</v>
      </c>
      <c r="V324" s="8" t="str">
        <f>TRIM(MID(RawSalesTable6[[#This Row],[Customer_Info]],FIND(",",RawSalesTable6[[#This Row],[Customer_Info]])+1,FIND(",",RawSalesTable6[[#This Row],[Customer_Info]],FIND(",",RawSalesTable6[[#This Row],[Customer_Info]])+1)-FIND(",",RawSalesTable6[[#This Row],[Customer_Info]])-1))</f>
        <v>Victoria</v>
      </c>
      <c r="W324" s="8" t="str">
        <f>TRIM(RIGHT(RawSalesTable6[[#This Row],[Customer_Info]],LEN(RawSalesTable6[[#This Row],[Customer_Info]])-FIND(",",RawSalesTable6[[#This Row],[Customer_Info]],FIND(",",RawSalesTable6[[#This Row],[Customer_Info]])+1)))</f>
        <v>Corporate</v>
      </c>
      <c r="X324" s="8" t="str">
        <f>VLOOKUP(RawSalesTable6[[#This Row],[Product_ID_Clean]],ProductsTable[],2,FALSE)</f>
        <v>Resistance Bands</v>
      </c>
      <c r="Y324" s="8" t="str">
        <f>VLOOKUP(RawSalesTable6[[#This Row],[Product_ID_Clean]],ProductsTable[],3,FALSE)</f>
        <v>Fitness</v>
      </c>
      <c r="Z324" s="8">
        <f>VLOOKUP(RawSalesTable6[[#This Row],[Product_ID_Clean]],ProductsTable[],5,FALSE)</f>
        <v>139.19999999999999</v>
      </c>
      <c r="AA324" s="8">
        <f>RawSalesTable6[[#This Row],[Unit_Price]]*RawSalesTable6[[#This Row],[Quantity]]</f>
        <v>225.3</v>
      </c>
      <c r="AB324" s="8">
        <f>RawSalesTable6[[#This Row],[Gross_Sales]]*RawSalesTable6[[#This Row],[Discount_Pct]]</f>
        <v>11.265000000000001</v>
      </c>
      <c r="AC324" s="8">
        <f>RawSalesTable6[[#This Row],[Gross_Sales]]-RawSalesTable6[[#This Row],[Discount_Amount]]</f>
        <v>214.03500000000003</v>
      </c>
      <c r="AD324" s="8">
        <f>RawSalesTable6[[#This Row],[Unit_Cost]]*RawSalesTable6[[#This Row],[Quantity]]</f>
        <v>139.19999999999999</v>
      </c>
      <c r="AE324" s="8">
        <f>RawSalesTable6[[#This Row],[Net_Sales]]-RawSalesTable6[[#This Row],[Total_Cost]]</f>
        <v>74.835000000000036</v>
      </c>
      <c r="AF324" s="9">
        <f>RawSalesTable6[[#This Row],[Profit]]/RawSalesTable6[[#This Row],[Net_Sales]]</f>
        <v>0.34963907772093361</v>
      </c>
      <c r="AG324" s="8">
        <f>YEAR(RawSalesTable6[[#This Row],[Order_Date]])</f>
        <v>2025</v>
      </c>
      <c r="AH324" s="8">
        <f>MONTH(RawSalesTable6[[#This Row],[Order_Date]])</f>
        <v>9</v>
      </c>
      <c r="AI324" s="8" t="str">
        <f>TEXT(RawSalesTable6[[#This Row],[Order_Date]],"mmmm")</f>
        <v>septembre</v>
      </c>
      <c r="AJ324" s="8" t="str">
        <f>IF(RawSalesTable6[[#This Row],[Month_Number]]&lt;=3,"Q1",IF(RawSalesTable6[[#This Row],[Month_Number]]&lt;=6,"Q2",IF(RawSalesTable6[[#This Row],[Month_Number]]&lt;=9,"Q3","Q4")))</f>
        <v>Q3</v>
      </c>
      <c r="AK324" s="8" t="str">
        <f>VLOOKUP(RawSalesTable6[[#This Row],[Customer_ID_Clean]],CustomersTable[],4,FALSE)</f>
        <v>British Columbia</v>
      </c>
      <c r="AL324" s="8">
        <f>IF(RawSalesTable6[[#This Row],[Return_Status]]="Yes",1,0)</f>
        <v>0</v>
      </c>
    </row>
    <row r="325" spans="1:38">
      <c r="A325" t="s">
        <v>736</v>
      </c>
      <c r="B325" s="3">
        <v>45840</v>
      </c>
      <c r="C325" t="s">
        <v>647</v>
      </c>
      <c r="D325" t="s">
        <v>249</v>
      </c>
      <c r="E325" t="s">
        <v>648</v>
      </c>
      <c r="F325" t="s">
        <v>103</v>
      </c>
      <c r="G325" t="s">
        <v>183</v>
      </c>
      <c r="H325" t="s">
        <v>105</v>
      </c>
      <c r="I325">
        <v>2</v>
      </c>
      <c r="J325" s="2">
        <v>430.2</v>
      </c>
      <c r="K325" s="4">
        <v>0</v>
      </c>
      <c r="L325" t="s">
        <v>106</v>
      </c>
      <c r="M325">
        <v>6</v>
      </c>
      <c r="N325" t="s">
        <v>91</v>
      </c>
      <c r="O325" t="str">
        <f>SUBSTITUTE(PROPER(TRIM(RawSalesTable6[[#This Row],[Channel_Raw]])),"Market Place","Marketplace")</f>
        <v>Marketplace</v>
      </c>
      <c r="P325" t="str">
        <f>TRIM(RawSalesTable6[[#This Row],[Product_ID]])</f>
        <v>P1022</v>
      </c>
      <c r="Q325" t="str">
        <f>TRIM(RawSalesTable6[[#This Row],[Customer_ID]])</f>
        <v>C0050</v>
      </c>
      <c r="R325" s="8" t="str">
        <f>PROPER(TRIM(RawSalesTable6[[#This Row],[Store_Raw]]))</f>
        <v>Vancouver West</v>
      </c>
      <c r="S325" s="8" t="str">
        <f>IF(TRIM(RawSalesTable6[[#This Row],[Payment_Method_Raw]])="","Non renseigné",SUBSTITUTE(PROPER(TRIM(RawSalesTable6[[#This Row],[Payment_Method_Raw]])),"Cc","Credit Card"))</f>
        <v>Credit Card</v>
      </c>
      <c r="T325" s="8">
        <f>COUNTIF(A:A,RawSalesTable6[[#This Row],[Order_ID]])</f>
        <v>1</v>
      </c>
      <c r="U325" s="8" t="str">
        <f>TRIM(LEFT(RawSalesTable6[[#This Row],[Customer_Info]],FIND(",",RawSalesTable6[[#This Row],[Customer_Info]])-1))</f>
        <v>Sarah Singh</v>
      </c>
      <c r="V325" s="8" t="str">
        <f>TRIM(MID(RawSalesTable6[[#This Row],[Customer_Info]],FIND(",",RawSalesTable6[[#This Row],[Customer_Info]])+1,FIND(",",RawSalesTable6[[#This Row],[Customer_Info]],FIND(",",RawSalesTable6[[#This Row],[Customer_Info]])+1)-FIND(",",RawSalesTable6[[#This Row],[Customer_Info]])-1))</f>
        <v>Mississauga</v>
      </c>
      <c r="W325" s="8" t="str">
        <f>TRIM(RIGHT(RawSalesTable6[[#This Row],[Customer_Info]],LEN(RawSalesTable6[[#This Row],[Customer_Info]])-FIND(",",RawSalesTable6[[#This Row],[Customer_Info]],FIND(",",RawSalesTable6[[#This Row],[Customer_Info]])+1)))</f>
        <v>Consumer</v>
      </c>
      <c r="X325" s="8" t="str">
        <f>VLOOKUP(RawSalesTable6[[#This Row],[Product_ID_Clean]],ProductsTable[],2,FALSE)</f>
        <v>Humidifier</v>
      </c>
      <c r="Y325" s="8" t="str">
        <f>VLOOKUP(RawSalesTable6[[#This Row],[Product_ID_Clean]],ProductsTable[],3,FALSE)</f>
        <v>Home</v>
      </c>
      <c r="Z325" s="8">
        <f>VLOOKUP(RawSalesTable6[[#This Row],[Product_ID_Clean]],ProductsTable[],5,FALSE)</f>
        <v>239.67</v>
      </c>
      <c r="AA325" s="8">
        <f>RawSalesTable6[[#This Row],[Unit_Price]]*RawSalesTable6[[#This Row],[Quantity]]</f>
        <v>860.4</v>
      </c>
      <c r="AB325" s="8">
        <f>RawSalesTable6[[#This Row],[Gross_Sales]]*RawSalesTable6[[#This Row],[Discount_Pct]]</f>
        <v>0</v>
      </c>
      <c r="AC325" s="8">
        <f>RawSalesTable6[[#This Row],[Gross_Sales]]-RawSalesTable6[[#This Row],[Discount_Amount]]</f>
        <v>860.4</v>
      </c>
      <c r="AD325" s="8">
        <f>RawSalesTable6[[#This Row],[Unit_Cost]]*RawSalesTable6[[#This Row],[Quantity]]</f>
        <v>479.34</v>
      </c>
      <c r="AE325" s="8">
        <f>RawSalesTable6[[#This Row],[Net_Sales]]-RawSalesTable6[[#This Row],[Total_Cost]]</f>
        <v>381.06</v>
      </c>
      <c r="AF325" s="9">
        <f>RawSalesTable6[[#This Row],[Profit]]/RawSalesTable6[[#This Row],[Net_Sales]]</f>
        <v>0.44288702928870294</v>
      </c>
      <c r="AG325" s="8">
        <f>YEAR(RawSalesTable6[[#This Row],[Order_Date]])</f>
        <v>2025</v>
      </c>
      <c r="AH325" s="8">
        <f>MONTH(RawSalesTable6[[#This Row],[Order_Date]])</f>
        <v>7</v>
      </c>
      <c r="AI325" s="8" t="str">
        <f>TEXT(RawSalesTable6[[#This Row],[Order_Date]],"mmmm")</f>
        <v>juillet</v>
      </c>
      <c r="AJ325" s="8" t="str">
        <f>IF(RawSalesTable6[[#This Row],[Month_Number]]&lt;=3,"Q1",IF(RawSalesTable6[[#This Row],[Month_Number]]&lt;=6,"Q2",IF(RawSalesTable6[[#This Row],[Month_Number]]&lt;=9,"Q3","Q4")))</f>
        <v>Q3</v>
      </c>
      <c r="AK325" s="8" t="str">
        <f>VLOOKUP(RawSalesTable6[[#This Row],[Customer_ID_Clean]],CustomersTable[],4,FALSE)</f>
        <v>Ontario</v>
      </c>
      <c r="AL325" s="8">
        <f>IF(RawSalesTable6[[#This Row],[Return_Status]]="Yes",1,0)</f>
        <v>0</v>
      </c>
    </row>
    <row r="326" spans="1:38">
      <c r="A326" t="s">
        <v>737</v>
      </c>
      <c r="B326" s="3">
        <v>45789</v>
      </c>
      <c r="C326" t="s">
        <v>197</v>
      </c>
      <c r="D326" t="s">
        <v>738</v>
      </c>
      <c r="E326" t="s">
        <v>198</v>
      </c>
      <c r="F326" t="s">
        <v>111</v>
      </c>
      <c r="G326" t="s">
        <v>122</v>
      </c>
      <c r="H326" t="s">
        <v>89</v>
      </c>
      <c r="I326">
        <v>3</v>
      </c>
      <c r="J326" s="2">
        <v>313.67</v>
      </c>
      <c r="K326" s="4">
        <v>0.25</v>
      </c>
      <c r="L326" t="s">
        <v>106</v>
      </c>
      <c r="M326">
        <v>7</v>
      </c>
      <c r="N326" t="s">
        <v>147</v>
      </c>
      <c r="O326" t="str">
        <f>SUBSTITUTE(PROPER(TRIM(RawSalesTable6[[#This Row],[Channel_Raw]])),"Market Place","Marketplace")</f>
        <v>Online</v>
      </c>
      <c r="P326" t="str">
        <f>TRIM(RawSalesTable6[[#This Row],[Product_ID]])</f>
        <v>P1016</v>
      </c>
      <c r="Q326" t="str">
        <f>TRIM(RawSalesTable6[[#This Row],[Customer_ID]])</f>
        <v>C0091</v>
      </c>
      <c r="R326" s="8" t="str">
        <f>PROPER(TRIM(RawSalesTable6[[#This Row],[Store_Raw]]))</f>
        <v>Montreal Central</v>
      </c>
      <c r="S326" s="8" t="str">
        <f>IF(TRIM(RawSalesTable6[[#This Row],[Payment_Method_Raw]])="","Non renseigné",SUBSTITUTE(PROPER(TRIM(RawSalesTable6[[#This Row],[Payment_Method_Raw]])),"Cc","Credit Card"))</f>
        <v>Credit Card</v>
      </c>
      <c r="T326" s="8">
        <f>COUNTIF(A:A,RawSalesTable6[[#This Row],[Order_ID]])</f>
        <v>1</v>
      </c>
      <c r="U326" s="8" t="str">
        <f>TRIM(LEFT(RawSalesTable6[[#This Row],[Customer_Info]],FIND(",",RawSalesTable6[[#This Row],[Customer_Info]])-1))</f>
        <v>Leo Taylor</v>
      </c>
      <c r="V326" s="8" t="str">
        <f>TRIM(MID(RawSalesTable6[[#This Row],[Customer_Info]],FIND(",",RawSalesTable6[[#This Row],[Customer_Info]])+1,FIND(",",RawSalesTable6[[#This Row],[Customer_Info]],FIND(",",RawSalesTable6[[#This Row],[Customer_Info]])+1)-FIND(",",RawSalesTable6[[#This Row],[Customer_Info]])-1))</f>
        <v>Victoria</v>
      </c>
      <c r="W326" s="8" t="str">
        <f>TRIM(RIGHT(RawSalesTable6[[#This Row],[Customer_Info]],LEN(RawSalesTable6[[#This Row],[Customer_Info]])-FIND(",",RawSalesTable6[[#This Row],[Customer_Info]],FIND(",",RawSalesTable6[[#This Row],[Customer_Info]])+1)))</f>
        <v>Small Business</v>
      </c>
      <c r="X326" s="8" t="str">
        <f>VLOOKUP(RawSalesTable6[[#This Row],[Product_ID_Clean]],ProductsTable[],2,FALSE)</f>
        <v>Printer</v>
      </c>
      <c r="Y326" s="8" t="str">
        <f>VLOOKUP(RawSalesTable6[[#This Row],[Product_ID_Clean]],ProductsTable[],3,FALSE)</f>
        <v>Office</v>
      </c>
      <c r="Z326" s="8">
        <f>VLOOKUP(RawSalesTable6[[#This Row],[Product_ID_Clean]],ProductsTable[],5,FALSE)</f>
        <v>156.75</v>
      </c>
      <c r="AA326" s="8">
        <f>RawSalesTable6[[#This Row],[Unit_Price]]*RawSalesTable6[[#This Row],[Quantity]]</f>
        <v>941.01</v>
      </c>
      <c r="AB326" s="8">
        <f>RawSalesTable6[[#This Row],[Gross_Sales]]*RawSalesTable6[[#This Row],[Discount_Pct]]</f>
        <v>235.2525</v>
      </c>
      <c r="AC326" s="8">
        <f>RawSalesTable6[[#This Row],[Gross_Sales]]-RawSalesTable6[[#This Row],[Discount_Amount]]</f>
        <v>705.75749999999994</v>
      </c>
      <c r="AD326" s="8">
        <f>RawSalesTable6[[#This Row],[Unit_Cost]]*RawSalesTable6[[#This Row],[Quantity]]</f>
        <v>470.25</v>
      </c>
      <c r="AE326" s="8">
        <f>RawSalesTable6[[#This Row],[Net_Sales]]-RawSalesTable6[[#This Row],[Total_Cost]]</f>
        <v>235.50749999999994</v>
      </c>
      <c r="AF326" s="9">
        <f>RawSalesTable6[[#This Row],[Profit]]/RawSalesTable6[[#This Row],[Net_Sales]]</f>
        <v>0.33369464724073067</v>
      </c>
      <c r="AG326" s="8">
        <f>YEAR(RawSalesTable6[[#This Row],[Order_Date]])</f>
        <v>2025</v>
      </c>
      <c r="AH326" s="8">
        <f>MONTH(RawSalesTable6[[#This Row],[Order_Date]])</f>
        <v>5</v>
      </c>
      <c r="AI326" s="8" t="str">
        <f>TEXT(RawSalesTable6[[#This Row],[Order_Date]],"mmmm")</f>
        <v>mai</v>
      </c>
      <c r="AJ326" s="8" t="str">
        <f>IF(RawSalesTable6[[#This Row],[Month_Number]]&lt;=3,"Q1",IF(RawSalesTable6[[#This Row],[Month_Number]]&lt;=6,"Q2",IF(RawSalesTable6[[#This Row],[Month_Number]]&lt;=9,"Q3","Q4")))</f>
        <v>Q2</v>
      </c>
      <c r="AK326" s="8" t="str">
        <f>VLOOKUP(RawSalesTable6[[#This Row],[Customer_ID_Clean]],CustomersTable[],4,FALSE)</f>
        <v>British Columbia</v>
      </c>
      <c r="AL326" s="8">
        <f>IF(RawSalesTable6[[#This Row],[Return_Status]]="Yes",1,0)</f>
        <v>1</v>
      </c>
    </row>
    <row r="327" spans="1:38">
      <c r="A327" t="s">
        <v>739</v>
      </c>
      <c r="B327" s="3">
        <v>46018</v>
      </c>
      <c r="C327" t="s">
        <v>326</v>
      </c>
      <c r="D327" t="s">
        <v>226</v>
      </c>
      <c r="E327" t="s">
        <v>327</v>
      </c>
      <c r="F327" t="s">
        <v>111</v>
      </c>
      <c r="G327" t="s">
        <v>183</v>
      </c>
      <c r="H327" t="s">
        <v>89</v>
      </c>
      <c r="I327">
        <v>1</v>
      </c>
      <c r="J327" s="2">
        <v>215.29</v>
      </c>
      <c r="K327" s="4">
        <v>0</v>
      </c>
      <c r="L327" t="s">
        <v>106</v>
      </c>
      <c r="M327">
        <v>3</v>
      </c>
      <c r="N327" t="s">
        <v>147</v>
      </c>
      <c r="O327" t="str">
        <f>SUBSTITUTE(PROPER(TRIM(RawSalesTable6[[#This Row],[Channel_Raw]])),"Market Place","Marketplace")</f>
        <v>Online</v>
      </c>
      <c r="P327" t="str">
        <f>TRIM(RawSalesTable6[[#This Row],[Product_ID]])</f>
        <v>P1010</v>
      </c>
      <c r="Q327" t="str">
        <f>TRIM(RawSalesTable6[[#This Row],[Customer_ID]])</f>
        <v>C0092</v>
      </c>
      <c r="R327" s="8" t="str">
        <f>PROPER(TRIM(RawSalesTable6[[#This Row],[Store_Raw]]))</f>
        <v>Montreal Central</v>
      </c>
      <c r="S327" s="8" t="str">
        <f>IF(TRIM(RawSalesTable6[[#This Row],[Payment_Method_Raw]])="","Non renseigné",SUBSTITUTE(PROPER(TRIM(RawSalesTable6[[#This Row],[Payment_Method_Raw]])),"Cc","Credit Card"))</f>
        <v>Credit Card</v>
      </c>
      <c r="T327" s="8">
        <f>COUNTIF(A:A,RawSalesTable6[[#This Row],[Order_ID]])</f>
        <v>1</v>
      </c>
      <c r="U327" s="8" t="str">
        <f>TRIM(LEFT(RawSalesTable6[[#This Row],[Customer_Info]],FIND(",",RawSalesTable6[[#This Row],[Customer_Info]])-1))</f>
        <v>Lucas Tremblay</v>
      </c>
      <c r="V327" s="8" t="str">
        <f>TRIM(MID(RawSalesTable6[[#This Row],[Customer_Info]],FIND(",",RawSalesTable6[[#This Row],[Customer_Info]])+1,FIND(",",RawSalesTable6[[#This Row],[Customer_Info]],FIND(",",RawSalesTable6[[#This Row],[Customer_Info]])+1)-FIND(",",RawSalesTable6[[#This Row],[Customer_Info]])-1))</f>
        <v>Saskatoon</v>
      </c>
      <c r="W327" s="8" t="str">
        <f>TRIM(RIGHT(RawSalesTable6[[#This Row],[Customer_Info]],LEN(RawSalesTable6[[#This Row],[Customer_Info]])-FIND(",",RawSalesTable6[[#This Row],[Customer_Info]],FIND(",",RawSalesTable6[[#This Row],[Customer_Info]])+1)))</f>
        <v>Consumer</v>
      </c>
      <c r="X327" s="8" t="str">
        <f>VLOOKUP(RawSalesTable6[[#This Row],[Product_ID_Clean]],ProductsTable[],2,FALSE)</f>
        <v>Desk Lamp</v>
      </c>
      <c r="Y327" s="8" t="str">
        <f>VLOOKUP(RawSalesTable6[[#This Row],[Product_ID_Clean]],ProductsTable[],3,FALSE)</f>
        <v>Office</v>
      </c>
      <c r="Z327" s="8">
        <f>VLOOKUP(RawSalesTable6[[#This Row],[Product_ID_Clean]],ProductsTable[],5,FALSE)</f>
        <v>127.21</v>
      </c>
      <c r="AA327" s="8">
        <f>RawSalesTable6[[#This Row],[Unit_Price]]*RawSalesTable6[[#This Row],[Quantity]]</f>
        <v>215.29</v>
      </c>
      <c r="AB327" s="8">
        <f>RawSalesTable6[[#This Row],[Gross_Sales]]*RawSalesTable6[[#This Row],[Discount_Pct]]</f>
        <v>0</v>
      </c>
      <c r="AC327" s="8">
        <f>RawSalesTable6[[#This Row],[Gross_Sales]]-RawSalesTable6[[#This Row],[Discount_Amount]]</f>
        <v>215.29</v>
      </c>
      <c r="AD327" s="8">
        <f>RawSalesTable6[[#This Row],[Unit_Cost]]*RawSalesTable6[[#This Row],[Quantity]]</f>
        <v>127.21</v>
      </c>
      <c r="AE327" s="8">
        <f>RawSalesTable6[[#This Row],[Net_Sales]]-RawSalesTable6[[#This Row],[Total_Cost]]</f>
        <v>88.08</v>
      </c>
      <c r="AF327" s="9">
        <f>RawSalesTable6[[#This Row],[Profit]]/RawSalesTable6[[#This Row],[Net_Sales]]</f>
        <v>0.40912257884713643</v>
      </c>
      <c r="AG327" s="8">
        <f>YEAR(RawSalesTable6[[#This Row],[Order_Date]])</f>
        <v>2025</v>
      </c>
      <c r="AH327" s="8">
        <f>MONTH(RawSalesTable6[[#This Row],[Order_Date]])</f>
        <v>12</v>
      </c>
      <c r="AI327" s="8" t="str">
        <f>TEXT(RawSalesTable6[[#This Row],[Order_Date]],"mmmm")</f>
        <v>décembre</v>
      </c>
      <c r="AJ327" s="8" t="str">
        <f>IF(RawSalesTable6[[#This Row],[Month_Number]]&lt;=3,"Q1",IF(RawSalesTable6[[#This Row],[Month_Number]]&lt;=6,"Q2",IF(RawSalesTable6[[#This Row],[Month_Number]]&lt;=9,"Q3","Q4")))</f>
        <v>Q4</v>
      </c>
      <c r="AK327" s="8" t="str">
        <f>VLOOKUP(RawSalesTable6[[#This Row],[Customer_ID_Clean]],CustomersTable[],4,FALSE)</f>
        <v>Saskatchewan</v>
      </c>
      <c r="AL327" s="8">
        <f>IF(RawSalesTable6[[#This Row],[Return_Status]]="Yes",1,0)</f>
        <v>1</v>
      </c>
    </row>
    <row r="328" spans="1:38">
      <c r="A328" t="s">
        <v>740</v>
      </c>
      <c r="B328" s="3">
        <v>45864</v>
      </c>
      <c r="C328" t="s">
        <v>543</v>
      </c>
      <c r="D328" t="s">
        <v>101</v>
      </c>
      <c r="E328" t="s">
        <v>544</v>
      </c>
      <c r="F328" t="s">
        <v>111</v>
      </c>
      <c r="G328" t="s">
        <v>117</v>
      </c>
      <c r="H328" t="s">
        <v>233</v>
      </c>
      <c r="I328">
        <v>1</v>
      </c>
      <c r="J328" s="2">
        <v>289.89</v>
      </c>
      <c r="K328" s="4">
        <v>0.05</v>
      </c>
      <c r="L328" t="s">
        <v>98</v>
      </c>
      <c r="M328">
        <v>1</v>
      </c>
      <c r="N328" t="s">
        <v>91</v>
      </c>
      <c r="O328" t="str">
        <f>SUBSTITUTE(PROPER(TRIM(RawSalesTable6[[#This Row],[Channel_Raw]])),"Market Place","Marketplace")</f>
        <v>Retail Store</v>
      </c>
      <c r="P328" t="str">
        <f>TRIM(RawSalesTable6[[#This Row],[Product_ID]])</f>
        <v>P1021</v>
      </c>
      <c r="Q328" t="str">
        <f>TRIM(RawSalesTable6[[#This Row],[Customer_ID]])</f>
        <v>C0031</v>
      </c>
      <c r="R328" s="8" t="str">
        <f>PROPER(TRIM(RawSalesTable6[[#This Row],[Store_Raw]]))</f>
        <v>Montreal Central</v>
      </c>
      <c r="S328" s="8" t="str">
        <f>IF(TRIM(RawSalesTable6[[#This Row],[Payment_Method_Raw]])="","Non renseigné",SUBSTITUTE(PROPER(TRIM(RawSalesTable6[[#This Row],[Payment_Method_Raw]])),"Cc","Credit Card"))</f>
        <v>Debit Card</v>
      </c>
      <c r="T328" s="8">
        <f>COUNTIF(A:A,RawSalesTable6[[#This Row],[Order_ID]])</f>
        <v>1</v>
      </c>
      <c r="U328" s="8" t="str">
        <f>TRIM(LEFT(RawSalesTable6[[#This Row],[Customer_Info]],FIND(",",RawSalesTable6[[#This Row],[Customer_Info]])-1))</f>
        <v>Leo Gagnon</v>
      </c>
      <c r="V328" s="8" t="str">
        <f>TRIM(MID(RawSalesTable6[[#This Row],[Customer_Info]],FIND(",",RawSalesTable6[[#This Row],[Customer_Info]])+1,FIND(",",RawSalesTable6[[#This Row],[Customer_Info]],FIND(",",RawSalesTable6[[#This Row],[Customer_Info]])+1)-FIND(",",RawSalesTable6[[#This Row],[Customer_Info]])-1))</f>
        <v>Surrey</v>
      </c>
      <c r="W328" s="8" t="str">
        <f>TRIM(RIGHT(RawSalesTable6[[#This Row],[Customer_Info]],LEN(RawSalesTable6[[#This Row],[Customer_Info]])-FIND(",",RawSalesTable6[[#This Row],[Customer_Info]],FIND(",",RawSalesTable6[[#This Row],[Customer_Info]])+1)))</f>
        <v>Small Business</v>
      </c>
      <c r="X328" s="8" t="str">
        <f>VLOOKUP(RawSalesTable6[[#This Row],[Product_ID_Clean]],ProductsTable[],2,FALSE)</f>
        <v>Kettle</v>
      </c>
      <c r="Y328" s="8" t="str">
        <f>VLOOKUP(RawSalesTable6[[#This Row],[Product_ID_Clean]],ProductsTable[],3,FALSE)</f>
        <v>Home</v>
      </c>
      <c r="Z328" s="8">
        <f>VLOOKUP(RawSalesTable6[[#This Row],[Product_ID_Clean]],ProductsTable[],5,FALSE)</f>
        <v>139.86000000000001</v>
      </c>
      <c r="AA328" s="8">
        <f>RawSalesTable6[[#This Row],[Unit_Price]]*RawSalesTable6[[#This Row],[Quantity]]</f>
        <v>289.89</v>
      </c>
      <c r="AB328" s="8">
        <f>RawSalesTable6[[#This Row],[Gross_Sales]]*RawSalesTable6[[#This Row],[Discount_Pct]]</f>
        <v>14.4945</v>
      </c>
      <c r="AC328" s="8">
        <f>RawSalesTable6[[#This Row],[Gross_Sales]]-RawSalesTable6[[#This Row],[Discount_Amount]]</f>
        <v>275.39549999999997</v>
      </c>
      <c r="AD328" s="8">
        <f>RawSalesTable6[[#This Row],[Unit_Cost]]*RawSalesTable6[[#This Row],[Quantity]]</f>
        <v>139.86000000000001</v>
      </c>
      <c r="AE328" s="8">
        <f>RawSalesTable6[[#This Row],[Net_Sales]]-RawSalesTable6[[#This Row],[Total_Cost]]</f>
        <v>135.53549999999996</v>
      </c>
      <c r="AF328" s="9">
        <f>RawSalesTable6[[#This Row],[Profit]]/RawSalesTable6[[#This Row],[Net_Sales]]</f>
        <v>0.492148564519028</v>
      </c>
      <c r="AG328" s="8">
        <f>YEAR(RawSalesTable6[[#This Row],[Order_Date]])</f>
        <v>2025</v>
      </c>
      <c r="AH328" s="8">
        <f>MONTH(RawSalesTable6[[#This Row],[Order_Date]])</f>
        <v>7</v>
      </c>
      <c r="AI328" s="8" t="str">
        <f>TEXT(RawSalesTable6[[#This Row],[Order_Date]],"mmmm")</f>
        <v>juillet</v>
      </c>
      <c r="AJ328" s="8" t="str">
        <f>IF(RawSalesTable6[[#This Row],[Month_Number]]&lt;=3,"Q1",IF(RawSalesTable6[[#This Row],[Month_Number]]&lt;=6,"Q2",IF(RawSalesTable6[[#This Row],[Month_Number]]&lt;=9,"Q3","Q4")))</f>
        <v>Q3</v>
      </c>
      <c r="AK328" s="8" t="str">
        <f>VLOOKUP(RawSalesTable6[[#This Row],[Customer_ID_Clean]],CustomersTable[],4,FALSE)</f>
        <v>British Columbia</v>
      </c>
      <c r="AL328" s="8">
        <f>IF(RawSalesTable6[[#This Row],[Return_Status]]="Yes",1,0)</f>
        <v>0</v>
      </c>
    </row>
    <row r="329" spans="1:38">
      <c r="A329" t="s">
        <v>741</v>
      </c>
      <c r="B329" s="3">
        <v>45736</v>
      </c>
      <c r="C329" t="s">
        <v>326</v>
      </c>
      <c r="D329" t="s">
        <v>181</v>
      </c>
      <c r="E329" t="s">
        <v>327</v>
      </c>
      <c r="F329" t="s">
        <v>145</v>
      </c>
      <c r="G329" t="s">
        <v>88</v>
      </c>
      <c r="H329" t="s">
        <v>233</v>
      </c>
      <c r="I329">
        <v>5</v>
      </c>
      <c r="J329" s="2">
        <v>335.95</v>
      </c>
      <c r="K329" s="4">
        <v>0</v>
      </c>
      <c r="L329" t="s">
        <v>98</v>
      </c>
      <c r="M329">
        <v>1</v>
      </c>
      <c r="N329" t="s">
        <v>91</v>
      </c>
      <c r="O329" t="str">
        <f>SUBSTITUTE(PROPER(TRIM(RawSalesTable6[[#This Row],[Channel_Raw]])),"Market Place","Marketplace")</f>
        <v>Retail Store</v>
      </c>
      <c r="P329" t="str">
        <f>TRIM(RawSalesTable6[[#This Row],[Product_ID]])</f>
        <v>P1007</v>
      </c>
      <c r="Q329" t="str">
        <f>TRIM(RawSalesTable6[[#This Row],[Customer_ID]])</f>
        <v>C0092</v>
      </c>
      <c r="R329" s="8" t="str">
        <f>PROPER(TRIM(RawSalesTable6[[#This Row],[Store_Raw]]))</f>
        <v>Calgary North</v>
      </c>
      <c r="S329" s="8" t="str">
        <f>IF(TRIM(RawSalesTable6[[#This Row],[Payment_Method_Raw]])="","Non renseigné",SUBSTITUTE(PROPER(TRIM(RawSalesTable6[[#This Row],[Payment_Method_Raw]])),"Cc","Credit Card"))</f>
        <v>Debit Card</v>
      </c>
      <c r="T329" s="8">
        <f>COUNTIF(A:A,RawSalesTable6[[#This Row],[Order_ID]])</f>
        <v>1</v>
      </c>
      <c r="U329" s="8" t="str">
        <f>TRIM(LEFT(RawSalesTable6[[#This Row],[Customer_Info]],FIND(",",RawSalesTable6[[#This Row],[Customer_Info]])-1))</f>
        <v>Lucas Tremblay</v>
      </c>
      <c r="V329" s="8" t="str">
        <f>TRIM(MID(RawSalesTable6[[#This Row],[Customer_Info]],FIND(",",RawSalesTable6[[#This Row],[Customer_Info]])+1,FIND(",",RawSalesTable6[[#This Row],[Customer_Info]],FIND(",",RawSalesTable6[[#This Row],[Customer_Info]])+1)-FIND(",",RawSalesTable6[[#This Row],[Customer_Info]])-1))</f>
        <v>Saskatoon</v>
      </c>
      <c r="W329" s="8" t="str">
        <f>TRIM(RIGHT(RawSalesTable6[[#This Row],[Customer_Info]],LEN(RawSalesTable6[[#This Row],[Customer_Info]])-FIND(",",RawSalesTable6[[#This Row],[Customer_Info]],FIND(",",RawSalesTable6[[#This Row],[Customer_Info]])+1)))</f>
        <v>Consumer</v>
      </c>
      <c r="X329" s="8" t="str">
        <f>VLOOKUP(RawSalesTable6[[#This Row],[Product_ID_Clean]],ProductsTable[],2,FALSE)</f>
        <v>Monitor</v>
      </c>
      <c r="Y329" s="8" t="str">
        <f>VLOOKUP(RawSalesTable6[[#This Row],[Product_ID_Clean]],ProductsTable[],3,FALSE)</f>
        <v>Electronics</v>
      </c>
      <c r="Z329" s="8">
        <f>VLOOKUP(RawSalesTable6[[#This Row],[Product_ID_Clean]],ProductsTable[],5,FALSE)</f>
        <v>224.47</v>
      </c>
      <c r="AA329" s="8">
        <f>RawSalesTable6[[#This Row],[Unit_Price]]*RawSalesTable6[[#This Row],[Quantity]]</f>
        <v>1679.75</v>
      </c>
      <c r="AB329" s="8">
        <f>RawSalesTable6[[#This Row],[Gross_Sales]]*RawSalesTable6[[#This Row],[Discount_Pct]]</f>
        <v>0</v>
      </c>
      <c r="AC329" s="8">
        <f>RawSalesTable6[[#This Row],[Gross_Sales]]-RawSalesTable6[[#This Row],[Discount_Amount]]</f>
        <v>1679.75</v>
      </c>
      <c r="AD329" s="8">
        <f>RawSalesTable6[[#This Row],[Unit_Cost]]*RawSalesTable6[[#This Row],[Quantity]]</f>
        <v>1122.3499999999999</v>
      </c>
      <c r="AE329" s="8">
        <f>RawSalesTable6[[#This Row],[Net_Sales]]-RawSalesTable6[[#This Row],[Total_Cost]]</f>
        <v>557.40000000000009</v>
      </c>
      <c r="AF329" s="9">
        <f>RawSalesTable6[[#This Row],[Profit]]/RawSalesTable6[[#This Row],[Net_Sales]]</f>
        <v>0.33183509450811138</v>
      </c>
      <c r="AG329" s="8">
        <f>YEAR(RawSalesTable6[[#This Row],[Order_Date]])</f>
        <v>2025</v>
      </c>
      <c r="AH329" s="8">
        <f>MONTH(RawSalesTable6[[#This Row],[Order_Date]])</f>
        <v>3</v>
      </c>
      <c r="AI329" s="8" t="str">
        <f>TEXT(RawSalesTable6[[#This Row],[Order_Date]],"mmmm")</f>
        <v>mars</v>
      </c>
      <c r="AJ329" s="8" t="str">
        <f>IF(RawSalesTable6[[#This Row],[Month_Number]]&lt;=3,"Q1",IF(RawSalesTable6[[#This Row],[Month_Number]]&lt;=6,"Q2",IF(RawSalesTable6[[#This Row],[Month_Number]]&lt;=9,"Q3","Q4")))</f>
        <v>Q1</v>
      </c>
      <c r="AK329" s="8" t="str">
        <f>VLOOKUP(RawSalesTable6[[#This Row],[Customer_ID_Clean]],CustomersTable[],4,FALSE)</f>
        <v>Saskatchewan</v>
      </c>
      <c r="AL329" s="8">
        <f>IF(RawSalesTable6[[#This Row],[Return_Status]]="Yes",1,0)</f>
        <v>0</v>
      </c>
    </row>
    <row r="330" spans="1:38">
      <c r="A330" t="s">
        <v>742</v>
      </c>
      <c r="B330" s="3">
        <v>45910</v>
      </c>
      <c r="C330" t="s">
        <v>410</v>
      </c>
      <c r="D330" t="s">
        <v>133</v>
      </c>
      <c r="E330" t="s">
        <v>411</v>
      </c>
      <c r="F330" t="s">
        <v>111</v>
      </c>
      <c r="G330" t="s">
        <v>171</v>
      </c>
      <c r="H330" t="s">
        <v>89</v>
      </c>
      <c r="I330">
        <v>1</v>
      </c>
      <c r="J330" s="2">
        <v>343.98</v>
      </c>
      <c r="K330" s="4">
        <v>0.1</v>
      </c>
      <c r="L330" t="s">
        <v>106</v>
      </c>
      <c r="M330">
        <v>3</v>
      </c>
      <c r="N330" t="s">
        <v>91</v>
      </c>
      <c r="O330" t="str">
        <f>SUBSTITUTE(PROPER(TRIM(RawSalesTable6[[#This Row],[Channel_Raw]])),"Market Place","Marketplace")</f>
        <v>Online</v>
      </c>
      <c r="P330" t="str">
        <f>TRIM(RawSalesTable6[[#This Row],[Product_ID]])</f>
        <v>P1039</v>
      </c>
      <c r="Q330" t="str">
        <f>TRIM(RawSalesTable6[[#This Row],[Customer_ID]])</f>
        <v>C0093</v>
      </c>
      <c r="R330" s="8" t="str">
        <f>PROPER(TRIM(RawSalesTable6[[#This Row],[Store_Raw]]))</f>
        <v>Montreal Central</v>
      </c>
      <c r="S330" s="8" t="str">
        <f>IF(TRIM(RawSalesTable6[[#This Row],[Payment_Method_Raw]])="","Non renseigné",SUBSTITUTE(PROPER(TRIM(RawSalesTable6[[#This Row],[Payment_Method_Raw]])),"Cc","Credit Card"))</f>
        <v>Credit Card</v>
      </c>
      <c r="T330" s="8">
        <f>COUNTIF(A:A,RawSalesTable6[[#This Row],[Order_ID]])</f>
        <v>1</v>
      </c>
      <c r="U330" s="8" t="str">
        <f>TRIM(LEFT(RawSalesTable6[[#This Row],[Customer_Info]],FIND(",",RawSalesTable6[[#This Row],[Customer_Info]])-1))</f>
        <v>Ethan Roy</v>
      </c>
      <c r="V330" s="8" t="str">
        <f>TRIM(MID(RawSalesTable6[[#This Row],[Customer_Info]],FIND(",",RawSalesTable6[[#This Row],[Customer_Info]])+1,FIND(",",RawSalesTable6[[#This Row],[Customer_Info]],FIND(",",RawSalesTable6[[#This Row],[Customer_Info]])+1)-FIND(",",RawSalesTable6[[#This Row],[Customer_Info]])-1))</f>
        <v>Winnipeg</v>
      </c>
      <c r="W330" s="8" t="str">
        <f>TRIM(RIGHT(RawSalesTable6[[#This Row],[Customer_Info]],LEN(RawSalesTable6[[#This Row],[Customer_Info]])-FIND(",",RawSalesTable6[[#This Row],[Customer_Info]],FIND(",",RawSalesTable6[[#This Row],[Customer_Info]])+1)))</f>
        <v>Consumer</v>
      </c>
      <c r="X330" s="8" t="str">
        <f>VLOOKUP(RawSalesTable6[[#This Row],[Product_ID_Clean]],ProductsTable[],2,FALSE)</f>
        <v>Travel Adapter</v>
      </c>
      <c r="Y330" s="8" t="str">
        <f>VLOOKUP(RawSalesTable6[[#This Row],[Product_ID_Clean]],ProductsTable[],3,FALSE)</f>
        <v>Accessories</v>
      </c>
      <c r="Z330" s="8">
        <f>VLOOKUP(RawSalesTable6[[#This Row],[Product_ID_Clean]],ProductsTable[],5,FALSE)</f>
        <v>229.86</v>
      </c>
      <c r="AA330" s="8">
        <f>RawSalesTable6[[#This Row],[Unit_Price]]*RawSalesTable6[[#This Row],[Quantity]]</f>
        <v>343.98</v>
      </c>
      <c r="AB330" s="8">
        <f>RawSalesTable6[[#This Row],[Gross_Sales]]*RawSalesTable6[[#This Row],[Discount_Pct]]</f>
        <v>34.398000000000003</v>
      </c>
      <c r="AC330" s="8">
        <f>RawSalesTable6[[#This Row],[Gross_Sales]]-RawSalesTable6[[#This Row],[Discount_Amount]]</f>
        <v>309.58199999999999</v>
      </c>
      <c r="AD330" s="8">
        <f>RawSalesTable6[[#This Row],[Unit_Cost]]*RawSalesTable6[[#This Row],[Quantity]]</f>
        <v>229.86</v>
      </c>
      <c r="AE330" s="8">
        <f>RawSalesTable6[[#This Row],[Net_Sales]]-RawSalesTable6[[#This Row],[Total_Cost]]</f>
        <v>79.72199999999998</v>
      </c>
      <c r="AF330" s="9">
        <f>RawSalesTable6[[#This Row],[Profit]]/RawSalesTable6[[#This Row],[Net_Sales]]</f>
        <v>0.25751497180068605</v>
      </c>
      <c r="AG330" s="8">
        <f>YEAR(RawSalesTable6[[#This Row],[Order_Date]])</f>
        <v>2025</v>
      </c>
      <c r="AH330" s="8">
        <f>MONTH(RawSalesTable6[[#This Row],[Order_Date]])</f>
        <v>9</v>
      </c>
      <c r="AI330" s="8" t="str">
        <f>TEXT(RawSalesTable6[[#This Row],[Order_Date]],"mmmm")</f>
        <v>septembre</v>
      </c>
      <c r="AJ330" s="8" t="str">
        <f>IF(RawSalesTable6[[#This Row],[Month_Number]]&lt;=3,"Q1",IF(RawSalesTable6[[#This Row],[Month_Number]]&lt;=6,"Q2",IF(RawSalesTable6[[#This Row],[Month_Number]]&lt;=9,"Q3","Q4")))</f>
        <v>Q3</v>
      </c>
      <c r="AK330" s="8" t="str">
        <f>VLOOKUP(RawSalesTable6[[#This Row],[Customer_ID_Clean]],CustomersTable[],4,FALSE)</f>
        <v>Manitoba</v>
      </c>
      <c r="AL330" s="8">
        <f>IF(RawSalesTable6[[#This Row],[Return_Status]]="Yes",1,0)</f>
        <v>0</v>
      </c>
    </row>
    <row r="331" spans="1:38">
      <c r="A331" t="s">
        <v>743</v>
      </c>
      <c r="B331" s="3">
        <v>45940</v>
      </c>
      <c r="C331" t="s">
        <v>265</v>
      </c>
      <c r="D331" t="s">
        <v>271</v>
      </c>
      <c r="E331" t="s">
        <v>266</v>
      </c>
      <c r="F331" t="s">
        <v>103</v>
      </c>
      <c r="G331" t="s">
        <v>122</v>
      </c>
      <c r="H331" t="s">
        <v>97</v>
      </c>
      <c r="I331">
        <v>4</v>
      </c>
      <c r="J331" s="2">
        <v>228.16</v>
      </c>
      <c r="K331" s="4">
        <v>0.15</v>
      </c>
      <c r="L331" t="s">
        <v>98</v>
      </c>
      <c r="M331">
        <v>3</v>
      </c>
      <c r="N331" t="s">
        <v>91</v>
      </c>
      <c r="O331" t="str">
        <f>SUBSTITUTE(PROPER(TRIM(RawSalesTable6[[#This Row],[Channel_Raw]])),"Market Place","Marketplace")</f>
        <v>Retail Store</v>
      </c>
      <c r="P331" t="str">
        <f>TRIM(RawSalesTable6[[#This Row],[Product_ID]])</f>
        <v>P1026</v>
      </c>
      <c r="Q331" t="str">
        <f>TRIM(RawSalesTable6[[#This Row],[Customer_ID]])</f>
        <v>C0020</v>
      </c>
      <c r="R331" s="8" t="str">
        <f>PROPER(TRIM(RawSalesTable6[[#This Row],[Store_Raw]]))</f>
        <v>Vancouver West</v>
      </c>
      <c r="S331" s="8" t="str">
        <f>IF(TRIM(RawSalesTable6[[#This Row],[Payment_Method_Raw]])="","Non renseigné",SUBSTITUTE(PROPER(TRIM(RawSalesTable6[[#This Row],[Payment_Method_Raw]])),"Cc","Credit Card"))</f>
        <v>Debit Card</v>
      </c>
      <c r="T331" s="8">
        <f>COUNTIF(A:A,RawSalesTable6[[#This Row],[Order_ID]])</f>
        <v>1</v>
      </c>
      <c r="U331" s="8" t="str">
        <f>TRIM(LEFT(RawSalesTable6[[#This Row],[Customer_Info]],FIND(",",RawSalesTable6[[#This Row],[Customer_Info]])-1))</f>
        <v>Nora Khan</v>
      </c>
      <c r="V331" s="8" t="str">
        <f>TRIM(MID(RawSalesTable6[[#This Row],[Customer_Info]],FIND(",",RawSalesTable6[[#This Row],[Customer_Info]])+1,FIND(",",RawSalesTable6[[#This Row],[Customer_Info]],FIND(",",RawSalesTable6[[#This Row],[Customer_Info]])+1)-FIND(",",RawSalesTable6[[#This Row],[Customer_Info]])-1))</f>
        <v>Mississauga</v>
      </c>
      <c r="W331" s="8" t="str">
        <f>TRIM(RIGHT(RawSalesTable6[[#This Row],[Customer_Info]],LEN(RawSalesTable6[[#This Row],[Customer_Info]])-FIND(",",RawSalesTable6[[#This Row],[Customer_Info]],FIND(",",RawSalesTable6[[#This Row],[Customer_Info]])+1)))</f>
        <v>Consumer</v>
      </c>
      <c r="X331" s="8" t="str">
        <f>VLOOKUP(RawSalesTable6[[#This Row],[Product_ID_Clean]],ProductsTable[],2,FALSE)</f>
        <v>Resistance Bands</v>
      </c>
      <c r="Y331" s="8" t="str">
        <f>VLOOKUP(RawSalesTable6[[#This Row],[Product_ID_Clean]],ProductsTable[],3,FALSE)</f>
        <v>Fitness</v>
      </c>
      <c r="Z331" s="8">
        <f>VLOOKUP(RawSalesTable6[[#This Row],[Product_ID_Clean]],ProductsTable[],5,FALSE)</f>
        <v>139.19999999999999</v>
      </c>
      <c r="AA331" s="8">
        <f>RawSalesTable6[[#This Row],[Unit_Price]]*RawSalesTable6[[#This Row],[Quantity]]</f>
        <v>912.64</v>
      </c>
      <c r="AB331" s="8">
        <f>RawSalesTable6[[#This Row],[Gross_Sales]]*RawSalesTable6[[#This Row],[Discount_Pct]]</f>
        <v>136.89599999999999</v>
      </c>
      <c r="AC331" s="8">
        <f>RawSalesTable6[[#This Row],[Gross_Sales]]-RawSalesTable6[[#This Row],[Discount_Amount]]</f>
        <v>775.74400000000003</v>
      </c>
      <c r="AD331" s="8">
        <f>RawSalesTable6[[#This Row],[Unit_Cost]]*RawSalesTable6[[#This Row],[Quantity]]</f>
        <v>556.79999999999995</v>
      </c>
      <c r="AE331" s="8">
        <f>RawSalesTable6[[#This Row],[Net_Sales]]-RawSalesTable6[[#This Row],[Total_Cost]]</f>
        <v>218.94400000000007</v>
      </c>
      <c r="AF331" s="9">
        <f>RawSalesTable6[[#This Row],[Profit]]/RawSalesTable6[[#This Row],[Net_Sales]]</f>
        <v>0.28223743915518529</v>
      </c>
      <c r="AG331" s="8">
        <f>YEAR(RawSalesTable6[[#This Row],[Order_Date]])</f>
        <v>2025</v>
      </c>
      <c r="AH331" s="8">
        <f>MONTH(RawSalesTable6[[#This Row],[Order_Date]])</f>
        <v>10</v>
      </c>
      <c r="AI331" s="8" t="str">
        <f>TEXT(RawSalesTable6[[#This Row],[Order_Date]],"mmmm")</f>
        <v>octobre</v>
      </c>
      <c r="AJ331" s="8" t="str">
        <f>IF(RawSalesTable6[[#This Row],[Month_Number]]&lt;=3,"Q1",IF(RawSalesTable6[[#This Row],[Month_Number]]&lt;=6,"Q2",IF(RawSalesTable6[[#This Row],[Month_Number]]&lt;=9,"Q3","Q4")))</f>
        <v>Q4</v>
      </c>
      <c r="AK331" s="8" t="str">
        <f>VLOOKUP(RawSalesTable6[[#This Row],[Customer_ID_Clean]],CustomersTable[],4,FALSE)</f>
        <v>Ontario</v>
      </c>
      <c r="AL331" s="8">
        <f>IF(RawSalesTable6[[#This Row],[Return_Status]]="Yes",1,0)</f>
        <v>0</v>
      </c>
    </row>
    <row r="332" spans="1:38">
      <c r="A332" t="s">
        <v>744</v>
      </c>
      <c r="B332" s="3">
        <v>45820</v>
      </c>
      <c r="C332" t="s">
        <v>695</v>
      </c>
      <c r="D332" t="s">
        <v>418</v>
      </c>
      <c r="E332" t="s">
        <v>696</v>
      </c>
      <c r="F332" t="s">
        <v>111</v>
      </c>
      <c r="G332" t="s">
        <v>96</v>
      </c>
      <c r="H332" t="s">
        <v>89</v>
      </c>
      <c r="I332">
        <v>2</v>
      </c>
      <c r="J332" s="2">
        <v>369.52</v>
      </c>
      <c r="K332" s="4">
        <v>0</v>
      </c>
      <c r="L332" t="s">
        <v>253</v>
      </c>
      <c r="M332">
        <v>4</v>
      </c>
      <c r="N332" t="s">
        <v>91</v>
      </c>
      <c r="O332" t="str">
        <f>SUBSTITUTE(PROPER(TRIM(RawSalesTable6[[#This Row],[Channel_Raw]])),"Market Place","Marketplace")</f>
        <v>Online</v>
      </c>
      <c r="P332" t="str">
        <f>TRIM(RawSalesTable6[[#This Row],[Product_ID]])</f>
        <v>P1028</v>
      </c>
      <c r="Q332" t="str">
        <f>TRIM(RawSalesTable6[[#This Row],[Customer_ID]])</f>
        <v>C0019</v>
      </c>
      <c r="R332" s="8" t="str">
        <f>PROPER(TRIM(RawSalesTable6[[#This Row],[Store_Raw]]))</f>
        <v>Montreal Central</v>
      </c>
      <c r="S332" s="8" t="str">
        <f>IF(TRIM(RawSalesTable6[[#This Row],[Payment_Method_Raw]])="","Non renseigné",SUBSTITUTE(PROPER(TRIM(RawSalesTable6[[#This Row],[Payment_Method_Raw]])),"Cc","Credit Card"))</f>
        <v>Credit Card</v>
      </c>
      <c r="T332" s="8">
        <f>COUNTIF(A:A,RawSalesTable6[[#This Row],[Order_ID]])</f>
        <v>1</v>
      </c>
      <c r="U332" s="8" t="str">
        <f>TRIM(LEFT(RawSalesTable6[[#This Row],[Customer_Info]],FIND(",",RawSalesTable6[[#This Row],[Customer_Info]])-1))</f>
        <v>Lucas Taylor</v>
      </c>
      <c r="V332" s="8" t="str">
        <f>TRIM(MID(RawSalesTable6[[#This Row],[Customer_Info]],FIND(",",RawSalesTable6[[#This Row],[Customer_Info]])+1,FIND(",",RawSalesTable6[[#This Row],[Customer_Info]],FIND(",",RawSalesTable6[[#This Row],[Customer_Info]])+1)-FIND(",",RawSalesTable6[[#This Row],[Customer_Info]])-1))</f>
        <v>Montreal</v>
      </c>
      <c r="W332" s="8" t="str">
        <f>TRIM(RIGHT(RawSalesTable6[[#This Row],[Customer_Info]],LEN(RawSalesTable6[[#This Row],[Customer_Info]])-FIND(",",RawSalesTable6[[#This Row],[Customer_Info]],FIND(",",RawSalesTable6[[#This Row],[Customer_Info]])+1)))</f>
        <v>Small Business</v>
      </c>
      <c r="X332" s="8" t="str">
        <f>VLOOKUP(RawSalesTable6[[#This Row],[Product_ID_Clean]],ProductsTable[],2,FALSE)</f>
        <v>Foam Roller</v>
      </c>
      <c r="Y332" s="8" t="str">
        <f>VLOOKUP(RawSalesTable6[[#This Row],[Product_ID_Clean]],ProductsTable[],3,FALSE)</f>
        <v>Fitness</v>
      </c>
      <c r="Z332" s="8">
        <f>VLOOKUP(RawSalesTable6[[#This Row],[Product_ID_Clean]],ProductsTable[],5,FALSE)</f>
        <v>212.02</v>
      </c>
      <c r="AA332" s="8">
        <f>RawSalesTable6[[#This Row],[Unit_Price]]*RawSalesTable6[[#This Row],[Quantity]]</f>
        <v>739.04</v>
      </c>
      <c r="AB332" s="8">
        <f>RawSalesTable6[[#This Row],[Gross_Sales]]*RawSalesTable6[[#This Row],[Discount_Pct]]</f>
        <v>0</v>
      </c>
      <c r="AC332" s="8">
        <f>RawSalesTable6[[#This Row],[Gross_Sales]]-RawSalesTable6[[#This Row],[Discount_Amount]]</f>
        <v>739.04</v>
      </c>
      <c r="AD332" s="8">
        <f>RawSalesTable6[[#This Row],[Unit_Cost]]*RawSalesTable6[[#This Row],[Quantity]]</f>
        <v>424.04</v>
      </c>
      <c r="AE332" s="8">
        <f>RawSalesTable6[[#This Row],[Net_Sales]]-RawSalesTable6[[#This Row],[Total_Cost]]</f>
        <v>314.99999999999994</v>
      </c>
      <c r="AF332" s="9">
        <f>RawSalesTable6[[#This Row],[Profit]]/RawSalesTable6[[#This Row],[Net_Sales]]</f>
        <v>0.42622862091361763</v>
      </c>
      <c r="AG332" s="8">
        <f>YEAR(RawSalesTable6[[#This Row],[Order_Date]])</f>
        <v>2025</v>
      </c>
      <c r="AH332" s="8">
        <f>MONTH(RawSalesTable6[[#This Row],[Order_Date]])</f>
        <v>6</v>
      </c>
      <c r="AI332" s="8" t="str">
        <f>TEXT(RawSalesTable6[[#This Row],[Order_Date]],"mmmm")</f>
        <v>juin</v>
      </c>
      <c r="AJ332" s="8" t="str">
        <f>IF(RawSalesTable6[[#This Row],[Month_Number]]&lt;=3,"Q1",IF(RawSalesTable6[[#This Row],[Month_Number]]&lt;=6,"Q2",IF(RawSalesTable6[[#This Row],[Month_Number]]&lt;=9,"Q3","Q4")))</f>
        <v>Q2</v>
      </c>
      <c r="AK332" s="8" t="str">
        <f>VLOOKUP(RawSalesTable6[[#This Row],[Customer_ID_Clean]],CustomersTable[],4,FALSE)</f>
        <v>Quebec</v>
      </c>
      <c r="AL332" s="8">
        <f>IF(RawSalesTable6[[#This Row],[Return_Status]]="Yes",1,0)</f>
        <v>0</v>
      </c>
    </row>
    <row r="333" spans="1:38">
      <c r="A333" t="s">
        <v>745</v>
      </c>
      <c r="B333" s="3">
        <v>45946</v>
      </c>
      <c r="C333" t="s">
        <v>661</v>
      </c>
      <c r="D333" t="s">
        <v>249</v>
      </c>
      <c r="E333" t="s">
        <v>662</v>
      </c>
      <c r="F333" t="s">
        <v>111</v>
      </c>
      <c r="G333" t="s">
        <v>171</v>
      </c>
      <c r="H333" t="s">
        <v>89</v>
      </c>
      <c r="I333">
        <v>2</v>
      </c>
      <c r="J333" s="2">
        <v>430.93</v>
      </c>
      <c r="K333" s="4">
        <v>0.15</v>
      </c>
      <c r="L333" t="s">
        <v>106</v>
      </c>
      <c r="M333">
        <v>4</v>
      </c>
      <c r="N333" t="s">
        <v>91</v>
      </c>
      <c r="O333" t="str">
        <f>SUBSTITUTE(PROPER(TRIM(RawSalesTable6[[#This Row],[Channel_Raw]])),"Market Place","Marketplace")</f>
        <v>Online</v>
      </c>
      <c r="P333" t="str">
        <f>TRIM(RawSalesTable6[[#This Row],[Product_ID]])</f>
        <v>P1022</v>
      </c>
      <c r="Q333" t="str">
        <f>TRIM(RawSalesTable6[[#This Row],[Customer_ID]])</f>
        <v>C0111</v>
      </c>
      <c r="R333" s="8" t="str">
        <f>PROPER(TRIM(RawSalesTable6[[#This Row],[Store_Raw]]))</f>
        <v>Montreal Central</v>
      </c>
      <c r="S333" s="8" t="str">
        <f>IF(TRIM(RawSalesTable6[[#This Row],[Payment_Method_Raw]])="","Non renseigné",SUBSTITUTE(PROPER(TRIM(RawSalesTable6[[#This Row],[Payment_Method_Raw]])),"Cc","Credit Card"))</f>
        <v>Credit Card</v>
      </c>
      <c r="T333" s="8">
        <f>COUNTIF(A:A,RawSalesTable6[[#This Row],[Order_ID]])</f>
        <v>1</v>
      </c>
      <c r="U333" s="8" t="str">
        <f>TRIM(LEFT(RawSalesTable6[[#This Row],[Customer_Info]],FIND(",",RawSalesTable6[[#This Row],[Customer_Info]])-1))</f>
        <v>Noah Khan</v>
      </c>
      <c r="V333" s="8" t="str">
        <f>TRIM(MID(RawSalesTable6[[#This Row],[Customer_Info]],FIND(",",RawSalesTable6[[#This Row],[Customer_Info]])+1,FIND(",",RawSalesTable6[[#This Row],[Customer_Info]],FIND(",",RawSalesTable6[[#This Row],[Customer_Info]])+1)-FIND(",",RawSalesTable6[[#This Row],[Customer_Info]])-1))</f>
        <v>Halifax</v>
      </c>
      <c r="W333" s="8" t="str">
        <f>TRIM(RIGHT(RawSalesTable6[[#This Row],[Customer_Info]],LEN(RawSalesTable6[[#This Row],[Customer_Info]])-FIND(",",RawSalesTable6[[#This Row],[Customer_Info]],FIND(",",RawSalesTable6[[#This Row],[Customer_Info]])+1)))</f>
        <v>Consumer</v>
      </c>
      <c r="X333" s="8" t="str">
        <f>VLOOKUP(RawSalesTable6[[#This Row],[Product_ID_Clean]],ProductsTable[],2,FALSE)</f>
        <v>Humidifier</v>
      </c>
      <c r="Y333" s="8" t="str">
        <f>VLOOKUP(RawSalesTable6[[#This Row],[Product_ID_Clean]],ProductsTable[],3,FALSE)</f>
        <v>Home</v>
      </c>
      <c r="Z333" s="8">
        <f>VLOOKUP(RawSalesTable6[[#This Row],[Product_ID_Clean]],ProductsTable[],5,FALSE)</f>
        <v>239.67</v>
      </c>
      <c r="AA333" s="8">
        <f>RawSalesTable6[[#This Row],[Unit_Price]]*RawSalesTable6[[#This Row],[Quantity]]</f>
        <v>861.86</v>
      </c>
      <c r="AB333" s="8">
        <f>RawSalesTable6[[#This Row],[Gross_Sales]]*RawSalesTable6[[#This Row],[Discount_Pct]]</f>
        <v>129.279</v>
      </c>
      <c r="AC333" s="8">
        <f>RawSalesTable6[[#This Row],[Gross_Sales]]-RawSalesTable6[[#This Row],[Discount_Amount]]</f>
        <v>732.58100000000002</v>
      </c>
      <c r="AD333" s="8">
        <f>RawSalesTable6[[#This Row],[Unit_Cost]]*RawSalesTable6[[#This Row],[Quantity]]</f>
        <v>479.34</v>
      </c>
      <c r="AE333" s="8">
        <f>RawSalesTable6[[#This Row],[Net_Sales]]-RawSalesTable6[[#This Row],[Total_Cost]]</f>
        <v>253.24100000000004</v>
      </c>
      <c r="AF333" s="9">
        <f>RawSalesTable6[[#This Row],[Profit]]/RawSalesTable6[[#This Row],[Net_Sales]]</f>
        <v>0.34568327597903853</v>
      </c>
      <c r="AG333" s="8">
        <f>YEAR(RawSalesTable6[[#This Row],[Order_Date]])</f>
        <v>2025</v>
      </c>
      <c r="AH333" s="8">
        <f>MONTH(RawSalesTable6[[#This Row],[Order_Date]])</f>
        <v>10</v>
      </c>
      <c r="AI333" s="8" t="str">
        <f>TEXT(RawSalesTable6[[#This Row],[Order_Date]],"mmmm")</f>
        <v>octobre</v>
      </c>
      <c r="AJ333" s="8" t="str">
        <f>IF(RawSalesTable6[[#This Row],[Month_Number]]&lt;=3,"Q1",IF(RawSalesTable6[[#This Row],[Month_Number]]&lt;=6,"Q2",IF(RawSalesTable6[[#This Row],[Month_Number]]&lt;=9,"Q3","Q4")))</f>
        <v>Q4</v>
      </c>
      <c r="AK333" s="8" t="str">
        <f>VLOOKUP(RawSalesTable6[[#This Row],[Customer_ID_Clean]],CustomersTable[],4,FALSE)</f>
        <v>Nova Scotia</v>
      </c>
      <c r="AL333" s="8">
        <f>IF(RawSalesTable6[[#This Row],[Return_Status]]="Yes",1,0)</f>
        <v>0</v>
      </c>
    </row>
    <row r="334" spans="1:38">
      <c r="A334" t="s">
        <v>746</v>
      </c>
      <c r="B334" s="3">
        <v>45749</v>
      </c>
      <c r="C334" t="s">
        <v>239</v>
      </c>
      <c r="D334" t="s">
        <v>738</v>
      </c>
      <c r="E334" t="s">
        <v>240</v>
      </c>
      <c r="F334" t="s">
        <v>116</v>
      </c>
      <c r="G334" t="s">
        <v>88</v>
      </c>
      <c r="H334" t="s">
        <v>89</v>
      </c>
      <c r="I334">
        <v>3</v>
      </c>
      <c r="J334" s="2">
        <v>319.5</v>
      </c>
      <c r="K334" s="4">
        <v>0</v>
      </c>
      <c r="L334" t="s">
        <v>98</v>
      </c>
      <c r="M334">
        <v>2</v>
      </c>
      <c r="N334" t="s">
        <v>91</v>
      </c>
      <c r="O334" t="str">
        <f>SUBSTITUTE(PROPER(TRIM(RawSalesTable6[[#This Row],[Channel_Raw]])),"Market Place","Marketplace")</f>
        <v>Online</v>
      </c>
      <c r="P334" t="str">
        <f>TRIM(RawSalesTable6[[#This Row],[Product_ID]])</f>
        <v>P1016</v>
      </c>
      <c r="Q334" t="str">
        <f>TRIM(RawSalesTable6[[#This Row],[Customer_ID]])</f>
        <v>C0089</v>
      </c>
      <c r="R334" s="8" t="str">
        <f>PROPER(TRIM(RawSalesTable6[[#This Row],[Store_Raw]]))</f>
        <v>Toronto Downtown</v>
      </c>
      <c r="S334" s="8" t="str">
        <f>IF(TRIM(RawSalesTable6[[#This Row],[Payment_Method_Raw]])="","Non renseigné",SUBSTITUTE(PROPER(TRIM(RawSalesTable6[[#This Row],[Payment_Method_Raw]])),"Cc","Credit Card"))</f>
        <v>Debit Card</v>
      </c>
      <c r="T334" s="8">
        <f>COUNTIF(A:A,RawSalesTable6[[#This Row],[Order_ID]])</f>
        <v>1</v>
      </c>
      <c r="U334" s="8" t="str">
        <f>TRIM(LEFT(RawSalesTable6[[#This Row],[Customer_Info]],FIND(",",RawSalesTable6[[#This Row],[Customer_Info]])-1))</f>
        <v>Lucas Martin</v>
      </c>
      <c r="V334" s="8" t="str">
        <f>TRIM(MID(RawSalesTable6[[#This Row],[Customer_Info]],FIND(",",RawSalesTable6[[#This Row],[Customer_Info]])+1,FIND(",",RawSalesTable6[[#This Row],[Customer_Info]],FIND(",",RawSalesTable6[[#This Row],[Customer_Info]])+1)-FIND(",",RawSalesTable6[[#This Row],[Customer_Info]])-1))</f>
        <v>Vancouver</v>
      </c>
      <c r="W334" s="8" t="str">
        <f>TRIM(RIGHT(RawSalesTable6[[#This Row],[Customer_Info]],LEN(RawSalesTable6[[#This Row],[Customer_Info]])-FIND(",",RawSalesTable6[[#This Row],[Customer_Info]],FIND(",",RawSalesTable6[[#This Row],[Customer_Info]])+1)))</f>
        <v>Consumer</v>
      </c>
      <c r="X334" s="8" t="str">
        <f>VLOOKUP(RawSalesTable6[[#This Row],[Product_ID_Clean]],ProductsTable[],2,FALSE)</f>
        <v>Printer</v>
      </c>
      <c r="Y334" s="8" t="str">
        <f>VLOOKUP(RawSalesTable6[[#This Row],[Product_ID_Clean]],ProductsTable[],3,FALSE)</f>
        <v>Office</v>
      </c>
      <c r="Z334" s="8">
        <f>VLOOKUP(RawSalesTable6[[#This Row],[Product_ID_Clean]],ProductsTable[],5,FALSE)</f>
        <v>156.75</v>
      </c>
      <c r="AA334" s="8">
        <f>RawSalesTable6[[#This Row],[Unit_Price]]*RawSalesTable6[[#This Row],[Quantity]]</f>
        <v>958.5</v>
      </c>
      <c r="AB334" s="8">
        <f>RawSalesTable6[[#This Row],[Gross_Sales]]*RawSalesTable6[[#This Row],[Discount_Pct]]</f>
        <v>0</v>
      </c>
      <c r="AC334" s="8">
        <f>RawSalesTable6[[#This Row],[Gross_Sales]]-RawSalesTable6[[#This Row],[Discount_Amount]]</f>
        <v>958.5</v>
      </c>
      <c r="AD334" s="8">
        <f>RawSalesTable6[[#This Row],[Unit_Cost]]*RawSalesTable6[[#This Row],[Quantity]]</f>
        <v>470.25</v>
      </c>
      <c r="AE334" s="8">
        <f>RawSalesTable6[[#This Row],[Net_Sales]]-RawSalesTable6[[#This Row],[Total_Cost]]</f>
        <v>488.25</v>
      </c>
      <c r="AF334" s="9">
        <f>RawSalesTable6[[#This Row],[Profit]]/RawSalesTable6[[#This Row],[Net_Sales]]</f>
        <v>0.50938967136150237</v>
      </c>
      <c r="AG334" s="8">
        <f>YEAR(RawSalesTable6[[#This Row],[Order_Date]])</f>
        <v>2025</v>
      </c>
      <c r="AH334" s="8">
        <f>MONTH(RawSalesTable6[[#This Row],[Order_Date]])</f>
        <v>4</v>
      </c>
      <c r="AI334" s="8" t="str">
        <f>TEXT(RawSalesTable6[[#This Row],[Order_Date]],"mmmm")</f>
        <v>avril</v>
      </c>
      <c r="AJ334" s="8" t="str">
        <f>IF(RawSalesTable6[[#This Row],[Month_Number]]&lt;=3,"Q1",IF(RawSalesTable6[[#This Row],[Month_Number]]&lt;=6,"Q2",IF(RawSalesTable6[[#This Row],[Month_Number]]&lt;=9,"Q3","Q4")))</f>
        <v>Q2</v>
      </c>
      <c r="AK334" s="8" t="str">
        <f>VLOOKUP(RawSalesTable6[[#This Row],[Customer_ID_Clean]],CustomersTable[],4,FALSE)</f>
        <v>British Columbia</v>
      </c>
      <c r="AL334" s="8">
        <f>IF(RawSalesTable6[[#This Row],[Return_Status]]="Yes",1,0)</f>
        <v>0</v>
      </c>
    </row>
    <row r="335" spans="1:38">
      <c r="A335" t="s">
        <v>747</v>
      </c>
      <c r="B335" s="3">
        <v>45681</v>
      </c>
      <c r="C335" t="s">
        <v>177</v>
      </c>
      <c r="D335" t="s">
        <v>125</v>
      </c>
      <c r="E335" t="s">
        <v>178</v>
      </c>
      <c r="F335" t="s">
        <v>145</v>
      </c>
      <c r="G335" t="s">
        <v>183</v>
      </c>
      <c r="H335" t="s">
        <v>97</v>
      </c>
      <c r="I335">
        <v>1</v>
      </c>
      <c r="J335" s="2">
        <v>56.55</v>
      </c>
      <c r="K335" s="4">
        <v>0.1</v>
      </c>
      <c r="L335" t="s">
        <v>98</v>
      </c>
      <c r="M335">
        <v>4</v>
      </c>
      <c r="N335" t="s">
        <v>91</v>
      </c>
      <c r="O335" t="str">
        <f>SUBSTITUTE(PROPER(TRIM(RawSalesTable6[[#This Row],[Channel_Raw]])),"Market Place","Marketplace")</f>
        <v>Retail Store</v>
      </c>
      <c r="P335" t="str">
        <f>TRIM(RawSalesTable6[[#This Row],[Product_ID]])</f>
        <v>P1027</v>
      </c>
      <c r="Q335" t="str">
        <f>TRIM(RawSalesTable6[[#This Row],[Customer_ID]])</f>
        <v>C0041</v>
      </c>
      <c r="R335" s="8" t="str">
        <f>PROPER(TRIM(RawSalesTable6[[#This Row],[Store_Raw]]))</f>
        <v>Calgary North</v>
      </c>
      <c r="S335" s="8" t="str">
        <f>IF(TRIM(RawSalesTable6[[#This Row],[Payment_Method_Raw]])="","Non renseigné",SUBSTITUTE(PROPER(TRIM(RawSalesTable6[[#This Row],[Payment_Method_Raw]])),"Cc","Credit Card"))</f>
        <v>Debit Card</v>
      </c>
      <c r="T335" s="8">
        <f>COUNTIF(A:A,RawSalesTable6[[#This Row],[Order_ID]])</f>
        <v>1</v>
      </c>
      <c r="U335" s="8" t="str">
        <f>TRIM(LEFT(RawSalesTable6[[#This Row],[Customer_Info]],FIND(",",RawSalesTable6[[#This Row],[Customer_Info]])-1))</f>
        <v>Amine Chen</v>
      </c>
      <c r="V335" s="8" t="str">
        <f>TRIM(MID(RawSalesTable6[[#This Row],[Customer_Info]],FIND(",",RawSalesTable6[[#This Row],[Customer_Info]])+1,FIND(",",RawSalesTable6[[#This Row],[Customer_Info]],FIND(",",RawSalesTable6[[#This Row],[Customer_Info]])+1)-FIND(",",RawSalesTable6[[#This Row],[Customer_Info]])-1))</f>
        <v>Halifax</v>
      </c>
      <c r="W335" s="8" t="str">
        <f>TRIM(RIGHT(RawSalesTable6[[#This Row],[Customer_Info]],LEN(RawSalesTable6[[#This Row],[Customer_Info]])-FIND(",",RawSalesTable6[[#This Row],[Customer_Info]],FIND(",",RawSalesTable6[[#This Row],[Customer_Info]])+1)))</f>
        <v>Small Business</v>
      </c>
      <c r="X335" s="8" t="str">
        <f>VLOOKUP(RawSalesTable6[[#This Row],[Product_ID_Clean]],ProductsTable[],2,FALSE)</f>
        <v>Kettlebell</v>
      </c>
      <c r="Y335" s="8" t="str">
        <f>VLOOKUP(RawSalesTable6[[#This Row],[Product_ID_Clean]],ProductsTable[],3,FALSE)</f>
        <v>Fitness</v>
      </c>
      <c r="Z335" s="8">
        <f>VLOOKUP(RawSalesTable6[[#This Row],[Product_ID_Clean]],ProductsTable[],5,FALSE)</f>
        <v>25.97</v>
      </c>
      <c r="AA335" s="8">
        <f>RawSalesTable6[[#This Row],[Unit_Price]]*RawSalesTable6[[#This Row],[Quantity]]</f>
        <v>56.55</v>
      </c>
      <c r="AB335" s="8">
        <f>RawSalesTable6[[#This Row],[Gross_Sales]]*RawSalesTable6[[#This Row],[Discount_Pct]]</f>
        <v>5.6550000000000002</v>
      </c>
      <c r="AC335" s="8">
        <f>RawSalesTable6[[#This Row],[Gross_Sales]]-RawSalesTable6[[#This Row],[Discount_Amount]]</f>
        <v>50.894999999999996</v>
      </c>
      <c r="AD335" s="8">
        <f>RawSalesTable6[[#This Row],[Unit_Cost]]*RawSalesTable6[[#This Row],[Quantity]]</f>
        <v>25.97</v>
      </c>
      <c r="AE335" s="8">
        <f>RawSalesTable6[[#This Row],[Net_Sales]]-RawSalesTable6[[#This Row],[Total_Cost]]</f>
        <v>24.924999999999997</v>
      </c>
      <c r="AF335" s="9">
        <f>RawSalesTable6[[#This Row],[Profit]]/RawSalesTable6[[#This Row],[Net_Sales]]</f>
        <v>0.48973376559583454</v>
      </c>
      <c r="AG335" s="8">
        <f>YEAR(RawSalesTable6[[#This Row],[Order_Date]])</f>
        <v>2025</v>
      </c>
      <c r="AH335" s="8">
        <f>MONTH(RawSalesTable6[[#This Row],[Order_Date]])</f>
        <v>1</v>
      </c>
      <c r="AI335" s="8" t="str">
        <f>TEXT(RawSalesTable6[[#This Row],[Order_Date]],"mmmm")</f>
        <v>janvier</v>
      </c>
      <c r="AJ335" s="8" t="str">
        <f>IF(RawSalesTable6[[#This Row],[Month_Number]]&lt;=3,"Q1",IF(RawSalesTable6[[#This Row],[Month_Number]]&lt;=6,"Q2",IF(RawSalesTable6[[#This Row],[Month_Number]]&lt;=9,"Q3","Q4")))</f>
        <v>Q1</v>
      </c>
      <c r="AK335" s="8" t="str">
        <f>VLOOKUP(RawSalesTable6[[#This Row],[Customer_ID_Clean]],CustomersTable[],4,FALSE)</f>
        <v>Nova Scotia</v>
      </c>
      <c r="AL335" s="8">
        <f>IF(RawSalesTable6[[#This Row],[Return_Status]]="Yes",1,0)</f>
        <v>0</v>
      </c>
    </row>
    <row r="336" spans="1:38">
      <c r="A336" t="s">
        <v>748</v>
      </c>
      <c r="B336" s="3">
        <v>45937</v>
      </c>
      <c r="C336" t="s">
        <v>124</v>
      </c>
      <c r="D336" t="s">
        <v>323</v>
      </c>
      <c r="E336" t="s">
        <v>126</v>
      </c>
      <c r="F336" t="s">
        <v>116</v>
      </c>
      <c r="G336" t="s">
        <v>88</v>
      </c>
      <c r="H336" t="s">
        <v>89</v>
      </c>
      <c r="I336">
        <v>2</v>
      </c>
      <c r="J336" s="2">
        <v>330.56</v>
      </c>
      <c r="K336" s="4">
        <v>0.2</v>
      </c>
      <c r="L336" t="s">
        <v>441</v>
      </c>
      <c r="M336">
        <v>3</v>
      </c>
      <c r="N336" t="s">
        <v>91</v>
      </c>
      <c r="O336" t="str">
        <f>SUBSTITUTE(PROPER(TRIM(RawSalesTable6[[#This Row],[Channel_Raw]])),"Market Place","Marketplace")</f>
        <v>Online</v>
      </c>
      <c r="P336" t="str">
        <f>TRIM(RawSalesTable6[[#This Row],[Product_ID]])</f>
        <v>P1023</v>
      </c>
      <c r="Q336" t="str">
        <f>TRIM(RawSalesTable6[[#This Row],[Customer_ID]])</f>
        <v>C0021</v>
      </c>
      <c r="R336" s="8" t="str">
        <f>PROPER(TRIM(RawSalesTable6[[#This Row],[Store_Raw]]))</f>
        <v>Toronto Downtown</v>
      </c>
      <c r="S336" s="8" t="str">
        <f>IF(TRIM(RawSalesTable6[[#This Row],[Payment_Method_Raw]])="","Non renseigné",SUBSTITUTE(PROPER(TRIM(RawSalesTable6[[#This Row],[Payment_Method_Raw]])),"Cc","Credit Card"))</f>
        <v>Credit Card</v>
      </c>
      <c r="T336" s="8">
        <f>COUNTIF(A:A,RawSalesTable6[[#This Row],[Order_ID]])</f>
        <v>1</v>
      </c>
      <c r="U336" s="8" t="str">
        <f>TRIM(LEFT(RawSalesTable6[[#This Row],[Customer_Info]],FIND(",",RawSalesTable6[[#This Row],[Customer_Info]])-1))</f>
        <v>Nora King</v>
      </c>
      <c r="V336" s="8" t="str">
        <f>TRIM(MID(RawSalesTable6[[#This Row],[Customer_Info]],FIND(",",RawSalesTable6[[#This Row],[Customer_Info]])+1,FIND(",",RawSalesTable6[[#This Row],[Customer_Info]],FIND(",",RawSalesTable6[[#This Row],[Customer_Info]])+1)-FIND(",",RawSalesTable6[[#This Row],[Customer_Info]])-1))</f>
        <v>Halifax</v>
      </c>
      <c r="W336" s="8" t="str">
        <f>TRIM(RIGHT(RawSalesTable6[[#This Row],[Customer_Info]],LEN(RawSalesTable6[[#This Row],[Customer_Info]])-FIND(",",RawSalesTable6[[#This Row],[Customer_Info]],FIND(",",RawSalesTable6[[#This Row],[Customer_Info]])+1)))</f>
        <v>Corporate</v>
      </c>
      <c r="X336" s="8" t="str">
        <f>VLOOKUP(RawSalesTable6[[#This Row],[Product_ID_Clean]],ProductsTable[],2,FALSE)</f>
        <v>Toaster</v>
      </c>
      <c r="Y336" s="8" t="str">
        <f>VLOOKUP(RawSalesTable6[[#This Row],[Product_ID_Clean]],ProductsTable[],3,FALSE)</f>
        <v>Home</v>
      </c>
      <c r="Z336" s="8">
        <f>VLOOKUP(RawSalesTable6[[#This Row],[Product_ID_Clean]],ProductsTable[],5,FALSE)</f>
        <v>152.88</v>
      </c>
      <c r="AA336" s="8">
        <f>RawSalesTable6[[#This Row],[Unit_Price]]*RawSalesTable6[[#This Row],[Quantity]]</f>
        <v>661.12</v>
      </c>
      <c r="AB336" s="8">
        <f>RawSalesTable6[[#This Row],[Gross_Sales]]*RawSalesTable6[[#This Row],[Discount_Pct]]</f>
        <v>132.22400000000002</v>
      </c>
      <c r="AC336" s="8">
        <f>RawSalesTable6[[#This Row],[Gross_Sales]]-RawSalesTable6[[#This Row],[Discount_Amount]]</f>
        <v>528.89599999999996</v>
      </c>
      <c r="AD336" s="8">
        <f>RawSalesTable6[[#This Row],[Unit_Cost]]*RawSalesTable6[[#This Row],[Quantity]]</f>
        <v>305.76</v>
      </c>
      <c r="AE336" s="8">
        <f>RawSalesTable6[[#This Row],[Net_Sales]]-RawSalesTable6[[#This Row],[Total_Cost]]</f>
        <v>223.13599999999997</v>
      </c>
      <c r="AF336" s="9">
        <f>RawSalesTable6[[#This Row],[Profit]]/RawSalesTable6[[#This Row],[Net_Sales]]</f>
        <v>0.42189012584704738</v>
      </c>
      <c r="AG336" s="8">
        <f>YEAR(RawSalesTable6[[#This Row],[Order_Date]])</f>
        <v>2025</v>
      </c>
      <c r="AH336" s="8">
        <f>MONTH(RawSalesTable6[[#This Row],[Order_Date]])</f>
        <v>10</v>
      </c>
      <c r="AI336" s="8" t="str">
        <f>TEXT(RawSalesTable6[[#This Row],[Order_Date]],"mmmm")</f>
        <v>octobre</v>
      </c>
      <c r="AJ336" s="8" t="str">
        <f>IF(RawSalesTable6[[#This Row],[Month_Number]]&lt;=3,"Q1",IF(RawSalesTable6[[#This Row],[Month_Number]]&lt;=6,"Q2",IF(RawSalesTable6[[#This Row],[Month_Number]]&lt;=9,"Q3","Q4")))</f>
        <v>Q4</v>
      </c>
      <c r="AK336" s="8" t="str">
        <f>VLOOKUP(RawSalesTable6[[#This Row],[Customer_ID_Clean]],CustomersTable[],4,FALSE)</f>
        <v>Nova Scotia</v>
      </c>
      <c r="AL336" s="8">
        <f>IF(RawSalesTable6[[#This Row],[Return_Status]]="Yes",1,0)</f>
        <v>0</v>
      </c>
    </row>
    <row r="337" spans="1:38">
      <c r="A337" t="s">
        <v>749</v>
      </c>
      <c r="B337" s="3">
        <v>45950</v>
      </c>
      <c r="C337" t="s">
        <v>239</v>
      </c>
      <c r="D337" t="s">
        <v>255</v>
      </c>
      <c r="E337" t="s">
        <v>240</v>
      </c>
      <c r="F337" t="s">
        <v>145</v>
      </c>
      <c r="G337" t="s">
        <v>122</v>
      </c>
      <c r="H337" t="s">
        <v>89</v>
      </c>
      <c r="I337">
        <v>1</v>
      </c>
      <c r="J337" s="2">
        <v>249.26</v>
      </c>
      <c r="K337" s="4">
        <v>0.2</v>
      </c>
      <c r="L337" t="s">
        <v>106</v>
      </c>
      <c r="M337">
        <v>7</v>
      </c>
      <c r="N337" t="s">
        <v>91</v>
      </c>
      <c r="O337" t="str">
        <f>SUBSTITUTE(PROPER(TRIM(RawSalesTable6[[#This Row],[Channel_Raw]])),"Market Place","Marketplace")</f>
        <v>Online</v>
      </c>
      <c r="P337" t="str">
        <f>TRIM(RawSalesTable6[[#This Row],[Product_ID]])</f>
        <v>P1014</v>
      </c>
      <c r="Q337" t="str">
        <f>TRIM(RawSalesTable6[[#This Row],[Customer_ID]])</f>
        <v>C0089</v>
      </c>
      <c r="R337" s="8" t="str">
        <f>PROPER(TRIM(RawSalesTable6[[#This Row],[Store_Raw]]))</f>
        <v>Calgary North</v>
      </c>
      <c r="S337" s="8" t="str">
        <f>IF(TRIM(RawSalesTable6[[#This Row],[Payment_Method_Raw]])="","Non renseigné",SUBSTITUTE(PROPER(TRIM(RawSalesTable6[[#This Row],[Payment_Method_Raw]])),"Cc","Credit Card"))</f>
        <v>Credit Card</v>
      </c>
      <c r="T337" s="8">
        <f>COUNTIF(A:A,RawSalesTable6[[#This Row],[Order_ID]])</f>
        <v>1</v>
      </c>
      <c r="U337" s="8" t="str">
        <f>TRIM(LEFT(RawSalesTable6[[#This Row],[Customer_Info]],FIND(",",RawSalesTable6[[#This Row],[Customer_Info]])-1))</f>
        <v>Lucas Martin</v>
      </c>
      <c r="V337" s="8" t="str">
        <f>TRIM(MID(RawSalesTable6[[#This Row],[Customer_Info]],FIND(",",RawSalesTable6[[#This Row],[Customer_Info]])+1,FIND(",",RawSalesTable6[[#This Row],[Customer_Info]],FIND(",",RawSalesTable6[[#This Row],[Customer_Info]])+1)-FIND(",",RawSalesTable6[[#This Row],[Customer_Info]])-1))</f>
        <v>Vancouver</v>
      </c>
      <c r="W337" s="8" t="str">
        <f>TRIM(RIGHT(RawSalesTable6[[#This Row],[Customer_Info]],LEN(RawSalesTable6[[#This Row],[Customer_Info]])-FIND(",",RawSalesTable6[[#This Row],[Customer_Info]],FIND(",",RawSalesTable6[[#This Row],[Customer_Info]])+1)))</f>
        <v>Consumer</v>
      </c>
      <c r="X337" s="8" t="str">
        <f>VLOOKUP(RawSalesTable6[[#This Row],[Product_ID_Clean]],ProductsTable[],2,FALSE)</f>
        <v>Document Shredder</v>
      </c>
      <c r="Y337" s="8" t="str">
        <f>VLOOKUP(RawSalesTable6[[#This Row],[Product_ID_Clean]],ProductsTable[],3,FALSE)</f>
        <v>Office</v>
      </c>
      <c r="Z337" s="8">
        <f>VLOOKUP(RawSalesTable6[[#This Row],[Product_ID_Clean]],ProductsTable[],5,FALSE)</f>
        <v>117.65</v>
      </c>
      <c r="AA337" s="8">
        <f>RawSalesTable6[[#This Row],[Unit_Price]]*RawSalesTable6[[#This Row],[Quantity]]</f>
        <v>249.26</v>
      </c>
      <c r="AB337" s="8">
        <f>RawSalesTable6[[#This Row],[Gross_Sales]]*RawSalesTable6[[#This Row],[Discount_Pct]]</f>
        <v>49.852000000000004</v>
      </c>
      <c r="AC337" s="8">
        <f>RawSalesTable6[[#This Row],[Gross_Sales]]-RawSalesTable6[[#This Row],[Discount_Amount]]</f>
        <v>199.40799999999999</v>
      </c>
      <c r="AD337" s="8">
        <f>RawSalesTable6[[#This Row],[Unit_Cost]]*RawSalesTable6[[#This Row],[Quantity]]</f>
        <v>117.65</v>
      </c>
      <c r="AE337" s="8">
        <f>RawSalesTable6[[#This Row],[Net_Sales]]-RawSalesTable6[[#This Row],[Total_Cost]]</f>
        <v>81.757999999999981</v>
      </c>
      <c r="AF337" s="9">
        <f>RawSalesTable6[[#This Row],[Profit]]/RawSalesTable6[[#This Row],[Net_Sales]]</f>
        <v>0.41000361068763536</v>
      </c>
      <c r="AG337" s="8">
        <f>YEAR(RawSalesTable6[[#This Row],[Order_Date]])</f>
        <v>2025</v>
      </c>
      <c r="AH337" s="8">
        <f>MONTH(RawSalesTable6[[#This Row],[Order_Date]])</f>
        <v>10</v>
      </c>
      <c r="AI337" s="8" t="str">
        <f>TEXT(RawSalesTable6[[#This Row],[Order_Date]],"mmmm")</f>
        <v>octobre</v>
      </c>
      <c r="AJ337" s="8" t="str">
        <f>IF(RawSalesTable6[[#This Row],[Month_Number]]&lt;=3,"Q1",IF(RawSalesTable6[[#This Row],[Month_Number]]&lt;=6,"Q2",IF(RawSalesTable6[[#This Row],[Month_Number]]&lt;=9,"Q3","Q4")))</f>
        <v>Q4</v>
      </c>
      <c r="AK337" s="8" t="str">
        <f>VLOOKUP(RawSalesTable6[[#This Row],[Customer_ID_Clean]],CustomersTable[],4,FALSE)</f>
        <v>British Columbia</v>
      </c>
      <c r="AL337" s="8">
        <f>IF(RawSalesTable6[[#This Row],[Return_Status]]="Yes",1,0)</f>
        <v>0</v>
      </c>
    </row>
    <row r="338" spans="1:38">
      <c r="A338" t="s">
        <v>750</v>
      </c>
      <c r="B338" s="3">
        <v>45702</v>
      </c>
      <c r="C338" t="s">
        <v>220</v>
      </c>
      <c r="D338" t="s">
        <v>152</v>
      </c>
      <c r="E338" t="s">
        <v>222</v>
      </c>
      <c r="F338" t="s">
        <v>103</v>
      </c>
      <c r="G338" t="s">
        <v>130</v>
      </c>
      <c r="H338" t="s">
        <v>233</v>
      </c>
      <c r="I338">
        <v>1</v>
      </c>
      <c r="J338" s="2">
        <v>141.25</v>
      </c>
      <c r="K338" s="4">
        <v>0.15</v>
      </c>
      <c r="L338" t="s">
        <v>90</v>
      </c>
      <c r="M338">
        <v>4</v>
      </c>
      <c r="N338" t="s">
        <v>91</v>
      </c>
      <c r="O338" t="str">
        <f>SUBSTITUTE(PROPER(TRIM(RawSalesTable6[[#This Row],[Channel_Raw]])),"Market Place","Marketplace")</f>
        <v>Retail Store</v>
      </c>
      <c r="P338" t="str">
        <f>TRIM(RawSalesTable6[[#This Row],[Product_ID]])</f>
        <v>P1008</v>
      </c>
      <c r="Q338" t="str">
        <f>TRIM(RawSalesTable6[[#This Row],[Customer_ID]])</f>
        <v>C0067</v>
      </c>
      <c r="R338" s="8" t="str">
        <f>PROPER(TRIM(RawSalesTable6[[#This Row],[Store_Raw]]))</f>
        <v>Vancouver West</v>
      </c>
      <c r="S338" s="8" t="str">
        <f>IF(TRIM(RawSalesTable6[[#This Row],[Payment_Method_Raw]])="","Non renseigné",SUBSTITUTE(PROPER(TRIM(RawSalesTable6[[#This Row],[Payment_Method_Raw]])),"Cc","Credit Card"))</f>
        <v>Paypal</v>
      </c>
      <c r="T338" s="8">
        <f>COUNTIF(A:A,RawSalesTable6[[#This Row],[Order_ID]])</f>
        <v>1</v>
      </c>
      <c r="U338" s="8" t="str">
        <f>TRIM(LEFT(RawSalesTable6[[#This Row],[Customer_Info]],FIND(",",RawSalesTable6[[#This Row],[Customer_Info]])-1))</f>
        <v>Leo Bennett</v>
      </c>
      <c r="V338" s="8" t="str">
        <f>TRIM(MID(RawSalesTable6[[#This Row],[Customer_Info]],FIND(",",RawSalesTable6[[#This Row],[Customer_Info]])+1,FIND(",",RawSalesTable6[[#This Row],[Customer_Info]],FIND(",",RawSalesTable6[[#This Row],[Customer_Info]])+1)-FIND(",",RawSalesTable6[[#This Row],[Customer_Info]])-1))</f>
        <v>Mississauga</v>
      </c>
      <c r="W338" s="8" t="str">
        <f>TRIM(RIGHT(RawSalesTable6[[#This Row],[Customer_Info]],LEN(RawSalesTable6[[#This Row],[Customer_Info]])-FIND(",",RawSalesTable6[[#This Row],[Customer_Info]],FIND(",",RawSalesTable6[[#This Row],[Customer_Info]])+1)))</f>
        <v>Consumer</v>
      </c>
      <c r="X338" s="8" t="str">
        <f>VLOOKUP(RawSalesTable6[[#This Row],[Product_ID_Clean]],ProductsTable[],2,FALSE)</f>
        <v>Smart Speaker</v>
      </c>
      <c r="Y338" s="8" t="str">
        <f>VLOOKUP(RawSalesTable6[[#This Row],[Product_ID_Clean]],ProductsTable[],3,FALSE)</f>
        <v>Electronics</v>
      </c>
      <c r="Z338" s="8">
        <f>VLOOKUP(RawSalesTable6[[#This Row],[Product_ID_Clean]],ProductsTable[],5,FALSE)</f>
        <v>69</v>
      </c>
      <c r="AA338" s="8">
        <f>RawSalesTable6[[#This Row],[Unit_Price]]*RawSalesTable6[[#This Row],[Quantity]]</f>
        <v>141.25</v>
      </c>
      <c r="AB338" s="8">
        <f>RawSalesTable6[[#This Row],[Gross_Sales]]*RawSalesTable6[[#This Row],[Discount_Pct]]</f>
        <v>21.1875</v>
      </c>
      <c r="AC338" s="8">
        <f>RawSalesTable6[[#This Row],[Gross_Sales]]-RawSalesTable6[[#This Row],[Discount_Amount]]</f>
        <v>120.0625</v>
      </c>
      <c r="AD338" s="8">
        <f>RawSalesTable6[[#This Row],[Unit_Cost]]*RawSalesTable6[[#This Row],[Quantity]]</f>
        <v>69</v>
      </c>
      <c r="AE338" s="8">
        <f>RawSalesTable6[[#This Row],[Net_Sales]]-RawSalesTable6[[#This Row],[Total_Cost]]</f>
        <v>51.0625</v>
      </c>
      <c r="AF338" s="9">
        <f>RawSalesTable6[[#This Row],[Profit]]/RawSalesTable6[[#This Row],[Net_Sales]]</f>
        <v>0.42529932326913067</v>
      </c>
      <c r="AG338" s="8">
        <f>YEAR(RawSalesTable6[[#This Row],[Order_Date]])</f>
        <v>2025</v>
      </c>
      <c r="AH338" s="8">
        <f>MONTH(RawSalesTable6[[#This Row],[Order_Date]])</f>
        <v>2</v>
      </c>
      <c r="AI338" s="8" t="str">
        <f>TEXT(RawSalesTable6[[#This Row],[Order_Date]],"mmmm")</f>
        <v>février</v>
      </c>
      <c r="AJ338" s="8" t="str">
        <f>IF(RawSalesTable6[[#This Row],[Month_Number]]&lt;=3,"Q1",IF(RawSalesTable6[[#This Row],[Month_Number]]&lt;=6,"Q2",IF(RawSalesTable6[[#This Row],[Month_Number]]&lt;=9,"Q3","Q4")))</f>
        <v>Q1</v>
      </c>
      <c r="AK338" s="8" t="str">
        <f>VLOOKUP(RawSalesTable6[[#This Row],[Customer_ID_Clean]],CustomersTable[],4,FALSE)</f>
        <v>Ontario</v>
      </c>
      <c r="AL338" s="8">
        <f>IF(RawSalesTable6[[#This Row],[Return_Status]]="Yes",1,0)</f>
        <v>0</v>
      </c>
    </row>
    <row r="339" spans="1:38">
      <c r="A339" t="s">
        <v>751</v>
      </c>
      <c r="B339" s="3">
        <v>45918</v>
      </c>
      <c r="C339" t="s">
        <v>613</v>
      </c>
      <c r="D339" t="s">
        <v>157</v>
      </c>
      <c r="E339" t="s">
        <v>710</v>
      </c>
      <c r="F339" t="s">
        <v>103</v>
      </c>
      <c r="G339" t="s">
        <v>122</v>
      </c>
      <c r="H339" t="s">
        <v>97</v>
      </c>
      <c r="I339">
        <v>1</v>
      </c>
      <c r="J339" s="2">
        <v>280.99</v>
      </c>
      <c r="K339" s="4">
        <v>0</v>
      </c>
      <c r="L339" t="s">
        <v>98</v>
      </c>
      <c r="M339">
        <v>3</v>
      </c>
      <c r="N339" t="s">
        <v>91</v>
      </c>
      <c r="O339" t="str">
        <f>SUBSTITUTE(PROPER(TRIM(RawSalesTable6[[#This Row],[Channel_Raw]])),"Market Place","Marketplace")</f>
        <v>Retail Store</v>
      </c>
      <c r="P339" t="str">
        <f>TRIM(RawSalesTable6[[#This Row],[Product_ID]])</f>
        <v>P1009</v>
      </c>
      <c r="Q339" t="str">
        <f>TRIM(RawSalesTable6[[#This Row],[Customer_ID]])</f>
        <v>C0060</v>
      </c>
      <c r="R339" s="8" t="str">
        <f>PROPER(TRIM(RawSalesTable6[[#This Row],[Store_Raw]]))</f>
        <v>Vancouver West</v>
      </c>
      <c r="S339" s="8" t="str">
        <f>IF(TRIM(RawSalesTable6[[#This Row],[Payment_Method_Raw]])="","Non renseigné",SUBSTITUTE(PROPER(TRIM(RawSalesTable6[[#This Row],[Payment_Method_Raw]])),"Cc","Credit Card"))</f>
        <v>Debit Card</v>
      </c>
      <c r="T339" s="8">
        <f>COUNTIF(A:A,RawSalesTable6[[#This Row],[Order_ID]])</f>
        <v>1</v>
      </c>
      <c r="U339" s="8" t="str">
        <f>TRIM(LEFT(RawSalesTable6[[#This Row],[Customer_Info]],FIND(",",RawSalesTable6[[#This Row],[Customer_Info]])-1))</f>
        <v>Sarah Wilson</v>
      </c>
      <c r="V339" s="8" t="str">
        <f>TRIM(MID(RawSalesTable6[[#This Row],[Customer_Info]],FIND(",",RawSalesTable6[[#This Row],[Customer_Info]])+1,FIND(",",RawSalesTable6[[#This Row],[Customer_Info]],FIND(",",RawSalesTable6[[#This Row],[Customer_Info]])+1)-FIND(",",RawSalesTable6[[#This Row],[Customer_Info]])-1))</f>
        <v>Quebec City</v>
      </c>
      <c r="W339" s="8" t="str">
        <f>TRIM(RIGHT(RawSalesTable6[[#This Row],[Customer_Info]],LEN(RawSalesTable6[[#This Row],[Customer_Info]])-FIND(",",RawSalesTable6[[#This Row],[Customer_Info]],FIND(",",RawSalesTable6[[#This Row],[Customer_Info]])+1)))</f>
        <v>Corporate</v>
      </c>
      <c r="X339" s="8" t="str">
        <f>VLOOKUP(RawSalesTable6[[#This Row],[Product_ID_Clean]],ProductsTable[],2,FALSE)</f>
        <v>Notebook</v>
      </c>
      <c r="Y339" s="8" t="str">
        <f>VLOOKUP(RawSalesTable6[[#This Row],[Product_ID_Clean]],ProductsTable[],3,FALSE)</f>
        <v>Office</v>
      </c>
      <c r="Z339" s="8">
        <f>VLOOKUP(RawSalesTable6[[#This Row],[Product_ID_Clean]],ProductsTable[],5,FALSE)</f>
        <v>176.13</v>
      </c>
      <c r="AA339" s="8">
        <f>RawSalesTable6[[#This Row],[Unit_Price]]*RawSalesTable6[[#This Row],[Quantity]]</f>
        <v>280.99</v>
      </c>
      <c r="AB339" s="8">
        <f>RawSalesTable6[[#This Row],[Gross_Sales]]*RawSalesTable6[[#This Row],[Discount_Pct]]</f>
        <v>0</v>
      </c>
      <c r="AC339" s="8">
        <f>RawSalesTable6[[#This Row],[Gross_Sales]]-RawSalesTable6[[#This Row],[Discount_Amount]]</f>
        <v>280.99</v>
      </c>
      <c r="AD339" s="8">
        <f>RawSalesTable6[[#This Row],[Unit_Cost]]*RawSalesTable6[[#This Row],[Quantity]]</f>
        <v>176.13</v>
      </c>
      <c r="AE339" s="8">
        <f>RawSalesTable6[[#This Row],[Net_Sales]]-RawSalesTable6[[#This Row],[Total_Cost]]</f>
        <v>104.86000000000001</v>
      </c>
      <c r="AF339" s="9">
        <f>RawSalesTable6[[#This Row],[Profit]]/RawSalesTable6[[#This Row],[Net_Sales]]</f>
        <v>0.37318054023274855</v>
      </c>
      <c r="AG339" s="8">
        <f>YEAR(RawSalesTable6[[#This Row],[Order_Date]])</f>
        <v>2025</v>
      </c>
      <c r="AH339" s="8">
        <f>MONTH(RawSalesTable6[[#This Row],[Order_Date]])</f>
        <v>9</v>
      </c>
      <c r="AI339" s="8" t="str">
        <f>TEXT(RawSalesTable6[[#This Row],[Order_Date]],"mmmm")</f>
        <v>septembre</v>
      </c>
      <c r="AJ339" s="8" t="str">
        <f>IF(RawSalesTable6[[#This Row],[Month_Number]]&lt;=3,"Q1",IF(RawSalesTable6[[#This Row],[Month_Number]]&lt;=6,"Q2",IF(RawSalesTable6[[#This Row],[Month_Number]]&lt;=9,"Q3","Q4")))</f>
        <v>Q3</v>
      </c>
      <c r="AK339" s="8" t="str">
        <f>VLOOKUP(RawSalesTable6[[#This Row],[Customer_ID_Clean]],CustomersTable[],4,FALSE)</f>
        <v>Quebec</v>
      </c>
      <c r="AL339" s="8">
        <f>IF(RawSalesTable6[[#This Row],[Return_Status]]="Yes",1,0)</f>
        <v>0</v>
      </c>
    </row>
    <row r="340" spans="1:38">
      <c r="A340" t="s">
        <v>752</v>
      </c>
      <c r="B340" s="3">
        <v>45826</v>
      </c>
      <c r="C340" t="s">
        <v>343</v>
      </c>
      <c r="D340" t="s">
        <v>114</v>
      </c>
      <c r="E340" t="s">
        <v>344</v>
      </c>
      <c r="F340" t="s">
        <v>87</v>
      </c>
      <c r="G340" t="s">
        <v>183</v>
      </c>
      <c r="H340" t="s">
        <v>97</v>
      </c>
      <c r="I340">
        <v>1</v>
      </c>
      <c r="J340" s="2">
        <v>136.97999999999999</v>
      </c>
      <c r="K340" s="4">
        <v>0.2</v>
      </c>
      <c r="L340" t="s">
        <v>106</v>
      </c>
      <c r="M340">
        <v>4</v>
      </c>
      <c r="N340" t="s">
        <v>91</v>
      </c>
      <c r="O340" t="str">
        <f>SUBSTITUTE(PROPER(TRIM(RawSalesTable6[[#This Row],[Channel_Raw]])),"Market Place","Marketplace")</f>
        <v>Retail Store</v>
      </c>
      <c r="P340" t="str">
        <f>TRIM(RawSalesTable6[[#This Row],[Product_ID]])</f>
        <v>P1034</v>
      </c>
      <c r="Q340" t="str">
        <f>TRIM(RawSalesTable6[[#This Row],[Customer_ID]])</f>
        <v>C0114</v>
      </c>
      <c r="R340" s="8" t="str">
        <f>PROPER(TRIM(RawSalesTable6[[#This Row],[Store_Raw]]))</f>
        <v>Online Fulfillment</v>
      </c>
      <c r="S340" s="8" t="str">
        <f>IF(TRIM(RawSalesTable6[[#This Row],[Payment_Method_Raw]])="","Non renseigné",SUBSTITUTE(PROPER(TRIM(RawSalesTable6[[#This Row],[Payment_Method_Raw]])),"Cc","Credit Card"))</f>
        <v>Credit Card</v>
      </c>
      <c r="T340" s="8">
        <f>COUNTIF(A:A,RawSalesTable6[[#This Row],[Order_ID]])</f>
        <v>1</v>
      </c>
      <c r="U340" s="8" t="str">
        <f>TRIM(LEFT(RawSalesTable6[[#This Row],[Customer_Info]],FIND(",",RawSalesTable6[[#This Row],[Customer_Info]])-1))</f>
        <v>Olivia Johnson</v>
      </c>
      <c r="V340" s="8" t="str">
        <f>TRIM(MID(RawSalesTable6[[#This Row],[Customer_Info]],FIND(",",RawSalesTable6[[#This Row],[Customer_Info]])+1,FIND(",",RawSalesTable6[[#This Row],[Customer_Info]],FIND(",",RawSalesTable6[[#This Row],[Customer_Info]])+1)-FIND(",",RawSalesTable6[[#This Row],[Customer_Info]])-1))</f>
        <v>Ottawa</v>
      </c>
      <c r="W340" s="8" t="str">
        <f>TRIM(RIGHT(RawSalesTable6[[#This Row],[Customer_Info]],LEN(RawSalesTable6[[#This Row],[Customer_Info]])-FIND(",",RawSalesTable6[[#This Row],[Customer_Info]],FIND(",",RawSalesTable6[[#This Row],[Customer_Info]])+1)))</f>
        <v>Consumer</v>
      </c>
      <c r="X340" s="8" t="str">
        <f>VLOOKUP(RawSalesTable6[[#This Row],[Product_ID_Clean]],ProductsTable[],2,FALSE)</f>
        <v>Laptop Sleeve</v>
      </c>
      <c r="Y340" s="8" t="str">
        <f>VLOOKUP(RawSalesTable6[[#This Row],[Product_ID_Clean]],ProductsTable[],3,FALSE)</f>
        <v>Accessories</v>
      </c>
      <c r="Z340" s="8">
        <f>VLOOKUP(RawSalesTable6[[#This Row],[Product_ID_Clean]],ProductsTable[],5,FALSE)</f>
        <v>78.95</v>
      </c>
      <c r="AA340" s="8">
        <f>RawSalesTable6[[#This Row],[Unit_Price]]*RawSalesTable6[[#This Row],[Quantity]]</f>
        <v>136.97999999999999</v>
      </c>
      <c r="AB340" s="8">
        <f>RawSalesTable6[[#This Row],[Gross_Sales]]*RawSalesTable6[[#This Row],[Discount_Pct]]</f>
        <v>27.396000000000001</v>
      </c>
      <c r="AC340" s="8">
        <f>RawSalesTable6[[#This Row],[Gross_Sales]]-RawSalesTable6[[#This Row],[Discount_Amount]]</f>
        <v>109.58399999999999</v>
      </c>
      <c r="AD340" s="8">
        <f>RawSalesTable6[[#This Row],[Unit_Cost]]*RawSalesTable6[[#This Row],[Quantity]]</f>
        <v>78.95</v>
      </c>
      <c r="AE340" s="8">
        <f>RawSalesTable6[[#This Row],[Net_Sales]]-RawSalesTable6[[#This Row],[Total_Cost]]</f>
        <v>30.633999999999986</v>
      </c>
      <c r="AF340" s="9">
        <f>RawSalesTable6[[#This Row],[Profit]]/RawSalesTable6[[#This Row],[Net_Sales]]</f>
        <v>0.2795481092130237</v>
      </c>
      <c r="AG340" s="8">
        <f>YEAR(RawSalesTable6[[#This Row],[Order_Date]])</f>
        <v>2025</v>
      </c>
      <c r="AH340" s="8">
        <f>MONTH(RawSalesTable6[[#This Row],[Order_Date]])</f>
        <v>6</v>
      </c>
      <c r="AI340" s="8" t="str">
        <f>TEXT(RawSalesTable6[[#This Row],[Order_Date]],"mmmm")</f>
        <v>juin</v>
      </c>
      <c r="AJ340" s="8" t="str">
        <f>IF(RawSalesTable6[[#This Row],[Month_Number]]&lt;=3,"Q1",IF(RawSalesTable6[[#This Row],[Month_Number]]&lt;=6,"Q2",IF(RawSalesTable6[[#This Row],[Month_Number]]&lt;=9,"Q3","Q4")))</f>
        <v>Q2</v>
      </c>
      <c r="AK340" s="8" t="str">
        <f>VLOOKUP(RawSalesTable6[[#This Row],[Customer_ID_Clean]],CustomersTable[],4,FALSE)</f>
        <v>Ontario</v>
      </c>
      <c r="AL340" s="8">
        <f>IF(RawSalesTable6[[#This Row],[Return_Status]]="Yes",1,0)</f>
        <v>0</v>
      </c>
    </row>
    <row r="341" spans="1:38">
      <c r="A341" t="s">
        <v>753</v>
      </c>
      <c r="B341" s="3">
        <v>45808</v>
      </c>
      <c r="C341" t="s">
        <v>538</v>
      </c>
      <c r="D341" t="s">
        <v>190</v>
      </c>
      <c r="E341" t="s">
        <v>539</v>
      </c>
      <c r="F341" t="s">
        <v>145</v>
      </c>
      <c r="G341" t="s">
        <v>171</v>
      </c>
      <c r="H341" t="s">
        <v>97</v>
      </c>
      <c r="I341">
        <v>3</v>
      </c>
      <c r="J341" s="2">
        <v>297.43</v>
      </c>
      <c r="K341" s="4">
        <v>0.15</v>
      </c>
      <c r="L341" t="s">
        <v>98</v>
      </c>
      <c r="M341">
        <v>0</v>
      </c>
      <c r="N341" t="s">
        <v>91</v>
      </c>
      <c r="O341" t="str">
        <f>SUBSTITUTE(PROPER(TRIM(RawSalesTable6[[#This Row],[Channel_Raw]])),"Market Place","Marketplace")</f>
        <v>Retail Store</v>
      </c>
      <c r="P341" t="str">
        <f>TRIM(RawSalesTable6[[#This Row],[Product_ID]])</f>
        <v>P1004</v>
      </c>
      <c r="Q341" t="str">
        <f>TRIM(RawSalesTable6[[#This Row],[Customer_ID]])</f>
        <v>C0086</v>
      </c>
      <c r="R341" s="8" t="str">
        <f>PROPER(TRIM(RawSalesTable6[[#This Row],[Store_Raw]]))</f>
        <v>Calgary North</v>
      </c>
      <c r="S341" s="8" t="str">
        <f>IF(TRIM(RawSalesTable6[[#This Row],[Payment_Method_Raw]])="","Non renseigné",SUBSTITUTE(PROPER(TRIM(RawSalesTable6[[#This Row],[Payment_Method_Raw]])),"Cc","Credit Card"))</f>
        <v>Debit Card</v>
      </c>
      <c r="T341" s="8">
        <f>COUNTIF(A:A,RawSalesTable6[[#This Row],[Order_ID]])</f>
        <v>1</v>
      </c>
      <c r="U341" s="8" t="str">
        <f>TRIM(LEFT(RawSalesTable6[[#This Row],[Customer_Info]],FIND(",",RawSalesTable6[[#This Row],[Customer_Info]])-1))</f>
        <v>Adam Gagnon</v>
      </c>
      <c r="V341" s="8" t="str">
        <f>TRIM(MID(RawSalesTable6[[#This Row],[Customer_Info]],FIND(",",RawSalesTable6[[#This Row],[Customer_Info]])+1,FIND(",",RawSalesTable6[[#This Row],[Customer_Info]],FIND(",",RawSalesTable6[[#This Row],[Customer_Info]])+1)-FIND(",",RawSalesTable6[[#This Row],[Customer_Info]])-1))</f>
        <v>Winnipeg</v>
      </c>
      <c r="W341" s="8" t="str">
        <f>TRIM(RIGHT(RawSalesTable6[[#This Row],[Customer_Info]],LEN(RawSalesTable6[[#This Row],[Customer_Info]])-FIND(",",RawSalesTable6[[#This Row],[Customer_Info]],FIND(",",RawSalesTable6[[#This Row],[Customer_Info]])+1)))</f>
        <v>Consumer</v>
      </c>
      <c r="X341" s="8" t="str">
        <f>VLOOKUP(RawSalesTable6[[#This Row],[Product_ID_Clean]],ProductsTable[],2,FALSE)</f>
        <v>Webcam</v>
      </c>
      <c r="Y341" s="8" t="str">
        <f>VLOOKUP(RawSalesTable6[[#This Row],[Product_ID_Clean]],ProductsTable[],3,FALSE)</f>
        <v>Electronics</v>
      </c>
      <c r="Z341" s="8">
        <f>VLOOKUP(RawSalesTable6[[#This Row],[Product_ID_Clean]],ProductsTable[],5,FALSE)</f>
        <v>154.72999999999999</v>
      </c>
      <c r="AA341" s="8">
        <f>RawSalesTable6[[#This Row],[Unit_Price]]*RawSalesTable6[[#This Row],[Quantity]]</f>
        <v>892.29</v>
      </c>
      <c r="AB341" s="8">
        <f>RawSalesTable6[[#This Row],[Gross_Sales]]*RawSalesTable6[[#This Row],[Discount_Pct]]</f>
        <v>133.84349999999998</v>
      </c>
      <c r="AC341" s="8">
        <f>RawSalesTable6[[#This Row],[Gross_Sales]]-RawSalesTable6[[#This Row],[Discount_Amount]]</f>
        <v>758.44650000000001</v>
      </c>
      <c r="AD341" s="8">
        <f>RawSalesTable6[[#This Row],[Unit_Cost]]*RawSalesTable6[[#This Row],[Quantity]]</f>
        <v>464.18999999999994</v>
      </c>
      <c r="AE341" s="8">
        <f>RawSalesTable6[[#This Row],[Net_Sales]]-RawSalesTable6[[#This Row],[Total_Cost]]</f>
        <v>294.25650000000007</v>
      </c>
      <c r="AF341" s="9">
        <f>RawSalesTable6[[#This Row],[Profit]]/RawSalesTable6[[#This Row],[Net_Sales]]</f>
        <v>0.38797265199325209</v>
      </c>
      <c r="AG341" s="8">
        <f>YEAR(RawSalesTable6[[#This Row],[Order_Date]])</f>
        <v>2025</v>
      </c>
      <c r="AH341" s="8">
        <f>MONTH(RawSalesTable6[[#This Row],[Order_Date]])</f>
        <v>5</v>
      </c>
      <c r="AI341" s="8" t="str">
        <f>TEXT(RawSalesTable6[[#This Row],[Order_Date]],"mmmm")</f>
        <v>mai</v>
      </c>
      <c r="AJ341" s="8" t="str">
        <f>IF(RawSalesTable6[[#This Row],[Month_Number]]&lt;=3,"Q1",IF(RawSalesTable6[[#This Row],[Month_Number]]&lt;=6,"Q2",IF(RawSalesTable6[[#This Row],[Month_Number]]&lt;=9,"Q3","Q4")))</f>
        <v>Q2</v>
      </c>
      <c r="AK341" s="8" t="str">
        <f>VLOOKUP(RawSalesTable6[[#This Row],[Customer_ID_Clean]],CustomersTable[],4,FALSE)</f>
        <v>Manitoba</v>
      </c>
      <c r="AL341" s="8">
        <f>IF(RawSalesTable6[[#This Row],[Return_Status]]="Yes",1,0)</f>
        <v>0</v>
      </c>
    </row>
    <row r="342" spans="1:38">
      <c r="A342" t="s">
        <v>754</v>
      </c>
      <c r="B342" s="3">
        <v>45817</v>
      </c>
      <c r="C342" t="s">
        <v>173</v>
      </c>
      <c r="D342" t="s">
        <v>165</v>
      </c>
      <c r="E342" t="s">
        <v>175</v>
      </c>
      <c r="F342" t="s">
        <v>111</v>
      </c>
      <c r="G342" t="s">
        <v>183</v>
      </c>
      <c r="H342" t="s">
        <v>89</v>
      </c>
      <c r="I342">
        <v>2</v>
      </c>
      <c r="J342" s="2">
        <v>106.69</v>
      </c>
      <c r="K342" s="4">
        <v>0.1</v>
      </c>
      <c r="L342" t="s">
        <v>106</v>
      </c>
      <c r="M342">
        <v>1</v>
      </c>
      <c r="N342" t="s">
        <v>91</v>
      </c>
      <c r="O342" t="str">
        <f>SUBSTITUTE(PROPER(TRIM(RawSalesTable6[[#This Row],[Channel_Raw]])),"Market Place","Marketplace")</f>
        <v>Online</v>
      </c>
      <c r="P342" t="str">
        <f>TRIM(RawSalesTable6[[#This Row],[Product_ID]])</f>
        <v>P1024</v>
      </c>
      <c r="Q342" t="str">
        <f>TRIM(RawSalesTable6[[#This Row],[Customer_ID]])</f>
        <v>C0077</v>
      </c>
      <c r="R342" s="8" t="str">
        <f>PROPER(TRIM(RawSalesTable6[[#This Row],[Store_Raw]]))</f>
        <v>Montreal Central</v>
      </c>
      <c r="S342" s="8" t="str">
        <f>IF(TRIM(RawSalesTable6[[#This Row],[Payment_Method_Raw]])="","Non renseigné",SUBSTITUTE(PROPER(TRIM(RawSalesTable6[[#This Row],[Payment_Method_Raw]])),"Cc","Credit Card"))</f>
        <v>Credit Card</v>
      </c>
      <c r="T342" s="8">
        <f>COUNTIF(A:A,RawSalesTable6[[#This Row],[Order_ID]])</f>
        <v>1</v>
      </c>
      <c r="U342" s="8" t="str">
        <f>TRIM(LEFT(RawSalesTable6[[#This Row],[Customer_Info]],FIND(",",RawSalesTable6[[#This Row],[Customer_Info]])-1))</f>
        <v>Amine Taylor</v>
      </c>
      <c r="V342" s="8" t="str">
        <f>TRIM(MID(RawSalesTable6[[#This Row],[Customer_Info]],FIND(",",RawSalesTable6[[#This Row],[Customer_Info]])+1,FIND(",",RawSalesTable6[[#This Row],[Customer_Info]],FIND(",",RawSalesTable6[[#This Row],[Customer_Info]])+1)-FIND(",",RawSalesTable6[[#This Row],[Customer_Info]])-1))</f>
        <v>Surrey</v>
      </c>
      <c r="W342" s="8" t="str">
        <f>TRIM(RIGHT(RawSalesTable6[[#This Row],[Customer_Info]],LEN(RawSalesTable6[[#This Row],[Customer_Info]])-FIND(",",RawSalesTable6[[#This Row],[Customer_Info]],FIND(",",RawSalesTable6[[#This Row],[Customer_Info]])+1)))</f>
        <v>Small Business</v>
      </c>
      <c r="X342" s="8" t="str">
        <f>VLOOKUP(RawSalesTable6[[#This Row],[Product_ID_Clean]],ProductsTable[],2,FALSE)</f>
        <v>Food Scale</v>
      </c>
      <c r="Y342" s="8" t="str">
        <f>VLOOKUP(RawSalesTable6[[#This Row],[Product_ID_Clean]],ProductsTable[],3,FALSE)</f>
        <v>Home</v>
      </c>
      <c r="Z342" s="8">
        <f>VLOOKUP(RawSalesTable6[[#This Row],[Product_ID_Clean]],ProductsTable[],5,FALSE)</f>
        <v>46.07</v>
      </c>
      <c r="AA342" s="8">
        <f>RawSalesTable6[[#This Row],[Unit_Price]]*RawSalesTable6[[#This Row],[Quantity]]</f>
        <v>213.38</v>
      </c>
      <c r="AB342" s="8">
        <f>RawSalesTable6[[#This Row],[Gross_Sales]]*RawSalesTable6[[#This Row],[Discount_Pct]]</f>
        <v>21.338000000000001</v>
      </c>
      <c r="AC342" s="8">
        <f>RawSalesTable6[[#This Row],[Gross_Sales]]-RawSalesTable6[[#This Row],[Discount_Amount]]</f>
        <v>192.042</v>
      </c>
      <c r="AD342" s="8">
        <f>RawSalesTable6[[#This Row],[Unit_Cost]]*RawSalesTable6[[#This Row],[Quantity]]</f>
        <v>92.14</v>
      </c>
      <c r="AE342" s="8">
        <f>RawSalesTable6[[#This Row],[Net_Sales]]-RawSalesTable6[[#This Row],[Total_Cost]]</f>
        <v>99.902000000000001</v>
      </c>
      <c r="AF342" s="9">
        <f>RawSalesTable6[[#This Row],[Profit]]/RawSalesTable6[[#This Row],[Net_Sales]]</f>
        <v>0.5202091209214651</v>
      </c>
      <c r="AG342" s="8">
        <f>YEAR(RawSalesTable6[[#This Row],[Order_Date]])</f>
        <v>2025</v>
      </c>
      <c r="AH342" s="8">
        <f>MONTH(RawSalesTable6[[#This Row],[Order_Date]])</f>
        <v>6</v>
      </c>
      <c r="AI342" s="8" t="str">
        <f>TEXT(RawSalesTable6[[#This Row],[Order_Date]],"mmmm")</f>
        <v>juin</v>
      </c>
      <c r="AJ342" s="8" t="str">
        <f>IF(RawSalesTable6[[#This Row],[Month_Number]]&lt;=3,"Q1",IF(RawSalesTable6[[#This Row],[Month_Number]]&lt;=6,"Q2",IF(RawSalesTable6[[#This Row],[Month_Number]]&lt;=9,"Q3","Q4")))</f>
        <v>Q2</v>
      </c>
      <c r="AK342" s="8" t="str">
        <f>VLOOKUP(RawSalesTable6[[#This Row],[Customer_ID_Clean]],CustomersTable[],4,FALSE)</f>
        <v>British Columbia</v>
      </c>
      <c r="AL342" s="8">
        <f>IF(RawSalesTable6[[#This Row],[Return_Status]]="Yes",1,0)</f>
        <v>0</v>
      </c>
    </row>
    <row r="343" spans="1:38">
      <c r="A343" t="s">
        <v>755</v>
      </c>
      <c r="B343" s="3">
        <v>45676</v>
      </c>
      <c r="C343" t="s">
        <v>132</v>
      </c>
      <c r="D343" t="s">
        <v>133</v>
      </c>
      <c r="E343" t="s">
        <v>134</v>
      </c>
      <c r="F343" t="s">
        <v>145</v>
      </c>
      <c r="G343" t="s">
        <v>171</v>
      </c>
      <c r="H343" t="s">
        <v>105</v>
      </c>
      <c r="I343">
        <v>4</v>
      </c>
      <c r="J343" s="2">
        <v>344.84</v>
      </c>
      <c r="K343" s="4">
        <v>0</v>
      </c>
      <c r="L343" t="s">
        <v>90</v>
      </c>
      <c r="M343">
        <v>7</v>
      </c>
      <c r="N343" t="s">
        <v>91</v>
      </c>
      <c r="O343" t="str">
        <f>SUBSTITUTE(PROPER(TRIM(RawSalesTable6[[#This Row],[Channel_Raw]])),"Market Place","Marketplace")</f>
        <v>Marketplace</v>
      </c>
      <c r="P343" t="str">
        <f>TRIM(RawSalesTable6[[#This Row],[Product_ID]])</f>
        <v>P1039</v>
      </c>
      <c r="Q343" t="str">
        <f>TRIM(RawSalesTable6[[#This Row],[Customer_ID]])</f>
        <v>C0104</v>
      </c>
      <c r="R343" s="8" t="str">
        <f>PROPER(TRIM(RawSalesTable6[[#This Row],[Store_Raw]]))</f>
        <v>Calgary North</v>
      </c>
      <c r="S343" s="8" t="str">
        <f>IF(TRIM(RawSalesTable6[[#This Row],[Payment_Method_Raw]])="","Non renseigné",SUBSTITUTE(PROPER(TRIM(RawSalesTable6[[#This Row],[Payment_Method_Raw]])),"Cc","Credit Card"))</f>
        <v>Paypal</v>
      </c>
      <c r="T343" s="8">
        <f>COUNTIF(A:A,RawSalesTable6[[#This Row],[Order_ID]])</f>
        <v>1</v>
      </c>
      <c r="U343" s="8" t="str">
        <f>TRIM(LEFT(RawSalesTable6[[#This Row],[Customer_Info]],FIND(",",RawSalesTable6[[#This Row],[Customer_Info]])-1))</f>
        <v>Ava Scott</v>
      </c>
      <c r="V343" s="8" t="str">
        <f>TRIM(MID(RawSalesTable6[[#This Row],[Customer_Info]],FIND(",",RawSalesTable6[[#This Row],[Customer_Info]])+1,FIND(",",RawSalesTable6[[#This Row],[Customer_Info]],FIND(",",RawSalesTable6[[#This Row],[Customer_Info]])+1)-FIND(",",RawSalesTable6[[#This Row],[Customer_Info]])-1))</f>
        <v>Edmonton</v>
      </c>
      <c r="W343" s="8" t="str">
        <f>TRIM(RIGHT(RawSalesTable6[[#This Row],[Customer_Info]],LEN(RawSalesTable6[[#This Row],[Customer_Info]])-FIND(",",RawSalesTable6[[#This Row],[Customer_Info]],FIND(",",RawSalesTable6[[#This Row],[Customer_Info]])+1)))</f>
        <v>Corporate</v>
      </c>
      <c r="X343" s="8" t="str">
        <f>VLOOKUP(RawSalesTable6[[#This Row],[Product_ID_Clean]],ProductsTable[],2,FALSE)</f>
        <v>Travel Adapter</v>
      </c>
      <c r="Y343" s="8" t="str">
        <f>VLOOKUP(RawSalesTable6[[#This Row],[Product_ID_Clean]],ProductsTable[],3,FALSE)</f>
        <v>Accessories</v>
      </c>
      <c r="Z343" s="8">
        <f>VLOOKUP(RawSalesTable6[[#This Row],[Product_ID_Clean]],ProductsTable[],5,FALSE)</f>
        <v>229.86</v>
      </c>
      <c r="AA343" s="8">
        <f>RawSalesTable6[[#This Row],[Unit_Price]]*RawSalesTable6[[#This Row],[Quantity]]</f>
        <v>1379.36</v>
      </c>
      <c r="AB343" s="8">
        <f>RawSalesTable6[[#This Row],[Gross_Sales]]*RawSalesTable6[[#This Row],[Discount_Pct]]</f>
        <v>0</v>
      </c>
      <c r="AC343" s="8">
        <f>RawSalesTable6[[#This Row],[Gross_Sales]]-RawSalesTable6[[#This Row],[Discount_Amount]]</f>
        <v>1379.36</v>
      </c>
      <c r="AD343" s="8">
        <f>RawSalesTable6[[#This Row],[Unit_Cost]]*RawSalesTable6[[#This Row],[Quantity]]</f>
        <v>919.44</v>
      </c>
      <c r="AE343" s="8">
        <f>RawSalesTable6[[#This Row],[Net_Sales]]-RawSalesTable6[[#This Row],[Total_Cost]]</f>
        <v>459.91999999999985</v>
      </c>
      <c r="AF343" s="9">
        <f>RawSalesTable6[[#This Row],[Profit]]/RawSalesTable6[[#This Row],[Net_Sales]]</f>
        <v>0.33342999652012517</v>
      </c>
      <c r="AG343" s="8">
        <f>YEAR(RawSalesTable6[[#This Row],[Order_Date]])</f>
        <v>2025</v>
      </c>
      <c r="AH343" s="8">
        <f>MONTH(RawSalesTable6[[#This Row],[Order_Date]])</f>
        <v>1</v>
      </c>
      <c r="AI343" s="8" t="str">
        <f>TEXT(RawSalesTable6[[#This Row],[Order_Date]],"mmmm")</f>
        <v>janvier</v>
      </c>
      <c r="AJ343" s="8" t="str">
        <f>IF(RawSalesTable6[[#This Row],[Month_Number]]&lt;=3,"Q1",IF(RawSalesTable6[[#This Row],[Month_Number]]&lt;=6,"Q2",IF(RawSalesTable6[[#This Row],[Month_Number]]&lt;=9,"Q3","Q4")))</f>
        <v>Q1</v>
      </c>
      <c r="AK343" s="8" t="str">
        <f>VLOOKUP(RawSalesTable6[[#This Row],[Customer_ID_Clean]],CustomersTable[],4,FALSE)</f>
        <v>Alberta</v>
      </c>
      <c r="AL343" s="8">
        <f>IF(RawSalesTable6[[#This Row],[Return_Status]]="Yes",1,0)</f>
        <v>0</v>
      </c>
    </row>
    <row r="344" spans="1:38">
      <c r="A344" t="s">
        <v>756</v>
      </c>
      <c r="B344" s="3">
        <v>45786</v>
      </c>
      <c r="C344" t="s">
        <v>564</v>
      </c>
      <c r="D344" t="s">
        <v>157</v>
      </c>
      <c r="E344" t="s">
        <v>565</v>
      </c>
      <c r="F344" t="s">
        <v>111</v>
      </c>
      <c r="G344" t="s">
        <v>130</v>
      </c>
      <c r="H344" t="s">
        <v>89</v>
      </c>
      <c r="I344">
        <v>2</v>
      </c>
      <c r="J344" s="2">
        <v>309.99</v>
      </c>
      <c r="K344" s="4">
        <v>0.05</v>
      </c>
      <c r="M344">
        <v>2</v>
      </c>
      <c r="N344" t="s">
        <v>91</v>
      </c>
      <c r="O344" t="str">
        <f>SUBSTITUTE(PROPER(TRIM(RawSalesTable6[[#This Row],[Channel_Raw]])),"Market Place","Marketplace")</f>
        <v>Online</v>
      </c>
      <c r="P344" t="str">
        <f>TRIM(RawSalesTable6[[#This Row],[Product_ID]])</f>
        <v>P1009</v>
      </c>
      <c r="Q344" t="str">
        <f>TRIM(RawSalesTable6[[#This Row],[Customer_ID]])</f>
        <v>C0095</v>
      </c>
      <c r="R344" s="8" t="str">
        <f>PROPER(TRIM(RawSalesTable6[[#This Row],[Store_Raw]]))</f>
        <v>Montreal Central</v>
      </c>
      <c r="S344" s="8" t="str">
        <f>IF(TRIM(RawSalesTable6[[#This Row],[Payment_Method_Raw]])="","Non renseigné",SUBSTITUTE(PROPER(TRIM(RawSalesTable6[[#This Row],[Payment_Method_Raw]])),"Cc","Credit Card"))</f>
        <v>Non renseigné</v>
      </c>
      <c r="T344" s="8">
        <f>COUNTIF(A:A,RawSalesTable6[[#This Row],[Order_ID]])</f>
        <v>1</v>
      </c>
      <c r="U344" s="8" t="str">
        <f>TRIM(LEFT(RawSalesTable6[[#This Row],[Customer_Info]],FIND(",",RawSalesTable6[[#This Row],[Customer_Info]])-1))</f>
        <v>Maya White</v>
      </c>
      <c r="V344" s="8" t="str">
        <f>TRIM(MID(RawSalesTable6[[#This Row],[Customer_Info]],FIND(",",RawSalesTable6[[#This Row],[Customer_Info]])+1,FIND(",",RawSalesTable6[[#This Row],[Customer_Info]],FIND(",",RawSalesTable6[[#This Row],[Customer_Info]])+1)-FIND(",",RawSalesTable6[[#This Row],[Customer_Info]])-1))</f>
        <v>Quebec City</v>
      </c>
      <c r="W344" s="8" t="str">
        <f>TRIM(RIGHT(RawSalesTable6[[#This Row],[Customer_Info]],LEN(RawSalesTable6[[#This Row],[Customer_Info]])-FIND(",",RawSalesTable6[[#This Row],[Customer_Info]],FIND(",",RawSalesTable6[[#This Row],[Customer_Info]])+1)))</f>
        <v>Corporate</v>
      </c>
      <c r="X344" s="8" t="str">
        <f>VLOOKUP(RawSalesTable6[[#This Row],[Product_ID_Clean]],ProductsTable[],2,FALSE)</f>
        <v>Notebook</v>
      </c>
      <c r="Y344" s="8" t="str">
        <f>VLOOKUP(RawSalesTable6[[#This Row],[Product_ID_Clean]],ProductsTable[],3,FALSE)</f>
        <v>Office</v>
      </c>
      <c r="Z344" s="8">
        <f>VLOOKUP(RawSalesTable6[[#This Row],[Product_ID_Clean]],ProductsTable[],5,FALSE)</f>
        <v>176.13</v>
      </c>
      <c r="AA344" s="8">
        <f>RawSalesTable6[[#This Row],[Unit_Price]]*RawSalesTable6[[#This Row],[Quantity]]</f>
        <v>619.98</v>
      </c>
      <c r="AB344" s="8">
        <f>RawSalesTable6[[#This Row],[Gross_Sales]]*RawSalesTable6[[#This Row],[Discount_Pct]]</f>
        <v>30.999000000000002</v>
      </c>
      <c r="AC344" s="8">
        <f>RawSalesTable6[[#This Row],[Gross_Sales]]-RawSalesTable6[[#This Row],[Discount_Amount]]</f>
        <v>588.98099999999999</v>
      </c>
      <c r="AD344" s="8">
        <f>RawSalesTable6[[#This Row],[Unit_Cost]]*RawSalesTable6[[#This Row],[Quantity]]</f>
        <v>352.26</v>
      </c>
      <c r="AE344" s="8">
        <f>RawSalesTable6[[#This Row],[Net_Sales]]-RawSalesTable6[[#This Row],[Total_Cost]]</f>
        <v>236.721</v>
      </c>
      <c r="AF344" s="9">
        <f>RawSalesTable6[[#This Row],[Profit]]/RawSalesTable6[[#This Row],[Net_Sales]]</f>
        <v>0.40191619084486596</v>
      </c>
      <c r="AG344" s="8">
        <f>YEAR(RawSalesTable6[[#This Row],[Order_Date]])</f>
        <v>2025</v>
      </c>
      <c r="AH344" s="8">
        <f>MONTH(RawSalesTable6[[#This Row],[Order_Date]])</f>
        <v>5</v>
      </c>
      <c r="AI344" s="8" t="str">
        <f>TEXT(RawSalesTable6[[#This Row],[Order_Date]],"mmmm")</f>
        <v>mai</v>
      </c>
      <c r="AJ344" s="8" t="str">
        <f>IF(RawSalesTable6[[#This Row],[Month_Number]]&lt;=3,"Q1",IF(RawSalesTable6[[#This Row],[Month_Number]]&lt;=6,"Q2",IF(RawSalesTable6[[#This Row],[Month_Number]]&lt;=9,"Q3","Q4")))</f>
        <v>Q2</v>
      </c>
      <c r="AK344" s="8" t="str">
        <f>VLOOKUP(RawSalesTable6[[#This Row],[Customer_ID_Clean]],CustomersTable[],4,FALSE)</f>
        <v>Quebec</v>
      </c>
      <c r="AL344" s="8">
        <f>IF(RawSalesTable6[[#This Row],[Return_Status]]="Yes",1,0)</f>
        <v>0</v>
      </c>
    </row>
    <row r="345" spans="1:38">
      <c r="A345" t="s">
        <v>757</v>
      </c>
      <c r="B345" s="3">
        <v>45703</v>
      </c>
      <c r="C345" t="s">
        <v>758</v>
      </c>
      <c r="D345" t="s">
        <v>418</v>
      </c>
      <c r="E345" t="s">
        <v>759</v>
      </c>
      <c r="F345" t="s">
        <v>111</v>
      </c>
      <c r="G345" t="s">
        <v>96</v>
      </c>
      <c r="H345" t="s">
        <v>89</v>
      </c>
      <c r="I345">
        <v>1</v>
      </c>
      <c r="J345" s="2">
        <v>351.13</v>
      </c>
      <c r="K345" s="4">
        <v>0</v>
      </c>
      <c r="L345" t="s">
        <v>98</v>
      </c>
      <c r="M345">
        <v>8</v>
      </c>
      <c r="N345" t="s">
        <v>91</v>
      </c>
      <c r="O345" t="str">
        <f>SUBSTITUTE(PROPER(TRIM(RawSalesTable6[[#This Row],[Channel_Raw]])),"Market Place","Marketplace")</f>
        <v>Online</v>
      </c>
      <c r="P345" t="str">
        <f>TRIM(RawSalesTable6[[#This Row],[Product_ID]])</f>
        <v>P1028</v>
      </c>
      <c r="Q345" t="str">
        <f>TRIM(RawSalesTable6[[#This Row],[Customer_ID]])</f>
        <v>C0034</v>
      </c>
      <c r="R345" s="8" t="str">
        <f>PROPER(TRIM(RawSalesTable6[[#This Row],[Store_Raw]]))</f>
        <v>Montreal Central</v>
      </c>
      <c r="S345" s="8" t="str">
        <f>IF(TRIM(RawSalesTable6[[#This Row],[Payment_Method_Raw]])="","Non renseigné",SUBSTITUTE(PROPER(TRIM(RawSalesTable6[[#This Row],[Payment_Method_Raw]])),"Cc","Credit Card"))</f>
        <v>Debit Card</v>
      </c>
      <c r="T345" s="8">
        <f>COUNTIF(A:A,RawSalesTable6[[#This Row],[Order_ID]])</f>
        <v>1</v>
      </c>
      <c r="U345" s="8" t="str">
        <f>TRIM(LEFT(RawSalesTable6[[#This Row],[Customer_Info]],FIND(",",RawSalesTable6[[#This Row],[Customer_Info]])-1))</f>
        <v>Noah Tremblay</v>
      </c>
      <c r="V345" s="8" t="str">
        <f>TRIM(MID(RawSalesTable6[[#This Row],[Customer_Info]],FIND(",",RawSalesTable6[[#This Row],[Customer_Info]])+1,FIND(",",RawSalesTable6[[#This Row],[Customer_Info]],FIND(",",RawSalesTable6[[#This Row],[Customer_Info]])+1)-FIND(",",RawSalesTable6[[#This Row],[Customer_Info]])-1))</f>
        <v>Toronto</v>
      </c>
      <c r="W345" s="8" t="str">
        <f>TRIM(RIGHT(RawSalesTable6[[#This Row],[Customer_Info]],LEN(RawSalesTable6[[#This Row],[Customer_Info]])-FIND(",",RawSalesTable6[[#This Row],[Customer_Info]],FIND(",",RawSalesTable6[[#This Row],[Customer_Info]])+1)))</f>
        <v>Corporate</v>
      </c>
      <c r="X345" s="8" t="str">
        <f>VLOOKUP(RawSalesTable6[[#This Row],[Product_ID_Clean]],ProductsTable[],2,FALSE)</f>
        <v>Foam Roller</v>
      </c>
      <c r="Y345" s="8" t="str">
        <f>VLOOKUP(RawSalesTable6[[#This Row],[Product_ID_Clean]],ProductsTable[],3,FALSE)</f>
        <v>Fitness</v>
      </c>
      <c r="Z345" s="8">
        <f>VLOOKUP(RawSalesTable6[[#This Row],[Product_ID_Clean]],ProductsTable[],5,FALSE)</f>
        <v>212.02</v>
      </c>
      <c r="AA345" s="8">
        <f>RawSalesTable6[[#This Row],[Unit_Price]]*RawSalesTable6[[#This Row],[Quantity]]</f>
        <v>351.13</v>
      </c>
      <c r="AB345" s="8">
        <f>RawSalesTable6[[#This Row],[Gross_Sales]]*RawSalesTable6[[#This Row],[Discount_Pct]]</f>
        <v>0</v>
      </c>
      <c r="AC345" s="8">
        <f>RawSalesTable6[[#This Row],[Gross_Sales]]-RawSalesTable6[[#This Row],[Discount_Amount]]</f>
        <v>351.13</v>
      </c>
      <c r="AD345" s="8">
        <f>RawSalesTable6[[#This Row],[Unit_Cost]]*RawSalesTable6[[#This Row],[Quantity]]</f>
        <v>212.02</v>
      </c>
      <c r="AE345" s="8">
        <f>RawSalesTable6[[#This Row],[Net_Sales]]-RawSalesTable6[[#This Row],[Total_Cost]]</f>
        <v>139.10999999999999</v>
      </c>
      <c r="AF345" s="9">
        <f>RawSalesTable6[[#This Row],[Profit]]/RawSalesTable6[[#This Row],[Net_Sales]]</f>
        <v>0.39617805371230025</v>
      </c>
      <c r="AG345" s="8">
        <f>YEAR(RawSalesTable6[[#This Row],[Order_Date]])</f>
        <v>2025</v>
      </c>
      <c r="AH345" s="8">
        <f>MONTH(RawSalesTable6[[#This Row],[Order_Date]])</f>
        <v>2</v>
      </c>
      <c r="AI345" s="8" t="str">
        <f>TEXT(RawSalesTable6[[#This Row],[Order_Date]],"mmmm")</f>
        <v>février</v>
      </c>
      <c r="AJ345" s="8" t="str">
        <f>IF(RawSalesTable6[[#This Row],[Month_Number]]&lt;=3,"Q1",IF(RawSalesTable6[[#This Row],[Month_Number]]&lt;=6,"Q2",IF(RawSalesTable6[[#This Row],[Month_Number]]&lt;=9,"Q3","Q4")))</f>
        <v>Q1</v>
      </c>
      <c r="AK345" s="8" t="str">
        <f>VLOOKUP(RawSalesTable6[[#This Row],[Customer_ID_Clean]],CustomersTable[],4,FALSE)</f>
        <v>Ontario</v>
      </c>
      <c r="AL345" s="8">
        <f>IF(RawSalesTable6[[#This Row],[Return_Status]]="Yes",1,0)</f>
        <v>0</v>
      </c>
    </row>
    <row r="346" spans="1:38">
      <c r="A346" t="s">
        <v>760</v>
      </c>
      <c r="B346" s="3">
        <v>45884</v>
      </c>
      <c r="C346" t="s">
        <v>637</v>
      </c>
      <c r="D346" t="s">
        <v>217</v>
      </c>
      <c r="E346" t="s">
        <v>638</v>
      </c>
      <c r="F346" t="s">
        <v>103</v>
      </c>
      <c r="G346" t="s">
        <v>96</v>
      </c>
      <c r="H346" t="s">
        <v>89</v>
      </c>
      <c r="I346">
        <v>5</v>
      </c>
      <c r="J346" s="2">
        <v>107.3</v>
      </c>
      <c r="K346" s="4">
        <v>0</v>
      </c>
      <c r="L346" t="s">
        <v>106</v>
      </c>
      <c r="M346">
        <v>6</v>
      </c>
      <c r="N346" t="s">
        <v>91</v>
      </c>
      <c r="O346" t="str">
        <f>SUBSTITUTE(PROPER(TRIM(RawSalesTable6[[#This Row],[Channel_Raw]])),"Market Place","Marketplace")</f>
        <v>Online</v>
      </c>
      <c r="P346" t="str">
        <f>TRIM(RawSalesTable6[[#This Row],[Product_ID]])</f>
        <v>P1006</v>
      </c>
      <c r="Q346" t="str">
        <f>TRIM(RawSalesTable6[[#This Row],[Customer_ID]])</f>
        <v>C0024</v>
      </c>
      <c r="R346" s="8" t="str">
        <f>PROPER(TRIM(RawSalesTable6[[#This Row],[Store_Raw]]))</f>
        <v>Vancouver West</v>
      </c>
      <c r="S346" s="8" t="str">
        <f>IF(TRIM(RawSalesTable6[[#This Row],[Payment_Method_Raw]])="","Non renseigné",SUBSTITUTE(PROPER(TRIM(RawSalesTable6[[#This Row],[Payment_Method_Raw]])),"Cc","Credit Card"))</f>
        <v>Credit Card</v>
      </c>
      <c r="T346" s="8">
        <f>COUNTIF(A:A,RawSalesTable6[[#This Row],[Order_ID]])</f>
        <v>1</v>
      </c>
      <c r="U346" s="8" t="str">
        <f>TRIM(LEFT(RawSalesTable6[[#This Row],[Customer_Info]],FIND(",",RawSalesTable6[[#This Row],[Customer_Info]])-1))</f>
        <v>Ryan King</v>
      </c>
      <c r="V346" s="8" t="str">
        <f>TRIM(MID(RawSalesTable6[[#This Row],[Customer_Info]],FIND(",",RawSalesTable6[[#This Row],[Customer_Info]])+1,FIND(",",RawSalesTable6[[#This Row],[Customer_Info]],FIND(",",RawSalesTable6[[#This Row],[Customer_Info]])+1)-FIND(",",RawSalesTable6[[#This Row],[Customer_Info]])-1))</f>
        <v>Mississauga</v>
      </c>
      <c r="W346" s="8" t="str">
        <f>TRIM(RIGHT(RawSalesTable6[[#This Row],[Customer_Info]],LEN(RawSalesTable6[[#This Row],[Customer_Info]])-FIND(",",RawSalesTable6[[#This Row],[Customer_Info]],FIND(",",RawSalesTable6[[#This Row],[Customer_Info]])+1)))</f>
        <v>Consumer</v>
      </c>
      <c r="X346" s="8" t="str">
        <f>VLOOKUP(RawSalesTable6[[#This Row],[Product_ID_Clean]],ProductsTable[],2,FALSE)</f>
        <v>USB-C Hub</v>
      </c>
      <c r="Y346" s="8" t="str">
        <f>VLOOKUP(RawSalesTable6[[#This Row],[Product_ID_Clean]],ProductsTable[],3,FALSE)</f>
        <v>Electronics</v>
      </c>
      <c r="Z346" s="8">
        <f>VLOOKUP(RawSalesTable6[[#This Row],[Product_ID_Clean]],ProductsTable[],5,FALSE)</f>
        <v>72</v>
      </c>
      <c r="AA346" s="8">
        <f>RawSalesTable6[[#This Row],[Unit_Price]]*RawSalesTable6[[#This Row],[Quantity]]</f>
        <v>536.5</v>
      </c>
      <c r="AB346" s="8">
        <f>RawSalesTable6[[#This Row],[Gross_Sales]]*RawSalesTable6[[#This Row],[Discount_Pct]]</f>
        <v>0</v>
      </c>
      <c r="AC346" s="8">
        <f>RawSalesTable6[[#This Row],[Gross_Sales]]-RawSalesTable6[[#This Row],[Discount_Amount]]</f>
        <v>536.5</v>
      </c>
      <c r="AD346" s="8">
        <f>RawSalesTable6[[#This Row],[Unit_Cost]]*RawSalesTable6[[#This Row],[Quantity]]</f>
        <v>360</v>
      </c>
      <c r="AE346" s="8">
        <f>RawSalesTable6[[#This Row],[Net_Sales]]-RawSalesTable6[[#This Row],[Total_Cost]]</f>
        <v>176.5</v>
      </c>
      <c r="AF346" s="9">
        <f>RawSalesTable6[[#This Row],[Profit]]/RawSalesTable6[[#This Row],[Net_Sales]]</f>
        <v>0.32898415657036345</v>
      </c>
      <c r="AG346" s="8">
        <f>YEAR(RawSalesTable6[[#This Row],[Order_Date]])</f>
        <v>2025</v>
      </c>
      <c r="AH346" s="8">
        <f>MONTH(RawSalesTable6[[#This Row],[Order_Date]])</f>
        <v>8</v>
      </c>
      <c r="AI346" s="8" t="str">
        <f>TEXT(RawSalesTable6[[#This Row],[Order_Date]],"mmmm")</f>
        <v>août</v>
      </c>
      <c r="AJ346" s="8" t="str">
        <f>IF(RawSalesTable6[[#This Row],[Month_Number]]&lt;=3,"Q1",IF(RawSalesTable6[[#This Row],[Month_Number]]&lt;=6,"Q2",IF(RawSalesTable6[[#This Row],[Month_Number]]&lt;=9,"Q3","Q4")))</f>
        <v>Q3</v>
      </c>
      <c r="AK346" s="8" t="str">
        <f>VLOOKUP(RawSalesTable6[[#This Row],[Customer_ID_Clean]],CustomersTable[],4,FALSE)</f>
        <v>Ontario</v>
      </c>
      <c r="AL346" s="8">
        <f>IF(RawSalesTable6[[#This Row],[Return_Status]]="Yes",1,0)</f>
        <v>0</v>
      </c>
    </row>
    <row r="347" spans="1:38">
      <c r="A347" t="s">
        <v>761</v>
      </c>
      <c r="B347" s="3">
        <v>45943</v>
      </c>
      <c r="C347" t="s">
        <v>300</v>
      </c>
      <c r="D347" t="s">
        <v>346</v>
      </c>
      <c r="E347" t="s">
        <v>301</v>
      </c>
      <c r="F347" t="s">
        <v>103</v>
      </c>
      <c r="G347" t="s">
        <v>122</v>
      </c>
      <c r="H347" t="s">
        <v>89</v>
      </c>
      <c r="I347">
        <v>1</v>
      </c>
      <c r="J347" s="2">
        <v>236.69</v>
      </c>
      <c r="K347" s="4">
        <v>0.05</v>
      </c>
      <c r="L347" t="s">
        <v>98</v>
      </c>
      <c r="M347">
        <v>5</v>
      </c>
      <c r="N347" t="s">
        <v>91</v>
      </c>
      <c r="O347" t="str">
        <f>SUBSTITUTE(PROPER(TRIM(RawSalesTable6[[#This Row],[Channel_Raw]])),"Market Place","Marketplace")</f>
        <v>Online</v>
      </c>
      <c r="P347" t="str">
        <f>TRIM(RawSalesTable6[[#This Row],[Product_ID]])</f>
        <v>P1030</v>
      </c>
      <c r="Q347" t="str">
        <f>TRIM(RawSalesTable6[[#This Row],[Customer_ID]])</f>
        <v>C0016</v>
      </c>
      <c r="R347" s="8" t="str">
        <f>PROPER(TRIM(RawSalesTable6[[#This Row],[Store_Raw]]))</f>
        <v>Vancouver West</v>
      </c>
      <c r="S347" s="8" t="str">
        <f>IF(TRIM(RawSalesTable6[[#This Row],[Payment_Method_Raw]])="","Non renseigné",SUBSTITUTE(PROPER(TRIM(RawSalesTable6[[#This Row],[Payment_Method_Raw]])),"Cc","Credit Card"))</f>
        <v>Debit Card</v>
      </c>
      <c r="T347" s="8">
        <f>COUNTIF(A:A,RawSalesTable6[[#This Row],[Order_ID]])</f>
        <v>1</v>
      </c>
      <c r="U347" s="8" t="str">
        <f>TRIM(LEFT(RawSalesTable6[[#This Row],[Customer_Info]],FIND(",",RawSalesTable6[[#This Row],[Customer_Info]])-1))</f>
        <v>Nora Singh</v>
      </c>
      <c r="V347" s="8" t="str">
        <f>TRIM(MID(RawSalesTable6[[#This Row],[Customer_Info]],FIND(",",RawSalesTable6[[#This Row],[Customer_Info]])+1,FIND(",",RawSalesTable6[[#This Row],[Customer_Info]],FIND(",",RawSalesTable6[[#This Row],[Customer_Info]])+1)-FIND(",",RawSalesTable6[[#This Row],[Customer_Info]])-1))</f>
        <v>Calgary</v>
      </c>
      <c r="W347" s="8" t="str">
        <f>TRIM(RIGHT(RawSalesTable6[[#This Row],[Customer_Info]],LEN(RawSalesTable6[[#This Row],[Customer_Info]])-FIND(",",RawSalesTable6[[#This Row],[Customer_Info]],FIND(",",RawSalesTable6[[#This Row],[Customer_Info]])+1)))</f>
        <v>Consumer</v>
      </c>
      <c r="X347" s="8" t="str">
        <f>VLOOKUP(RawSalesTable6[[#This Row],[Product_ID_Clean]],ProductsTable[],2,FALSE)</f>
        <v>Pull-up Bar</v>
      </c>
      <c r="Y347" s="8" t="str">
        <f>VLOOKUP(RawSalesTable6[[#This Row],[Product_ID_Clean]],ProductsTable[],3,FALSE)</f>
        <v>Fitness</v>
      </c>
      <c r="Z347" s="8">
        <f>VLOOKUP(RawSalesTable6[[#This Row],[Product_ID_Clean]],ProductsTable[],5,FALSE)</f>
        <v>125.4</v>
      </c>
      <c r="AA347" s="8">
        <f>RawSalesTable6[[#This Row],[Unit_Price]]*RawSalesTable6[[#This Row],[Quantity]]</f>
        <v>236.69</v>
      </c>
      <c r="AB347" s="8">
        <f>RawSalesTable6[[#This Row],[Gross_Sales]]*RawSalesTable6[[#This Row],[Discount_Pct]]</f>
        <v>11.8345</v>
      </c>
      <c r="AC347" s="8">
        <f>RawSalesTable6[[#This Row],[Gross_Sales]]-RawSalesTable6[[#This Row],[Discount_Amount]]</f>
        <v>224.85550000000001</v>
      </c>
      <c r="AD347" s="8">
        <f>RawSalesTable6[[#This Row],[Unit_Cost]]*RawSalesTable6[[#This Row],[Quantity]]</f>
        <v>125.4</v>
      </c>
      <c r="AE347" s="8">
        <f>RawSalesTable6[[#This Row],[Net_Sales]]-RawSalesTable6[[#This Row],[Total_Cost]]</f>
        <v>99.455500000000001</v>
      </c>
      <c r="AF347" s="9">
        <f>RawSalesTable6[[#This Row],[Profit]]/RawSalesTable6[[#This Row],[Net_Sales]]</f>
        <v>0.44230850479530187</v>
      </c>
      <c r="AG347" s="8">
        <f>YEAR(RawSalesTable6[[#This Row],[Order_Date]])</f>
        <v>2025</v>
      </c>
      <c r="AH347" s="8">
        <f>MONTH(RawSalesTable6[[#This Row],[Order_Date]])</f>
        <v>10</v>
      </c>
      <c r="AI347" s="8" t="str">
        <f>TEXT(RawSalesTable6[[#This Row],[Order_Date]],"mmmm")</f>
        <v>octobre</v>
      </c>
      <c r="AJ347" s="8" t="str">
        <f>IF(RawSalesTable6[[#This Row],[Month_Number]]&lt;=3,"Q1",IF(RawSalesTable6[[#This Row],[Month_Number]]&lt;=6,"Q2",IF(RawSalesTable6[[#This Row],[Month_Number]]&lt;=9,"Q3","Q4")))</f>
        <v>Q4</v>
      </c>
      <c r="AK347" s="8" t="str">
        <f>VLOOKUP(RawSalesTable6[[#This Row],[Customer_ID_Clean]],CustomersTable[],4,FALSE)</f>
        <v>Alberta</v>
      </c>
      <c r="AL347" s="8">
        <f>IF(RawSalesTable6[[#This Row],[Return_Status]]="Yes",1,0)</f>
        <v>0</v>
      </c>
    </row>
    <row r="348" spans="1:38">
      <c r="A348" t="s">
        <v>762</v>
      </c>
      <c r="B348" s="3">
        <v>45936</v>
      </c>
      <c r="C348" t="s">
        <v>293</v>
      </c>
      <c r="D348" t="s">
        <v>261</v>
      </c>
      <c r="E348" t="s">
        <v>394</v>
      </c>
      <c r="F348" t="s">
        <v>103</v>
      </c>
      <c r="G348" t="s">
        <v>104</v>
      </c>
      <c r="H348" t="s">
        <v>89</v>
      </c>
      <c r="I348">
        <v>2</v>
      </c>
      <c r="J348" s="2">
        <v>237.79</v>
      </c>
      <c r="K348" s="4">
        <v>0.1</v>
      </c>
      <c r="L348" t="s">
        <v>106</v>
      </c>
      <c r="M348">
        <v>7</v>
      </c>
      <c r="N348" t="s">
        <v>91</v>
      </c>
      <c r="O348" t="str">
        <f>SUBSTITUTE(PROPER(TRIM(RawSalesTable6[[#This Row],[Channel_Raw]])),"Market Place","Marketplace")</f>
        <v>Online</v>
      </c>
      <c r="P348" t="str">
        <f>TRIM(RawSalesTable6[[#This Row],[Product_ID]])</f>
        <v>P1031</v>
      </c>
      <c r="Q348" t="str">
        <f>TRIM(RawSalesTable6[[#This Row],[Customer_ID]])</f>
        <v>C0007</v>
      </c>
      <c r="R348" s="8" t="str">
        <f>PROPER(TRIM(RawSalesTable6[[#This Row],[Store_Raw]]))</f>
        <v>Vancouver West</v>
      </c>
      <c r="S348" s="8" t="str">
        <f>IF(TRIM(RawSalesTable6[[#This Row],[Payment_Method_Raw]])="","Non renseigné",SUBSTITUTE(PROPER(TRIM(RawSalesTable6[[#This Row],[Payment_Method_Raw]])),"Cc","Credit Card"))</f>
        <v>Credit Card</v>
      </c>
      <c r="T348" s="8">
        <f>COUNTIF(A:A,RawSalesTable6[[#This Row],[Order_ID]])</f>
        <v>1</v>
      </c>
      <c r="U348" s="8" t="str">
        <f>TRIM(LEFT(RawSalesTable6[[#This Row],[Customer_Info]],FIND(",",RawSalesTable6[[#This Row],[Customer_Info]])-1))</f>
        <v>Lucas Wilson</v>
      </c>
      <c r="V348" s="8" t="str">
        <f>TRIM(MID(RawSalesTable6[[#This Row],[Customer_Info]],FIND(",",RawSalesTable6[[#This Row],[Customer_Info]])+1,FIND(",",RawSalesTable6[[#This Row],[Customer_Info]],FIND(",",RawSalesTable6[[#This Row],[Customer_Info]])+1)-FIND(",",RawSalesTable6[[#This Row],[Customer_Info]])-1))</f>
        <v>Ottawa</v>
      </c>
      <c r="W348" s="8" t="str">
        <f>TRIM(RIGHT(RawSalesTable6[[#This Row],[Customer_Info]],LEN(RawSalesTable6[[#This Row],[Customer_Info]])-FIND(",",RawSalesTable6[[#This Row],[Customer_Info]],FIND(",",RawSalesTable6[[#This Row],[Customer_Info]])+1)))</f>
        <v>Consumer</v>
      </c>
      <c r="X348" s="8" t="str">
        <f>VLOOKUP(RawSalesTable6[[#This Row],[Product_ID_Clean]],ProductsTable[],2,FALSE)</f>
        <v>Dumbbell Set</v>
      </c>
      <c r="Y348" s="8" t="str">
        <f>VLOOKUP(RawSalesTable6[[#This Row],[Product_ID_Clean]],ProductsTable[],3,FALSE)</f>
        <v>Fitness</v>
      </c>
      <c r="Z348" s="8">
        <f>VLOOKUP(RawSalesTable6[[#This Row],[Product_ID_Clean]],ProductsTable[],5,FALSE)</f>
        <v>131.72999999999999</v>
      </c>
      <c r="AA348" s="8">
        <f>RawSalesTable6[[#This Row],[Unit_Price]]*RawSalesTable6[[#This Row],[Quantity]]</f>
        <v>475.58</v>
      </c>
      <c r="AB348" s="8">
        <f>RawSalesTable6[[#This Row],[Gross_Sales]]*RawSalesTable6[[#This Row],[Discount_Pct]]</f>
        <v>47.558</v>
      </c>
      <c r="AC348" s="8">
        <f>RawSalesTable6[[#This Row],[Gross_Sales]]-RawSalesTable6[[#This Row],[Discount_Amount]]</f>
        <v>428.02199999999999</v>
      </c>
      <c r="AD348" s="8">
        <f>RawSalesTable6[[#This Row],[Unit_Cost]]*RawSalesTable6[[#This Row],[Quantity]]</f>
        <v>263.45999999999998</v>
      </c>
      <c r="AE348" s="8">
        <f>RawSalesTable6[[#This Row],[Net_Sales]]-RawSalesTable6[[#This Row],[Total_Cost]]</f>
        <v>164.56200000000001</v>
      </c>
      <c r="AF348" s="9">
        <f>RawSalesTable6[[#This Row],[Profit]]/RawSalesTable6[[#This Row],[Net_Sales]]</f>
        <v>0.38447089168313781</v>
      </c>
      <c r="AG348" s="8">
        <f>YEAR(RawSalesTable6[[#This Row],[Order_Date]])</f>
        <v>2025</v>
      </c>
      <c r="AH348" s="8">
        <f>MONTH(RawSalesTable6[[#This Row],[Order_Date]])</f>
        <v>10</v>
      </c>
      <c r="AI348" s="8" t="str">
        <f>TEXT(RawSalesTable6[[#This Row],[Order_Date]],"mmmm")</f>
        <v>octobre</v>
      </c>
      <c r="AJ348" s="8" t="str">
        <f>IF(RawSalesTable6[[#This Row],[Month_Number]]&lt;=3,"Q1",IF(RawSalesTable6[[#This Row],[Month_Number]]&lt;=6,"Q2",IF(RawSalesTable6[[#This Row],[Month_Number]]&lt;=9,"Q3","Q4")))</f>
        <v>Q4</v>
      </c>
      <c r="AK348" s="8" t="str">
        <f>VLOOKUP(RawSalesTable6[[#This Row],[Customer_ID_Clean]],CustomersTable[],4,FALSE)</f>
        <v>Ontario</v>
      </c>
      <c r="AL348" s="8">
        <f>IF(RawSalesTable6[[#This Row],[Return_Status]]="Yes",1,0)</f>
        <v>0</v>
      </c>
    </row>
    <row r="349" spans="1:38">
      <c r="A349" t="s">
        <v>763</v>
      </c>
      <c r="B349" s="3">
        <v>45782</v>
      </c>
      <c r="C349" t="s">
        <v>386</v>
      </c>
      <c r="D349" t="s">
        <v>252</v>
      </c>
      <c r="E349" t="s">
        <v>576</v>
      </c>
      <c r="F349" t="s">
        <v>145</v>
      </c>
      <c r="G349" t="s">
        <v>122</v>
      </c>
      <c r="H349" t="s">
        <v>97</v>
      </c>
      <c r="I349">
        <v>4</v>
      </c>
      <c r="J349" s="2">
        <v>253.99</v>
      </c>
      <c r="K349" s="4">
        <v>0</v>
      </c>
      <c r="L349" t="s">
        <v>253</v>
      </c>
      <c r="M349">
        <v>4</v>
      </c>
      <c r="N349" t="s">
        <v>91</v>
      </c>
      <c r="O349" t="str">
        <f>SUBSTITUTE(PROPER(TRIM(RawSalesTable6[[#This Row],[Channel_Raw]])),"Market Place","Marketplace")</f>
        <v>Retail Store</v>
      </c>
      <c r="P349" t="str">
        <f>TRIM(RawSalesTable6[[#This Row],[Product_ID]])</f>
        <v>P1019</v>
      </c>
      <c r="Q349" t="str">
        <f>TRIM(RawSalesTable6[[#This Row],[Customer_ID]])</f>
        <v>C0009</v>
      </c>
      <c r="R349" s="8" t="str">
        <f>PROPER(TRIM(RawSalesTable6[[#This Row],[Store_Raw]]))</f>
        <v>Calgary North</v>
      </c>
      <c r="S349" s="8" t="str">
        <f>IF(TRIM(RawSalesTable6[[#This Row],[Payment_Method_Raw]])="","Non renseigné",SUBSTITUTE(PROPER(TRIM(RawSalesTable6[[#This Row],[Payment_Method_Raw]])),"Cc","Credit Card"))</f>
        <v>Credit Card</v>
      </c>
      <c r="T349" s="8">
        <f>COUNTIF(A:A,RawSalesTable6[[#This Row],[Order_ID]])</f>
        <v>1</v>
      </c>
      <c r="U349" s="8" t="str">
        <f>TRIM(LEFT(RawSalesTable6[[#This Row],[Customer_Info]],FIND(",",RawSalesTable6[[#This Row],[Customer_Info]])-1))</f>
        <v>Ethan Tremblay</v>
      </c>
      <c r="V349" s="8" t="str">
        <f>TRIM(MID(RawSalesTable6[[#This Row],[Customer_Info]],FIND(",",RawSalesTable6[[#This Row],[Customer_Info]])+1,FIND(",",RawSalesTable6[[#This Row],[Customer_Info]],FIND(",",RawSalesTable6[[#This Row],[Customer_Info]])+1)-FIND(",",RawSalesTable6[[#This Row],[Customer_Info]])-1))</f>
        <v>Mississauga</v>
      </c>
      <c r="W349" s="8" t="str">
        <f>TRIM(RIGHT(RawSalesTable6[[#This Row],[Customer_Info]],LEN(RawSalesTable6[[#This Row],[Customer_Info]])-FIND(",",RawSalesTable6[[#This Row],[Customer_Info]],FIND(",",RawSalesTable6[[#This Row],[Customer_Info]])+1)))</f>
        <v>Corporate</v>
      </c>
      <c r="X349" s="8" t="str">
        <f>VLOOKUP(RawSalesTable6[[#This Row],[Product_ID_Clean]],ProductsTable[],2,FALSE)</f>
        <v>Vacuum</v>
      </c>
      <c r="Y349" s="8" t="str">
        <f>VLOOKUP(RawSalesTable6[[#This Row],[Product_ID_Clean]],ProductsTable[],3,FALSE)</f>
        <v>Home</v>
      </c>
      <c r="Z349" s="8">
        <f>VLOOKUP(RawSalesTable6[[#This Row],[Product_ID_Clean]],ProductsTable[],5,FALSE)</f>
        <v>186.94</v>
      </c>
      <c r="AA349" s="8">
        <f>RawSalesTable6[[#This Row],[Unit_Price]]*RawSalesTable6[[#This Row],[Quantity]]</f>
        <v>1015.96</v>
      </c>
      <c r="AB349" s="8">
        <f>RawSalesTable6[[#This Row],[Gross_Sales]]*RawSalesTable6[[#This Row],[Discount_Pct]]</f>
        <v>0</v>
      </c>
      <c r="AC349" s="8">
        <f>RawSalesTable6[[#This Row],[Gross_Sales]]-RawSalesTable6[[#This Row],[Discount_Amount]]</f>
        <v>1015.96</v>
      </c>
      <c r="AD349" s="8">
        <f>RawSalesTable6[[#This Row],[Unit_Cost]]*RawSalesTable6[[#This Row],[Quantity]]</f>
        <v>747.76</v>
      </c>
      <c r="AE349" s="8">
        <f>RawSalesTable6[[#This Row],[Net_Sales]]-RawSalesTable6[[#This Row],[Total_Cost]]</f>
        <v>268.20000000000005</v>
      </c>
      <c r="AF349" s="9">
        <f>RawSalesTable6[[#This Row],[Profit]]/RawSalesTable6[[#This Row],[Net_Sales]]</f>
        <v>0.26398677113272179</v>
      </c>
      <c r="AG349" s="8">
        <f>YEAR(RawSalesTable6[[#This Row],[Order_Date]])</f>
        <v>2025</v>
      </c>
      <c r="AH349" s="8">
        <f>MONTH(RawSalesTable6[[#This Row],[Order_Date]])</f>
        <v>5</v>
      </c>
      <c r="AI349" s="8" t="str">
        <f>TEXT(RawSalesTable6[[#This Row],[Order_Date]],"mmmm")</f>
        <v>mai</v>
      </c>
      <c r="AJ349" s="8" t="str">
        <f>IF(RawSalesTable6[[#This Row],[Month_Number]]&lt;=3,"Q1",IF(RawSalesTable6[[#This Row],[Month_Number]]&lt;=6,"Q2",IF(RawSalesTable6[[#This Row],[Month_Number]]&lt;=9,"Q3","Q4")))</f>
        <v>Q2</v>
      </c>
      <c r="AK349" s="8" t="str">
        <f>VLOOKUP(RawSalesTable6[[#This Row],[Customer_ID_Clean]],CustomersTable[],4,FALSE)</f>
        <v>Ontario</v>
      </c>
      <c r="AL349" s="8">
        <f>IF(RawSalesTable6[[#This Row],[Return_Status]]="Yes",1,0)</f>
        <v>0</v>
      </c>
    </row>
    <row r="350" spans="1:38">
      <c r="A350" t="s">
        <v>764</v>
      </c>
      <c r="B350" s="3">
        <v>45836</v>
      </c>
      <c r="C350" t="s">
        <v>414</v>
      </c>
      <c r="D350" t="s">
        <v>125</v>
      </c>
      <c r="E350" t="s">
        <v>415</v>
      </c>
      <c r="F350" t="s">
        <v>103</v>
      </c>
      <c r="G350" t="s">
        <v>88</v>
      </c>
      <c r="H350" t="s">
        <v>89</v>
      </c>
      <c r="I350">
        <v>1</v>
      </c>
      <c r="J350" s="2">
        <v>59.27</v>
      </c>
      <c r="K350" s="4">
        <v>0.1</v>
      </c>
      <c r="L350" t="s">
        <v>106</v>
      </c>
      <c r="M350">
        <v>1</v>
      </c>
      <c r="N350" t="s">
        <v>91</v>
      </c>
      <c r="O350" t="str">
        <f>SUBSTITUTE(PROPER(TRIM(RawSalesTable6[[#This Row],[Channel_Raw]])),"Market Place","Marketplace")</f>
        <v>Online</v>
      </c>
      <c r="P350" t="str">
        <f>TRIM(RawSalesTable6[[#This Row],[Product_ID]])</f>
        <v>P1027</v>
      </c>
      <c r="Q350" t="str">
        <f>TRIM(RawSalesTable6[[#This Row],[Customer_ID]])</f>
        <v>C0052</v>
      </c>
      <c r="R350" s="8" t="str">
        <f>PROPER(TRIM(RawSalesTable6[[#This Row],[Store_Raw]]))</f>
        <v>Vancouver West</v>
      </c>
      <c r="S350" s="8" t="str">
        <f>IF(TRIM(RawSalesTable6[[#This Row],[Payment_Method_Raw]])="","Non renseigné",SUBSTITUTE(PROPER(TRIM(RawSalesTable6[[#This Row],[Payment_Method_Raw]])),"Cc","Credit Card"))</f>
        <v>Credit Card</v>
      </c>
      <c r="T350" s="8">
        <f>COUNTIF(A:A,RawSalesTable6[[#This Row],[Order_ID]])</f>
        <v>1</v>
      </c>
      <c r="U350" s="8" t="str">
        <f>TRIM(LEFT(RawSalesTable6[[#This Row],[Customer_Info]],FIND(",",RawSalesTable6[[#This Row],[Customer_Info]])-1))</f>
        <v>Liam Bennett</v>
      </c>
      <c r="V350" s="8" t="str">
        <f>TRIM(MID(RawSalesTable6[[#This Row],[Customer_Info]],FIND(",",RawSalesTable6[[#This Row],[Customer_Info]])+1,FIND(",",RawSalesTable6[[#This Row],[Customer_Info]],FIND(",",RawSalesTable6[[#This Row],[Customer_Info]])+1)-FIND(",",RawSalesTable6[[#This Row],[Customer_Info]])-1))</f>
        <v>Edmonton</v>
      </c>
      <c r="W350" s="8" t="str">
        <f>TRIM(RIGHT(RawSalesTable6[[#This Row],[Customer_Info]],LEN(RawSalesTable6[[#This Row],[Customer_Info]])-FIND(",",RawSalesTable6[[#This Row],[Customer_Info]],FIND(",",RawSalesTable6[[#This Row],[Customer_Info]])+1)))</f>
        <v>Corporate</v>
      </c>
      <c r="X350" s="8" t="str">
        <f>VLOOKUP(RawSalesTable6[[#This Row],[Product_ID_Clean]],ProductsTable[],2,FALSE)</f>
        <v>Kettlebell</v>
      </c>
      <c r="Y350" s="8" t="str">
        <f>VLOOKUP(RawSalesTable6[[#This Row],[Product_ID_Clean]],ProductsTable[],3,FALSE)</f>
        <v>Fitness</v>
      </c>
      <c r="Z350" s="8">
        <f>VLOOKUP(RawSalesTable6[[#This Row],[Product_ID_Clean]],ProductsTable[],5,FALSE)</f>
        <v>25.97</v>
      </c>
      <c r="AA350" s="8">
        <f>RawSalesTable6[[#This Row],[Unit_Price]]*RawSalesTable6[[#This Row],[Quantity]]</f>
        <v>59.27</v>
      </c>
      <c r="AB350" s="8">
        <f>RawSalesTable6[[#This Row],[Gross_Sales]]*RawSalesTable6[[#This Row],[Discount_Pct]]</f>
        <v>5.9270000000000005</v>
      </c>
      <c r="AC350" s="8">
        <f>RawSalesTable6[[#This Row],[Gross_Sales]]-RawSalesTable6[[#This Row],[Discount_Amount]]</f>
        <v>53.343000000000004</v>
      </c>
      <c r="AD350" s="8">
        <f>RawSalesTable6[[#This Row],[Unit_Cost]]*RawSalesTable6[[#This Row],[Quantity]]</f>
        <v>25.97</v>
      </c>
      <c r="AE350" s="8">
        <f>RawSalesTable6[[#This Row],[Net_Sales]]-RawSalesTable6[[#This Row],[Total_Cost]]</f>
        <v>27.373000000000005</v>
      </c>
      <c r="AF350" s="9">
        <f>RawSalesTable6[[#This Row],[Profit]]/RawSalesTable6[[#This Row],[Net_Sales]]</f>
        <v>0.51315074142811623</v>
      </c>
      <c r="AG350" s="8">
        <f>YEAR(RawSalesTable6[[#This Row],[Order_Date]])</f>
        <v>2025</v>
      </c>
      <c r="AH350" s="8">
        <f>MONTH(RawSalesTable6[[#This Row],[Order_Date]])</f>
        <v>6</v>
      </c>
      <c r="AI350" s="8" t="str">
        <f>TEXT(RawSalesTable6[[#This Row],[Order_Date]],"mmmm")</f>
        <v>juin</v>
      </c>
      <c r="AJ350" s="8" t="str">
        <f>IF(RawSalesTable6[[#This Row],[Month_Number]]&lt;=3,"Q1",IF(RawSalesTable6[[#This Row],[Month_Number]]&lt;=6,"Q2",IF(RawSalesTable6[[#This Row],[Month_Number]]&lt;=9,"Q3","Q4")))</f>
        <v>Q2</v>
      </c>
      <c r="AK350" s="8" t="str">
        <f>VLOOKUP(RawSalesTable6[[#This Row],[Customer_ID_Clean]],CustomersTable[],4,FALSE)</f>
        <v>Alberta</v>
      </c>
      <c r="AL350" s="8">
        <f>IF(RawSalesTable6[[#This Row],[Return_Status]]="Yes",1,0)</f>
        <v>0</v>
      </c>
    </row>
    <row r="351" spans="1:38">
      <c r="A351" t="s">
        <v>765</v>
      </c>
      <c r="B351" s="3">
        <v>45896</v>
      </c>
      <c r="C351" t="s">
        <v>466</v>
      </c>
      <c r="D351" t="s">
        <v>244</v>
      </c>
      <c r="E351" t="s">
        <v>467</v>
      </c>
      <c r="F351" t="s">
        <v>145</v>
      </c>
      <c r="G351" t="s">
        <v>183</v>
      </c>
      <c r="H351" t="s">
        <v>89</v>
      </c>
      <c r="I351">
        <v>1</v>
      </c>
      <c r="J351" s="2">
        <v>244.01</v>
      </c>
      <c r="K351" s="4">
        <v>0.05</v>
      </c>
      <c r="L351" t="s">
        <v>106</v>
      </c>
      <c r="M351">
        <v>6</v>
      </c>
      <c r="N351" t="s">
        <v>147</v>
      </c>
      <c r="O351" t="str">
        <f>SUBSTITUTE(PROPER(TRIM(RawSalesTable6[[#This Row],[Channel_Raw]])),"Market Place","Marketplace")</f>
        <v>Online</v>
      </c>
      <c r="P351" t="str">
        <f>TRIM(RawSalesTable6[[#This Row],[Product_ID]])</f>
        <v>P1005</v>
      </c>
      <c r="Q351" t="str">
        <f>TRIM(RawSalesTable6[[#This Row],[Customer_ID]])</f>
        <v>C0096</v>
      </c>
      <c r="R351" s="8" t="str">
        <f>PROPER(TRIM(RawSalesTable6[[#This Row],[Store_Raw]]))</f>
        <v>Calgary North</v>
      </c>
      <c r="S351" s="8" t="str">
        <f>IF(TRIM(RawSalesTable6[[#This Row],[Payment_Method_Raw]])="","Non renseigné",SUBSTITUTE(PROPER(TRIM(RawSalesTable6[[#This Row],[Payment_Method_Raw]])),"Cc","Credit Card"))</f>
        <v>Credit Card</v>
      </c>
      <c r="T351" s="8">
        <f>COUNTIF(A:A,RawSalesTable6[[#This Row],[Order_ID]])</f>
        <v>1</v>
      </c>
      <c r="U351" s="8" t="str">
        <f>TRIM(LEFT(RawSalesTable6[[#This Row],[Customer_Info]],FIND(",",RawSalesTable6[[#This Row],[Customer_Info]])-1))</f>
        <v>Ryan Roy</v>
      </c>
      <c r="V351" s="8" t="str">
        <f>TRIM(MID(RawSalesTable6[[#This Row],[Customer_Info]],FIND(",",RawSalesTable6[[#This Row],[Customer_Info]])+1,FIND(",",RawSalesTable6[[#This Row],[Customer_Info]],FIND(",",RawSalesTable6[[#This Row],[Customer_Info]])+1)-FIND(",",RawSalesTable6[[#This Row],[Customer_Info]])-1))</f>
        <v>Laval</v>
      </c>
      <c r="W351" s="8" t="str">
        <f>TRIM(RIGHT(RawSalesTable6[[#This Row],[Customer_Info]],LEN(RawSalesTable6[[#This Row],[Customer_Info]])-FIND(",",RawSalesTable6[[#This Row],[Customer_Info]],FIND(",",RawSalesTable6[[#This Row],[Customer_Info]])+1)))</f>
        <v>Corporate</v>
      </c>
      <c r="X351" s="8" t="str">
        <f>VLOOKUP(RawSalesTable6[[#This Row],[Product_ID_Clean]],ProductsTable[],2,FALSE)</f>
        <v>Portable SSD</v>
      </c>
      <c r="Y351" s="8" t="str">
        <f>VLOOKUP(RawSalesTable6[[#This Row],[Product_ID_Clean]],ProductsTable[],3,FALSE)</f>
        <v>Electronics</v>
      </c>
      <c r="Z351" s="8">
        <f>VLOOKUP(RawSalesTable6[[#This Row],[Product_ID_Clean]],ProductsTable[],5,FALSE)</f>
        <v>131.19</v>
      </c>
      <c r="AA351" s="8">
        <f>RawSalesTable6[[#This Row],[Unit_Price]]*RawSalesTable6[[#This Row],[Quantity]]</f>
        <v>244.01</v>
      </c>
      <c r="AB351" s="8">
        <f>RawSalesTable6[[#This Row],[Gross_Sales]]*RawSalesTable6[[#This Row],[Discount_Pct]]</f>
        <v>12.2005</v>
      </c>
      <c r="AC351" s="8">
        <f>RawSalesTable6[[#This Row],[Gross_Sales]]-RawSalesTable6[[#This Row],[Discount_Amount]]</f>
        <v>231.80949999999999</v>
      </c>
      <c r="AD351" s="8">
        <f>RawSalesTable6[[#This Row],[Unit_Cost]]*RawSalesTable6[[#This Row],[Quantity]]</f>
        <v>131.19</v>
      </c>
      <c r="AE351" s="8">
        <f>RawSalesTable6[[#This Row],[Net_Sales]]-RawSalesTable6[[#This Row],[Total_Cost]]</f>
        <v>100.61949999999999</v>
      </c>
      <c r="AF351" s="9">
        <f>RawSalesTable6[[#This Row],[Profit]]/RawSalesTable6[[#This Row],[Net_Sales]]</f>
        <v>0.4340611579767007</v>
      </c>
      <c r="AG351" s="8">
        <f>YEAR(RawSalesTable6[[#This Row],[Order_Date]])</f>
        <v>2025</v>
      </c>
      <c r="AH351" s="8">
        <f>MONTH(RawSalesTable6[[#This Row],[Order_Date]])</f>
        <v>8</v>
      </c>
      <c r="AI351" s="8" t="str">
        <f>TEXT(RawSalesTable6[[#This Row],[Order_Date]],"mmmm")</f>
        <v>août</v>
      </c>
      <c r="AJ351" s="8" t="str">
        <f>IF(RawSalesTable6[[#This Row],[Month_Number]]&lt;=3,"Q1",IF(RawSalesTable6[[#This Row],[Month_Number]]&lt;=6,"Q2",IF(RawSalesTable6[[#This Row],[Month_Number]]&lt;=9,"Q3","Q4")))</f>
        <v>Q3</v>
      </c>
      <c r="AK351" s="8" t="str">
        <f>VLOOKUP(RawSalesTable6[[#This Row],[Customer_ID_Clean]],CustomersTable[],4,FALSE)</f>
        <v>Quebec</v>
      </c>
      <c r="AL351" s="8">
        <f>IF(RawSalesTable6[[#This Row],[Return_Status]]="Yes",1,0)</f>
        <v>1</v>
      </c>
    </row>
    <row r="352" spans="1:38">
      <c r="A352" t="s">
        <v>766</v>
      </c>
      <c r="B352" s="3">
        <v>45777</v>
      </c>
      <c r="C352" t="s">
        <v>706</v>
      </c>
      <c r="D352" t="s">
        <v>261</v>
      </c>
      <c r="E352" t="s">
        <v>707</v>
      </c>
      <c r="F352" t="s">
        <v>145</v>
      </c>
      <c r="G352" t="s">
        <v>130</v>
      </c>
      <c r="H352" t="s">
        <v>246</v>
      </c>
      <c r="I352">
        <v>3</v>
      </c>
      <c r="J352" s="2">
        <v>255.82</v>
      </c>
      <c r="K352" s="4">
        <v>0</v>
      </c>
      <c r="L352" t="s">
        <v>90</v>
      </c>
      <c r="M352">
        <v>4</v>
      </c>
      <c r="N352" t="s">
        <v>91</v>
      </c>
      <c r="O352" t="str">
        <f>SUBSTITUTE(PROPER(TRIM(RawSalesTable6[[#This Row],[Channel_Raw]])),"Market Place","Marketplace")</f>
        <v>Retail Store</v>
      </c>
      <c r="P352" t="str">
        <f>TRIM(RawSalesTable6[[#This Row],[Product_ID]])</f>
        <v>P1031</v>
      </c>
      <c r="Q352" t="str">
        <f>TRIM(RawSalesTable6[[#This Row],[Customer_ID]])</f>
        <v>C0006</v>
      </c>
      <c r="R352" s="8" t="str">
        <f>PROPER(TRIM(RawSalesTable6[[#This Row],[Store_Raw]]))</f>
        <v>Calgary North</v>
      </c>
      <c r="S352" s="8" t="str">
        <f>IF(TRIM(RawSalesTable6[[#This Row],[Payment_Method_Raw]])="","Non renseigné",SUBSTITUTE(PROPER(TRIM(RawSalesTable6[[#This Row],[Payment_Method_Raw]])),"Cc","Credit Card"))</f>
        <v>Paypal</v>
      </c>
      <c r="T352" s="8">
        <f>COUNTIF(A:A,RawSalesTable6[[#This Row],[Order_ID]])</f>
        <v>1</v>
      </c>
      <c r="U352" s="8" t="str">
        <f>TRIM(LEFT(RawSalesTable6[[#This Row],[Customer_Info]],FIND(",",RawSalesTable6[[#This Row],[Customer_Info]])-1))</f>
        <v>Nora Wilson</v>
      </c>
      <c r="V352" s="8" t="str">
        <f>TRIM(MID(RawSalesTable6[[#This Row],[Customer_Info]],FIND(",",RawSalesTable6[[#This Row],[Customer_Info]])+1,FIND(",",RawSalesTable6[[#This Row],[Customer_Info]],FIND(",",RawSalesTable6[[#This Row],[Customer_Info]])+1)-FIND(",",RawSalesTable6[[#This Row],[Customer_Info]])-1))</f>
        <v>Laval</v>
      </c>
      <c r="W352" s="8" t="str">
        <f>TRIM(RIGHT(RawSalesTable6[[#This Row],[Customer_Info]],LEN(RawSalesTable6[[#This Row],[Customer_Info]])-FIND(",",RawSalesTable6[[#This Row],[Customer_Info]],FIND(",",RawSalesTable6[[#This Row],[Customer_Info]])+1)))</f>
        <v>Consumer</v>
      </c>
      <c r="X352" s="8" t="str">
        <f>VLOOKUP(RawSalesTable6[[#This Row],[Product_ID_Clean]],ProductsTable[],2,FALSE)</f>
        <v>Dumbbell Set</v>
      </c>
      <c r="Y352" s="8" t="str">
        <f>VLOOKUP(RawSalesTable6[[#This Row],[Product_ID_Clean]],ProductsTable[],3,FALSE)</f>
        <v>Fitness</v>
      </c>
      <c r="Z352" s="8">
        <f>VLOOKUP(RawSalesTable6[[#This Row],[Product_ID_Clean]],ProductsTable[],5,FALSE)</f>
        <v>131.72999999999999</v>
      </c>
      <c r="AA352" s="8">
        <f>RawSalesTable6[[#This Row],[Unit_Price]]*RawSalesTable6[[#This Row],[Quantity]]</f>
        <v>767.46</v>
      </c>
      <c r="AB352" s="8">
        <f>RawSalesTable6[[#This Row],[Gross_Sales]]*RawSalesTable6[[#This Row],[Discount_Pct]]</f>
        <v>0</v>
      </c>
      <c r="AC352" s="8">
        <f>RawSalesTable6[[#This Row],[Gross_Sales]]-RawSalesTable6[[#This Row],[Discount_Amount]]</f>
        <v>767.46</v>
      </c>
      <c r="AD352" s="8">
        <f>RawSalesTable6[[#This Row],[Unit_Cost]]*RawSalesTable6[[#This Row],[Quantity]]</f>
        <v>395.18999999999994</v>
      </c>
      <c r="AE352" s="8">
        <f>RawSalesTable6[[#This Row],[Net_Sales]]-RawSalesTable6[[#This Row],[Total_Cost]]</f>
        <v>372.2700000000001</v>
      </c>
      <c r="AF352" s="9">
        <f>RawSalesTable6[[#This Row],[Profit]]/RawSalesTable6[[#This Row],[Net_Sales]]</f>
        <v>0.48506762567430234</v>
      </c>
      <c r="AG352" s="8">
        <f>YEAR(RawSalesTable6[[#This Row],[Order_Date]])</f>
        <v>2025</v>
      </c>
      <c r="AH352" s="8">
        <f>MONTH(RawSalesTable6[[#This Row],[Order_Date]])</f>
        <v>4</v>
      </c>
      <c r="AI352" s="8" t="str">
        <f>TEXT(RawSalesTable6[[#This Row],[Order_Date]],"mmmm")</f>
        <v>avril</v>
      </c>
      <c r="AJ352" s="8" t="str">
        <f>IF(RawSalesTable6[[#This Row],[Month_Number]]&lt;=3,"Q1",IF(RawSalesTable6[[#This Row],[Month_Number]]&lt;=6,"Q2",IF(RawSalesTable6[[#This Row],[Month_Number]]&lt;=9,"Q3","Q4")))</f>
        <v>Q2</v>
      </c>
      <c r="AK352" s="8" t="str">
        <f>VLOOKUP(RawSalesTable6[[#This Row],[Customer_ID_Clean]],CustomersTable[],4,FALSE)</f>
        <v>Quebec</v>
      </c>
      <c r="AL352" s="8">
        <f>IF(RawSalesTable6[[#This Row],[Return_Status]]="Yes",1,0)</f>
        <v>0</v>
      </c>
    </row>
    <row r="353" spans="1:38">
      <c r="A353" t="s">
        <v>767</v>
      </c>
      <c r="B353" s="3">
        <v>45878</v>
      </c>
      <c r="C353" t="s">
        <v>197</v>
      </c>
      <c r="D353" t="s">
        <v>136</v>
      </c>
      <c r="E353" t="s">
        <v>768</v>
      </c>
      <c r="F353" t="s">
        <v>116</v>
      </c>
      <c r="G353" t="s">
        <v>104</v>
      </c>
      <c r="H353" t="s">
        <v>105</v>
      </c>
      <c r="I353">
        <v>2</v>
      </c>
      <c r="J353" s="2">
        <v>164.5</v>
      </c>
      <c r="K353" s="4">
        <v>0</v>
      </c>
      <c r="L353" t="s">
        <v>90</v>
      </c>
      <c r="M353">
        <v>2</v>
      </c>
      <c r="N353" t="s">
        <v>91</v>
      </c>
      <c r="O353" t="str">
        <f>SUBSTITUTE(PROPER(TRIM(RawSalesTable6[[#This Row],[Channel_Raw]])),"Market Place","Marketplace")</f>
        <v>Marketplace</v>
      </c>
      <c r="P353" t="str">
        <f>TRIM(RawSalesTable6[[#This Row],[Product_ID]])</f>
        <v>P1003</v>
      </c>
      <c r="Q353" t="str">
        <f>TRIM(RawSalesTable6[[#This Row],[Customer_ID]])</f>
        <v>C0091</v>
      </c>
      <c r="R353" s="8" t="str">
        <f>PROPER(TRIM(RawSalesTable6[[#This Row],[Store_Raw]]))</f>
        <v>Toronto Downtown</v>
      </c>
      <c r="S353" s="8" t="str">
        <f>IF(TRIM(RawSalesTable6[[#This Row],[Payment_Method_Raw]])="","Non renseigné",SUBSTITUTE(PROPER(TRIM(RawSalesTable6[[#This Row],[Payment_Method_Raw]])),"Cc","Credit Card"))</f>
        <v>Paypal</v>
      </c>
      <c r="T353" s="8">
        <f>COUNTIF(A:A,RawSalesTable6[[#This Row],[Order_ID]])</f>
        <v>1</v>
      </c>
      <c r="U353" s="8" t="str">
        <f>TRIM(LEFT(RawSalesTable6[[#This Row],[Customer_Info]],FIND(",",RawSalesTable6[[#This Row],[Customer_Info]])-1))</f>
        <v>Leo Taylor</v>
      </c>
      <c r="V353" s="8" t="str">
        <f>TRIM(MID(RawSalesTable6[[#This Row],[Customer_Info]],FIND(",",RawSalesTable6[[#This Row],[Customer_Info]])+1,FIND(",",RawSalesTable6[[#This Row],[Customer_Info]],FIND(",",RawSalesTable6[[#This Row],[Customer_Info]])+1)-FIND(",",RawSalesTable6[[#This Row],[Customer_Info]])-1))</f>
        <v>Victoria</v>
      </c>
      <c r="W353" s="8" t="str">
        <f>TRIM(RIGHT(RawSalesTable6[[#This Row],[Customer_Info]],LEN(RawSalesTable6[[#This Row],[Customer_Info]])-FIND(",",RawSalesTable6[[#This Row],[Customer_Info]],FIND(",",RawSalesTable6[[#This Row],[Customer_Info]])+1)))</f>
        <v>Small Business</v>
      </c>
      <c r="X353" s="8" t="str">
        <f>VLOOKUP(RawSalesTable6[[#This Row],[Product_ID_Clean]],ProductsTable[],2,FALSE)</f>
        <v>Mouse</v>
      </c>
      <c r="Y353" s="8" t="str">
        <f>VLOOKUP(RawSalesTable6[[#This Row],[Product_ID_Clean]],ProductsTable[],3,FALSE)</f>
        <v>Electronics</v>
      </c>
      <c r="Z353" s="8">
        <f>VLOOKUP(RawSalesTable6[[#This Row],[Product_ID_Clean]],ProductsTable[],5,FALSE)</f>
        <v>106.4</v>
      </c>
      <c r="AA353" s="8">
        <f>RawSalesTable6[[#This Row],[Unit_Price]]*RawSalesTable6[[#This Row],[Quantity]]</f>
        <v>329</v>
      </c>
      <c r="AB353" s="8">
        <f>RawSalesTable6[[#This Row],[Gross_Sales]]*RawSalesTable6[[#This Row],[Discount_Pct]]</f>
        <v>0</v>
      </c>
      <c r="AC353" s="8">
        <f>RawSalesTable6[[#This Row],[Gross_Sales]]-RawSalesTable6[[#This Row],[Discount_Amount]]</f>
        <v>329</v>
      </c>
      <c r="AD353" s="8">
        <f>RawSalesTable6[[#This Row],[Unit_Cost]]*RawSalesTable6[[#This Row],[Quantity]]</f>
        <v>212.8</v>
      </c>
      <c r="AE353" s="8">
        <f>RawSalesTable6[[#This Row],[Net_Sales]]-RawSalesTable6[[#This Row],[Total_Cost]]</f>
        <v>116.19999999999999</v>
      </c>
      <c r="AF353" s="9">
        <f>RawSalesTable6[[#This Row],[Profit]]/RawSalesTable6[[#This Row],[Net_Sales]]</f>
        <v>0.35319148936170208</v>
      </c>
      <c r="AG353" s="8">
        <f>YEAR(RawSalesTable6[[#This Row],[Order_Date]])</f>
        <v>2025</v>
      </c>
      <c r="AH353" s="8">
        <f>MONTH(RawSalesTable6[[#This Row],[Order_Date]])</f>
        <v>8</v>
      </c>
      <c r="AI353" s="8" t="str">
        <f>TEXT(RawSalesTable6[[#This Row],[Order_Date]],"mmmm")</f>
        <v>août</v>
      </c>
      <c r="AJ353" s="8" t="str">
        <f>IF(RawSalesTable6[[#This Row],[Month_Number]]&lt;=3,"Q1",IF(RawSalesTable6[[#This Row],[Month_Number]]&lt;=6,"Q2",IF(RawSalesTable6[[#This Row],[Month_Number]]&lt;=9,"Q3","Q4")))</f>
        <v>Q3</v>
      </c>
      <c r="AK353" s="8" t="str">
        <f>VLOOKUP(RawSalesTable6[[#This Row],[Customer_ID_Clean]],CustomersTable[],4,FALSE)</f>
        <v>British Columbia</v>
      </c>
      <c r="AL353" s="8">
        <f>IF(RawSalesTable6[[#This Row],[Return_Status]]="Yes",1,0)</f>
        <v>0</v>
      </c>
    </row>
    <row r="354" spans="1:38">
      <c r="A354" t="s">
        <v>769</v>
      </c>
      <c r="B354" s="3">
        <v>45666</v>
      </c>
      <c r="C354" t="s">
        <v>100</v>
      </c>
      <c r="D354" t="s">
        <v>323</v>
      </c>
      <c r="E354" t="s">
        <v>102</v>
      </c>
      <c r="F354" t="s">
        <v>111</v>
      </c>
      <c r="G354" t="s">
        <v>117</v>
      </c>
      <c r="H354" t="s">
        <v>97</v>
      </c>
      <c r="I354">
        <v>1</v>
      </c>
      <c r="J354" s="2">
        <v>339.34</v>
      </c>
      <c r="K354" s="4">
        <v>0.05</v>
      </c>
      <c r="L354" t="s">
        <v>106</v>
      </c>
      <c r="M354">
        <v>0</v>
      </c>
      <c r="N354" t="s">
        <v>91</v>
      </c>
      <c r="O354" t="str">
        <f>SUBSTITUTE(PROPER(TRIM(RawSalesTable6[[#This Row],[Channel_Raw]])),"Market Place","Marketplace")</f>
        <v>Retail Store</v>
      </c>
      <c r="P354" t="str">
        <f>TRIM(RawSalesTable6[[#This Row],[Product_ID]])</f>
        <v>P1023</v>
      </c>
      <c r="Q354" t="str">
        <f>TRIM(RawSalesTable6[[#This Row],[Customer_ID]])</f>
        <v>C0003</v>
      </c>
      <c r="R354" s="8" t="str">
        <f>PROPER(TRIM(RawSalesTable6[[#This Row],[Store_Raw]]))</f>
        <v>Montreal Central</v>
      </c>
      <c r="S354" s="8" t="str">
        <f>IF(TRIM(RawSalesTable6[[#This Row],[Payment_Method_Raw]])="","Non renseigné",SUBSTITUTE(PROPER(TRIM(RawSalesTable6[[#This Row],[Payment_Method_Raw]])),"Cc","Credit Card"))</f>
        <v>Credit Card</v>
      </c>
      <c r="T354" s="8">
        <f>COUNTIF(A:A,RawSalesTable6[[#This Row],[Order_ID]])</f>
        <v>1</v>
      </c>
      <c r="U354" s="8" t="str">
        <f>TRIM(LEFT(RawSalesTable6[[#This Row],[Customer_Info]],FIND(",",RawSalesTable6[[#This Row],[Customer_Info]])-1))</f>
        <v>Amelia Young</v>
      </c>
      <c r="V354" s="8" t="str">
        <f>TRIM(MID(RawSalesTable6[[#This Row],[Customer_Info]],FIND(",",RawSalesTable6[[#This Row],[Customer_Info]])+1,FIND(",",RawSalesTable6[[#This Row],[Customer_Info]],FIND(",",RawSalesTable6[[#This Row],[Customer_Info]])+1)-FIND(",",RawSalesTable6[[#This Row],[Customer_Info]])-1))</f>
        <v>Ottawa</v>
      </c>
      <c r="W354" s="8" t="str">
        <f>TRIM(RIGHT(RawSalesTable6[[#This Row],[Customer_Info]],LEN(RawSalesTable6[[#This Row],[Customer_Info]])-FIND(",",RawSalesTable6[[#This Row],[Customer_Info]],FIND(",",RawSalesTable6[[#This Row],[Customer_Info]])+1)))</f>
        <v>Corporate</v>
      </c>
      <c r="X354" s="8" t="str">
        <f>VLOOKUP(RawSalesTable6[[#This Row],[Product_ID_Clean]],ProductsTable[],2,FALSE)</f>
        <v>Toaster</v>
      </c>
      <c r="Y354" s="8" t="str">
        <f>VLOOKUP(RawSalesTable6[[#This Row],[Product_ID_Clean]],ProductsTable[],3,FALSE)</f>
        <v>Home</v>
      </c>
      <c r="Z354" s="8">
        <f>VLOOKUP(RawSalesTable6[[#This Row],[Product_ID_Clean]],ProductsTable[],5,FALSE)</f>
        <v>152.88</v>
      </c>
      <c r="AA354" s="8">
        <f>RawSalesTable6[[#This Row],[Unit_Price]]*RawSalesTable6[[#This Row],[Quantity]]</f>
        <v>339.34</v>
      </c>
      <c r="AB354" s="8">
        <f>RawSalesTable6[[#This Row],[Gross_Sales]]*RawSalesTable6[[#This Row],[Discount_Pct]]</f>
        <v>16.966999999999999</v>
      </c>
      <c r="AC354" s="8">
        <f>RawSalesTable6[[#This Row],[Gross_Sales]]-RawSalesTable6[[#This Row],[Discount_Amount]]</f>
        <v>322.37299999999999</v>
      </c>
      <c r="AD354" s="8">
        <f>RawSalesTable6[[#This Row],[Unit_Cost]]*RawSalesTable6[[#This Row],[Quantity]]</f>
        <v>152.88</v>
      </c>
      <c r="AE354" s="8">
        <f>RawSalesTable6[[#This Row],[Net_Sales]]-RawSalesTable6[[#This Row],[Total_Cost]]</f>
        <v>169.49299999999999</v>
      </c>
      <c r="AF354" s="9">
        <f>RawSalesTable6[[#This Row],[Profit]]/RawSalesTable6[[#This Row],[Net_Sales]]</f>
        <v>0.52576673604799407</v>
      </c>
      <c r="AG354" s="8">
        <f>YEAR(RawSalesTable6[[#This Row],[Order_Date]])</f>
        <v>2025</v>
      </c>
      <c r="AH354" s="8">
        <f>MONTH(RawSalesTable6[[#This Row],[Order_Date]])</f>
        <v>1</v>
      </c>
      <c r="AI354" s="8" t="str">
        <f>TEXT(RawSalesTable6[[#This Row],[Order_Date]],"mmmm")</f>
        <v>janvier</v>
      </c>
      <c r="AJ354" s="8" t="str">
        <f>IF(RawSalesTable6[[#This Row],[Month_Number]]&lt;=3,"Q1",IF(RawSalesTable6[[#This Row],[Month_Number]]&lt;=6,"Q2",IF(RawSalesTable6[[#This Row],[Month_Number]]&lt;=9,"Q3","Q4")))</f>
        <v>Q1</v>
      </c>
      <c r="AK354" s="8" t="str">
        <f>VLOOKUP(RawSalesTable6[[#This Row],[Customer_ID_Clean]],CustomersTable[],4,FALSE)</f>
        <v>Ontario</v>
      </c>
      <c r="AL354" s="8">
        <f>IF(RawSalesTable6[[#This Row],[Return_Status]]="Yes",1,0)</f>
        <v>0</v>
      </c>
    </row>
    <row r="355" spans="1:38">
      <c r="A355" t="s">
        <v>770</v>
      </c>
      <c r="B355" s="3">
        <v>46016</v>
      </c>
      <c r="C355" t="s">
        <v>349</v>
      </c>
      <c r="D355" t="s">
        <v>194</v>
      </c>
      <c r="E355" t="s">
        <v>350</v>
      </c>
      <c r="F355" t="s">
        <v>87</v>
      </c>
      <c r="G355" t="s">
        <v>130</v>
      </c>
      <c r="H355" t="s">
        <v>97</v>
      </c>
      <c r="I355">
        <v>2</v>
      </c>
      <c r="J355" s="2">
        <v>191.38</v>
      </c>
      <c r="K355" s="4">
        <v>0.15</v>
      </c>
      <c r="L355" t="s">
        <v>90</v>
      </c>
      <c r="M355">
        <v>2</v>
      </c>
      <c r="N355" t="s">
        <v>91</v>
      </c>
      <c r="O355" t="str">
        <f>SUBSTITUTE(PROPER(TRIM(RawSalesTable6[[#This Row],[Channel_Raw]])),"Market Place","Marketplace")</f>
        <v>Retail Store</v>
      </c>
      <c r="P355" t="str">
        <f>TRIM(RawSalesTable6[[#This Row],[Product_ID]])</f>
        <v>P1029</v>
      </c>
      <c r="Q355" t="str">
        <f>TRIM(RawSalesTable6[[#This Row],[Customer_ID]])</f>
        <v>C0088</v>
      </c>
      <c r="R355" s="8" t="str">
        <f>PROPER(TRIM(RawSalesTable6[[#This Row],[Store_Raw]]))</f>
        <v>Online Fulfillment</v>
      </c>
      <c r="S355" s="8" t="str">
        <f>IF(TRIM(RawSalesTable6[[#This Row],[Payment_Method_Raw]])="","Non renseigné",SUBSTITUTE(PROPER(TRIM(RawSalesTable6[[#This Row],[Payment_Method_Raw]])),"Cc","Credit Card"))</f>
        <v>Paypal</v>
      </c>
      <c r="T355" s="8">
        <f>COUNTIF(A:A,RawSalesTable6[[#This Row],[Order_ID]])</f>
        <v>1</v>
      </c>
      <c r="U355" s="8" t="str">
        <f>TRIM(LEFT(RawSalesTable6[[#This Row],[Customer_Info]],FIND(",",RawSalesTable6[[#This Row],[Customer_Info]])-1))</f>
        <v>Olivia Bennett</v>
      </c>
      <c r="V355" s="8" t="str">
        <f>TRIM(MID(RawSalesTable6[[#This Row],[Customer_Info]],FIND(",",RawSalesTable6[[#This Row],[Customer_Info]])+1,FIND(",",RawSalesTable6[[#This Row],[Customer_Info]],FIND(",",RawSalesTable6[[#This Row],[Customer_Info]])+1)-FIND(",",RawSalesTable6[[#This Row],[Customer_Info]])-1))</f>
        <v>Vancouver</v>
      </c>
      <c r="W355" s="8" t="str">
        <f>TRIM(RIGHT(RawSalesTable6[[#This Row],[Customer_Info]],LEN(RawSalesTable6[[#This Row],[Customer_Info]])-FIND(",",RawSalesTable6[[#This Row],[Customer_Info]],FIND(",",RawSalesTable6[[#This Row],[Customer_Info]])+1)))</f>
        <v>Small Business</v>
      </c>
      <c r="X355" s="8" t="str">
        <f>VLOOKUP(RawSalesTable6[[#This Row],[Product_ID_Clean]],ProductsTable[],2,FALSE)</f>
        <v>Jump Rope</v>
      </c>
      <c r="Y355" s="8" t="str">
        <f>VLOOKUP(RawSalesTable6[[#This Row],[Product_ID_Clean]],ProductsTable[],3,FALSE)</f>
        <v>Fitness</v>
      </c>
      <c r="Z355" s="8">
        <f>VLOOKUP(RawSalesTable6[[#This Row],[Product_ID_Clean]],ProductsTable[],5,FALSE)</f>
        <v>101</v>
      </c>
      <c r="AA355" s="8">
        <f>RawSalesTable6[[#This Row],[Unit_Price]]*RawSalesTable6[[#This Row],[Quantity]]</f>
        <v>382.76</v>
      </c>
      <c r="AB355" s="8">
        <f>RawSalesTable6[[#This Row],[Gross_Sales]]*RawSalesTable6[[#This Row],[Discount_Pct]]</f>
        <v>57.413999999999994</v>
      </c>
      <c r="AC355" s="8">
        <f>RawSalesTable6[[#This Row],[Gross_Sales]]-RawSalesTable6[[#This Row],[Discount_Amount]]</f>
        <v>325.346</v>
      </c>
      <c r="AD355" s="8">
        <f>RawSalesTable6[[#This Row],[Unit_Cost]]*RawSalesTable6[[#This Row],[Quantity]]</f>
        <v>202</v>
      </c>
      <c r="AE355" s="8">
        <f>RawSalesTable6[[#This Row],[Net_Sales]]-RawSalesTable6[[#This Row],[Total_Cost]]</f>
        <v>123.346</v>
      </c>
      <c r="AF355" s="9">
        <f>RawSalesTable6[[#This Row],[Profit]]/RawSalesTable6[[#This Row],[Net_Sales]]</f>
        <v>0.3791225341636289</v>
      </c>
      <c r="AG355" s="8">
        <f>YEAR(RawSalesTable6[[#This Row],[Order_Date]])</f>
        <v>2025</v>
      </c>
      <c r="AH355" s="8">
        <f>MONTH(RawSalesTable6[[#This Row],[Order_Date]])</f>
        <v>12</v>
      </c>
      <c r="AI355" s="8" t="str">
        <f>TEXT(RawSalesTable6[[#This Row],[Order_Date]],"mmmm")</f>
        <v>décembre</v>
      </c>
      <c r="AJ355" s="8" t="str">
        <f>IF(RawSalesTable6[[#This Row],[Month_Number]]&lt;=3,"Q1",IF(RawSalesTable6[[#This Row],[Month_Number]]&lt;=6,"Q2",IF(RawSalesTable6[[#This Row],[Month_Number]]&lt;=9,"Q3","Q4")))</f>
        <v>Q4</v>
      </c>
      <c r="AK355" s="8" t="str">
        <f>VLOOKUP(RawSalesTable6[[#This Row],[Customer_ID_Clean]],CustomersTable[],4,FALSE)</f>
        <v>British Columbia</v>
      </c>
      <c r="AL355" s="8">
        <f>IF(RawSalesTable6[[#This Row],[Return_Status]]="Yes",1,0)</f>
        <v>0</v>
      </c>
    </row>
    <row r="356" spans="1:38">
      <c r="A356" t="s">
        <v>771</v>
      </c>
      <c r="B356" s="3">
        <v>45771</v>
      </c>
      <c r="C356" t="s">
        <v>402</v>
      </c>
      <c r="D356" t="s">
        <v>252</v>
      </c>
      <c r="E356" t="s">
        <v>403</v>
      </c>
      <c r="F356" t="s">
        <v>116</v>
      </c>
      <c r="G356" t="s">
        <v>104</v>
      </c>
      <c r="H356" t="s">
        <v>89</v>
      </c>
      <c r="I356">
        <v>2</v>
      </c>
      <c r="J356" s="2">
        <v>283.27999999999997</v>
      </c>
      <c r="K356" s="4">
        <v>0.1</v>
      </c>
      <c r="L356" t="s">
        <v>253</v>
      </c>
      <c r="M356">
        <v>4</v>
      </c>
      <c r="N356" t="s">
        <v>147</v>
      </c>
      <c r="O356" t="str">
        <f>SUBSTITUTE(PROPER(TRIM(RawSalesTable6[[#This Row],[Channel_Raw]])),"Market Place","Marketplace")</f>
        <v>Online</v>
      </c>
      <c r="P356" t="str">
        <f>TRIM(RawSalesTable6[[#This Row],[Product_ID]])</f>
        <v>P1019</v>
      </c>
      <c r="Q356" t="str">
        <f>TRIM(RawSalesTable6[[#This Row],[Customer_ID]])</f>
        <v>C0010</v>
      </c>
      <c r="R356" s="8" t="str">
        <f>PROPER(TRIM(RawSalesTable6[[#This Row],[Store_Raw]]))</f>
        <v>Toronto Downtown</v>
      </c>
      <c r="S356" s="8" t="str">
        <f>IF(TRIM(RawSalesTable6[[#This Row],[Payment_Method_Raw]])="","Non renseigné",SUBSTITUTE(PROPER(TRIM(RawSalesTable6[[#This Row],[Payment_Method_Raw]])),"Cc","Credit Card"))</f>
        <v>Credit Card</v>
      </c>
      <c r="T356" s="8">
        <f>COUNTIF(A:A,RawSalesTable6[[#This Row],[Order_ID]])</f>
        <v>1</v>
      </c>
      <c r="U356" s="8" t="str">
        <f>TRIM(LEFT(RawSalesTable6[[#This Row],[Customer_Info]],FIND(",",RawSalesTable6[[#This Row],[Customer_Info]])-1))</f>
        <v>Ethan Martin</v>
      </c>
      <c r="V356" s="8" t="str">
        <f>TRIM(MID(RawSalesTable6[[#This Row],[Customer_Info]],FIND(",",RawSalesTable6[[#This Row],[Customer_Info]])+1,FIND(",",RawSalesTable6[[#This Row],[Customer_Info]],FIND(",",RawSalesTable6[[#This Row],[Customer_Info]])+1)-FIND(",",RawSalesTable6[[#This Row],[Customer_Info]])-1))</f>
        <v>Victoria</v>
      </c>
      <c r="W356" s="8" t="str">
        <f>TRIM(RIGHT(RawSalesTable6[[#This Row],[Customer_Info]],LEN(RawSalesTable6[[#This Row],[Customer_Info]])-FIND(",",RawSalesTable6[[#This Row],[Customer_Info]],FIND(",",RawSalesTable6[[#This Row],[Customer_Info]])+1)))</f>
        <v>Corporate</v>
      </c>
      <c r="X356" s="8" t="str">
        <f>VLOOKUP(RawSalesTable6[[#This Row],[Product_ID_Clean]],ProductsTable[],2,FALSE)</f>
        <v>Vacuum</v>
      </c>
      <c r="Y356" s="8" t="str">
        <f>VLOOKUP(RawSalesTable6[[#This Row],[Product_ID_Clean]],ProductsTable[],3,FALSE)</f>
        <v>Home</v>
      </c>
      <c r="Z356" s="8">
        <f>VLOOKUP(RawSalesTable6[[#This Row],[Product_ID_Clean]],ProductsTable[],5,FALSE)</f>
        <v>186.94</v>
      </c>
      <c r="AA356" s="8">
        <f>RawSalesTable6[[#This Row],[Unit_Price]]*RawSalesTable6[[#This Row],[Quantity]]</f>
        <v>566.55999999999995</v>
      </c>
      <c r="AB356" s="8">
        <f>RawSalesTable6[[#This Row],[Gross_Sales]]*RawSalesTable6[[#This Row],[Discount_Pct]]</f>
        <v>56.655999999999999</v>
      </c>
      <c r="AC356" s="8">
        <f>RawSalesTable6[[#This Row],[Gross_Sales]]-RawSalesTable6[[#This Row],[Discount_Amount]]</f>
        <v>509.90399999999994</v>
      </c>
      <c r="AD356" s="8">
        <f>RawSalesTable6[[#This Row],[Unit_Cost]]*RawSalesTable6[[#This Row],[Quantity]]</f>
        <v>373.88</v>
      </c>
      <c r="AE356" s="8">
        <f>RawSalesTable6[[#This Row],[Net_Sales]]-RawSalesTable6[[#This Row],[Total_Cost]]</f>
        <v>136.02399999999994</v>
      </c>
      <c r="AF356" s="9">
        <f>RawSalesTable6[[#This Row],[Profit]]/RawSalesTable6[[#This Row],[Net_Sales]]</f>
        <v>0.26676393987887909</v>
      </c>
      <c r="AG356" s="8">
        <f>YEAR(RawSalesTable6[[#This Row],[Order_Date]])</f>
        <v>2025</v>
      </c>
      <c r="AH356" s="8">
        <f>MONTH(RawSalesTable6[[#This Row],[Order_Date]])</f>
        <v>4</v>
      </c>
      <c r="AI356" s="8" t="str">
        <f>TEXT(RawSalesTable6[[#This Row],[Order_Date]],"mmmm")</f>
        <v>avril</v>
      </c>
      <c r="AJ356" s="8" t="str">
        <f>IF(RawSalesTable6[[#This Row],[Month_Number]]&lt;=3,"Q1",IF(RawSalesTable6[[#This Row],[Month_Number]]&lt;=6,"Q2",IF(RawSalesTable6[[#This Row],[Month_Number]]&lt;=9,"Q3","Q4")))</f>
        <v>Q2</v>
      </c>
      <c r="AK356" s="8" t="str">
        <f>VLOOKUP(RawSalesTable6[[#This Row],[Customer_ID_Clean]],CustomersTable[],4,FALSE)</f>
        <v>British Columbia</v>
      </c>
      <c r="AL356" s="8">
        <f>IF(RawSalesTable6[[#This Row],[Return_Status]]="Yes",1,0)</f>
        <v>1</v>
      </c>
    </row>
    <row r="357" spans="1:38">
      <c r="A357" t="s">
        <v>772</v>
      </c>
      <c r="B357" s="3">
        <v>46021</v>
      </c>
      <c r="C357" t="s">
        <v>480</v>
      </c>
      <c r="D357" t="s">
        <v>149</v>
      </c>
      <c r="E357" t="s">
        <v>773</v>
      </c>
      <c r="F357" t="s">
        <v>145</v>
      </c>
      <c r="G357" t="s">
        <v>104</v>
      </c>
      <c r="H357" t="s">
        <v>97</v>
      </c>
      <c r="I357">
        <v>3</v>
      </c>
      <c r="J357" s="2">
        <v>79.77</v>
      </c>
      <c r="K357" s="4">
        <v>0</v>
      </c>
      <c r="L357" t="s">
        <v>98</v>
      </c>
      <c r="M357">
        <v>3</v>
      </c>
      <c r="N357" t="s">
        <v>91</v>
      </c>
      <c r="O357" t="str">
        <f>SUBSTITUTE(PROPER(TRIM(RawSalesTable6[[#This Row],[Channel_Raw]])),"Market Place","Marketplace")</f>
        <v>Retail Store</v>
      </c>
      <c r="P357" t="str">
        <f>TRIM(RawSalesTable6[[#This Row],[Product_ID]])</f>
        <v>P1011</v>
      </c>
      <c r="Q357" t="str">
        <f>TRIM(RawSalesTable6[[#This Row],[Customer_ID]])</f>
        <v>C0053</v>
      </c>
      <c r="R357" s="8" t="str">
        <f>PROPER(TRIM(RawSalesTable6[[#This Row],[Store_Raw]]))</f>
        <v>Calgary North</v>
      </c>
      <c r="S357" s="8" t="str">
        <f>IF(TRIM(RawSalesTable6[[#This Row],[Payment_Method_Raw]])="","Non renseigné",SUBSTITUTE(PROPER(TRIM(RawSalesTable6[[#This Row],[Payment_Method_Raw]])),"Cc","Credit Card"))</f>
        <v>Debit Card</v>
      </c>
      <c r="T357" s="8">
        <f>COUNTIF(A:A,RawSalesTable6[[#This Row],[Order_ID]])</f>
        <v>1</v>
      </c>
      <c r="U357" s="8" t="str">
        <f>TRIM(LEFT(RawSalesTable6[[#This Row],[Customer_Info]],FIND(",",RawSalesTable6[[#This Row],[Customer_Info]])-1))</f>
        <v>Ryan Lee</v>
      </c>
      <c r="V357" s="8" t="str">
        <f>TRIM(MID(RawSalesTable6[[#This Row],[Customer_Info]],FIND(",",RawSalesTable6[[#This Row],[Customer_Info]])+1,FIND(",",RawSalesTable6[[#This Row],[Customer_Info]],FIND(",",RawSalesTable6[[#This Row],[Customer_Info]])+1)-FIND(",",RawSalesTable6[[#This Row],[Customer_Info]])-1))</f>
        <v>Laval</v>
      </c>
      <c r="W357" s="8" t="str">
        <f>TRIM(RIGHT(RawSalesTable6[[#This Row],[Customer_Info]],LEN(RawSalesTable6[[#This Row],[Customer_Info]])-FIND(",",RawSalesTable6[[#This Row],[Customer_Info]],FIND(",",RawSalesTable6[[#This Row],[Customer_Info]])+1)))</f>
        <v>Consumer</v>
      </c>
      <c r="X357" s="8" t="str">
        <f>VLOOKUP(RawSalesTable6[[#This Row],[Product_ID_Clean]],ProductsTable[],2,FALSE)</f>
        <v>Office Chair</v>
      </c>
      <c r="Y357" s="8" t="str">
        <f>VLOOKUP(RawSalesTable6[[#This Row],[Product_ID_Clean]],ProductsTable[],3,FALSE)</f>
        <v>Office</v>
      </c>
      <c r="Z357" s="8">
        <f>VLOOKUP(RawSalesTable6[[#This Row],[Product_ID_Clean]],ProductsTable[],5,FALSE)</f>
        <v>39.26</v>
      </c>
      <c r="AA357" s="8">
        <f>RawSalesTable6[[#This Row],[Unit_Price]]*RawSalesTable6[[#This Row],[Quantity]]</f>
        <v>239.31</v>
      </c>
      <c r="AB357" s="8">
        <f>RawSalesTable6[[#This Row],[Gross_Sales]]*RawSalesTable6[[#This Row],[Discount_Pct]]</f>
        <v>0</v>
      </c>
      <c r="AC357" s="8">
        <f>RawSalesTable6[[#This Row],[Gross_Sales]]-RawSalesTable6[[#This Row],[Discount_Amount]]</f>
        <v>239.31</v>
      </c>
      <c r="AD357" s="8">
        <f>RawSalesTable6[[#This Row],[Unit_Cost]]*RawSalesTable6[[#This Row],[Quantity]]</f>
        <v>117.78</v>
      </c>
      <c r="AE357" s="8">
        <f>RawSalesTable6[[#This Row],[Net_Sales]]-RawSalesTable6[[#This Row],[Total_Cost]]</f>
        <v>121.53</v>
      </c>
      <c r="AF357" s="9">
        <f>RawSalesTable6[[#This Row],[Profit]]/RawSalesTable6[[#This Row],[Net_Sales]]</f>
        <v>0.50783502569888428</v>
      </c>
      <c r="AG357" s="8">
        <f>YEAR(RawSalesTable6[[#This Row],[Order_Date]])</f>
        <v>2025</v>
      </c>
      <c r="AH357" s="8">
        <f>MONTH(RawSalesTable6[[#This Row],[Order_Date]])</f>
        <v>12</v>
      </c>
      <c r="AI357" s="8" t="str">
        <f>TEXT(RawSalesTable6[[#This Row],[Order_Date]],"mmmm")</f>
        <v>décembre</v>
      </c>
      <c r="AJ357" s="8" t="str">
        <f>IF(RawSalesTable6[[#This Row],[Month_Number]]&lt;=3,"Q1",IF(RawSalesTable6[[#This Row],[Month_Number]]&lt;=6,"Q2",IF(RawSalesTable6[[#This Row],[Month_Number]]&lt;=9,"Q3","Q4")))</f>
        <v>Q4</v>
      </c>
      <c r="AK357" s="8" t="str">
        <f>VLOOKUP(RawSalesTable6[[#This Row],[Customer_ID_Clean]],CustomersTable[],4,FALSE)</f>
        <v>Quebec</v>
      </c>
      <c r="AL357" s="8">
        <f>IF(RawSalesTable6[[#This Row],[Return_Status]]="Yes",1,0)</f>
        <v>0</v>
      </c>
    </row>
    <row r="358" spans="1:38">
      <c r="A358" t="s">
        <v>774</v>
      </c>
      <c r="B358" s="3">
        <v>45879</v>
      </c>
      <c r="C358" t="s">
        <v>93</v>
      </c>
      <c r="D358" t="s">
        <v>94</v>
      </c>
      <c r="E358" t="s">
        <v>95</v>
      </c>
      <c r="F358" t="s">
        <v>87</v>
      </c>
      <c r="G358" t="s">
        <v>96</v>
      </c>
      <c r="H358" t="s">
        <v>97</v>
      </c>
      <c r="I358">
        <v>1</v>
      </c>
      <c r="J358" s="2">
        <v>307.58999999999997</v>
      </c>
      <c r="K358" s="4">
        <v>0.2</v>
      </c>
      <c r="L358" t="s">
        <v>106</v>
      </c>
      <c r="M358">
        <v>4</v>
      </c>
      <c r="N358" t="s">
        <v>91</v>
      </c>
      <c r="O358" t="str">
        <f>SUBSTITUTE(PROPER(TRIM(RawSalesTable6[[#This Row],[Channel_Raw]])),"Market Place","Marketplace")</f>
        <v>Retail Store</v>
      </c>
      <c r="P358" t="str">
        <f>TRIM(RawSalesTable6[[#This Row],[Product_ID]])</f>
        <v>P1033</v>
      </c>
      <c r="Q358" t="str">
        <f>TRIM(RawSalesTable6[[#This Row],[Customer_ID]])</f>
        <v>C0084</v>
      </c>
      <c r="R358" s="8" t="str">
        <f>PROPER(TRIM(RawSalesTable6[[#This Row],[Store_Raw]]))</f>
        <v>Online Fulfillment</v>
      </c>
      <c r="S358" s="8" t="str">
        <f>IF(TRIM(RawSalesTable6[[#This Row],[Payment_Method_Raw]])="","Non renseigné",SUBSTITUTE(PROPER(TRIM(RawSalesTable6[[#This Row],[Payment_Method_Raw]])),"Cc","Credit Card"))</f>
        <v>Credit Card</v>
      </c>
      <c r="T358" s="8">
        <f>COUNTIF(A:A,RawSalesTable6[[#This Row],[Order_ID]])</f>
        <v>1</v>
      </c>
      <c r="U358" s="8" t="str">
        <f>TRIM(LEFT(RawSalesTable6[[#This Row],[Customer_Info]],FIND(",",RawSalesTable6[[#This Row],[Customer_Info]])-1))</f>
        <v>Ryan Clark</v>
      </c>
      <c r="V358" s="8" t="str">
        <f>TRIM(MID(RawSalesTable6[[#This Row],[Customer_Info]],FIND(",",RawSalesTable6[[#This Row],[Customer_Info]])+1,FIND(",",RawSalesTable6[[#This Row],[Customer_Info]],FIND(",",RawSalesTable6[[#This Row],[Customer_Info]])+1)-FIND(",",RawSalesTable6[[#This Row],[Customer_Info]])-1))</f>
        <v>Montreal</v>
      </c>
      <c r="W358" s="8" t="str">
        <f>TRIM(RIGHT(RawSalesTable6[[#This Row],[Customer_Info]],LEN(RawSalesTable6[[#This Row],[Customer_Info]])-FIND(",",RawSalesTable6[[#This Row],[Customer_Info]],FIND(",",RawSalesTable6[[#This Row],[Customer_Info]])+1)))</f>
        <v>Corporate</v>
      </c>
      <c r="X358" s="8" t="str">
        <f>VLOOKUP(RawSalesTable6[[#This Row],[Product_ID_Clean]],ProductsTable[],2,FALSE)</f>
        <v>Backpack</v>
      </c>
      <c r="Y358" s="8" t="str">
        <f>VLOOKUP(RawSalesTable6[[#This Row],[Product_ID_Clean]],ProductsTable[],3,FALSE)</f>
        <v>Accessories</v>
      </c>
      <c r="Z358" s="8">
        <f>VLOOKUP(RawSalesTable6[[#This Row],[Product_ID_Clean]],ProductsTable[],5,FALSE)</f>
        <v>152.55000000000001</v>
      </c>
      <c r="AA358" s="8">
        <f>RawSalesTable6[[#This Row],[Unit_Price]]*RawSalesTable6[[#This Row],[Quantity]]</f>
        <v>307.58999999999997</v>
      </c>
      <c r="AB358" s="8">
        <f>RawSalesTable6[[#This Row],[Gross_Sales]]*RawSalesTable6[[#This Row],[Discount_Pct]]</f>
        <v>61.518000000000001</v>
      </c>
      <c r="AC358" s="8">
        <f>RawSalesTable6[[#This Row],[Gross_Sales]]-RawSalesTable6[[#This Row],[Discount_Amount]]</f>
        <v>246.07199999999997</v>
      </c>
      <c r="AD358" s="8">
        <f>RawSalesTable6[[#This Row],[Unit_Cost]]*RawSalesTable6[[#This Row],[Quantity]]</f>
        <v>152.55000000000001</v>
      </c>
      <c r="AE358" s="8">
        <f>RawSalesTable6[[#This Row],[Net_Sales]]-RawSalesTable6[[#This Row],[Total_Cost]]</f>
        <v>93.521999999999963</v>
      </c>
      <c r="AF358" s="9">
        <f>RawSalesTable6[[#This Row],[Profit]]/RawSalesTable6[[#This Row],[Net_Sales]]</f>
        <v>0.38005949478201489</v>
      </c>
      <c r="AG358" s="8">
        <f>YEAR(RawSalesTable6[[#This Row],[Order_Date]])</f>
        <v>2025</v>
      </c>
      <c r="AH358" s="8">
        <f>MONTH(RawSalesTable6[[#This Row],[Order_Date]])</f>
        <v>8</v>
      </c>
      <c r="AI358" s="8" t="str">
        <f>TEXT(RawSalesTable6[[#This Row],[Order_Date]],"mmmm")</f>
        <v>août</v>
      </c>
      <c r="AJ358" s="8" t="str">
        <f>IF(RawSalesTable6[[#This Row],[Month_Number]]&lt;=3,"Q1",IF(RawSalesTable6[[#This Row],[Month_Number]]&lt;=6,"Q2",IF(RawSalesTable6[[#This Row],[Month_Number]]&lt;=9,"Q3","Q4")))</f>
        <v>Q3</v>
      </c>
      <c r="AK358" s="8" t="str">
        <f>VLOOKUP(RawSalesTable6[[#This Row],[Customer_ID_Clean]],CustomersTable[],4,FALSE)</f>
        <v>Quebec</v>
      </c>
      <c r="AL358" s="8">
        <f>IF(RawSalesTable6[[#This Row],[Return_Status]]="Yes",1,0)</f>
        <v>0</v>
      </c>
    </row>
    <row r="359" spans="1:38">
      <c r="A359" t="s">
        <v>775</v>
      </c>
      <c r="B359" s="3">
        <v>45878</v>
      </c>
      <c r="C359" t="s">
        <v>466</v>
      </c>
      <c r="D359" t="s">
        <v>139</v>
      </c>
      <c r="E359" t="s">
        <v>467</v>
      </c>
      <c r="F359" t="s">
        <v>111</v>
      </c>
      <c r="G359" t="s">
        <v>104</v>
      </c>
      <c r="H359" t="s">
        <v>89</v>
      </c>
      <c r="I359">
        <v>2</v>
      </c>
      <c r="J359" s="2">
        <v>85.44</v>
      </c>
      <c r="K359" s="4">
        <v>0.1</v>
      </c>
      <c r="L359" t="s">
        <v>106</v>
      </c>
      <c r="M359">
        <v>7</v>
      </c>
      <c r="N359" t="s">
        <v>147</v>
      </c>
      <c r="O359" t="str">
        <f>SUBSTITUTE(PROPER(TRIM(RawSalesTable6[[#This Row],[Channel_Raw]])),"Market Place","Marketplace")</f>
        <v>Online</v>
      </c>
      <c r="P359" t="str">
        <f>TRIM(RawSalesTable6[[#This Row],[Product_ID]])</f>
        <v>P1012</v>
      </c>
      <c r="Q359" t="str">
        <f>TRIM(RawSalesTable6[[#This Row],[Customer_ID]])</f>
        <v>C0096</v>
      </c>
      <c r="R359" s="8" t="str">
        <f>PROPER(TRIM(RawSalesTable6[[#This Row],[Store_Raw]]))</f>
        <v>Montreal Central</v>
      </c>
      <c r="S359" s="8" t="str">
        <f>IF(TRIM(RawSalesTable6[[#This Row],[Payment_Method_Raw]])="","Non renseigné",SUBSTITUTE(PROPER(TRIM(RawSalesTable6[[#This Row],[Payment_Method_Raw]])),"Cc","Credit Card"))</f>
        <v>Credit Card</v>
      </c>
      <c r="T359" s="8">
        <f>COUNTIF(A:A,RawSalesTable6[[#This Row],[Order_ID]])</f>
        <v>1</v>
      </c>
      <c r="U359" s="8" t="str">
        <f>TRIM(LEFT(RawSalesTable6[[#This Row],[Customer_Info]],FIND(",",RawSalesTable6[[#This Row],[Customer_Info]])-1))</f>
        <v>Ryan Roy</v>
      </c>
      <c r="V359" s="8" t="str">
        <f>TRIM(MID(RawSalesTable6[[#This Row],[Customer_Info]],FIND(",",RawSalesTable6[[#This Row],[Customer_Info]])+1,FIND(",",RawSalesTable6[[#This Row],[Customer_Info]],FIND(",",RawSalesTable6[[#This Row],[Customer_Info]])+1)-FIND(",",RawSalesTable6[[#This Row],[Customer_Info]])-1))</f>
        <v>Laval</v>
      </c>
      <c r="W359" s="8" t="str">
        <f>TRIM(RIGHT(RawSalesTable6[[#This Row],[Customer_Info]],LEN(RawSalesTable6[[#This Row],[Customer_Info]])-FIND(",",RawSalesTable6[[#This Row],[Customer_Info]],FIND(",",RawSalesTable6[[#This Row],[Customer_Info]])+1)))</f>
        <v>Corporate</v>
      </c>
      <c r="X359" s="8" t="str">
        <f>VLOOKUP(RawSalesTable6[[#This Row],[Product_ID_Clean]],ProductsTable[],2,FALSE)</f>
        <v>Standing Desk</v>
      </c>
      <c r="Y359" s="8" t="str">
        <f>VLOOKUP(RawSalesTable6[[#This Row],[Product_ID_Clean]],ProductsTable[],3,FALSE)</f>
        <v>Office</v>
      </c>
      <c r="Z359" s="8">
        <f>VLOOKUP(RawSalesTable6[[#This Row],[Product_ID_Clean]],ProductsTable[],5,FALSE)</f>
        <v>45.17</v>
      </c>
      <c r="AA359" s="8">
        <f>RawSalesTable6[[#This Row],[Unit_Price]]*RawSalesTable6[[#This Row],[Quantity]]</f>
        <v>170.88</v>
      </c>
      <c r="AB359" s="8">
        <f>RawSalesTable6[[#This Row],[Gross_Sales]]*RawSalesTable6[[#This Row],[Discount_Pct]]</f>
        <v>17.088000000000001</v>
      </c>
      <c r="AC359" s="8">
        <f>RawSalesTable6[[#This Row],[Gross_Sales]]-RawSalesTable6[[#This Row],[Discount_Amount]]</f>
        <v>153.792</v>
      </c>
      <c r="AD359" s="8">
        <f>RawSalesTable6[[#This Row],[Unit_Cost]]*RawSalesTable6[[#This Row],[Quantity]]</f>
        <v>90.34</v>
      </c>
      <c r="AE359" s="8">
        <f>RawSalesTable6[[#This Row],[Net_Sales]]-RawSalesTable6[[#This Row],[Total_Cost]]</f>
        <v>63.451999999999998</v>
      </c>
      <c r="AF359" s="9">
        <f>RawSalesTable6[[#This Row],[Profit]]/RawSalesTable6[[#This Row],[Net_Sales]]</f>
        <v>0.41258322929671243</v>
      </c>
      <c r="AG359" s="8">
        <f>YEAR(RawSalesTable6[[#This Row],[Order_Date]])</f>
        <v>2025</v>
      </c>
      <c r="AH359" s="8">
        <f>MONTH(RawSalesTable6[[#This Row],[Order_Date]])</f>
        <v>8</v>
      </c>
      <c r="AI359" s="8" t="str">
        <f>TEXT(RawSalesTable6[[#This Row],[Order_Date]],"mmmm")</f>
        <v>août</v>
      </c>
      <c r="AJ359" s="8" t="str">
        <f>IF(RawSalesTable6[[#This Row],[Month_Number]]&lt;=3,"Q1",IF(RawSalesTable6[[#This Row],[Month_Number]]&lt;=6,"Q2",IF(RawSalesTable6[[#This Row],[Month_Number]]&lt;=9,"Q3","Q4")))</f>
        <v>Q3</v>
      </c>
      <c r="AK359" s="8" t="str">
        <f>VLOOKUP(RawSalesTable6[[#This Row],[Customer_ID_Clean]],CustomersTable[],4,FALSE)</f>
        <v>Quebec</v>
      </c>
      <c r="AL359" s="8">
        <f>IF(RawSalesTable6[[#This Row],[Return_Status]]="Yes",1,0)</f>
        <v>1</v>
      </c>
    </row>
    <row r="360" spans="1:38">
      <c r="A360" t="s">
        <v>776</v>
      </c>
      <c r="B360" s="3">
        <v>45825</v>
      </c>
      <c r="C360" t="s">
        <v>356</v>
      </c>
      <c r="D360" t="s">
        <v>181</v>
      </c>
      <c r="E360" t="s">
        <v>357</v>
      </c>
      <c r="F360" t="s">
        <v>116</v>
      </c>
      <c r="G360" t="s">
        <v>117</v>
      </c>
      <c r="H360" t="s">
        <v>89</v>
      </c>
      <c r="I360">
        <v>2</v>
      </c>
      <c r="J360" s="2">
        <v>364.57</v>
      </c>
      <c r="K360" s="4">
        <v>0.15</v>
      </c>
      <c r="M360">
        <v>1</v>
      </c>
      <c r="N360" t="s">
        <v>91</v>
      </c>
      <c r="O360" t="str">
        <f>SUBSTITUTE(PROPER(TRIM(RawSalesTable6[[#This Row],[Channel_Raw]])),"Market Place","Marketplace")</f>
        <v>Online</v>
      </c>
      <c r="P360" t="str">
        <f>TRIM(RawSalesTable6[[#This Row],[Product_ID]])</f>
        <v>P1007</v>
      </c>
      <c r="Q360" t="str">
        <f>TRIM(RawSalesTable6[[#This Row],[Customer_ID]])</f>
        <v>C0008</v>
      </c>
      <c r="R360" s="8" t="str">
        <f>PROPER(TRIM(RawSalesTable6[[#This Row],[Store_Raw]]))</f>
        <v>Toronto Downtown</v>
      </c>
      <c r="S360" s="8" t="str">
        <f>IF(TRIM(RawSalesTable6[[#This Row],[Payment_Method_Raw]])="","Non renseigné",SUBSTITUTE(PROPER(TRIM(RawSalesTable6[[#This Row],[Payment_Method_Raw]])),"Cc","Credit Card"))</f>
        <v>Non renseigné</v>
      </c>
      <c r="T360" s="8">
        <f>COUNTIF(A:A,RawSalesTable6[[#This Row],[Order_ID]])</f>
        <v>1</v>
      </c>
      <c r="U360" s="8" t="str">
        <f>TRIM(LEFT(RawSalesTable6[[#This Row],[Customer_Info]],FIND(",",RawSalesTable6[[#This Row],[Customer_Info]])-1))</f>
        <v>Mia Wilson</v>
      </c>
      <c r="V360" s="8" t="str">
        <f>TRIM(MID(RawSalesTable6[[#This Row],[Customer_Info]],FIND(",",RawSalesTable6[[#This Row],[Customer_Info]])+1,FIND(",",RawSalesTable6[[#This Row],[Customer_Info]],FIND(",",RawSalesTable6[[#This Row],[Customer_Info]])+1)-FIND(",",RawSalesTable6[[#This Row],[Customer_Info]])-1))</f>
        <v>Calgary</v>
      </c>
      <c r="W360" s="8" t="str">
        <f>TRIM(RIGHT(RawSalesTable6[[#This Row],[Customer_Info]],LEN(RawSalesTable6[[#This Row],[Customer_Info]])-FIND(",",RawSalesTable6[[#This Row],[Customer_Info]],FIND(",",RawSalesTable6[[#This Row],[Customer_Info]])+1)))</f>
        <v>Consumer</v>
      </c>
      <c r="X360" s="8" t="str">
        <f>VLOOKUP(RawSalesTable6[[#This Row],[Product_ID_Clean]],ProductsTable[],2,FALSE)</f>
        <v>Monitor</v>
      </c>
      <c r="Y360" s="8" t="str">
        <f>VLOOKUP(RawSalesTable6[[#This Row],[Product_ID_Clean]],ProductsTable[],3,FALSE)</f>
        <v>Electronics</v>
      </c>
      <c r="Z360" s="8">
        <f>VLOOKUP(RawSalesTable6[[#This Row],[Product_ID_Clean]],ProductsTable[],5,FALSE)</f>
        <v>224.47</v>
      </c>
      <c r="AA360" s="8">
        <f>RawSalesTable6[[#This Row],[Unit_Price]]*RawSalesTable6[[#This Row],[Quantity]]</f>
        <v>729.14</v>
      </c>
      <c r="AB360" s="8">
        <f>RawSalesTable6[[#This Row],[Gross_Sales]]*RawSalesTable6[[#This Row],[Discount_Pct]]</f>
        <v>109.371</v>
      </c>
      <c r="AC360" s="8">
        <f>RawSalesTable6[[#This Row],[Gross_Sales]]-RawSalesTable6[[#This Row],[Discount_Amount]]</f>
        <v>619.76900000000001</v>
      </c>
      <c r="AD360" s="8">
        <f>RawSalesTable6[[#This Row],[Unit_Cost]]*RawSalesTable6[[#This Row],[Quantity]]</f>
        <v>448.94</v>
      </c>
      <c r="AE360" s="8">
        <f>RawSalesTable6[[#This Row],[Net_Sales]]-RawSalesTable6[[#This Row],[Total_Cost]]</f>
        <v>170.82900000000001</v>
      </c>
      <c r="AF360" s="9">
        <f>RawSalesTable6[[#This Row],[Profit]]/RawSalesTable6[[#This Row],[Net_Sales]]</f>
        <v>0.27563334080923702</v>
      </c>
      <c r="AG360" s="8">
        <f>YEAR(RawSalesTable6[[#This Row],[Order_Date]])</f>
        <v>2025</v>
      </c>
      <c r="AH360" s="8">
        <f>MONTH(RawSalesTable6[[#This Row],[Order_Date]])</f>
        <v>6</v>
      </c>
      <c r="AI360" s="8" t="str">
        <f>TEXT(RawSalesTable6[[#This Row],[Order_Date]],"mmmm")</f>
        <v>juin</v>
      </c>
      <c r="AJ360" s="8" t="str">
        <f>IF(RawSalesTable6[[#This Row],[Month_Number]]&lt;=3,"Q1",IF(RawSalesTable6[[#This Row],[Month_Number]]&lt;=6,"Q2",IF(RawSalesTable6[[#This Row],[Month_Number]]&lt;=9,"Q3","Q4")))</f>
        <v>Q2</v>
      </c>
      <c r="AK360" s="8" t="str">
        <f>VLOOKUP(RawSalesTable6[[#This Row],[Customer_ID_Clean]],CustomersTable[],4,FALSE)</f>
        <v>Alberta</v>
      </c>
      <c r="AL360" s="8">
        <f>IF(RawSalesTable6[[#This Row],[Return_Status]]="Yes",1,0)</f>
        <v>0</v>
      </c>
    </row>
    <row r="361" spans="1:38">
      <c r="A361" t="s">
        <v>777</v>
      </c>
      <c r="B361" s="3">
        <v>45756</v>
      </c>
      <c r="C361" t="s">
        <v>197</v>
      </c>
      <c r="D361" t="s">
        <v>221</v>
      </c>
      <c r="E361" t="s">
        <v>198</v>
      </c>
      <c r="F361" t="s">
        <v>116</v>
      </c>
      <c r="G361" t="s">
        <v>104</v>
      </c>
      <c r="H361" t="s">
        <v>89</v>
      </c>
      <c r="I361">
        <v>1</v>
      </c>
      <c r="J361" s="2">
        <v>31.76</v>
      </c>
      <c r="K361" s="4">
        <v>0.05</v>
      </c>
      <c r="L361" t="s">
        <v>106</v>
      </c>
      <c r="M361">
        <v>7</v>
      </c>
      <c r="N361" t="s">
        <v>91</v>
      </c>
      <c r="O361" t="str">
        <f>SUBSTITUTE(PROPER(TRIM(RawSalesTable6[[#This Row],[Channel_Raw]])),"Market Place","Marketplace")</f>
        <v>Online</v>
      </c>
      <c r="P361" t="str">
        <f>TRIM(RawSalesTable6[[#This Row],[Product_ID]])</f>
        <v>P1018</v>
      </c>
      <c r="Q361" t="str">
        <f>TRIM(RawSalesTable6[[#This Row],[Customer_ID]])</f>
        <v>C0091</v>
      </c>
      <c r="R361" s="8" t="str">
        <f>PROPER(TRIM(RawSalesTable6[[#This Row],[Store_Raw]]))</f>
        <v>Toronto Downtown</v>
      </c>
      <c r="S361" s="8" t="str">
        <f>IF(TRIM(RawSalesTable6[[#This Row],[Payment_Method_Raw]])="","Non renseigné",SUBSTITUTE(PROPER(TRIM(RawSalesTable6[[#This Row],[Payment_Method_Raw]])),"Cc","Credit Card"))</f>
        <v>Credit Card</v>
      </c>
      <c r="T361" s="8">
        <f>COUNTIF(A:A,RawSalesTable6[[#This Row],[Order_ID]])</f>
        <v>1</v>
      </c>
      <c r="U361" s="8" t="str">
        <f>TRIM(LEFT(RawSalesTable6[[#This Row],[Customer_Info]],FIND(",",RawSalesTable6[[#This Row],[Customer_Info]])-1))</f>
        <v>Leo Taylor</v>
      </c>
      <c r="V361" s="8" t="str">
        <f>TRIM(MID(RawSalesTable6[[#This Row],[Customer_Info]],FIND(",",RawSalesTable6[[#This Row],[Customer_Info]])+1,FIND(",",RawSalesTable6[[#This Row],[Customer_Info]],FIND(",",RawSalesTable6[[#This Row],[Customer_Info]])+1)-FIND(",",RawSalesTable6[[#This Row],[Customer_Info]])-1))</f>
        <v>Victoria</v>
      </c>
      <c r="W361" s="8" t="str">
        <f>TRIM(RIGHT(RawSalesTable6[[#This Row],[Customer_Info]],LEN(RawSalesTable6[[#This Row],[Customer_Info]])-FIND(",",RawSalesTable6[[#This Row],[Customer_Info]],FIND(",",RawSalesTable6[[#This Row],[Customer_Info]])+1)))</f>
        <v>Small Business</v>
      </c>
      <c r="X361" s="8" t="str">
        <f>VLOOKUP(RawSalesTable6[[#This Row],[Product_ID_Clean]],ProductsTable[],2,FALSE)</f>
        <v>Air Fryer</v>
      </c>
      <c r="Y361" s="8" t="str">
        <f>VLOOKUP(RawSalesTable6[[#This Row],[Product_ID_Clean]],ProductsTable[],3,FALSE)</f>
        <v>Home</v>
      </c>
      <c r="Z361" s="8">
        <f>VLOOKUP(RawSalesTable6[[#This Row],[Product_ID_Clean]],ProductsTable[],5,FALSE)</f>
        <v>14.58</v>
      </c>
      <c r="AA361" s="8">
        <f>RawSalesTable6[[#This Row],[Unit_Price]]*RawSalesTable6[[#This Row],[Quantity]]</f>
        <v>31.76</v>
      </c>
      <c r="AB361" s="8">
        <f>RawSalesTable6[[#This Row],[Gross_Sales]]*RawSalesTable6[[#This Row],[Discount_Pct]]</f>
        <v>1.5880000000000001</v>
      </c>
      <c r="AC361" s="8">
        <f>RawSalesTable6[[#This Row],[Gross_Sales]]-RawSalesTable6[[#This Row],[Discount_Amount]]</f>
        <v>30.172000000000001</v>
      </c>
      <c r="AD361" s="8">
        <f>RawSalesTable6[[#This Row],[Unit_Cost]]*RawSalesTable6[[#This Row],[Quantity]]</f>
        <v>14.58</v>
      </c>
      <c r="AE361" s="8">
        <f>RawSalesTable6[[#This Row],[Net_Sales]]-RawSalesTable6[[#This Row],[Total_Cost]]</f>
        <v>15.592000000000001</v>
      </c>
      <c r="AF361" s="9">
        <f>RawSalesTable6[[#This Row],[Profit]]/RawSalesTable6[[#This Row],[Net_Sales]]</f>
        <v>0.51677051570992971</v>
      </c>
      <c r="AG361" s="8">
        <f>YEAR(RawSalesTable6[[#This Row],[Order_Date]])</f>
        <v>2025</v>
      </c>
      <c r="AH361" s="8">
        <f>MONTH(RawSalesTable6[[#This Row],[Order_Date]])</f>
        <v>4</v>
      </c>
      <c r="AI361" s="8" t="str">
        <f>TEXT(RawSalesTable6[[#This Row],[Order_Date]],"mmmm")</f>
        <v>avril</v>
      </c>
      <c r="AJ361" s="8" t="str">
        <f>IF(RawSalesTable6[[#This Row],[Month_Number]]&lt;=3,"Q1",IF(RawSalesTable6[[#This Row],[Month_Number]]&lt;=6,"Q2",IF(RawSalesTable6[[#This Row],[Month_Number]]&lt;=9,"Q3","Q4")))</f>
        <v>Q2</v>
      </c>
      <c r="AK361" s="8" t="str">
        <f>VLOOKUP(RawSalesTable6[[#This Row],[Customer_ID_Clean]],CustomersTable[],4,FALSE)</f>
        <v>British Columbia</v>
      </c>
      <c r="AL361" s="8">
        <f>IF(RawSalesTable6[[#This Row],[Return_Status]]="Yes",1,0)</f>
        <v>0</v>
      </c>
    </row>
    <row r="362" spans="1:38">
      <c r="A362" t="s">
        <v>778</v>
      </c>
      <c r="B362" s="3">
        <v>45702</v>
      </c>
      <c r="C362" t="s">
        <v>296</v>
      </c>
      <c r="D362" t="s">
        <v>418</v>
      </c>
      <c r="E362" t="s">
        <v>297</v>
      </c>
      <c r="F362" t="s">
        <v>103</v>
      </c>
      <c r="G362" t="s">
        <v>96</v>
      </c>
      <c r="H362" t="s">
        <v>97</v>
      </c>
      <c r="I362">
        <v>4</v>
      </c>
      <c r="J362" s="2">
        <v>366.27</v>
      </c>
      <c r="K362" s="4">
        <v>0</v>
      </c>
      <c r="L362" t="s">
        <v>369</v>
      </c>
      <c r="M362">
        <v>0</v>
      </c>
      <c r="N362" t="s">
        <v>91</v>
      </c>
      <c r="O362" t="str">
        <f>SUBSTITUTE(PROPER(TRIM(RawSalesTable6[[#This Row],[Channel_Raw]])),"Market Place","Marketplace")</f>
        <v>Retail Store</v>
      </c>
      <c r="P362" t="str">
        <f>TRIM(RawSalesTable6[[#This Row],[Product_ID]])</f>
        <v>P1028</v>
      </c>
      <c r="Q362" t="str">
        <f>TRIM(RawSalesTable6[[#This Row],[Customer_ID]])</f>
        <v>C0040</v>
      </c>
      <c r="R362" s="8" t="str">
        <f>PROPER(TRIM(RawSalesTable6[[#This Row],[Store_Raw]]))</f>
        <v>Vancouver West</v>
      </c>
      <c r="S362" s="8" t="str">
        <f>IF(TRIM(RawSalesTable6[[#This Row],[Payment_Method_Raw]])="","Non renseigné",SUBSTITUTE(PROPER(TRIM(RawSalesTable6[[#This Row],[Payment_Method_Raw]])),"Cc","Credit Card"))</f>
        <v>Paypal</v>
      </c>
      <c r="T362" s="8">
        <f>COUNTIF(A:A,RawSalesTable6[[#This Row],[Order_ID]])</f>
        <v>1</v>
      </c>
      <c r="U362" s="8" t="str">
        <f>TRIM(LEFT(RawSalesTable6[[#This Row],[Customer_Info]],FIND(",",RawSalesTable6[[#This Row],[Customer_Info]])-1))</f>
        <v>Ethan Young</v>
      </c>
      <c r="V362" s="8" t="str">
        <f>TRIM(MID(RawSalesTable6[[#This Row],[Customer_Info]],FIND(",",RawSalesTable6[[#This Row],[Customer_Info]])+1,FIND(",",RawSalesTable6[[#This Row],[Customer_Info]],FIND(",",RawSalesTable6[[#This Row],[Customer_Info]])+1)-FIND(",",RawSalesTable6[[#This Row],[Customer_Info]])-1))</f>
        <v>Surrey</v>
      </c>
      <c r="W362" s="8" t="str">
        <f>TRIM(RIGHT(RawSalesTable6[[#This Row],[Customer_Info]],LEN(RawSalesTable6[[#This Row],[Customer_Info]])-FIND(",",RawSalesTable6[[#This Row],[Customer_Info]],FIND(",",RawSalesTable6[[#This Row],[Customer_Info]])+1)))</f>
        <v>Consumer</v>
      </c>
      <c r="X362" s="8" t="str">
        <f>VLOOKUP(RawSalesTable6[[#This Row],[Product_ID_Clean]],ProductsTable[],2,FALSE)</f>
        <v>Foam Roller</v>
      </c>
      <c r="Y362" s="8" t="str">
        <f>VLOOKUP(RawSalesTable6[[#This Row],[Product_ID_Clean]],ProductsTable[],3,FALSE)</f>
        <v>Fitness</v>
      </c>
      <c r="Z362" s="8">
        <f>VLOOKUP(RawSalesTable6[[#This Row],[Product_ID_Clean]],ProductsTable[],5,FALSE)</f>
        <v>212.02</v>
      </c>
      <c r="AA362" s="8">
        <f>RawSalesTable6[[#This Row],[Unit_Price]]*RawSalesTable6[[#This Row],[Quantity]]</f>
        <v>1465.08</v>
      </c>
      <c r="AB362" s="8">
        <f>RawSalesTable6[[#This Row],[Gross_Sales]]*RawSalesTable6[[#This Row],[Discount_Pct]]</f>
        <v>0</v>
      </c>
      <c r="AC362" s="8">
        <f>RawSalesTable6[[#This Row],[Gross_Sales]]-RawSalesTable6[[#This Row],[Discount_Amount]]</f>
        <v>1465.08</v>
      </c>
      <c r="AD362" s="8">
        <f>RawSalesTable6[[#This Row],[Unit_Cost]]*RawSalesTable6[[#This Row],[Quantity]]</f>
        <v>848.08</v>
      </c>
      <c r="AE362" s="8">
        <f>RawSalesTable6[[#This Row],[Net_Sales]]-RawSalesTable6[[#This Row],[Total_Cost]]</f>
        <v>616.99999999999989</v>
      </c>
      <c r="AF362" s="9">
        <f>RawSalesTable6[[#This Row],[Profit]]/RawSalesTable6[[#This Row],[Net_Sales]]</f>
        <v>0.42113741229147889</v>
      </c>
      <c r="AG362" s="8">
        <f>YEAR(RawSalesTable6[[#This Row],[Order_Date]])</f>
        <v>2025</v>
      </c>
      <c r="AH362" s="8">
        <f>MONTH(RawSalesTable6[[#This Row],[Order_Date]])</f>
        <v>2</v>
      </c>
      <c r="AI362" s="8" t="str">
        <f>TEXT(RawSalesTable6[[#This Row],[Order_Date]],"mmmm")</f>
        <v>février</v>
      </c>
      <c r="AJ362" s="8" t="str">
        <f>IF(RawSalesTable6[[#This Row],[Month_Number]]&lt;=3,"Q1",IF(RawSalesTable6[[#This Row],[Month_Number]]&lt;=6,"Q2",IF(RawSalesTable6[[#This Row],[Month_Number]]&lt;=9,"Q3","Q4")))</f>
        <v>Q1</v>
      </c>
      <c r="AK362" s="8" t="str">
        <f>VLOOKUP(RawSalesTable6[[#This Row],[Customer_ID_Clean]],CustomersTable[],4,FALSE)</f>
        <v>British Columbia</v>
      </c>
      <c r="AL362" s="8">
        <f>IF(RawSalesTable6[[#This Row],[Return_Status]]="Yes",1,0)</f>
        <v>0</v>
      </c>
    </row>
    <row r="363" spans="1:38">
      <c r="A363" t="s">
        <v>779</v>
      </c>
      <c r="B363" s="3">
        <v>45664</v>
      </c>
      <c r="C363" t="s">
        <v>438</v>
      </c>
      <c r="D363" t="s">
        <v>152</v>
      </c>
      <c r="E363" t="s">
        <v>439</v>
      </c>
      <c r="F363" t="s">
        <v>116</v>
      </c>
      <c r="G363" t="s">
        <v>130</v>
      </c>
      <c r="H363" t="s">
        <v>89</v>
      </c>
      <c r="I363">
        <v>1</v>
      </c>
      <c r="J363" s="2">
        <v>137</v>
      </c>
      <c r="K363" s="4">
        <v>0.15</v>
      </c>
      <c r="L363" t="s">
        <v>98</v>
      </c>
      <c r="M363">
        <v>1</v>
      </c>
      <c r="N363" t="s">
        <v>91</v>
      </c>
      <c r="O363" t="str">
        <f>SUBSTITUTE(PROPER(TRIM(RawSalesTable6[[#This Row],[Channel_Raw]])),"Market Place","Marketplace")</f>
        <v>Online</v>
      </c>
      <c r="P363" t="str">
        <f>TRIM(RawSalesTable6[[#This Row],[Product_ID]])</f>
        <v>P1008</v>
      </c>
      <c r="Q363" t="str">
        <f>TRIM(RawSalesTable6[[#This Row],[Customer_ID]])</f>
        <v>C0028</v>
      </c>
      <c r="R363" s="8" t="str">
        <f>PROPER(TRIM(RawSalesTable6[[#This Row],[Store_Raw]]))</f>
        <v>Toronto Downtown</v>
      </c>
      <c r="S363" s="8" t="str">
        <f>IF(TRIM(RawSalesTable6[[#This Row],[Payment_Method_Raw]])="","Non renseigné",SUBSTITUTE(PROPER(TRIM(RawSalesTable6[[#This Row],[Payment_Method_Raw]])),"Cc","Credit Card"))</f>
        <v>Debit Card</v>
      </c>
      <c r="T363" s="8">
        <f>COUNTIF(A:A,RawSalesTable6[[#This Row],[Order_ID]])</f>
        <v>1</v>
      </c>
      <c r="U363" s="8" t="str">
        <f>TRIM(LEFT(RawSalesTable6[[#This Row],[Customer_Info]],FIND(",",RawSalesTable6[[#This Row],[Customer_Info]])-1))</f>
        <v>Mia Clark</v>
      </c>
      <c r="V363" s="8" t="str">
        <f>TRIM(MID(RawSalesTable6[[#This Row],[Customer_Info]],FIND(",",RawSalesTable6[[#This Row],[Customer_Info]])+1,FIND(",",RawSalesTable6[[#This Row],[Customer_Info]],FIND(",",RawSalesTable6[[#This Row],[Customer_Info]])+1)-FIND(",",RawSalesTable6[[#This Row],[Customer_Info]])-1))</f>
        <v>Victoria</v>
      </c>
      <c r="W363" s="8" t="str">
        <f>TRIM(RIGHT(RawSalesTable6[[#This Row],[Customer_Info]],LEN(RawSalesTable6[[#This Row],[Customer_Info]])-FIND(",",RawSalesTable6[[#This Row],[Customer_Info]],FIND(",",RawSalesTable6[[#This Row],[Customer_Info]])+1)))</f>
        <v>Consumer</v>
      </c>
      <c r="X363" s="8" t="str">
        <f>VLOOKUP(RawSalesTable6[[#This Row],[Product_ID_Clean]],ProductsTable[],2,FALSE)</f>
        <v>Smart Speaker</v>
      </c>
      <c r="Y363" s="8" t="str">
        <f>VLOOKUP(RawSalesTable6[[#This Row],[Product_ID_Clean]],ProductsTable[],3,FALSE)</f>
        <v>Electronics</v>
      </c>
      <c r="Z363" s="8">
        <f>VLOOKUP(RawSalesTable6[[#This Row],[Product_ID_Clean]],ProductsTable[],5,FALSE)</f>
        <v>69</v>
      </c>
      <c r="AA363" s="8">
        <f>RawSalesTable6[[#This Row],[Unit_Price]]*RawSalesTable6[[#This Row],[Quantity]]</f>
        <v>137</v>
      </c>
      <c r="AB363" s="8">
        <f>RawSalesTable6[[#This Row],[Gross_Sales]]*RawSalesTable6[[#This Row],[Discount_Pct]]</f>
        <v>20.55</v>
      </c>
      <c r="AC363" s="8">
        <f>RawSalesTable6[[#This Row],[Gross_Sales]]-RawSalesTable6[[#This Row],[Discount_Amount]]</f>
        <v>116.45</v>
      </c>
      <c r="AD363" s="8">
        <f>RawSalesTable6[[#This Row],[Unit_Cost]]*RawSalesTable6[[#This Row],[Quantity]]</f>
        <v>69</v>
      </c>
      <c r="AE363" s="8">
        <f>RawSalesTable6[[#This Row],[Net_Sales]]-RawSalesTable6[[#This Row],[Total_Cost]]</f>
        <v>47.45</v>
      </c>
      <c r="AF363" s="9">
        <f>RawSalesTable6[[#This Row],[Profit]]/RawSalesTable6[[#This Row],[Net_Sales]]</f>
        <v>0.40747101760412197</v>
      </c>
      <c r="AG363" s="8">
        <f>YEAR(RawSalesTable6[[#This Row],[Order_Date]])</f>
        <v>2025</v>
      </c>
      <c r="AH363" s="8">
        <f>MONTH(RawSalesTable6[[#This Row],[Order_Date]])</f>
        <v>1</v>
      </c>
      <c r="AI363" s="8" t="str">
        <f>TEXT(RawSalesTable6[[#This Row],[Order_Date]],"mmmm")</f>
        <v>janvier</v>
      </c>
      <c r="AJ363" s="8" t="str">
        <f>IF(RawSalesTable6[[#This Row],[Month_Number]]&lt;=3,"Q1",IF(RawSalesTable6[[#This Row],[Month_Number]]&lt;=6,"Q2",IF(RawSalesTable6[[#This Row],[Month_Number]]&lt;=9,"Q3","Q4")))</f>
        <v>Q1</v>
      </c>
      <c r="AK363" s="8" t="str">
        <f>VLOOKUP(RawSalesTable6[[#This Row],[Customer_ID_Clean]],CustomersTable[],4,FALSE)</f>
        <v>British Columbia</v>
      </c>
      <c r="AL363" s="8">
        <f>IF(RawSalesTable6[[#This Row],[Return_Status]]="Yes",1,0)</f>
        <v>0</v>
      </c>
    </row>
    <row r="364" spans="1:38">
      <c r="A364" t="s">
        <v>780</v>
      </c>
      <c r="B364" s="3">
        <v>45771</v>
      </c>
      <c r="C364" t="s">
        <v>100</v>
      </c>
      <c r="D364" t="s">
        <v>231</v>
      </c>
      <c r="E364" t="s">
        <v>102</v>
      </c>
      <c r="F364" t="s">
        <v>223</v>
      </c>
      <c r="G364" t="s">
        <v>122</v>
      </c>
      <c r="H364" t="s">
        <v>233</v>
      </c>
      <c r="I364">
        <v>2</v>
      </c>
      <c r="J364" s="2">
        <v>346.11</v>
      </c>
      <c r="K364" s="4">
        <v>0.15</v>
      </c>
      <c r="L364" t="s">
        <v>106</v>
      </c>
      <c r="M364">
        <v>0</v>
      </c>
      <c r="N364" t="s">
        <v>147</v>
      </c>
      <c r="O364" t="str">
        <f>SUBSTITUTE(PROPER(TRIM(RawSalesTable6[[#This Row],[Channel_Raw]])),"Market Place","Marketplace")</f>
        <v>Retail Store</v>
      </c>
      <c r="P364" t="str">
        <f>TRIM(RawSalesTable6[[#This Row],[Product_ID]])</f>
        <v>P1037</v>
      </c>
      <c r="Q364" t="str">
        <f>TRIM(RawSalesTable6[[#This Row],[Customer_ID]])</f>
        <v>C0003</v>
      </c>
      <c r="R364" s="8" t="str">
        <f>PROPER(TRIM(RawSalesTable6[[#This Row],[Store_Raw]]))</f>
        <v>Montreal Central</v>
      </c>
      <c r="S364" s="8" t="str">
        <f>IF(TRIM(RawSalesTable6[[#This Row],[Payment_Method_Raw]])="","Non renseigné",SUBSTITUTE(PROPER(TRIM(RawSalesTable6[[#This Row],[Payment_Method_Raw]])),"Cc","Credit Card"))</f>
        <v>Credit Card</v>
      </c>
      <c r="T364" s="8">
        <f>COUNTIF(A:A,RawSalesTable6[[#This Row],[Order_ID]])</f>
        <v>1</v>
      </c>
      <c r="U364" s="8" t="str">
        <f>TRIM(LEFT(RawSalesTable6[[#This Row],[Customer_Info]],FIND(",",RawSalesTable6[[#This Row],[Customer_Info]])-1))</f>
        <v>Amelia Young</v>
      </c>
      <c r="V364" s="8" t="str">
        <f>TRIM(MID(RawSalesTable6[[#This Row],[Customer_Info]],FIND(",",RawSalesTable6[[#This Row],[Customer_Info]])+1,FIND(",",RawSalesTable6[[#This Row],[Customer_Info]],FIND(",",RawSalesTable6[[#This Row],[Customer_Info]])+1)-FIND(",",RawSalesTable6[[#This Row],[Customer_Info]])-1))</f>
        <v>Ottawa</v>
      </c>
      <c r="W364" s="8" t="str">
        <f>TRIM(RIGHT(RawSalesTable6[[#This Row],[Customer_Info]],LEN(RawSalesTable6[[#This Row],[Customer_Info]])-FIND(",",RawSalesTable6[[#This Row],[Customer_Info]],FIND(",",RawSalesTable6[[#This Row],[Customer_Info]])+1)))</f>
        <v>Corporate</v>
      </c>
      <c r="X364" s="8" t="str">
        <f>VLOOKUP(RawSalesTable6[[#This Row],[Product_ID_Clean]],ProductsTable[],2,FALSE)</f>
        <v>Cable Set</v>
      </c>
      <c r="Y364" s="8" t="str">
        <f>VLOOKUP(RawSalesTable6[[#This Row],[Product_ID_Clean]],ProductsTable[],3,FALSE)</f>
        <v>Accessories</v>
      </c>
      <c r="Z364" s="8">
        <f>VLOOKUP(RawSalesTable6[[#This Row],[Product_ID_Clean]],ProductsTable[],5,FALSE)</f>
        <v>200.16</v>
      </c>
      <c r="AA364" s="8">
        <f>RawSalesTable6[[#This Row],[Unit_Price]]*RawSalesTable6[[#This Row],[Quantity]]</f>
        <v>692.22</v>
      </c>
      <c r="AB364" s="8">
        <f>RawSalesTable6[[#This Row],[Gross_Sales]]*RawSalesTable6[[#This Row],[Discount_Pct]]</f>
        <v>103.833</v>
      </c>
      <c r="AC364" s="8">
        <f>RawSalesTable6[[#This Row],[Gross_Sales]]-RawSalesTable6[[#This Row],[Discount_Amount]]</f>
        <v>588.38700000000006</v>
      </c>
      <c r="AD364" s="8">
        <f>RawSalesTable6[[#This Row],[Unit_Cost]]*RawSalesTable6[[#This Row],[Quantity]]</f>
        <v>400.32</v>
      </c>
      <c r="AE364" s="8">
        <f>RawSalesTable6[[#This Row],[Net_Sales]]-RawSalesTable6[[#This Row],[Total_Cost]]</f>
        <v>188.06700000000006</v>
      </c>
      <c r="AF364" s="9">
        <f>RawSalesTable6[[#This Row],[Profit]]/RawSalesTable6[[#This Row],[Net_Sales]]</f>
        <v>0.31963146704464929</v>
      </c>
      <c r="AG364" s="8">
        <f>YEAR(RawSalesTable6[[#This Row],[Order_Date]])</f>
        <v>2025</v>
      </c>
      <c r="AH364" s="8">
        <f>MONTH(RawSalesTable6[[#This Row],[Order_Date]])</f>
        <v>4</v>
      </c>
      <c r="AI364" s="8" t="str">
        <f>TEXT(RawSalesTable6[[#This Row],[Order_Date]],"mmmm")</f>
        <v>avril</v>
      </c>
      <c r="AJ364" s="8" t="str">
        <f>IF(RawSalesTable6[[#This Row],[Month_Number]]&lt;=3,"Q1",IF(RawSalesTable6[[#This Row],[Month_Number]]&lt;=6,"Q2",IF(RawSalesTable6[[#This Row],[Month_Number]]&lt;=9,"Q3","Q4")))</f>
        <v>Q2</v>
      </c>
      <c r="AK364" s="8" t="str">
        <f>VLOOKUP(RawSalesTable6[[#This Row],[Customer_ID_Clean]],CustomersTable[],4,FALSE)</f>
        <v>Ontario</v>
      </c>
      <c r="AL364" s="8">
        <f>IF(RawSalesTable6[[#This Row],[Return_Status]]="Yes",1,0)</f>
        <v>1</v>
      </c>
    </row>
    <row r="365" spans="1:38">
      <c r="A365" t="s">
        <v>781</v>
      </c>
      <c r="B365" s="3">
        <v>45939</v>
      </c>
      <c r="C365" t="s">
        <v>216</v>
      </c>
      <c r="D365" t="s">
        <v>244</v>
      </c>
      <c r="E365" t="s">
        <v>218</v>
      </c>
      <c r="F365" t="s">
        <v>87</v>
      </c>
      <c r="G365" t="s">
        <v>96</v>
      </c>
      <c r="H365" t="s">
        <v>89</v>
      </c>
      <c r="I365">
        <v>1</v>
      </c>
      <c r="J365" s="2">
        <v>243.13</v>
      </c>
      <c r="K365" s="4">
        <v>0</v>
      </c>
      <c r="L365" t="s">
        <v>432</v>
      </c>
      <c r="M365">
        <v>5</v>
      </c>
      <c r="N365" t="s">
        <v>91</v>
      </c>
      <c r="O365" t="str">
        <f>SUBSTITUTE(PROPER(TRIM(RawSalesTable6[[#This Row],[Channel_Raw]])),"Market Place","Marketplace")</f>
        <v>Online</v>
      </c>
      <c r="P365" t="str">
        <f>TRIM(RawSalesTable6[[#This Row],[Product_ID]])</f>
        <v>P1005</v>
      </c>
      <c r="Q365" t="str">
        <f>TRIM(RawSalesTable6[[#This Row],[Customer_ID]])</f>
        <v>C0065</v>
      </c>
      <c r="R365" s="8" t="str">
        <f>PROPER(TRIM(RawSalesTable6[[#This Row],[Store_Raw]]))</f>
        <v>Online Fulfillment</v>
      </c>
      <c r="S365" s="8" t="str">
        <f>IF(TRIM(RawSalesTable6[[#This Row],[Payment_Method_Raw]])="","Non renseigné",SUBSTITUTE(PROPER(TRIM(RawSalesTable6[[#This Row],[Payment_Method_Raw]])),"Cc","Credit Card"))</f>
        <v>Paypal</v>
      </c>
      <c r="T365" s="8">
        <f>COUNTIF(A:A,RawSalesTable6[[#This Row],[Order_ID]])</f>
        <v>1</v>
      </c>
      <c r="U365" s="8" t="str">
        <f>TRIM(LEFT(RawSalesTable6[[#This Row],[Customer_Info]],FIND(",",RawSalesTable6[[#This Row],[Customer_Info]])-1))</f>
        <v>Mia Wilson</v>
      </c>
      <c r="V365" s="8" t="str">
        <f>TRIM(MID(RawSalesTable6[[#This Row],[Customer_Info]],FIND(",",RawSalesTable6[[#This Row],[Customer_Info]])+1,FIND(",",RawSalesTable6[[#This Row],[Customer_Info]],FIND(",",RawSalesTable6[[#This Row],[Customer_Info]])+1)-FIND(",",RawSalesTable6[[#This Row],[Customer_Info]])-1))</f>
        <v>Quebec City</v>
      </c>
      <c r="W365" s="8" t="str">
        <f>TRIM(RIGHT(RawSalesTable6[[#This Row],[Customer_Info]],LEN(RawSalesTable6[[#This Row],[Customer_Info]])-FIND(",",RawSalesTable6[[#This Row],[Customer_Info]],FIND(",",RawSalesTable6[[#This Row],[Customer_Info]])+1)))</f>
        <v>Consumer</v>
      </c>
      <c r="X365" s="8" t="str">
        <f>VLOOKUP(RawSalesTable6[[#This Row],[Product_ID_Clean]],ProductsTable[],2,FALSE)</f>
        <v>Portable SSD</v>
      </c>
      <c r="Y365" s="8" t="str">
        <f>VLOOKUP(RawSalesTable6[[#This Row],[Product_ID_Clean]],ProductsTable[],3,FALSE)</f>
        <v>Electronics</v>
      </c>
      <c r="Z365" s="8">
        <f>VLOOKUP(RawSalesTable6[[#This Row],[Product_ID_Clean]],ProductsTable[],5,FALSE)</f>
        <v>131.19</v>
      </c>
      <c r="AA365" s="8">
        <f>RawSalesTable6[[#This Row],[Unit_Price]]*RawSalesTable6[[#This Row],[Quantity]]</f>
        <v>243.13</v>
      </c>
      <c r="AB365" s="8">
        <f>RawSalesTable6[[#This Row],[Gross_Sales]]*RawSalesTable6[[#This Row],[Discount_Pct]]</f>
        <v>0</v>
      </c>
      <c r="AC365" s="8">
        <f>RawSalesTable6[[#This Row],[Gross_Sales]]-RawSalesTable6[[#This Row],[Discount_Amount]]</f>
        <v>243.13</v>
      </c>
      <c r="AD365" s="8">
        <f>RawSalesTable6[[#This Row],[Unit_Cost]]*RawSalesTable6[[#This Row],[Quantity]]</f>
        <v>131.19</v>
      </c>
      <c r="AE365" s="8">
        <f>RawSalesTable6[[#This Row],[Net_Sales]]-RawSalesTable6[[#This Row],[Total_Cost]]</f>
        <v>111.94</v>
      </c>
      <c r="AF365" s="9">
        <f>RawSalesTable6[[#This Row],[Profit]]/RawSalesTable6[[#This Row],[Net_Sales]]</f>
        <v>0.46041212520051</v>
      </c>
      <c r="AG365" s="8">
        <f>YEAR(RawSalesTable6[[#This Row],[Order_Date]])</f>
        <v>2025</v>
      </c>
      <c r="AH365" s="8">
        <f>MONTH(RawSalesTable6[[#This Row],[Order_Date]])</f>
        <v>10</v>
      </c>
      <c r="AI365" s="8" t="str">
        <f>TEXT(RawSalesTable6[[#This Row],[Order_Date]],"mmmm")</f>
        <v>octobre</v>
      </c>
      <c r="AJ365" s="8" t="str">
        <f>IF(RawSalesTable6[[#This Row],[Month_Number]]&lt;=3,"Q1",IF(RawSalesTable6[[#This Row],[Month_Number]]&lt;=6,"Q2",IF(RawSalesTable6[[#This Row],[Month_Number]]&lt;=9,"Q3","Q4")))</f>
        <v>Q4</v>
      </c>
      <c r="AK365" s="8" t="str">
        <f>VLOOKUP(RawSalesTable6[[#This Row],[Customer_ID_Clean]],CustomersTable[],4,FALSE)</f>
        <v>Quebec</v>
      </c>
      <c r="AL365" s="8">
        <f>IF(RawSalesTable6[[#This Row],[Return_Status]]="Yes",1,0)</f>
        <v>0</v>
      </c>
    </row>
    <row r="366" spans="1:38">
      <c r="A366" t="s">
        <v>782</v>
      </c>
      <c r="B366" s="3">
        <v>45794</v>
      </c>
      <c r="C366" t="s">
        <v>286</v>
      </c>
      <c r="D366" t="s">
        <v>360</v>
      </c>
      <c r="E366" t="s">
        <v>287</v>
      </c>
      <c r="F366" t="s">
        <v>103</v>
      </c>
      <c r="G366" t="s">
        <v>183</v>
      </c>
      <c r="H366" t="s">
        <v>89</v>
      </c>
      <c r="I366">
        <v>4</v>
      </c>
      <c r="J366" s="2">
        <v>66.459999999999994</v>
      </c>
      <c r="K366" s="4">
        <v>0</v>
      </c>
      <c r="L366" t="s">
        <v>106</v>
      </c>
      <c r="M366">
        <v>3</v>
      </c>
      <c r="N366" t="s">
        <v>91</v>
      </c>
      <c r="O366" t="str">
        <f>SUBSTITUTE(PROPER(TRIM(RawSalesTable6[[#This Row],[Channel_Raw]])),"Market Place","Marketplace")</f>
        <v>Online</v>
      </c>
      <c r="P366" t="str">
        <f>TRIM(RawSalesTable6[[#This Row],[Product_ID]])</f>
        <v>P1020</v>
      </c>
      <c r="Q366" t="str">
        <f>TRIM(RawSalesTable6[[#This Row],[Customer_ID]])</f>
        <v>C0098</v>
      </c>
      <c r="R366" s="8" t="str">
        <f>PROPER(TRIM(RawSalesTable6[[#This Row],[Store_Raw]]))</f>
        <v>Vancouver West</v>
      </c>
      <c r="S366" s="8" t="str">
        <f>IF(TRIM(RawSalesTable6[[#This Row],[Payment_Method_Raw]])="","Non renseigné",SUBSTITUTE(PROPER(TRIM(RawSalesTable6[[#This Row],[Payment_Method_Raw]])),"Cc","Credit Card"))</f>
        <v>Credit Card</v>
      </c>
      <c r="T366" s="8">
        <f>COUNTIF(A:A,RawSalesTable6[[#This Row],[Order_ID]])</f>
        <v>1</v>
      </c>
      <c r="U366" s="8" t="str">
        <f>TRIM(LEFT(RawSalesTable6[[#This Row],[Customer_Info]],FIND(",",RawSalesTable6[[#This Row],[Customer_Info]])-1))</f>
        <v>Nora Young</v>
      </c>
      <c r="V366" s="8" t="str">
        <f>TRIM(MID(RawSalesTable6[[#This Row],[Customer_Info]],FIND(",",RawSalesTable6[[#This Row],[Customer_Info]])+1,FIND(",",RawSalesTable6[[#This Row],[Customer_Info]],FIND(",",RawSalesTable6[[#This Row],[Customer_Info]])+1)-FIND(",",RawSalesTable6[[#This Row],[Customer_Info]])-1))</f>
        <v>Winnipeg</v>
      </c>
      <c r="W366" s="8" t="str">
        <f>TRIM(RIGHT(RawSalesTable6[[#This Row],[Customer_Info]],LEN(RawSalesTable6[[#This Row],[Customer_Info]])-FIND(",",RawSalesTable6[[#This Row],[Customer_Info]],FIND(",",RawSalesTable6[[#This Row],[Customer_Info]])+1)))</f>
        <v>Consumer</v>
      </c>
      <c r="X366" s="8" t="str">
        <f>VLOOKUP(RawSalesTable6[[#This Row],[Product_ID_Clean]],ProductsTable[],2,FALSE)</f>
        <v>Blender</v>
      </c>
      <c r="Y366" s="8" t="str">
        <f>VLOOKUP(RawSalesTable6[[#This Row],[Product_ID_Clean]],ProductsTable[],3,FALSE)</f>
        <v>Home</v>
      </c>
      <c r="Z366" s="8">
        <f>VLOOKUP(RawSalesTable6[[#This Row],[Product_ID_Clean]],ProductsTable[],5,FALSE)</f>
        <v>37.46</v>
      </c>
      <c r="AA366" s="8">
        <f>RawSalesTable6[[#This Row],[Unit_Price]]*RawSalesTable6[[#This Row],[Quantity]]</f>
        <v>265.83999999999997</v>
      </c>
      <c r="AB366" s="8">
        <f>RawSalesTable6[[#This Row],[Gross_Sales]]*RawSalesTable6[[#This Row],[Discount_Pct]]</f>
        <v>0</v>
      </c>
      <c r="AC366" s="8">
        <f>RawSalesTable6[[#This Row],[Gross_Sales]]-RawSalesTable6[[#This Row],[Discount_Amount]]</f>
        <v>265.83999999999997</v>
      </c>
      <c r="AD366" s="8">
        <f>RawSalesTable6[[#This Row],[Unit_Cost]]*RawSalesTable6[[#This Row],[Quantity]]</f>
        <v>149.84</v>
      </c>
      <c r="AE366" s="8">
        <f>RawSalesTable6[[#This Row],[Net_Sales]]-RawSalesTable6[[#This Row],[Total_Cost]]</f>
        <v>115.99999999999997</v>
      </c>
      <c r="AF366" s="9">
        <f>RawSalesTable6[[#This Row],[Profit]]/RawSalesTable6[[#This Row],[Net_Sales]]</f>
        <v>0.43635269334938304</v>
      </c>
      <c r="AG366" s="8">
        <f>YEAR(RawSalesTable6[[#This Row],[Order_Date]])</f>
        <v>2025</v>
      </c>
      <c r="AH366" s="8">
        <f>MONTH(RawSalesTable6[[#This Row],[Order_Date]])</f>
        <v>5</v>
      </c>
      <c r="AI366" s="8" t="str">
        <f>TEXT(RawSalesTable6[[#This Row],[Order_Date]],"mmmm")</f>
        <v>mai</v>
      </c>
      <c r="AJ366" s="8" t="str">
        <f>IF(RawSalesTable6[[#This Row],[Month_Number]]&lt;=3,"Q1",IF(RawSalesTable6[[#This Row],[Month_Number]]&lt;=6,"Q2",IF(RawSalesTable6[[#This Row],[Month_Number]]&lt;=9,"Q3","Q4")))</f>
        <v>Q2</v>
      </c>
      <c r="AK366" s="8" t="str">
        <f>VLOOKUP(RawSalesTable6[[#This Row],[Customer_ID_Clean]],CustomersTable[],4,FALSE)</f>
        <v>Manitoba</v>
      </c>
      <c r="AL366" s="8">
        <f>IF(RawSalesTable6[[#This Row],[Return_Status]]="Yes",1,0)</f>
        <v>0</v>
      </c>
    </row>
    <row r="367" spans="1:38">
      <c r="A367" t="s">
        <v>783</v>
      </c>
      <c r="B367" s="3">
        <v>45898</v>
      </c>
      <c r="C367" t="s">
        <v>108</v>
      </c>
      <c r="D367" t="s">
        <v>210</v>
      </c>
      <c r="E367" t="s">
        <v>110</v>
      </c>
      <c r="F367" t="s">
        <v>103</v>
      </c>
      <c r="G367" t="s">
        <v>183</v>
      </c>
      <c r="H367" t="s">
        <v>228</v>
      </c>
      <c r="I367">
        <v>2</v>
      </c>
      <c r="J367" s="2">
        <v>320.83999999999997</v>
      </c>
      <c r="K367" s="4">
        <v>0.25</v>
      </c>
      <c r="L367" t="s">
        <v>90</v>
      </c>
      <c r="M367">
        <v>5</v>
      </c>
      <c r="N367" t="s">
        <v>91</v>
      </c>
      <c r="O367" t="str">
        <f>SUBSTITUTE(PROPER(TRIM(RawSalesTable6[[#This Row],[Channel_Raw]])),"Market Place","Marketplace")</f>
        <v>Online</v>
      </c>
      <c r="P367" t="str">
        <f>TRIM(RawSalesTable6[[#This Row],[Product_ID]])</f>
        <v>P1040</v>
      </c>
      <c r="Q367" t="str">
        <f>TRIM(RawSalesTable6[[#This Row],[Customer_ID]])</f>
        <v>C0071</v>
      </c>
      <c r="R367" s="8" t="str">
        <f>PROPER(TRIM(RawSalesTable6[[#This Row],[Store_Raw]]))</f>
        <v>Vancouver West</v>
      </c>
      <c r="S367" s="8" t="str">
        <f>IF(TRIM(RawSalesTable6[[#This Row],[Payment_Method_Raw]])="","Non renseigné",SUBSTITUTE(PROPER(TRIM(RawSalesTable6[[#This Row],[Payment_Method_Raw]])),"Cc","Credit Card"))</f>
        <v>Paypal</v>
      </c>
      <c r="T367" s="8">
        <f>COUNTIF(A:A,RawSalesTable6[[#This Row],[Order_ID]])</f>
        <v>1</v>
      </c>
      <c r="U367" s="8" t="str">
        <f>TRIM(LEFT(RawSalesTable6[[#This Row],[Customer_Info]],FIND(",",RawSalesTable6[[#This Row],[Customer_Info]])-1))</f>
        <v>Ethan Lee</v>
      </c>
      <c r="V367" s="8" t="str">
        <f>TRIM(MID(RawSalesTable6[[#This Row],[Customer_Info]],FIND(",",RawSalesTable6[[#This Row],[Customer_Info]])+1,FIND(",",RawSalesTable6[[#This Row],[Customer_Info]],FIND(",",RawSalesTable6[[#This Row],[Customer_Info]])+1)-FIND(",",RawSalesTable6[[#This Row],[Customer_Info]])-1))</f>
        <v>Surrey</v>
      </c>
      <c r="W367" s="8" t="str">
        <f>TRIM(RIGHT(RawSalesTable6[[#This Row],[Customer_Info]],LEN(RawSalesTable6[[#This Row],[Customer_Info]])-FIND(",",RawSalesTable6[[#This Row],[Customer_Info]],FIND(",",RawSalesTable6[[#This Row],[Customer_Info]])+1)))</f>
        <v>Consumer</v>
      </c>
      <c r="X367" s="8" t="str">
        <f>VLOOKUP(RawSalesTable6[[#This Row],[Product_ID_Clean]],ProductsTable[],2,FALSE)</f>
        <v>Desk Pad</v>
      </c>
      <c r="Y367" s="8" t="str">
        <f>VLOOKUP(RawSalesTable6[[#This Row],[Product_ID_Clean]],ProductsTable[],3,FALSE)</f>
        <v>Accessories</v>
      </c>
      <c r="Z367" s="8">
        <f>VLOOKUP(RawSalesTable6[[#This Row],[Product_ID_Clean]],ProductsTable[],5,FALSE)</f>
        <v>177.57</v>
      </c>
      <c r="AA367" s="8">
        <f>RawSalesTable6[[#This Row],[Unit_Price]]*RawSalesTable6[[#This Row],[Quantity]]</f>
        <v>641.67999999999995</v>
      </c>
      <c r="AB367" s="8">
        <f>RawSalesTable6[[#This Row],[Gross_Sales]]*RawSalesTable6[[#This Row],[Discount_Pct]]</f>
        <v>160.41999999999999</v>
      </c>
      <c r="AC367" s="8">
        <f>RawSalesTable6[[#This Row],[Gross_Sales]]-RawSalesTable6[[#This Row],[Discount_Amount]]</f>
        <v>481.26</v>
      </c>
      <c r="AD367" s="8">
        <f>RawSalesTable6[[#This Row],[Unit_Cost]]*RawSalesTable6[[#This Row],[Quantity]]</f>
        <v>355.14</v>
      </c>
      <c r="AE367" s="8">
        <f>RawSalesTable6[[#This Row],[Net_Sales]]-RawSalesTable6[[#This Row],[Total_Cost]]</f>
        <v>126.12</v>
      </c>
      <c r="AF367" s="9">
        <f>RawSalesTable6[[#This Row],[Profit]]/RawSalesTable6[[#This Row],[Net_Sales]]</f>
        <v>0.26206208702156841</v>
      </c>
      <c r="AG367" s="8">
        <f>YEAR(RawSalesTable6[[#This Row],[Order_Date]])</f>
        <v>2025</v>
      </c>
      <c r="AH367" s="8">
        <f>MONTH(RawSalesTable6[[#This Row],[Order_Date]])</f>
        <v>8</v>
      </c>
      <c r="AI367" s="8" t="str">
        <f>TEXT(RawSalesTable6[[#This Row],[Order_Date]],"mmmm")</f>
        <v>août</v>
      </c>
      <c r="AJ367" s="8" t="str">
        <f>IF(RawSalesTable6[[#This Row],[Month_Number]]&lt;=3,"Q1",IF(RawSalesTable6[[#This Row],[Month_Number]]&lt;=6,"Q2",IF(RawSalesTable6[[#This Row],[Month_Number]]&lt;=9,"Q3","Q4")))</f>
        <v>Q3</v>
      </c>
      <c r="AK367" s="8" t="str">
        <f>VLOOKUP(RawSalesTable6[[#This Row],[Customer_ID_Clean]],CustomersTable[],4,FALSE)</f>
        <v>British Columbia</v>
      </c>
      <c r="AL367" s="8">
        <f>IF(RawSalesTable6[[#This Row],[Return_Status]]="Yes",1,0)</f>
        <v>0</v>
      </c>
    </row>
    <row r="368" spans="1:38">
      <c r="A368" t="s">
        <v>784</v>
      </c>
      <c r="B368" s="3">
        <v>45877</v>
      </c>
      <c r="C368" t="s">
        <v>472</v>
      </c>
      <c r="D368" t="s">
        <v>136</v>
      </c>
      <c r="E368" t="s">
        <v>473</v>
      </c>
      <c r="F368" t="s">
        <v>116</v>
      </c>
      <c r="G368" t="s">
        <v>130</v>
      </c>
      <c r="H368" t="s">
        <v>89</v>
      </c>
      <c r="I368">
        <v>3</v>
      </c>
      <c r="J368" s="2">
        <v>165.26</v>
      </c>
      <c r="K368" s="4">
        <v>0.05</v>
      </c>
      <c r="L368" t="s">
        <v>106</v>
      </c>
      <c r="M368">
        <v>1</v>
      </c>
      <c r="N368" t="s">
        <v>91</v>
      </c>
      <c r="O368" t="str">
        <f>SUBSTITUTE(PROPER(TRIM(RawSalesTable6[[#This Row],[Channel_Raw]])),"Market Place","Marketplace")</f>
        <v>Online</v>
      </c>
      <c r="P368" t="str">
        <f>TRIM(RawSalesTable6[[#This Row],[Product_ID]])</f>
        <v>P1003</v>
      </c>
      <c r="Q368" t="str">
        <f>TRIM(RawSalesTable6[[#This Row],[Customer_ID]])</f>
        <v>C0018</v>
      </c>
      <c r="R368" s="8" t="str">
        <f>PROPER(TRIM(RawSalesTable6[[#This Row],[Store_Raw]]))</f>
        <v>Toronto Downtown</v>
      </c>
      <c r="S368" s="8" t="str">
        <f>IF(TRIM(RawSalesTable6[[#This Row],[Payment_Method_Raw]])="","Non renseigné",SUBSTITUTE(PROPER(TRIM(RawSalesTable6[[#This Row],[Payment_Method_Raw]])),"Cc","Credit Card"))</f>
        <v>Credit Card</v>
      </c>
      <c r="T368" s="8">
        <f>COUNTIF(A:A,RawSalesTable6[[#This Row],[Order_ID]])</f>
        <v>1</v>
      </c>
      <c r="U368" s="8" t="str">
        <f>TRIM(LEFT(RawSalesTable6[[#This Row],[Customer_Info]],FIND(",",RawSalesTable6[[#This Row],[Customer_Info]])-1))</f>
        <v>Sophia Tremblay</v>
      </c>
      <c r="V368" s="8" t="str">
        <f>TRIM(MID(RawSalesTable6[[#This Row],[Customer_Info]],FIND(",",RawSalesTable6[[#This Row],[Customer_Info]])+1,FIND(",",RawSalesTable6[[#This Row],[Customer_Info]],FIND(",",RawSalesTable6[[#This Row],[Customer_Info]])+1)-FIND(",",RawSalesTable6[[#This Row],[Customer_Info]])-1))</f>
        <v>Laval</v>
      </c>
      <c r="W368" s="8" t="str">
        <f>TRIM(RIGHT(RawSalesTable6[[#This Row],[Customer_Info]],LEN(RawSalesTable6[[#This Row],[Customer_Info]])-FIND(",",RawSalesTable6[[#This Row],[Customer_Info]],FIND(",",RawSalesTable6[[#This Row],[Customer_Info]])+1)))</f>
        <v>Small Business</v>
      </c>
      <c r="X368" s="8" t="str">
        <f>VLOOKUP(RawSalesTable6[[#This Row],[Product_ID_Clean]],ProductsTable[],2,FALSE)</f>
        <v>Mouse</v>
      </c>
      <c r="Y368" s="8" t="str">
        <f>VLOOKUP(RawSalesTable6[[#This Row],[Product_ID_Clean]],ProductsTable[],3,FALSE)</f>
        <v>Electronics</v>
      </c>
      <c r="Z368" s="8">
        <f>VLOOKUP(RawSalesTable6[[#This Row],[Product_ID_Clean]],ProductsTable[],5,FALSE)</f>
        <v>106.4</v>
      </c>
      <c r="AA368" s="8">
        <f>RawSalesTable6[[#This Row],[Unit_Price]]*RawSalesTable6[[#This Row],[Quantity]]</f>
        <v>495.78</v>
      </c>
      <c r="AB368" s="8">
        <f>RawSalesTable6[[#This Row],[Gross_Sales]]*RawSalesTable6[[#This Row],[Discount_Pct]]</f>
        <v>24.789000000000001</v>
      </c>
      <c r="AC368" s="8">
        <f>RawSalesTable6[[#This Row],[Gross_Sales]]-RawSalesTable6[[#This Row],[Discount_Amount]]</f>
        <v>470.99099999999999</v>
      </c>
      <c r="AD368" s="8">
        <f>RawSalesTable6[[#This Row],[Unit_Cost]]*RawSalesTable6[[#This Row],[Quantity]]</f>
        <v>319.20000000000005</v>
      </c>
      <c r="AE368" s="8">
        <f>RawSalesTable6[[#This Row],[Net_Sales]]-RawSalesTable6[[#This Row],[Total_Cost]]</f>
        <v>151.79099999999994</v>
      </c>
      <c r="AF368" s="9">
        <f>RawSalesTable6[[#This Row],[Profit]]/RawSalesTable6[[#This Row],[Net_Sales]]</f>
        <v>0.32228004356771139</v>
      </c>
      <c r="AG368" s="8">
        <f>YEAR(RawSalesTable6[[#This Row],[Order_Date]])</f>
        <v>2025</v>
      </c>
      <c r="AH368" s="8">
        <f>MONTH(RawSalesTable6[[#This Row],[Order_Date]])</f>
        <v>8</v>
      </c>
      <c r="AI368" s="8" t="str">
        <f>TEXT(RawSalesTable6[[#This Row],[Order_Date]],"mmmm")</f>
        <v>août</v>
      </c>
      <c r="AJ368" s="8" t="str">
        <f>IF(RawSalesTable6[[#This Row],[Month_Number]]&lt;=3,"Q1",IF(RawSalesTable6[[#This Row],[Month_Number]]&lt;=6,"Q2",IF(RawSalesTable6[[#This Row],[Month_Number]]&lt;=9,"Q3","Q4")))</f>
        <v>Q3</v>
      </c>
      <c r="AK368" s="8" t="str">
        <f>VLOOKUP(RawSalesTable6[[#This Row],[Customer_ID_Clean]],CustomersTable[],4,FALSE)</f>
        <v>Quebec</v>
      </c>
      <c r="AL368" s="8">
        <f>IF(RawSalesTable6[[#This Row],[Return_Status]]="Yes",1,0)</f>
        <v>0</v>
      </c>
    </row>
    <row r="369" spans="1:38">
      <c r="A369" t="s">
        <v>785</v>
      </c>
      <c r="B369" s="3">
        <v>45897</v>
      </c>
      <c r="C369" t="s">
        <v>675</v>
      </c>
      <c r="D369" t="s">
        <v>194</v>
      </c>
      <c r="E369" t="s">
        <v>676</v>
      </c>
      <c r="F369" t="s">
        <v>145</v>
      </c>
      <c r="G369" t="s">
        <v>104</v>
      </c>
      <c r="H369" t="s">
        <v>97</v>
      </c>
      <c r="I369">
        <v>1</v>
      </c>
      <c r="J369" s="2">
        <v>209.3</v>
      </c>
      <c r="K369" s="4">
        <v>0.1</v>
      </c>
      <c r="L369" t="s">
        <v>106</v>
      </c>
      <c r="M369">
        <v>2</v>
      </c>
      <c r="N369" t="s">
        <v>91</v>
      </c>
      <c r="O369" t="str">
        <f>SUBSTITUTE(PROPER(TRIM(RawSalesTable6[[#This Row],[Channel_Raw]])),"Market Place","Marketplace")</f>
        <v>Retail Store</v>
      </c>
      <c r="P369" t="str">
        <f>TRIM(RawSalesTable6[[#This Row],[Product_ID]])</f>
        <v>P1029</v>
      </c>
      <c r="Q369" t="str">
        <f>TRIM(RawSalesTable6[[#This Row],[Customer_ID]])</f>
        <v>C0101</v>
      </c>
      <c r="R369" s="8" t="str">
        <f>PROPER(TRIM(RawSalesTable6[[#This Row],[Store_Raw]]))</f>
        <v>Calgary North</v>
      </c>
      <c r="S369" s="8" t="str">
        <f>IF(TRIM(RawSalesTable6[[#This Row],[Payment_Method_Raw]])="","Non renseigné",SUBSTITUTE(PROPER(TRIM(RawSalesTable6[[#This Row],[Payment_Method_Raw]])),"Cc","Credit Card"))</f>
        <v>Credit Card</v>
      </c>
      <c r="T369" s="8">
        <f>COUNTIF(A:A,RawSalesTable6[[#This Row],[Order_ID]])</f>
        <v>1</v>
      </c>
      <c r="U369" s="8" t="str">
        <f>TRIM(LEFT(RawSalesTable6[[#This Row],[Customer_Info]],FIND(",",RawSalesTable6[[#This Row],[Customer_Info]])-1))</f>
        <v>Noah Martin</v>
      </c>
      <c r="V369" s="8" t="str">
        <f>TRIM(MID(RawSalesTable6[[#This Row],[Customer_Info]],FIND(",",RawSalesTable6[[#This Row],[Customer_Info]])+1,FIND(",",RawSalesTable6[[#This Row],[Customer_Info]],FIND(",",RawSalesTable6[[#This Row],[Customer_Info]])+1)-FIND(",",RawSalesTable6[[#This Row],[Customer_Info]])-1))</f>
        <v>Saskatoon</v>
      </c>
      <c r="W369" s="8" t="str">
        <f>TRIM(RIGHT(RawSalesTable6[[#This Row],[Customer_Info]],LEN(RawSalesTable6[[#This Row],[Customer_Info]])-FIND(",",RawSalesTable6[[#This Row],[Customer_Info]],FIND(",",RawSalesTable6[[#This Row],[Customer_Info]])+1)))</f>
        <v>Small Business</v>
      </c>
      <c r="X369" s="8" t="str">
        <f>VLOOKUP(RawSalesTable6[[#This Row],[Product_ID_Clean]],ProductsTable[],2,FALSE)</f>
        <v>Jump Rope</v>
      </c>
      <c r="Y369" s="8" t="str">
        <f>VLOOKUP(RawSalesTable6[[#This Row],[Product_ID_Clean]],ProductsTable[],3,FALSE)</f>
        <v>Fitness</v>
      </c>
      <c r="Z369" s="8">
        <f>VLOOKUP(RawSalesTable6[[#This Row],[Product_ID_Clean]],ProductsTable[],5,FALSE)</f>
        <v>101</v>
      </c>
      <c r="AA369" s="8">
        <f>RawSalesTable6[[#This Row],[Unit_Price]]*RawSalesTable6[[#This Row],[Quantity]]</f>
        <v>209.3</v>
      </c>
      <c r="AB369" s="8">
        <f>RawSalesTable6[[#This Row],[Gross_Sales]]*RawSalesTable6[[#This Row],[Discount_Pct]]</f>
        <v>20.930000000000003</v>
      </c>
      <c r="AC369" s="8">
        <f>RawSalesTable6[[#This Row],[Gross_Sales]]-RawSalesTable6[[#This Row],[Discount_Amount]]</f>
        <v>188.37</v>
      </c>
      <c r="AD369" s="8">
        <f>RawSalesTable6[[#This Row],[Unit_Cost]]*RawSalesTable6[[#This Row],[Quantity]]</f>
        <v>101</v>
      </c>
      <c r="AE369" s="8">
        <f>RawSalesTable6[[#This Row],[Net_Sales]]-RawSalesTable6[[#This Row],[Total_Cost]]</f>
        <v>87.37</v>
      </c>
      <c r="AF369" s="9">
        <f>RawSalesTable6[[#This Row],[Profit]]/RawSalesTable6[[#This Row],[Net_Sales]]</f>
        <v>0.46382120295163776</v>
      </c>
      <c r="AG369" s="8">
        <f>YEAR(RawSalesTable6[[#This Row],[Order_Date]])</f>
        <v>2025</v>
      </c>
      <c r="AH369" s="8">
        <f>MONTH(RawSalesTable6[[#This Row],[Order_Date]])</f>
        <v>8</v>
      </c>
      <c r="AI369" s="8" t="str">
        <f>TEXT(RawSalesTable6[[#This Row],[Order_Date]],"mmmm")</f>
        <v>août</v>
      </c>
      <c r="AJ369" s="8" t="str">
        <f>IF(RawSalesTable6[[#This Row],[Month_Number]]&lt;=3,"Q1",IF(RawSalesTable6[[#This Row],[Month_Number]]&lt;=6,"Q2",IF(RawSalesTable6[[#This Row],[Month_Number]]&lt;=9,"Q3","Q4")))</f>
        <v>Q3</v>
      </c>
      <c r="AK369" s="8" t="str">
        <f>VLOOKUP(RawSalesTable6[[#This Row],[Customer_ID_Clean]],CustomersTable[],4,FALSE)</f>
        <v>Saskatchewan</v>
      </c>
      <c r="AL369" s="8">
        <f>IF(RawSalesTable6[[#This Row],[Return_Status]]="Yes",1,0)</f>
        <v>0</v>
      </c>
    </row>
    <row r="370" spans="1:38">
      <c r="A370" t="s">
        <v>786</v>
      </c>
      <c r="B370" s="3">
        <v>45923</v>
      </c>
      <c r="C370" t="s">
        <v>647</v>
      </c>
      <c r="D370" t="s">
        <v>738</v>
      </c>
      <c r="E370" t="s">
        <v>648</v>
      </c>
      <c r="F370" t="s">
        <v>116</v>
      </c>
      <c r="G370" t="s">
        <v>88</v>
      </c>
      <c r="H370" t="s">
        <v>97</v>
      </c>
      <c r="I370">
        <v>1</v>
      </c>
      <c r="J370" s="2">
        <v>308.68</v>
      </c>
      <c r="K370" s="4">
        <v>0.2</v>
      </c>
      <c r="L370" t="s">
        <v>106</v>
      </c>
      <c r="M370">
        <v>2</v>
      </c>
      <c r="N370" t="s">
        <v>91</v>
      </c>
      <c r="O370" t="str">
        <f>SUBSTITUTE(PROPER(TRIM(RawSalesTable6[[#This Row],[Channel_Raw]])),"Market Place","Marketplace")</f>
        <v>Retail Store</v>
      </c>
      <c r="P370" t="str">
        <f>TRIM(RawSalesTable6[[#This Row],[Product_ID]])</f>
        <v>P1016</v>
      </c>
      <c r="Q370" t="str">
        <f>TRIM(RawSalesTable6[[#This Row],[Customer_ID]])</f>
        <v>C0050</v>
      </c>
      <c r="R370" s="8" t="str">
        <f>PROPER(TRIM(RawSalesTable6[[#This Row],[Store_Raw]]))</f>
        <v>Toronto Downtown</v>
      </c>
      <c r="S370" s="8" t="str">
        <f>IF(TRIM(RawSalesTable6[[#This Row],[Payment_Method_Raw]])="","Non renseigné",SUBSTITUTE(PROPER(TRIM(RawSalesTable6[[#This Row],[Payment_Method_Raw]])),"Cc","Credit Card"))</f>
        <v>Credit Card</v>
      </c>
      <c r="T370" s="8">
        <f>COUNTIF(A:A,RawSalesTable6[[#This Row],[Order_ID]])</f>
        <v>1</v>
      </c>
      <c r="U370" s="8" t="str">
        <f>TRIM(LEFT(RawSalesTable6[[#This Row],[Customer_Info]],FIND(",",RawSalesTable6[[#This Row],[Customer_Info]])-1))</f>
        <v>Sarah Singh</v>
      </c>
      <c r="V370" s="8" t="str">
        <f>TRIM(MID(RawSalesTable6[[#This Row],[Customer_Info]],FIND(",",RawSalesTable6[[#This Row],[Customer_Info]])+1,FIND(",",RawSalesTable6[[#This Row],[Customer_Info]],FIND(",",RawSalesTable6[[#This Row],[Customer_Info]])+1)-FIND(",",RawSalesTable6[[#This Row],[Customer_Info]])-1))</f>
        <v>Mississauga</v>
      </c>
      <c r="W370" s="8" t="str">
        <f>TRIM(RIGHT(RawSalesTable6[[#This Row],[Customer_Info]],LEN(RawSalesTable6[[#This Row],[Customer_Info]])-FIND(",",RawSalesTable6[[#This Row],[Customer_Info]],FIND(",",RawSalesTable6[[#This Row],[Customer_Info]])+1)))</f>
        <v>Consumer</v>
      </c>
      <c r="X370" s="8" t="str">
        <f>VLOOKUP(RawSalesTable6[[#This Row],[Product_ID_Clean]],ProductsTable[],2,FALSE)</f>
        <v>Printer</v>
      </c>
      <c r="Y370" s="8" t="str">
        <f>VLOOKUP(RawSalesTable6[[#This Row],[Product_ID_Clean]],ProductsTable[],3,FALSE)</f>
        <v>Office</v>
      </c>
      <c r="Z370" s="8">
        <f>VLOOKUP(RawSalesTable6[[#This Row],[Product_ID_Clean]],ProductsTable[],5,FALSE)</f>
        <v>156.75</v>
      </c>
      <c r="AA370" s="8">
        <f>RawSalesTable6[[#This Row],[Unit_Price]]*RawSalesTable6[[#This Row],[Quantity]]</f>
        <v>308.68</v>
      </c>
      <c r="AB370" s="8">
        <f>RawSalesTable6[[#This Row],[Gross_Sales]]*RawSalesTable6[[#This Row],[Discount_Pct]]</f>
        <v>61.736000000000004</v>
      </c>
      <c r="AC370" s="8">
        <f>RawSalesTable6[[#This Row],[Gross_Sales]]-RawSalesTable6[[#This Row],[Discount_Amount]]</f>
        <v>246.94400000000002</v>
      </c>
      <c r="AD370" s="8">
        <f>RawSalesTable6[[#This Row],[Unit_Cost]]*RawSalesTable6[[#This Row],[Quantity]]</f>
        <v>156.75</v>
      </c>
      <c r="AE370" s="8">
        <f>RawSalesTable6[[#This Row],[Net_Sales]]-RawSalesTable6[[#This Row],[Total_Cost]]</f>
        <v>90.194000000000017</v>
      </c>
      <c r="AF370" s="9">
        <f>RawSalesTable6[[#This Row],[Profit]]/RawSalesTable6[[#This Row],[Net_Sales]]</f>
        <v>0.36524070234547107</v>
      </c>
      <c r="AG370" s="8">
        <f>YEAR(RawSalesTable6[[#This Row],[Order_Date]])</f>
        <v>2025</v>
      </c>
      <c r="AH370" s="8">
        <f>MONTH(RawSalesTable6[[#This Row],[Order_Date]])</f>
        <v>9</v>
      </c>
      <c r="AI370" s="8" t="str">
        <f>TEXT(RawSalesTable6[[#This Row],[Order_Date]],"mmmm")</f>
        <v>septembre</v>
      </c>
      <c r="AJ370" s="8" t="str">
        <f>IF(RawSalesTable6[[#This Row],[Month_Number]]&lt;=3,"Q1",IF(RawSalesTable6[[#This Row],[Month_Number]]&lt;=6,"Q2",IF(RawSalesTable6[[#This Row],[Month_Number]]&lt;=9,"Q3","Q4")))</f>
        <v>Q3</v>
      </c>
      <c r="AK370" s="8" t="str">
        <f>VLOOKUP(RawSalesTable6[[#This Row],[Customer_ID_Clean]],CustomersTable[],4,FALSE)</f>
        <v>Ontario</v>
      </c>
      <c r="AL370" s="8">
        <f>IF(RawSalesTable6[[#This Row],[Return_Status]]="Yes",1,0)</f>
        <v>0</v>
      </c>
    </row>
    <row r="371" spans="1:38">
      <c r="A371" t="s">
        <v>787</v>
      </c>
      <c r="B371" s="3">
        <v>45887</v>
      </c>
      <c r="C371" t="s">
        <v>531</v>
      </c>
      <c r="D371" t="s">
        <v>226</v>
      </c>
      <c r="E371" t="s">
        <v>532</v>
      </c>
      <c r="F371" t="s">
        <v>116</v>
      </c>
      <c r="G371" t="s">
        <v>104</v>
      </c>
      <c r="H371" t="s">
        <v>97</v>
      </c>
      <c r="I371">
        <v>3</v>
      </c>
      <c r="J371" s="2">
        <v>215.17</v>
      </c>
      <c r="K371" s="4">
        <v>0.2</v>
      </c>
      <c r="L371" t="s">
        <v>106</v>
      </c>
      <c r="M371">
        <v>0</v>
      </c>
      <c r="N371" t="s">
        <v>91</v>
      </c>
      <c r="O371" t="str">
        <f>SUBSTITUTE(PROPER(TRIM(RawSalesTable6[[#This Row],[Channel_Raw]])),"Market Place","Marketplace")</f>
        <v>Retail Store</v>
      </c>
      <c r="P371" t="str">
        <f>TRIM(RawSalesTable6[[#This Row],[Product_ID]])</f>
        <v>P1010</v>
      </c>
      <c r="Q371" t="str">
        <f>TRIM(RawSalesTable6[[#This Row],[Customer_ID]])</f>
        <v>C0042</v>
      </c>
      <c r="R371" s="8" t="str">
        <f>PROPER(TRIM(RawSalesTable6[[#This Row],[Store_Raw]]))</f>
        <v>Toronto Downtown</v>
      </c>
      <c r="S371" s="8" t="str">
        <f>IF(TRIM(RawSalesTable6[[#This Row],[Payment_Method_Raw]])="","Non renseigné",SUBSTITUTE(PROPER(TRIM(RawSalesTable6[[#This Row],[Payment_Method_Raw]])),"Cc","Credit Card"))</f>
        <v>Credit Card</v>
      </c>
      <c r="T371" s="8">
        <f>COUNTIF(A:A,RawSalesTable6[[#This Row],[Order_ID]])</f>
        <v>1</v>
      </c>
      <c r="U371" s="8" t="str">
        <f>TRIM(LEFT(RawSalesTable6[[#This Row],[Customer_Info]],FIND(",",RawSalesTable6[[#This Row],[Customer_Info]])-1))</f>
        <v>Emma King</v>
      </c>
      <c r="V371" s="8" t="str">
        <f>TRIM(MID(RawSalesTable6[[#This Row],[Customer_Info]],FIND(",",RawSalesTable6[[#This Row],[Customer_Info]])+1,FIND(",",RawSalesTable6[[#This Row],[Customer_Info]],FIND(",",RawSalesTable6[[#This Row],[Customer_Info]])+1)-FIND(",",RawSalesTable6[[#This Row],[Customer_Info]])-1))</f>
        <v>Quebec City</v>
      </c>
      <c r="W371" s="8" t="str">
        <f>TRIM(RIGHT(RawSalesTable6[[#This Row],[Customer_Info]],LEN(RawSalesTable6[[#This Row],[Customer_Info]])-FIND(",",RawSalesTable6[[#This Row],[Customer_Info]],FIND(",",RawSalesTable6[[#This Row],[Customer_Info]])+1)))</f>
        <v>Consumer</v>
      </c>
      <c r="X371" s="8" t="str">
        <f>VLOOKUP(RawSalesTable6[[#This Row],[Product_ID_Clean]],ProductsTable[],2,FALSE)</f>
        <v>Desk Lamp</v>
      </c>
      <c r="Y371" s="8" t="str">
        <f>VLOOKUP(RawSalesTable6[[#This Row],[Product_ID_Clean]],ProductsTable[],3,FALSE)</f>
        <v>Office</v>
      </c>
      <c r="Z371" s="8">
        <f>VLOOKUP(RawSalesTable6[[#This Row],[Product_ID_Clean]],ProductsTable[],5,FALSE)</f>
        <v>127.21</v>
      </c>
      <c r="AA371" s="8">
        <f>RawSalesTable6[[#This Row],[Unit_Price]]*RawSalesTable6[[#This Row],[Quantity]]</f>
        <v>645.51</v>
      </c>
      <c r="AB371" s="8">
        <f>RawSalesTable6[[#This Row],[Gross_Sales]]*RawSalesTable6[[#This Row],[Discount_Pct]]</f>
        <v>129.102</v>
      </c>
      <c r="AC371" s="8">
        <f>RawSalesTable6[[#This Row],[Gross_Sales]]-RawSalesTable6[[#This Row],[Discount_Amount]]</f>
        <v>516.40800000000002</v>
      </c>
      <c r="AD371" s="8">
        <f>RawSalesTable6[[#This Row],[Unit_Cost]]*RawSalesTable6[[#This Row],[Quantity]]</f>
        <v>381.63</v>
      </c>
      <c r="AE371" s="8">
        <f>RawSalesTable6[[#This Row],[Net_Sales]]-RawSalesTable6[[#This Row],[Total_Cost]]</f>
        <v>134.77800000000002</v>
      </c>
      <c r="AF371" s="9">
        <f>RawSalesTable6[[#This Row],[Profit]]/RawSalesTable6[[#This Row],[Net_Sales]]</f>
        <v>0.26099130919737884</v>
      </c>
      <c r="AG371" s="8">
        <f>YEAR(RawSalesTable6[[#This Row],[Order_Date]])</f>
        <v>2025</v>
      </c>
      <c r="AH371" s="8">
        <f>MONTH(RawSalesTable6[[#This Row],[Order_Date]])</f>
        <v>8</v>
      </c>
      <c r="AI371" s="8" t="str">
        <f>TEXT(RawSalesTable6[[#This Row],[Order_Date]],"mmmm")</f>
        <v>août</v>
      </c>
      <c r="AJ371" s="8" t="str">
        <f>IF(RawSalesTable6[[#This Row],[Month_Number]]&lt;=3,"Q1",IF(RawSalesTable6[[#This Row],[Month_Number]]&lt;=6,"Q2",IF(RawSalesTable6[[#This Row],[Month_Number]]&lt;=9,"Q3","Q4")))</f>
        <v>Q3</v>
      </c>
      <c r="AK371" s="8" t="str">
        <f>VLOOKUP(RawSalesTable6[[#This Row],[Customer_ID_Clean]],CustomersTable[],4,FALSE)</f>
        <v>Quebec</v>
      </c>
      <c r="AL371" s="8">
        <f>IF(RawSalesTable6[[#This Row],[Return_Status]]="Yes",1,0)</f>
        <v>0</v>
      </c>
    </row>
    <row r="372" spans="1:38">
      <c r="A372" t="s">
        <v>788</v>
      </c>
      <c r="B372" s="3">
        <v>45816</v>
      </c>
      <c r="C372" t="s">
        <v>197</v>
      </c>
      <c r="D372" t="s">
        <v>217</v>
      </c>
      <c r="E372" t="s">
        <v>198</v>
      </c>
      <c r="F372" t="s">
        <v>145</v>
      </c>
      <c r="G372" t="s">
        <v>183</v>
      </c>
      <c r="H372" t="s">
        <v>97</v>
      </c>
      <c r="I372">
        <v>3</v>
      </c>
      <c r="J372" s="2">
        <v>111.59</v>
      </c>
      <c r="K372" s="4">
        <v>0.05</v>
      </c>
      <c r="L372" t="s">
        <v>98</v>
      </c>
      <c r="M372">
        <v>1</v>
      </c>
      <c r="N372" t="s">
        <v>147</v>
      </c>
      <c r="O372" t="str">
        <f>SUBSTITUTE(PROPER(TRIM(RawSalesTable6[[#This Row],[Channel_Raw]])),"Market Place","Marketplace")</f>
        <v>Retail Store</v>
      </c>
      <c r="P372" t="str">
        <f>TRIM(RawSalesTable6[[#This Row],[Product_ID]])</f>
        <v>P1006</v>
      </c>
      <c r="Q372" t="str">
        <f>TRIM(RawSalesTable6[[#This Row],[Customer_ID]])</f>
        <v>C0091</v>
      </c>
      <c r="R372" s="8" t="str">
        <f>PROPER(TRIM(RawSalesTable6[[#This Row],[Store_Raw]]))</f>
        <v>Calgary North</v>
      </c>
      <c r="S372" s="8" t="str">
        <f>IF(TRIM(RawSalesTable6[[#This Row],[Payment_Method_Raw]])="","Non renseigné",SUBSTITUTE(PROPER(TRIM(RawSalesTable6[[#This Row],[Payment_Method_Raw]])),"Cc","Credit Card"))</f>
        <v>Debit Card</v>
      </c>
      <c r="T372" s="8">
        <f>COUNTIF(A:A,RawSalesTable6[[#This Row],[Order_ID]])</f>
        <v>1</v>
      </c>
      <c r="U372" s="8" t="str">
        <f>TRIM(LEFT(RawSalesTable6[[#This Row],[Customer_Info]],FIND(",",RawSalesTable6[[#This Row],[Customer_Info]])-1))</f>
        <v>Leo Taylor</v>
      </c>
      <c r="V372" s="8" t="str">
        <f>TRIM(MID(RawSalesTable6[[#This Row],[Customer_Info]],FIND(",",RawSalesTable6[[#This Row],[Customer_Info]])+1,FIND(",",RawSalesTable6[[#This Row],[Customer_Info]],FIND(",",RawSalesTable6[[#This Row],[Customer_Info]])+1)-FIND(",",RawSalesTable6[[#This Row],[Customer_Info]])-1))</f>
        <v>Victoria</v>
      </c>
      <c r="W372" s="8" t="str">
        <f>TRIM(RIGHT(RawSalesTable6[[#This Row],[Customer_Info]],LEN(RawSalesTable6[[#This Row],[Customer_Info]])-FIND(",",RawSalesTable6[[#This Row],[Customer_Info]],FIND(",",RawSalesTable6[[#This Row],[Customer_Info]])+1)))</f>
        <v>Small Business</v>
      </c>
      <c r="X372" s="8" t="str">
        <f>VLOOKUP(RawSalesTable6[[#This Row],[Product_ID_Clean]],ProductsTable[],2,FALSE)</f>
        <v>USB-C Hub</v>
      </c>
      <c r="Y372" s="8" t="str">
        <f>VLOOKUP(RawSalesTable6[[#This Row],[Product_ID_Clean]],ProductsTable[],3,FALSE)</f>
        <v>Electronics</v>
      </c>
      <c r="Z372" s="8">
        <f>VLOOKUP(RawSalesTable6[[#This Row],[Product_ID_Clean]],ProductsTable[],5,FALSE)</f>
        <v>72</v>
      </c>
      <c r="AA372" s="8">
        <f>RawSalesTable6[[#This Row],[Unit_Price]]*RawSalesTable6[[#This Row],[Quantity]]</f>
        <v>334.77</v>
      </c>
      <c r="AB372" s="8">
        <f>RawSalesTable6[[#This Row],[Gross_Sales]]*RawSalesTable6[[#This Row],[Discount_Pct]]</f>
        <v>16.738499999999998</v>
      </c>
      <c r="AC372" s="8">
        <f>RawSalesTable6[[#This Row],[Gross_Sales]]-RawSalesTable6[[#This Row],[Discount_Amount]]</f>
        <v>318.03149999999999</v>
      </c>
      <c r="AD372" s="8">
        <f>RawSalesTable6[[#This Row],[Unit_Cost]]*RawSalesTable6[[#This Row],[Quantity]]</f>
        <v>216</v>
      </c>
      <c r="AE372" s="8">
        <f>RawSalesTable6[[#This Row],[Net_Sales]]-RawSalesTable6[[#This Row],[Total_Cost]]</f>
        <v>102.03149999999999</v>
      </c>
      <c r="AF372" s="9">
        <f>RawSalesTable6[[#This Row],[Profit]]/RawSalesTable6[[#This Row],[Net_Sales]]</f>
        <v>0.32082199404775941</v>
      </c>
      <c r="AG372" s="8">
        <f>YEAR(RawSalesTable6[[#This Row],[Order_Date]])</f>
        <v>2025</v>
      </c>
      <c r="AH372" s="8">
        <f>MONTH(RawSalesTable6[[#This Row],[Order_Date]])</f>
        <v>6</v>
      </c>
      <c r="AI372" s="8" t="str">
        <f>TEXT(RawSalesTable6[[#This Row],[Order_Date]],"mmmm")</f>
        <v>juin</v>
      </c>
      <c r="AJ372" s="8" t="str">
        <f>IF(RawSalesTable6[[#This Row],[Month_Number]]&lt;=3,"Q1",IF(RawSalesTable6[[#This Row],[Month_Number]]&lt;=6,"Q2",IF(RawSalesTable6[[#This Row],[Month_Number]]&lt;=9,"Q3","Q4")))</f>
        <v>Q2</v>
      </c>
      <c r="AK372" s="8" t="str">
        <f>VLOOKUP(RawSalesTable6[[#This Row],[Customer_ID_Clean]],CustomersTable[],4,FALSE)</f>
        <v>British Columbia</v>
      </c>
      <c r="AL372" s="8">
        <f>IF(RawSalesTable6[[#This Row],[Return_Status]]="Yes",1,0)</f>
        <v>1</v>
      </c>
    </row>
    <row r="373" spans="1:38">
      <c r="A373" t="s">
        <v>789</v>
      </c>
      <c r="B373" s="3">
        <v>45663</v>
      </c>
      <c r="C373" t="s">
        <v>448</v>
      </c>
      <c r="D373" t="s">
        <v>165</v>
      </c>
      <c r="E373" t="s">
        <v>790</v>
      </c>
      <c r="F373" t="s">
        <v>116</v>
      </c>
      <c r="G373" t="s">
        <v>183</v>
      </c>
      <c r="H373" t="s">
        <v>89</v>
      </c>
      <c r="I373">
        <v>2</v>
      </c>
      <c r="J373" s="2">
        <v>102.81</v>
      </c>
      <c r="K373" s="4">
        <v>0</v>
      </c>
      <c r="L373" t="s">
        <v>90</v>
      </c>
      <c r="M373">
        <v>7</v>
      </c>
      <c r="N373" t="s">
        <v>91</v>
      </c>
      <c r="O373" t="str">
        <f>SUBSTITUTE(PROPER(TRIM(RawSalesTable6[[#This Row],[Channel_Raw]])),"Market Place","Marketplace")</f>
        <v>Online</v>
      </c>
      <c r="P373" t="str">
        <f>TRIM(RawSalesTable6[[#This Row],[Product_ID]])</f>
        <v>P1024</v>
      </c>
      <c r="Q373" t="str">
        <f>TRIM(RawSalesTable6[[#This Row],[Customer_ID]])</f>
        <v>C0074</v>
      </c>
      <c r="R373" s="8" t="str">
        <f>PROPER(TRIM(RawSalesTable6[[#This Row],[Store_Raw]]))</f>
        <v>Toronto Downtown</v>
      </c>
      <c r="S373" s="8" t="str">
        <f>IF(TRIM(RawSalesTable6[[#This Row],[Payment_Method_Raw]])="","Non renseigné",SUBSTITUTE(PROPER(TRIM(RawSalesTable6[[#This Row],[Payment_Method_Raw]])),"Cc","Credit Card"))</f>
        <v>Paypal</v>
      </c>
      <c r="T373" s="8">
        <f>COUNTIF(A:A,RawSalesTable6[[#This Row],[Order_ID]])</f>
        <v>1</v>
      </c>
      <c r="U373" s="8" t="str">
        <f>TRIM(LEFT(RawSalesTable6[[#This Row],[Customer_Info]],FIND(",",RawSalesTable6[[#This Row],[Customer_Info]])-1))</f>
        <v>Sophia Chen</v>
      </c>
      <c r="V373" s="8" t="str">
        <f>TRIM(MID(RawSalesTable6[[#This Row],[Customer_Info]],FIND(",",RawSalesTable6[[#This Row],[Customer_Info]])+1,FIND(",",RawSalesTable6[[#This Row],[Customer_Info]],FIND(",",RawSalesTable6[[#This Row],[Customer_Info]])+1)-FIND(",",RawSalesTable6[[#This Row],[Customer_Info]])-1))</f>
        <v>Vancouver</v>
      </c>
      <c r="W373" s="8" t="str">
        <f>TRIM(RIGHT(RawSalesTable6[[#This Row],[Customer_Info]],LEN(RawSalesTable6[[#This Row],[Customer_Info]])-FIND(",",RawSalesTable6[[#This Row],[Customer_Info]],FIND(",",RawSalesTable6[[#This Row],[Customer_Info]])+1)))</f>
        <v>Corporate</v>
      </c>
      <c r="X373" s="8" t="str">
        <f>VLOOKUP(RawSalesTable6[[#This Row],[Product_ID_Clean]],ProductsTable[],2,FALSE)</f>
        <v>Food Scale</v>
      </c>
      <c r="Y373" s="8" t="str">
        <f>VLOOKUP(RawSalesTable6[[#This Row],[Product_ID_Clean]],ProductsTable[],3,FALSE)</f>
        <v>Home</v>
      </c>
      <c r="Z373" s="8">
        <f>VLOOKUP(RawSalesTable6[[#This Row],[Product_ID_Clean]],ProductsTable[],5,FALSE)</f>
        <v>46.07</v>
      </c>
      <c r="AA373" s="8">
        <f>RawSalesTable6[[#This Row],[Unit_Price]]*RawSalesTable6[[#This Row],[Quantity]]</f>
        <v>205.62</v>
      </c>
      <c r="AB373" s="8">
        <f>RawSalesTable6[[#This Row],[Gross_Sales]]*RawSalesTable6[[#This Row],[Discount_Pct]]</f>
        <v>0</v>
      </c>
      <c r="AC373" s="8">
        <f>RawSalesTable6[[#This Row],[Gross_Sales]]-RawSalesTable6[[#This Row],[Discount_Amount]]</f>
        <v>205.62</v>
      </c>
      <c r="AD373" s="8">
        <f>RawSalesTable6[[#This Row],[Unit_Cost]]*RawSalesTable6[[#This Row],[Quantity]]</f>
        <v>92.14</v>
      </c>
      <c r="AE373" s="8">
        <f>RawSalesTable6[[#This Row],[Net_Sales]]-RawSalesTable6[[#This Row],[Total_Cost]]</f>
        <v>113.48</v>
      </c>
      <c r="AF373" s="9">
        <f>RawSalesTable6[[#This Row],[Profit]]/RawSalesTable6[[#This Row],[Net_Sales]]</f>
        <v>0.55189183931524166</v>
      </c>
      <c r="AG373" s="8">
        <f>YEAR(RawSalesTable6[[#This Row],[Order_Date]])</f>
        <v>2025</v>
      </c>
      <c r="AH373" s="8">
        <f>MONTH(RawSalesTable6[[#This Row],[Order_Date]])</f>
        <v>1</v>
      </c>
      <c r="AI373" s="8" t="str">
        <f>TEXT(RawSalesTable6[[#This Row],[Order_Date]],"mmmm")</f>
        <v>janvier</v>
      </c>
      <c r="AJ373" s="8" t="str">
        <f>IF(RawSalesTable6[[#This Row],[Month_Number]]&lt;=3,"Q1",IF(RawSalesTable6[[#This Row],[Month_Number]]&lt;=6,"Q2",IF(RawSalesTable6[[#This Row],[Month_Number]]&lt;=9,"Q3","Q4")))</f>
        <v>Q1</v>
      </c>
      <c r="AK373" s="8" t="str">
        <f>VLOOKUP(RawSalesTable6[[#This Row],[Customer_ID_Clean]],CustomersTable[],4,FALSE)</f>
        <v>British Columbia</v>
      </c>
      <c r="AL373" s="8">
        <f>IF(RawSalesTable6[[#This Row],[Return_Status]]="Yes",1,0)</f>
        <v>0</v>
      </c>
    </row>
    <row r="374" spans="1:38">
      <c r="A374" t="s">
        <v>791</v>
      </c>
      <c r="B374" s="3">
        <v>45828</v>
      </c>
      <c r="C374" t="s">
        <v>132</v>
      </c>
      <c r="D374" t="s">
        <v>271</v>
      </c>
      <c r="E374" t="s">
        <v>134</v>
      </c>
      <c r="F374" t="s">
        <v>116</v>
      </c>
      <c r="G374" t="s">
        <v>88</v>
      </c>
      <c r="H374" t="s">
        <v>89</v>
      </c>
      <c r="I374">
        <v>1</v>
      </c>
      <c r="J374" s="2">
        <v>224.42</v>
      </c>
      <c r="K374" s="4">
        <v>0.05</v>
      </c>
      <c r="L374" t="s">
        <v>106</v>
      </c>
      <c r="M374">
        <v>7</v>
      </c>
      <c r="N374" t="s">
        <v>91</v>
      </c>
      <c r="O374" t="str">
        <f>SUBSTITUTE(PROPER(TRIM(RawSalesTable6[[#This Row],[Channel_Raw]])),"Market Place","Marketplace")</f>
        <v>Online</v>
      </c>
      <c r="P374" t="str">
        <f>TRIM(RawSalesTable6[[#This Row],[Product_ID]])</f>
        <v>P1026</v>
      </c>
      <c r="Q374" t="str">
        <f>TRIM(RawSalesTable6[[#This Row],[Customer_ID]])</f>
        <v>C0104</v>
      </c>
      <c r="R374" s="8" t="str">
        <f>PROPER(TRIM(RawSalesTable6[[#This Row],[Store_Raw]]))</f>
        <v>Toronto Downtown</v>
      </c>
      <c r="S374" s="8" t="str">
        <f>IF(TRIM(RawSalesTable6[[#This Row],[Payment_Method_Raw]])="","Non renseigné",SUBSTITUTE(PROPER(TRIM(RawSalesTable6[[#This Row],[Payment_Method_Raw]])),"Cc","Credit Card"))</f>
        <v>Credit Card</v>
      </c>
      <c r="T374" s="8">
        <f>COUNTIF(A:A,RawSalesTable6[[#This Row],[Order_ID]])</f>
        <v>1</v>
      </c>
      <c r="U374" s="8" t="str">
        <f>TRIM(LEFT(RawSalesTable6[[#This Row],[Customer_Info]],FIND(",",RawSalesTable6[[#This Row],[Customer_Info]])-1))</f>
        <v>Ava Scott</v>
      </c>
      <c r="V374" s="8" t="str">
        <f>TRIM(MID(RawSalesTable6[[#This Row],[Customer_Info]],FIND(",",RawSalesTable6[[#This Row],[Customer_Info]])+1,FIND(",",RawSalesTable6[[#This Row],[Customer_Info]],FIND(",",RawSalesTable6[[#This Row],[Customer_Info]])+1)-FIND(",",RawSalesTable6[[#This Row],[Customer_Info]])-1))</f>
        <v>Edmonton</v>
      </c>
      <c r="W374" s="8" t="str">
        <f>TRIM(RIGHT(RawSalesTable6[[#This Row],[Customer_Info]],LEN(RawSalesTable6[[#This Row],[Customer_Info]])-FIND(",",RawSalesTable6[[#This Row],[Customer_Info]],FIND(",",RawSalesTable6[[#This Row],[Customer_Info]])+1)))</f>
        <v>Corporate</v>
      </c>
      <c r="X374" s="8" t="str">
        <f>VLOOKUP(RawSalesTable6[[#This Row],[Product_ID_Clean]],ProductsTable[],2,FALSE)</f>
        <v>Resistance Bands</v>
      </c>
      <c r="Y374" s="8" t="str">
        <f>VLOOKUP(RawSalesTable6[[#This Row],[Product_ID_Clean]],ProductsTable[],3,FALSE)</f>
        <v>Fitness</v>
      </c>
      <c r="Z374" s="8">
        <f>VLOOKUP(RawSalesTable6[[#This Row],[Product_ID_Clean]],ProductsTable[],5,FALSE)</f>
        <v>139.19999999999999</v>
      </c>
      <c r="AA374" s="8">
        <f>RawSalesTable6[[#This Row],[Unit_Price]]*RawSalesTable6[[#This Row],[Quantity]]</f>
        <v>224.42</v>
      </c>
      <c r="AB374" s="8">
        <f>RawSalesTable6[[#This Row],[Gross_Sales]]*RawSalesTable6[[#This Row],[Discount_Pct]]</f>
        <v>11.221</v>
      </c>
      <c r="AC374" s="8">
        <f>RawSalesTable6[[#This Row],[Gross_Sales]]-RawSalesTable6[[#This Row],[Discount_Amount]]</f>
        <v>213.19899999999998</v>
      </c>
      <c r="AD374" s="8">
        <f>RawSalesTable6[[#This Row],[Unit_Cost]]*RawSalesTable6[[#This Row],[Quantity]]</f>
        <v>139.19999999999999</v>
      </c>
      <c r="AE374" s="8">
        <f>RawSalesTable6[[#This Row],[Net_Sales]]-RawSalesTable6[[#This Row],[Total_Cost]]</f>
        <v>73.998999999999995</v>
      </c>
      <c r="AF374" s="9">
        <f>RawSalesTable6[[#This Row],[Profit]]/RawSalesTable6[[#This Row],[Net_Sales]]</f>
        <v>0.3470888700228425</v>
      </c>
      <c r="AG374" s="8">
        <f>YEAR(RawSalesTable6[[#This Row],[Order_Date]])</f>
        <v>2025</v>
      </c>
      <c r="AH374" s="8">
        <f>MONTH(RawSalesTable6[[#This Row],[Order_Date]])</f>
        <v>6</v>
      </c>
      <c r="AI374" s="8" t="str">
        <f>TEXT(RawSalesTable6[[#This Row],[Order_Date]],"mmmm")</f>
        <v>juin</v>
      </c>
      <c r="AJ374" s="8" t="str">
        <f>IF(RawSalesTable6[[#This Row],[Month_Number]]&lt;=3,"Q1",IF(RawSalesTable6[[#This Row],[Month_Number]]&lt;=6,"Q2",IF(RawSalesTable6[[#This Row],[Month_Number]]&lt;=9,"Q3","Q4")))</f>
        <v>Q2</v>
      </c>
      <c r="AK374" s="8" t="str">
        <f>VLOOKUP(RawSalesTable6[[#This Row],[Customer_ID_Clean]],CustomersTable[],4,FALSE)</f>
        <v>Alberta</v>
      </c>
      <c r="AL374" s="8">
        <f>IF(RawSalesTable6[[#This Row],[Return_Status]]="Yes",1,0)</f>
        <v>0</v>
      </c>
    </row>
    <row r="375" spans="1:38">
      <c r="A375" t="s">
        <v>792</v>
      </c>
      <c r="B375" s="3">
        <v>46001</v>
      </c>
      <c r="C375" t="s">
        <v>203</v>
      </c>
      <c r="D375" t="s">
        <v>120</v>
      </c>
      <c r="E375" t="s">
        <v>204</v>
      </c>
      <c r="F375" t="s">
        <v>87</v>
      </c>
      <c r="G375" t="s">
        <v>104</v>
      </c>
      <c r="H375" t="s">
        <v>97</v>
      </c>
      <c r="I375">
        <v>1</v>
      </c>
      <c r="J375" s="2">
        <v>386.46</v>
      </c>
      <c r="K375" s="4">
        <v>0.2</v>
      </c>
      <c r="L375" t="s">
        <v>98</v>
      </c>
      <c r="M375">
        <v>0</v>
      </c>
      <c r="N375" t="s">
        <v>91</v>
      </c>
      <c r="O375" t="str">
        <f>SUBSTITUTE(PROPER(TRIM(RawSalesTable6[[#This Row],[Channel_Raw]])),"Market Place","Marketplace")</f>
        <v>Retail Store</v>
      </c>
      <c r="P375" t="str">
        <f>TRIM(RawSalesTable6[[#This Row],[Product_ID]])</f>
        <v>P1015</v>
      </c>
      <c r="Q375" t="str">
        <f>TRIM(RawSalesTable6[[#This Row],[Customer_ID]])</f>
        <v>C0029</v>
      </c>
      <c r="R375" s="8" t="str">
        <f>PROPER(TRIM(RawSalesTable6[[#This Row],[Store_Raw]]))</f>
        <v>Online Fulfillment</v>
      </c>
      <c r="S375" s="8" t="str">
        <f>IF(TRIM(RawSalesTable6[[#This Row],[Payment_Method_Raw]])="","Non renseigné",SUBSTITUTE(PROPER(TRIM(RawSalesTable6[[#This Row],[Payment_Method_Raw]])),"Cc","Credit Card"))</f>
        <v>Debit Card</v>
      </c>
      <c r="T375" s="8">
        <f>COUNTIF(A:A,RawSalesTable6[[#This Row],[Order_ID]])</f>
        <v>1</v>
      </c>
      <c r="U375" s="8" t="str">
        <f>TRIM(LEFT(RawSalesTable6[[#This Row],[Customer_Info]],FIND(",",RawSalesTable6[[#This Row],[Customer_Info]])-1))</f>
        <v>Olivia White</v>
      </c>
      <c r="V375" s="8" t="str">
        <f>TRIM(MID(RawSalesTable6[[#This Row],[Customer_Info]],FIND(",",RawSalesTable6[[#This Row],[Customer_Info]])+1,FIND(",",RawSalesTable6[[#This Row],[Customer_Info]],FIND(",",RawSalesTable6[[#This Row],[Customer_Info]])+1)-FIND(",",RawSalesTable6[[#This Row],[Customer_Info]])-1))</f>
        <v>Victoria</v>
      </c>
      <c r="W375" s="8" t="str">
        <f>TRIM(RIGHT(RawSalesTable6[[#This Row],[Customer_Info]],LEN(RawSalesTable6[[#This Row],[Customer_Info]])-FIND(",",RawSalesTable6[[#This Row],[Customer_Info]],FIND(",",RawSalesTable6[[#This Row],[Customer_Info]])+1)))</f>
        <v>Consumer</v>
      </c>
      <c r="X375" s="8" t="str">
        <f>VLOOKUP(RawSalesTable6[[#This Row],[Product_ID_Clean]],ProductsTable[],2,FALSE)</f>
        <v>Desk Organizer</v>
      </c>
      <c r="Y375" s="8" t="str">
        <f>VLOOKUP(RawSalesTable6[[#This Row],[Product_ID_Clean]],ProductsTable[],3,FALSE)</f>
        <v>Office</v>
      </c>
      <c r="Z375" s="8">
        <f>VLOOKUP(RawSalesTable6[[#This Row],[Product_ID_Clean]],ProductsTable[],5,FALSE)</f>
        <v>235.76</v>
      </c>
      <c r="AA375" s="8">
        <f>RawSalesTable6[[#This Row],[Unit_Price]]*RawSalesTable6[[#This Row],[Quantity]]</f>
        <v>386.46</v>
      </c>
      <c r="AB375" s="8">
        <f>RawSalesTable6[[#This Row],[Gross_Sales]]*RawSalesTable6[[#This Row],[Discount_Pct]]</f>
        <v>77.292000000000002</v>
      </c>
      <c r="AC375" s="8">
        <f>RawSalesTable6[[#This Row],[Gross_Sales]]-RawSalesTable6[[#This Row],[Discount_Amount]]</f>
        <v>309.16800000000001</v>
      </c>
      <c r="AD375" s="8">
        <f>RawSalesTable6[[#This Row],[Unit_Cost]]*RawSalesTable6[[#This Row],[Quantity]]</f>
        <v>235.76</v>
      </c>
      <c r="AE375" s="8">
        <f>RawSalesTable6[[#This Row],[Net_Sales]]-RawSalesTable6[[#This Row],[Total_Cost]]</f>
        <v>73.408000000000015</v>
      </c>
      <c r="AF375" s="9">
        <f>RawSalesTable6[[#This Row],[Profit]]/RawSalesTable6[[#This Row],[Net_Sales]]</f>
        <v>0.23743725094447035</v>
      </c>
      <c r="AG375" s="8">
        <f>YEAR(RawSalesTable6[[#This Row],[Order_Date]])</f>
        <v>2025</v>
      </c>
      <c r="AH375" s="8">
        <f>MONTH(RawSalesTable6[[#This Row],[Order_Date]])</f>
        <v>12</v>
      </c>
      <c r="AI375" s="8" t="str">
        <f>TEXT(RawSalesTable6[[#This Row],[Order_Date]],"mmmm")</f>
        <v>décembre</v>
      </c>
      <c r="AJ375" s="8" t="str">
        <f>IF(RawSalesTable6[[#This Row],[Month_Number]]&lt;=3,"Q1",IF(RawSalesTable6[[#This Row],[Month_Number]]&lt;=6,"Q2",IF(RawSalesTable6[[#This Row],[Month_Number]]&lt;=9,"Q3","Q4")))</f>
        <v>Q4</v>
      </c>
      <c r="AK375" s="8" t="str">
        <f>VLOOKUP(RawSalesTable6[[#This Row],[Customer_ID_Clean]],CustomersTable[],4,FALSE)</f>
        <v>British Columbia</v>
      </c>
      <c r="AL375" s="8">
        <f>IF(RawSalesTable6[[#This Row],[Return_Status]]="Yes",1,0)</f>
        <v>0</v>
      </c>
    </row>
    <row r="376" spans="1:38">
      <c r="A376" t="s">
        <v>793</v>
      </c>
      <c r="B376" s="3">
        <v>45805</v>
      </c>
      <c r="C376" t="s">
        <v>286</v>
      </c>
      <c r="D376" t="s">
        <v>738</v>
      </c>
      <c r="E376" t="s">
        <v>287</v>
      </c>
      <c r="F376" t="s">
        <v>103</v>
      </c>
      <c r="G376" t="s">
        <v>122</v>
      </c>
      <c r="H376" t="s">
        <v>89</v>
      </c>
      <c r="I376">
        <v>2</v>
      </c>
      <c r="J376" s="2">
        <v>334.82</v>
      </c>
      <c r="K376" s="4">
        <v>0.05</v>
      </c>
      <c r="L376" t="s">
        <v>106</v>
      </c>
      <c r="M376">
        <v>4</v>
      </c>
      <c r="N376" t="s">
        <v>91</v>
      </c>
      <c r="O376" t="str">
        <f>SUBSTITUTE(PROPER(TRIM(RawSalesTable6[[#This Row],[Channel_Raw]])),"Market Place","Marketplace")</f>
        <v>Online</v>
      </c>
      <c r="P376" t="str">
        <f>TRIM(RawSalesTable6[[#This Row],[Product_ID]])</f>
        <v>P1016</v>
      </c>
      <c r="Q376" t="str">
        <f>TRIM(RawSalesTable6[[#This Row],[Customer_ID]])</f>
        <v>C0098</v>
      </c>
      <c r="R376" s="8" t="str">
        <f>PROPER(TRIM(RawSalesTable6[[#This Row],[Store_Raw]]))</f>
        <v>Vancouver West</v>
      </c>
      <c r="S376" s="8" t="str">
        <f>IF(TRIM(RawSalesTable6[[#This Row],[Payment_Method_Raw]])="","Non renseigné",SUBSTITUTE(PROPER(TRIM(RawSalesTable6[[#This Row],[Payment_Method_Raw]])),"Cc","Credit Card"))</f>
        <v>Credit Card</v>
      </c>
      <c r="T376" s="8">
        <f>COUNTIF(A:A,RawSalesTable6[[#This Row],[Order_ID]])</f>
        <v>1</v>
      </c>
      <c r="U376" s="8" t="str">
        <f>TRIM(LEFT(RawSalesTable6[[#This Row],[Customer_Info]],FIND(",",RawSalesTable6[[#This Row],[Customer_Info]])-1))</f>
        <v>Nora Young</v>
      </c>
      <c r="V376" s="8" t="str">
        <f>TRIM(MID(RawSalesTable6[[#This Row],[Customer_Info]],FIND(",",RawSalesTable6[[#This Row],[Customer_Info]])+1,FIND(",",RawSalesTable6[[#This Row],[Customer_Info]],FIND(",",RawSalesTable6[[#This Row],[Customer_Info]])+1)-FIND(",",RawSalesTable6[[#This Row],[Customer_Info]])-1))</f>
        <v>Winnipeg</v>
      </c>
      <c r="W376" s="8" t="str">
        <f>TRIM(RIGHT(RawSalesTable6[[#This Row],[Customer_Info]],LEN(RawSalesTable6[[#This Row],[Customer_Info]])-FIND(",",RawSalesTable6[[#This Row],[Customer_Info]],FIND(",",RawSalesTable6[[#This Row],[Customer_Info]])+1)))</f>
        <v>Consumer</v>
      </c>
      <c r="X376" s="8" t="str">
        <f>VLOOKUP(RawSalesTable6[[#This Row],[Product_ID_Clean]],ProductsTable[],2,FALSE)</f>
        <v>Printer</v>
      </c>
      <c r="Y376" s="8" t="str">
        <f>VLOOKUP(RawSalesTable6[[#This Row],[Product_ID_Clean]],ProductsTable[],3,FALSE)</f>
        <v>Office</v>
      </c>
      <c r="Z376" s="8">
        <f>VLOOKUP(RawSalesTable6[[#This Row],[Product_ID_Clean]],ProductsTable[],5,FALSE)</f>
        <v>156.75</v>
      </c>
      <c r="AA376" s="8">
        <f>RawSalesTable6[[#This Row],[Unit_Price]]*RawSalesTable6[[#This Row],[Quantity]]</f>
        <v>669.64</v>
      </c>
      <c r="AB376" s="8">
        <f>RawSalesTable6[[#This Row],[Gross_Sales]]*RawSalesTable6[[#This Row],[Discount_Pct]]</f>
        <v>33.481999999999999</v>
      </c>
      <c r="AC376" s="8">
        <f>RawSalesTable6[[#This Row],[Gross_Sales]]-RawSalesTable6[[#This Row],[Discount_Amount]]</f>
        <v>636.15800000000002</v>
      </c>
      <c r="AD376" s="8">
        <f>RawSalesTable6[[#This Row],[Unit_Cost]]*RawSalesTable6[[#This Row],[Quantity]]</f>
        <v>313.5</v>
      </c>
      <c r="AE376" s="8">
        <f>RawSalesTable6[[#This Row],[Net_Sales]]-RawSalesTable6[[#This Row],[Total_Cost]]</f>
        <v>322.65800000000002</v>
      </c>
      <c r="AF376" s="9">
        <f>RawSalesTable6[[#This Row],[Profit]]/RawSalesTable6[[#This Row],[Net_Sales]]</f>
        <v>0.50719789737769549</v>
      </c>
      <c r="AG376" s="8">
        <f>YEAR(RawSalesTable6[[#This Row],[Order_Date]])</f>
        <v>2025</v>
      </c>
      <c r="AH376" s="8">
        <f>MONTH(RawSalesTable6[[#This Row],[Order_Date]])</f>
        <v>5</v>
      </c>
      <c r="AI376" s="8" t="str">
        <f>TEXT(RawSalesTable6[[#This Row],[Order_Date]],"mmmm")</f>
        <v>mai</v>
      </c>
      <c r="AJ376" s="8" t="str">
        <f>IF(RawSalesTable6[[#This Row],[Month_Number]]&lt;=3,"Q1",IF(RawSalesTable6[[#This Row],[Month_Number]]&lt;=6,"Q2",IF(RawSalesTable6[[#This Row],[Month_Number]]&lt;=9,"Q3","Q4")))</f>
        <v>Q2</v>
      </c>
      <c r="AK376" s="8" t="str">
        <f>VLOOKUP(RawSalesTable6[[#This Row],[Customer_ID_Clean]],CustomersTable[],4,FALSE)</f>
        <v>Manitoba</v>
      </c>
      <c r="AL376" s="8">
        <f>IF(RawSalesTable6[[#This Row],[Return_Status]]="Yes",1,0)</f>
        <v>0</v>
      </c>
    </row>
    <row r="377" spans="1:38">
      <c r="A377" t="s">
        <v>794</v>
      </c>
      <c r="B377" s="3">
        <v>45964</v>
      </c>
      <c r="C377" t="s">
        <v>430</v>
      </c>
      <c r="D377" t="s">
        <v>94</v>
      </c>
      <c r="E377" t="s">
        <v>431</v>
      </c>
      <c r="F377" t="s">
        <v>103</v>
      </c>
      <c r="G377" t="s">
        <v>171</v>
      </c>
      <c r="H377" t="s">
        <v>89</v>
      </c>
      <c r="I377">
        <v>2</v>
      </c>
      <c r="J377" s="2">
        <v>313.77999999999997</v>
      </c>
      <c r="K377" s="4">
        <v>0.15</v>
      </c>
      <c r="L377" t="s">
        <v>432</v>
      </c>
      <c r="M377">
        <v>1</v>
      </c>
      <c r="N377" t="s">
        <v>91</v>
      </c>
      <c r="O377" t="str">
        <f>SUBSTITUTE(PROPER(TRIM(RawSalesTable6[[#This Row],[Channel_Raw]])),"Market Place","Marketplace")</f>
        <v>Online</v>
      </c>
      <c r="P377" t="str">
        <f>TRIM(RawSalesTable6[[#This Row],[Product_ID]])</f>
        <v>P1033</v>
      </c>
      <c r="Q377" t="str">
        <f>TRIM(RawSalesTable6[[#This Row],[Customer_ID]])</f>
        <v>C0056</v>
      </c>
      <c r="R377" s="8" t="str">
        <f>PROPER(TRIM(RawSalesTable6[[#This Row],[Store_Raw]]))</f>
        <v>Vancouver West</v>
      </c>
      <c r="S377" s="8" t="str">
        <f>IF(TRIM(RawSalesTable6[[#This Row],[Payment_Method_Raw]])="","Non renseigné",SUBSTITUTE(PROPER(TRIM(RawSalesTable6[[#This Row],[Payment_Method_Raw]])),"Cc","Credit Card"))</f>
        <v>Paypal</v>
      </c>
      <c r="T377" s="8">
        <f>COUNTIF(A:A,RawSalesTable6[[#This Row],[Order_ID]])</f>
        <v>1</v>
      </c>
      <c r="U377" s="8" t="str">
        <f>TRIM(LEFT(RawSalesTable6[[#This Row],[Customer_Info]],FIND(",",RawSalesTable6[[#This Row],[Customer_Info]])-1))</f>
        <v>Sarah Wilson</v>
      </c>
      <c r="V377" s="8" t="str">
        <f>TRIM(MID(RawSalesTable6[[#This Row],[Customer_Info]],FIND(",",RawSalesTable6[[#This Row],[Customer_Info]])+1,FIND(",",RawSalesTable6[[#This Row],[Customer_Info]],FIND(",",RawSalesTable6[[#This Row],[Customer_Info]])+1)-FIND(",",RawSalesTable6[[#This Row],[Customer_Info]])-1))</f>
        <v>Halifax</v>
      </c>
      <c r="W377" s="8" t="str">
        <f>TRIM(RIGHT(RawSalesTable6[[#This Row],[Customer_Info]],LEN(RawSalesTable6[[#This Row],[Customer_Info]])-FIND(",",RawSalesTable6[[#This Row],[Customer_Info]],FIND(",",RawSalesTable6[[#This Row],[Customer_Info]])+1)))</f>
        <v>Consumer</v>
      </c>
      <c r="X377" s="8" t="str">
        <f>VLOOKUP(RawSalesTable6[[#This Row],[Product_ID_Clean]],ProductsTable[],2,FALSE)</f>
        <v>Backpack</v>
      </c>
      <c r="Y377" s="8" t="str">
        <f>VLOOKUP(RawSalesTable6[[#This Row],[Product_ID_Clean]],ProductsTable[],3,FALSE)</f>
        <v>Accessories</v>
      </c>
      <c r="Z377" s="8">
        <f>VLOOKUP(RawSalesTable6[[#This Row],[Product_ID_Clean]],ProductsTable[],5,FALSE)</f>
        <v>152.55000000000001</v>
      </c>
      <c r="AA377" s="8">
        <f>RawSalesTable6[[#This Row],[Unit_Price]]*RawSalesTable6[[#This Row],[Quantity]]</f>
        <v>627.55999999999995</v>
      </c>
      <c r="AB377" s="8">
        <f>RawSalesTable6[[#This Row],[Gross_Sales]]*RawSalesTable6[[#This Row],[Discount_Pct]]</f>
        <v>94.133999999999986</v>
      </c>
      <c r="AC377" s="8">
        <f>RawSalesTable6[[#This Row],[Gross_Sales]]-RawSalesTable6[[#This Row],[Discount_Amount]]</f>
        <v>533.42599999999993</v>
      </c>
      <c r="AD377" s="8">
        <f>RawSalesTable6[[#This Row],[Unit_Cost]]*RawSalesTable6[[#This Row],[Quantity]]</f>
        <v>305.10000000000002</v>
      </c>
      <c r="AE377" s="8">
        <f>RawSalesTable6[[#This Row],[Net_Sales]]-RawSalesTable6[[#This Row],[Total_Cost]]</f>
        <v>228.32599999999991</v>
      </c>
      <c r="AF377" s="9">
        <f>RawSalesTable6[[#This Row],[Profit]]/RawSalesTable6[[#This Row],[Net_Sales]]</f>
        <v>0.42803687859234446</v>
      </c>
      <c r="AG377" s="8">
        <f>YEAR(RawSalesTable6[[#This Row],[Order_Date]])</f>
        <v>2025</v>
      </c>
      <c r="AH377" s="8">
        <f>MONTH(RawSalesTable6[[#This Row],[Order_Date]])</f>
        <v>11</v>
      </c>
      <c r="AI377" s="8" t="str">
        <f>TEXT(RawSalesTable6[[#This Row],[Order_Date]],"mmmm")</f>
        <v>novembre</v>
      </c>
      <c r="AJ377" s="8" t="str">
        <f>IF(RawSalesTable6[[#This Row],[Month_Number]]&lt;=3,"Q1",IF(RawSalesTable6[[#This Row],[Month_Number]]&lt;=6,"Q2",IF(RawSalesTable6[[#This Row],[Month_Number]]&lt;=9,"Q3","Q4")))</f>
        <v>Q4</v>
      </c>
      <c r="AK377" s="8" t="str">
        <f>VLOOKUP(RawSalesTable6[[#This Row],[Customer_ID_Clean]],CustomersTable[],4,FALSE)</f>
        <v>Nova Scotia</v>
      </c>
      <c r="AL377" s="8">
        <f>IF(RawSalesTable6[[#This Row],[Return_Status]]="Yes",1,0)</f>
        <v>0</v>
      </c>
    </row>
    <row r="378" spans="1:38">
      <c r="A378" t="s">
        <v>795</v>
      </c>
      <c r="B378" s="3">
        <v>45670</v>
      </c>
      <c r="C378" t="s">
        <v>313</v>
      </c>
      <c r="D378" t="s">
        <v>252</v>
      </c>
      <c r="E378" t="s">
        <v>314</v>
      </c>
      <c r="F378" t="s">
        <v>111</v>
      </c>
      <c r="G378" t="s">
        <v>104</v>
      </c>
      <c r="H378" t="s">
        <v>105</v>
      </c>
      <c r="I378">
        <v>2</v>
      </c>
      <c r="J378" s="2">
        <v>262.64999999999998</v>
      </c>
      <c r="K378" s="4">
        <v>0.05</v>
      </c>
      <c r="L378" t="s">
        <v>106</v>
      </c>
      <c r="M378">
        <v>8</v>
      </c>
      <c r="N378" t="s">
        <v>91</v>
      </c>
      <c r="O378" t="str">
        <f>SUBSTITUTE(PROPER(TRIM(RawSalesTable6[[#This Row],[Channel_Raw]])),"Market Place","Marketplace")</f>
        <v>Marketplace</v>
      </c>
      <c r="P378" t="str">
        <f>TRIM(RawSalesTable6[[#This Row],[Product_ID]])</f>
        <v>P1019</v>
      </c>
      <c r="Q378" t="str">
        <f>TRIM(RawSalesTable6[[#This Row],[Customer_ID]])</f>
        <v>C0080</v>
      </c>
      <c r="R378" s="8" t="str">
        <f>PROPER(TRIM(RawSalesTable6[[#This Row],[Store_Raw]]))</f>
        <v>Montreal Central</v>
      </c>
      <c r="S378" s="8" t="str">
        <f>IF(TRIM(RawSalesTable6[[#This Row],[Payment_Method_Raw]])="","Non renseigné",SUBSTITUTE(PROPER(TRIM(RawSalesTable6[[#This Row],[Payment_Method_Raw]])),"Cc","Credit Card"))</f>
        <v>Credit Card</v>
      </c>
      <c r="T378" s="8">
        <f>COUNTIF(A:A,RawSalesTable6[[#This Row],[Order_ID]])</f>
        <v>1</v>
      </c>
      <c r="U378" s="8" t="str">
        <f>TRIM(LEFT(RawSalesTable6[[#This Row],[Customer_Info]],FIND(",",RawSalesTable6[[#This Row],[Customer_Info]])-1))</f>
        <v>Sarah Smith</v>
      </c>
      <c r="V378" s="8" t="str">
        <f>TRIM(MID(RawSalesTable6[[#This Row],[Customer_Info]],FIND(",",RawSalesTable6[[#This Row],[Customer_Info]])+1,FIND(",",RawSalesTable6[[#This Row],[Customer_Info]],FIND(",",RawSalesTable6[[#This Row],[Customer_Info]])+1)-FIND(",",RawSalesTable6[[#This Row],[Customer_Info]])-1))</f>
        <v>Mississauga</v>
      </c>
      <c r="W378" s="8" t="str">
        <f>TRIM(RIGHT(RawSalesTable6[[#This Row],[Customer_Info]],LEN(RawSalesTable6[[#This Row],[Customer_Info]])-FIND(",",RawSalesTable6[[#This Row],[Customer_Info]],FIND(",",RawSalesTable6[[#This Row],[Customer_Info]])+1)))</f>
        <v>Corporate</v>
      </c>
      <c r="X378" s="8" t="str">
        <f>VLOOKUP(RawSalesTable6[[#This Row],[Product_ID_Clean]],ProductsTable[],2,FALSE)</f>
        <v>Vacuum</v>
      </c>
      <c r="Y378" s="8" t="str">
        <f>VLOOKUP(RawSalesTable6[[#This Row],[Product_ID_Clean]],ProductsTable[],3,FALSE)</f>
        <v>Home</v>
      </c>
      <c r="Z378" s="8">
        <f>VLOOKUP(RawSalesTable6[[#This Row],[Product_ID_Clean]],ProductsTable[],5,FALSE)</f>
        <v>186.94</v>
      </c>
      <c r="AA378" s="8">
        <f>RawSalesTable6[[#This Row],[Unit_Price]]*RawSalesTable6[[#This Row],[Quantity]]</f>
        <v>525.29999999999995</v>
      </c>
      <c r="AB378" s="8">
        <f>RawSalesTable6[[#This Row],[Gross_Sales]]*RawSalesTable6[[#This Row],[Discount_Pct]]</f>
        <v>26.265000000000001</v>
      </c>
      <c r="AC378" s="8">
        <f>RawSalesTable6[[#This Row],[Gross_Sales]]-RawSalesTable6[[#This Row],[Discount_Amount]]</f>
        <v>499.03499999999997</v>
      </c>
      <c r="AD378" s="8">
        <f>RawSalesTable6[[#This Row],[Unit_Cost]]*RawSalesTable6[[#This Row],[Quantity]]</f>
        <v>373.88</v>
      </c>
      <c r="AE378" s="8">
        <f>RawSalesTable6[[#This Row],[Net_Sales]]-RawSalesTable6[[#This Row],[Total_Cost]]</f>
        <v>125.15499999999997</v>
      </c>
      <c r="AF378" s="9">
        <f>RawSalesTable6[[#This Row],[Profit]]/RawSalesTable6[[#This Row],[Net_Sales]]</f>
        <v>0.25079403248269155</v>
      </c>
      <c r="AG378" s="8">
        <f>YEAR(RawSalesTable6[[#This Row],[Order_Date]])</f>
        <v>2025</v>
      </c>
      <c r="AH378" s="8">
        <f>MONTH(RawSalesTable6[[#This Row],[Order_Date]])</f>
        <v>1</v>
      </c>
      <c r="AI378" s="8" t="str">
        <f>TEXT(RawSalesTable6[[#This Row],[Order_Date]],"mmmm")</f>
        <v>janvier</v>
      </c>
      <c r="AJ378" s="8" t="str">
        <f>IF(RawSalesTable6[[#This Row],[Month_Number]]&lt;=3,"Q1",IF(RawSalesTable6[[#This Row],[Month_Number]]&lt;=6,"Q2",IF(RawSalesTable6[[#This Row],[Month_Number]]&lt;=9,"Q3","Q4")))</f>
        <v>Q1</v>
      </c>
      <c r="AK378" s="8" t="str">
        <f>VLOOKUP(RawSalesTable6[[#This Row],[Customer_ID_Clean]],CustomersTable[],4,FALSE)</f>
        <v>Ontario</v>
      </c>
      <c r="AL378" s="8">
        <f>IF(RawSalesTable6[[#This Row],[Return_Status]]="Yes",1,0)</f>
        <v>0</v>
      </c>
    </row>
    <row r="379" spans="1:38">
      <c r="A379" t="s">
        <v>796</v>
      </c>
      <c r="B379" s="3">
        <v>45891</v>
      </c>
      <c r="C379" t="s">
        <v>548</v>
      </c>
      <c r="D379" t="s">
        <v>190</v>
      </c>
      <c r="E379" t="s">
        <v>585</v>
      </c>
      <c r="F379" t="s">
        <v>145</v>
      </c>
      <c r="G379" t="s">
        <v>104</v>
      </c>
      <c r="H379" t="s">
        <v>97</v>
      </c>
      <c r="I379">
        <v>3</v>
      </c>
      <c r="J379" s="2">
        <v>277.93</v>
      </c>
      <c r="K379" s="4">
        <v>0.05</v>
      </c>
      <c r="M379">
        <v>2</v>
      </c>
      <c r="N379" t="s">
        <v>91</v>
      </c>
      <c r="O379" t="str">
        <f>SUBSTITUTE(PROPER(TRIM(RawSalesTable6[[#This Row],[Channel_Raw]])),"Market Place","Marketplace")</f>
        <v>Retail Store</v>
      </c>
      <c r="P379" t="str">
        <f>TRIM(RawSalesTable6[[#This Row],[Product_ID]])</f>
        <v>P1004</v>
      </c>
      <c r="Q379" t="str">
        <f>TRIM(RawSalesTable6[[#This Row],[Customer_ID]])</f>
        <v>C0099</v>
      </c>
      <c r="R379" s="8" t="str">
        <f>PROPER(TRIM(RawSalesTable6[[#This Row],[Store_Raw]]))</f>
        <v>Calgary North</v>
      </c>
      <c r="S379" s="8" t="str">
        <f>IF(TRIM(RawSalesTable6[[#This Row],[Payment_Method_Raw]])="","Non renseigné",SUBSTITUTE(PROPER(TRIM(RawSalesTable6[[#This Row],[Payment_Method_Raw]])),"Cc","Credit Card"))</f>
        <v>Non renseigné</v>
      </c>
      <c r="T379" s="8">
        <f>COUNTIF(A:A,RawSalesTable6[[#This Row],[Order_ID]])</f>
        <v>1</v>
      </c>
      <c r="U379" s="8" t="str">
        <f>TRIM(LEFT(RawSalesTable6[[#This Row],[Customer_Info]],FIND(",",RawSalesTable6[[#This Row],[Customer_Info]])-1))</f>
        <v>Amine Gagnon</v>
      </c>
      <c r="V379" s="8" t="str">
        <f>TRIM(MID(RawSalesTable6[[#This Row],[Customer_Info]],FIND(",",RawSalesTable6[[#This Row],[Customer_Info]])+1,FIND(",",RawSalesTable6[[#This Row],[Customer_Info]],FIND(",",RawSalesTable6[[#This Row],[Customer_Info]])+1)-FIND(",",RawSalesTable6[[#This Row],[Customer_Info]])-1))</f>
        <v>Laval</v>
      </c>
      <c r="W379" s="8" t="str">
        <f>TRIM(RIGHT(RawSalesTable6[[#This Row],[Customer_Info]],LEN(RawSalesTable6[[#This Row],[Customer_Info]])-FIND(",",RawSalesTable6[[#This Row],[Customer_Info]],FIND(",",RawSalesTable6[[#This Row],[Customer_Info]])+1)))</f>
        <v>Small Business</v>
      </c>
      <c r="X379" s="8" t="str">
        <f>VLOOKUP(RawSalesTable6[[#This Row],[Product_ID_Clean]],ProductsTable[],2,FALSE)</f>
        <v>Webcam</v>
      </c>
      <c r="Y379" s="8" t="str">
        <f>VLOOKUP(RawSalesTable6[[#This Row],[Product_ID_Clean]],ProductsTable[],3,FALSE)</f>
        <v>Electronics</v>
      </c>
      <c r="Z379" s="8">
        <f>VLOOKUP(RawSalesTable6[[#This Row],[Product_ID_Clean]],ProductsTable[],5,FALSE)</f>
        <v>154.72999999999999</v>
      </c>
      <c r="AA379" s="8">
        <f>RawSalesTable6[[#This Row],[Unit_Price]]*RawSalesTable6[[#This Row],[Quantity]]</f>
        <v>833.79</v>
      </c>
      <c r="AB379" s="8">
        <f>RawSalesTable6[[#This Row],[Gross_Sales]]*RawSalesTable6[[#This Row],[Discount_Pct]]</f>
        <v>41.689500000000002</v>
      </c>
      <c r="AC379" s="8">
        <f>RawSalesTable6[[#This Row],[Gross_Sales]]-RawSalesTable6[[#This Row],[Discount_Amount]]</f>
        <v>792.10050000000001</v>
      </c>
      <c r="AD379" s="8">
        <f>RawSalesTable6[[#This Row],[Unit_Cost]]*RawSalesTable6[[#This Row],[Quantity]]</f>
        <v>464.18999999999994</v>
      </c>
      <c r="AE379" s="8">
        <f>RawSalesTable6[[#This Row],[Net_Sales]]-RawSalesTable6[[#This Row],[Total_Cost]]</f>
        <v>327.91050000000007</v>
      </c>
      <c r="AF379" s="9">
        <f>RawSalesTable6[[#This Row],[Profit]]/RawSalesTable6[[#This Row],[Net_Sales]]</f>
        <v>0.41397587806092795</v>
      </c>
      <c r="AG379" s="8">
        <f>YEAR(RawSalesTable6[[#This Row],[Order_Date]])</f>
        <v>2025</v>
      </c>
      <c r="AH379" s="8">
        <f>MONTH(RawSalesTable6[[#This Row],[Order_Date]])</f>
        <v>8</v>
      </c>
      <c r="AI379" s="8" t="str">
        <f>TEXT(RawSalesTable6[[#This Row],[Order_Date]],"mmmm")</f>
        <v>août</v>
      </c>
      <c r="AJ379" s="8" t="str">
        <f>IF(RawSalesTable6[[#This Row],[Month_Number]]&lt;=3,"Q1",IF(RawSalesTable6[[#This Row],[Month_Number]]&lt;=6,"Q2",IF(RawSalesTable6[[#This Row],[Month_Number]]&lt;=9,"Q3","Q4")))</f>
        <v>Q3</v>
      </c>
      <c r="AK379" s="8" t="str">
        <f>VLOOKUP(RawSalesTable6[[#This Row],[Customer_ID_Clean]],CustomersTable[],4,FALSE)</f>
        <v>Quebec</v>
      </c>
      <c r="AL379" s="8">
        <f>IF(RawSalesTable6[[#This Row],[Return_Status]]="Yes",1,0)</f>
        <v>0</v>
      </c>
    </row>
    <row r="380" spans="1:38">
      <c r="A380" t="s">
        <v>797</v>
      </c>
      <c r="B380" s="3">
        <v>45793</v>
      </c>
      <c r="C380" t="s">
        <v>322</v>
      </c>
      <c r="D380" t="s">
        <v>221</v>
      </c>
      <c r="E380" t="s">
        <v>470</v>
      </c>
      <c r="F380" t="s">
        <v>87</v>
      </c>
      <c r="G380" t="s">
        <v>96</v>
      </c>
      <c r="H380" t="s">
        <v>89</v>
      </c>
      <c r="I380">
        <v>4</v>
      </c>
      <c r="J380" s="2">
        <v>29.49</v>
      </c>
      <c r="K380" s="4">
        <v>0</v>
      </c>
      <c r="L380" t="s">
        <v>90</v>
      </c>
      <c r="M380">
        <v>2</v>
      </c>
      <c r="N380" t="s">
        <v>91</v>
      </c>
      <c r="O380" t="str">
        <f>SUBSTITUTE(PROPER(TRIM(RawSalesTable6[[#This Row],[Channel_Raw]])),"Market Place","Marketplace")</f>
        <v>Online</v>
      </c>
      <c r="P380" t="str">
        <f>TRIM(RawSalesTable6[[#This Row],[Product_ID]])</f>
        <v>P1018</v>
      </c>
      <c r="Q380" t="str">
        <f>TRIM(RawSalesTable6[[#This Row],[Customer_ID]])</f>
        <v>C0119</v>
      </c>
      <c r="R380" s="8" t="str">
        <f>PROPER(TRIM(RawSalesTable6[[#This Row],[Store_Raw]]))</f>
        <v>Online Fulfillment</v>
      </c>
      <c r="S380" s="8" t="str">
        <f>IF(TRIM(RawSalesTable6[[#This Row],[Payment_Method_Raw]])="","Non renseigné",SUBSTITUTE(PROPER(TRIM(RawSalesTable6[[#This Row],[Payment_Method_Raw]])),"Cc","Credit Card"))</f>
        <v>Paypal</v>
      </c>
      <c r="T380" s="8">
        <f>COUNTIF(A:A,RawSalesTable6[[#This Row],[Order_ID]])</f>
        <v>1</v>
      </c>
      <c r="U380" s="8" t="str">
        <f>TRIM(LEFT(RawSalesTable6[[#This Row],[Customer_Info]],FIND(",",RawSalesTable6[[#This Row],[Customer_Info]])-1))</f>
        <v>Liam Chen</v>
      </c>
      <c r="V380" s="8" t="str">
        <f>TRIM(MID(RawSalesTable6[[#This Row],[Customer_Info]],FIND(",",RawSalesTable6[[#This Row],[Customer_Info]])+1,FIND(",",RawSalesTable6[[#This Row],[Customer_Info]],FIND(",",RawSalesTable6[[#This Row],[Customer_Info]])+1)-FIND(",",RawSalesTable6[[#This Row],[Customer_Info]])-1))</f>
        <v>Winnipeg</v>
      </c>
      <c r="W380" s="8" t="str">
        <f>TRIM(RIGHT(RawSalesTable6[[#This Row],[Customer_Info]],LEN(RawSalesTable6[[#This Row],[Customer_Info]])-FIND(",",RawSalesTable6[[#This Row],[Customer_Info]],FIND(",",RawSalesTable6[[#This Row],[Customer_Info]])+1)))</f>
        <v>Consumer</v>
      </c>
      <c r="X380" s="8" t="str">
        <f>VLOOKUP(RawSalesTable6[[#This Row],[Product_ID_Clean]],ProductsTable[],2,FALSE)</f>
        <v>Air Fryer</v>
      </c>
      <c r="Y380" s="8" t="str">
        <f>VLOOKUP(RawSalesTable6[[#This Row],[Product_ID_Clean]],ProductsTable[],3,FALSE)</f>
        <v>Home</v>
      </c>
      <c r="Z380" s="8">
        <f>VLOOKUP(RawSalesTable6[[#This Row],[Product_ID_Clean]],ProductsTable[],5,FALSE)</f>
        <v>14.58</v>
      </c>
      <c r="AA380" s="8">
        <f>RawSalesTable6[[#This Row],[Unit_Price]]*RawSalesTable6[[#This Row],[Quantity]]</f>
        <v>117.96</v>
      </c>
      <c r="AB380" s="8">
        <f>RawSalesTable6[[#This Row],[Gross_Sales]]*RawSalesTable6[[#This Row],[Discount_Pct]]</f>
        <v>0</v>
      </c>
      <c r="AC380" s="8">
        <f>RawSalesTable6[[#This Row],[Gross_Sales]]-RawSalesTable6[[#This Row],[Discount_Amount]]</f>
        <v>117.96</v>
      </c>
      <c r="AD380" s="8">
        <f>RawSalesTable6[[#This Row],[Unit_Cost]]*RawSalesTable6[[#This Row],[Quantity]]</f>
        <v>58.32</v>
      </c>
      <c r="AE380" s="8">
        <f>RawSalesTable6[[#This Row],[Net_Sales]]-RawSalesTable6[[#This Row],[Total_Cost]]</f>
        <v>59.639999999999993</v>
      </c>
      <c r="AF380" s="9">
        <f>RawSalesTable6[[#This Row],[Profit]]/RawSalesTable6[[#This Row],[Net_Sales]]</f>
        <v>0.50559511698880977</v>
      </c>
      <c r="AG380" s="8">
        <f>YEAR(RawSalesTable6[[#This Row],[Order_Date]])</f>
        <v>2025</v>
      </c>
      <c r="AH380" s="8">
        <f>MONTH(RawSalesTable6[[#This Row],[Order_Date]])</f>
        <v>5</v>
      </c>
      <c r="AI380" s="8" t="str">
        <f>TEXT(RawSalesTable6[[#This Row],[Order_Date]],"mmmm")</f>
        <v>mai</v>
      </c>
      <c r="AJ380" s="8" t="str">
        <f>IF(RawSalesTable6[[#This Row],[Month_Number]]&lt;=3,"Q1",IF(RawSalesTable6[[#This Row],[Month_Number]]&lt;=6,"Q2",IF(RawSalesTable6[[#This Row],[Month_Number]]&lt;=9,"Q3","Q4")))</f>
        <v>Q2</v>
      </c>
      <c r="AK380" s="8" t="str">
        <f>VLOOKUP(RawSalesTable6[[#This Row],[Customer_ID_Clean]],CustomersTable[],4,FALSE)</f>
        <v>Manitoba</v>
      </c>
      <c r="AL380" s="8">
        <f>IF(RawSalesTable6[[#This Row],[Return_Status]]="Yes",1,0)</f>
        <v>0</v>
      </c>
    </row>
    <row r="381" spans="1:38">
      <c r="A381" t="s">
        <v>798</v>
      </c>
      <c r="B381" s="3">
        <v>45719</v>
      </c>
      <c r="C381" t="s">
        <v>279</v>
      </c>
      <c r="D381" t="s">
        <v>217</v>
      </c>
      <c r="E381" t="s">
        <v>280</v>
      </c>
      <c r="F381" t="s">
        <v>103</v>
      </c>
      <c r="G381" t="s">
        <v>96</v>
      </c>
      <c r="H381" t="s">
        <v>89</v>
      </c>
      <c r="I381">
        <v>3</v>
      </c>
      <c r="J381" s="2">
        <v>102</v>
      </c>
      <c r="K381" s="4">
        <v>0</v>
      </c>
      <c r="L381" t="s">
        <v>90</v>
      </c>
      <c r="M381">
        <v>8</v>
      </c>
      <c r="N381" t="s">
        <v>91</v>
      </c>
      <c r="O381" t="str">
        <f>SUBSTITUTE(PROPER(TRIM(RawSalesTable6[[#This Row],[Channel_Raw]])),"Market Place","Marketplace")</f>
        <v>Online</v>
      </c>
      <c r="P381" t="str">
        <f>TRIM(RawSalesTable6[[#This Row],[Product_ID]])</f>
        <v>P1006</v>
      </c>
      <c r="Q381" t="str">
        <f>TRIM(RawSalesTable6[[#This Row],[Customer_ID]])</f>
        <v>C0069</v>
      </c>
      <c r="R381" s="8" t="str">
        <f>PROPER(TRIM(RawSalesTable6[[#This Row],[Store_Raw]]))</f>
        <v>Vancouver West</v>
      </c>
      <c r="S381" s="8" t="str">
        <f>IF(TRIM(RawSalesTable6[[#This Row],[Payment_Method_Raw]])="","Non renseigné",SUBSTITUTE(PROPER(TRIM(RawSalesTable6[[#This Row],[Payment_Method_Raw]])),"Cc","Credit Card"))</f>
        <v>Paypal</v>
      </c>
      <c r="T381" s="8">
        <f>COUNTIF(A:A,RawSalesTable6[[#This Row],[Order_ID]])</f>
        <v>1</v>
      </c>
      <c r="U381" s="8" t="str">
        <f>TRIM(LEFT(RawSalesTable6[[#This Row],[Customer_Info]],FIND(",",RawSalesTable6[[#This Row],[Customer_Info]])-1))</f>
        <v>Sarah White</v>
      </c>
      <c r="V381" s="8" t="str">
        <f>TRIM(MID(RawSalesTable6[[#This Row],[Customer_Info]],FIND(",",RawSalesTable6[[#This Row],[Customer_Info]])+1,FIND(",",RawSalesTable6[[#This Row],[Customer_Info]],FIND(",",RawSalesTable6[[#This Row],[Customer_Info]])+1)-FIND(",",RawSalesTable6[[#This Row],[Customer_Info]])-1))</f>
        <v>Ottawa</v>
      </c>
      <c r="W381" s="8" t="str">
        <f>TRIM(RIGHT(RawSalesTable6[[#This Row],[Customer_Info]],LEN(RawSalesTable6[[#This Row],[Customer_Info]])-FIND(",",RawSalesTable6[[#This Row],[Customer_Info]],FIND(",",RawSalesTable6[[#This Row],[Customer_Info]])+1)))</f>
        <v>Consumer</v>
      </c>
      <c r="X381" s="8" t="str">
        <f>VLOOKUP(RawSalesTable6[[#This Row],[Product_ID_Clean]],ProductsTable[],2,FALSE)</f>
        <v>USB-C Hub</v>
      </c>
      <c r="Y381" s="8" t="str">
        <f>VLOOKUP(RawSalesTable6[[#This Row],[Product_ID_Clean]],ProductsTable[],3,FALSE)</f>
        <v>Electronics</v>
      </c>
      <c r="Z381" s="8">
        <f>VLOOKUP(RawSalesTable6[[#This Row],[Product_ID_Clean]],ProductsTable[],5,FALSE)</f>
        <v>72</v>
      </c>
      <c r="AA381" s="8">
        <f>RawSalesTable6[[#This Row],[Unit_Price]]*RawSalesTable6[[#This Row],[Quantity]]</f>
        <v>306</v>
      </c>
      <c r="AB381" s="8">
        <f>RawSalesTable6[[#This Row],[Gross_Sales]]*RawSalesTable6[[#This Row],[Discount_Pct]]</f>
        <v>0</v>
      </c>
      <c r="AC381" s="8">
        <f>RawSalesTable6[[#This Row],[Gross_Sales]]-RawSalesTable6[[#This Row],[Discount_Amount]]</f>
        <v>306</v>
      </c>
      <c r="AD381" s="8">
        <f>RawSalesTable6[[#This Row],[Unit_Cost]]*RawSalesTable6[[#This Row],[Quantity]]</f>
        <v>216</v>
      </c>
      <c r="AE381" s="8">
        <f>RawSalesTable6[[#This Row],[Net_Sales]]-RawSalesTable6[[#This Row],[Total_Cost]]</f>
        <v>90</v>
      </c>
      <c r="AF381" s="9">
        <f>RawSalesTable6[[#This Row],[Profit]]/RawSalesTable6[[#This Row],[Net_Sales]]</f>
        <v>0.29411764705882354</v>
      </c>
      <c r="AG381" s="8">
        <f>YEAR(RawSalesTable6[[#This Row],[Order_Date]])</f>
        <v>2025</v>
      </c>
      <c r="AH381" s="8">
        <f>MONTH(RawSalesTable6[[#This Row],[Order_Date]])</f>
        <v>3</v>
      </c>
      <c r="AI381" s="8" t="str">
        <f>TEXT(RawSalesTable6[[#This Row],[Order_Date]],"mmmm")</f>
        <v>mars</v>
      </c>
      <c r="AJ381" s="8" t="str">
        <f>IF(RawSalesTable6[[#This Row],[Month_Number]]&lt;=3,"Q1",IF(RawSalesTable6[[#This Row],[Month_Number]]&lt;=6,"Q2",IF(RawSalesTable6[[#This Row],[Month_Number]]&lt;=9,"Q3","Q4")))</f>
        <v>Q1</v>
      </c>
      <c r="AK381" s="8" t="str">
        <f>VLOOKUP(RawSalesTable6[[#This Row],[Customer_ID_Clean]],CustomersTable[],4,FALSE)</f>
        <v>Ontario</v>
      </c>
      <c r="AL381" s="8">
        <f>IF(RawSalesTable6[[#This Row],[Return_Status]]="Yes",1,0)</f>
        <v>0</v>
      </c>
    </row>
    <row r="382" spans="1:38">
      <c r="A382" t="s">
        <v>799</v>
      </c>
      <c r="B382" s="3">
        <v>45746</v>
      </c>
      <c r="C382" t="s">
        <v>512</v>
      </c>
      <c r="D382" t="s">
        <v>139</v>
      </c>
      <c r="E382" t="s">
        <v>513</v>
      </c>
      <c r="F382" t="s">
        <v>111</v>
      </c>
      <c r="G382" t="s">
        <v>171</v>
      </c>
      <c r="H382" t="s">
        <v>105</v>
      </c>
      <c r="I382">
        <v>3</v>
      </c>
      <c r="J382" s="2">
        <v>81.489999999999995</v>
      </c>
      <c r="K382" s="4">
        <v>0.05</v>
      </c>
      <c r="L382" t="s">
        <v>154</v>
      </c>
      <c r="M382">
        <v>2</v>
      </c>
      <c r="N382" t="s">
        <v>91</v>
      </c>
      <c r="O382" t="str">
        <f>SUBSTITUTE(PROPER(TRIM(RawSalesTable6[[#This Row],[Channel_Raw]])),"Market Place","Marketplace")</f>
        <v>Marketplace</v>
      </c>
      <c r="P382" t="str">
        <f>TRIM(RawSalesTable6[[#This Row],[Product_ID]])</f>
        <v>P1012</v>
      </c>
      <c r="Q382" t="str">
        <f>TRIM(RawSalesTable6[[#This Row],[Customer_ID]])</f>
        <v>C0082</v>
      </c>
      <c r="R382" s="8" t="str">
        <f>PROPER(TRIM(RawSalesTable6[[#This Row],[Store_Raw]]))</f>
        <v>Montreal Central</v>
      </c>
      <c r="S382" s="8" t="str">
        <f>IF(TRIM(RawSalesTable6[[#This Row],[Payment_Method_Raw]])="","Non renseigné",SUBSTITUTE(PROPER(TRIM(RawSalesTable6[[#This Row],[Payment_Method_Raw]])),"Cc","Credit Card"))</f>
        <v>Gift Card</v>
      </c>
      <c r="T382" s="8">
        <f>COUNTIF(A:A,RawSalesTable6[[#This Row],[Order_ID]])</f>
        <v>1</v>
      </c>
      <c r="U382" s="8" t="str">
        <f>TRIM(LEFT(RawSalesTable6[[#This Row],[Customer_Info]],FIND(",",RawSalesTable6[[#This Row],[Customer_Info]])-1))</f>
        <v>Ryan King</v>
      </c>
      <c r="V382" s="8" t="str">
        <f>TRIM(MID(RawSalesTable6[[#This Row],[Customer_Info]],FIND(",",RawSalesTable6[[#This Row],[Customer_Info]])+1,FIND(",",RawSalesTable6[[#This Row],[Customer_Info]],FIND(",",RawSalesTable6[[#This Row],[Customer_Info]])+1)-FIND(",",RawSalesTable6[[#This Row],[Customer_Info]])-1))</f>
        <v>Winnipeg</v>
      </c>
      <c r="W382" s="8" t="str">
        <f>TRIM(RIGHT(RawSalesTable6[[#This Row],[Customer_Info]],LEN(RawSalesTable6[[#This Row],[Customer_Info]])-FIND(",",RawSalesTable6[[#This Row],[Customer_Info]],FIND(",",RawSalesTable6[[#This Row],[Customer_Info]])+1)))</f>
        <v>Small Business</v>
      </c>
      <c r="X382" s="8" t="str">
        <f>VLOOKUP(RawSalesTable6[[#This Row],[Product_ID_Clean]],ProductsTable[],2,FALSE)</f>
        <v>Standing Desk</v>
      </c>
      <c r="Y382" s="8" t="str">
        <f>VLOOKUP(RawSalesTable6[[#This Row],[Product_ID_Clean]],ProductsTable[],3,FALSE)</f>
        <v>Office</v>
      </c>
      <c r="Z382" s="8">
        <f>VLOOKUP(RawSalesTable6[[#This Row],[Product_ID_Clean]],ProductsTable[],5,FALSE)</f>
        <v>45.17</v>
      </c>
      <c r="AA382" s="8">
        <f>RawSalesTable6[[#This Row],[Unit_Price]]*RawSalesTable6[[#This Row],[Quantity]]</f>
        <v>244.46999999999997</v>
      </c>
      <c r="AB382" s="8">
        <f>RawSalesTable6[[#This Row],[Gross_Sales]]*RawSalesTable6[[#This Row],[Discount_Pct]]</f>
        <v>12.2235</v>
      </c>
      <c r="AC382" s="8">
        <f>RawSalesTable6[[#This Row],[Gross_Sales]]-RawSalesTable6[[#This Row],[Discount_Amount]]</f>
        <v>232.24649999999997</v>
      </c>
      <c r="AD382" s="8">
        <f>RawSalesTable6[[#This Row],[Unit_Cost]]*RawSalesTable6[[#This Row],[Quantity]]</f>
        <v>135.51</v>
      </c>
      <c r="AE382" s="8">
        <f>RawSalesTable6[[#This Row],[Net_Sales]]-RawSalesTable6[[#This Row],[Total_Cost]]</f>
        <v>96.736499999999978</v>
      </c>
      <c r="AF382" s="9">
        <f>RawSalesTable6[[#This Row],[Profit]]/RawSalesTable6[[#This Row],[Net_Sales]]</f>
        <v>0.41652511447965845</v>
      </c>
      <c r="AG382" s="8">
        <f>YEAR(RawSalesTable6[[#This Row],[Order_Date]])</f>
        <v>2025</v>
      </c>
      <c r="AH382" s="8">
        <f>MONTH(RawSalesTable6[[#This Row],[Order_Date]])</f>
        <v>3</v>
      </c>
      <c r="AI382" s="8" t="str">
        <f>TEXT(RawSalesTable6[[#This Row],[Order_Date]],"mmmm")</f>
        <v>mars</v>
      </c>
      <c r="AJ382" s="8" t="str">
        <f>IF(RawSalesTable6[[#This Row],[Month_Number]]&lt;=3,"Q1",IF(RawSalesTable6[[#This Row],[Month_Number]]&lt;=6,"Q2",IF(RawSalesTable6[[#This Row],[Month_Number]]&lt;=9,"Q3","Q4")))</f>
        <v>Q1</v>
      </c>
      <c r="AK382" s="8" t="str">
        <f>VLOOKUP(RawSalesTable6[[#This Row],[Customer_ID_Clean]],CustomersTable[],4,FALSE)</f>
        <v>Manitoba</v>
      </c>
      <c r="AL382" s="8">
        <f>IF(RawSalesTable6[[#This Row],[Return_Status]]="Yes",1,0)</f>
        <v>0</v>
      </c>
    </row>
    <row r="383" spans="1:38">
      <c r="A383" t="s">
        <v>800</v>
      </c>
      <c r="B383" s="3">
        <v>45786</v>
      </c>
      <c r="C383" t="s">
        <v>386</v>
      </c>
      <c r="D383" t="s">
        <v>139</v>
      </c>
      <c r="E383" t="s">
        <v>576</v>
      </c>
      <c r="F383" t="s">
        <v>116</v>
      </c>
      <c r="G383" t="s">
        <v>104</v>
      </c>
      <c r="H383" t="s">
        <v>97</v>
      </c>
      <c r="I383">
        <v>4</v>
      </c>
      <c r="J383" s="2">
        <v>82.08</v>
      </c>
      <c r="K383" s="4">
        <v>0.2</v>
      </c>
      <c r="L383" t="s">
        <v>98</v>
      </c>
      <c r="M383">
        <v>1</v>
      </c>
      <c r="N383" t="s">
        <v>91</v>
      </c>
      <c r="O383" t="str">
        <f>SUBSTITUTE(PROPER(TRIM(RawSalesTable6[[#This Row],[Channel_Raw]])),"Market Place","Marketplace")</f>
        <v>Retail Store</v>
      </c>
      <c r="P383" t="str">
        <f>TRIM(RawSalesTable6[[#This Row],[Product_ID]])</f>
        <v>P1012</v>
      </c>
      <c r="Q383" t="str">
        <f>TRIM(RawSalesTable6[[#This Row],[Customer_ID]])</f>
        <v>C0009</v>
      </c>
      <c r="R383" s="8" t="str">
        <f>PROPER(TRIM(RawSalesTable6[[#This Row],[Store_Raw]]))</f>
        <v>Toronto Downtown</v>
      </c>
      <c r="S383" s="8" t="str">
        <f>IF(TRIM(RawSalesTable6[[#This Row],[Payment_Method_Raw]])="","Non renseigné",SUBSTITUTE(PROPER(TRIM(RawSalesTable6[[#This Row],[Payment_Method_Raw]])),"Cc","Credit Card"))</f>
        <v>Debit Card</v>
      </c>
      <c r="T383" s="8">
        <f>COUNTIF(A:A,RawSalesTable6[[#This Row],[Order_ID]])</f>
        <v>1</v>
      </c>
      <c r="U383" s="8" t="str">
        <f>TRIM(LEFT(RawSalesTable6[[#This Row],[Customer_Info]],FIND(",",RawSalesTable6[[#This Row],[Customer_Info]])-1))</f>
        <v>Ethan Tremblay</v>
      </c>
      <c r="V383" s="8" t="str">
        <f>TRIM(MID(RawSalesTable6[[#This Row],[Customer_Info]],FIND(",",RawSalesTable6[[#This Row],[Customer_Info]])+1,FIND(",",RawSalesTable6[[#This Row],[Customer_Info]],FIND(",",RawSalesTable6[[#This Row],[Customer_Info]])+1)-FIND(",",RawSalesTable6[[#This Row],[Customer_Info]])-1))</f>
        <v>Mississauga</v>
      </c>
      <c r="W383" s="8" t="str">
        <f>TRIM(RIGHT(RawSalesTable6[[#This Row],[Customer_Info]],LEN(RawSalesTable6[[#This Row],[Customer_Info]])-FIND(",",RawSalesTable6[[#This Row],[Customer_Info]],FIND(",",RawSalesTable6[[#This Row],[Customer_Info]])+1)))</f>
        <v>Corporate</v>
      </c>
      <c r="X383" s="8" t="str">
        <f>VLOOKUP(RawSalesTable6[[#This Row],[Product_ID_Clean]],ProductsTable[],2,FALSE)</f>
        <v>Standing Desk</v>
      </c>
      <c r="Y383" s="8" t="str">
        <f>VLOOKUP(RawSalesTable6[[#This Row],[Product_ID_Clean]],ProductsTable[],3,FALSE)</f>
        <v>Office</v>
      </c>
      <c r="Z383" s="8">
        <f>VLOOKUP(RawSalesTable6[[#This Row],[Product_ID_Clean]],ProductsTable[],5,FALSE)</f>
        <v>45.17</v>
      </c>
      <c r="AA383" s="8">
        <f>RawSalesTable6[[#This Row],[Unit_Price]]*RawSalesTable6[[#This Row],[Quantity]]</f>
        <v>328.32</v>
      </c>
      <c r="AB383" s="8">
        <f>RawSalesTable6[[#This Row],[Gross_Sales]]*RawSalesTable6[[#This Row],[Discount_Pct]]</f>
        <v>65.664000000000001</v>
      </c>
      <c r="AC383" s="8">
        <f>RawSalesTable6[[#This Row],[Gross_Sales]]-RawSalesTable6[[#This Row],[Discount_Amount]]</f>
        <v>262.65600000000001</v>
      </c>
      <c r="AD383" s="8">
        <f>RawSalesTable6[[#This Row],[Unit_Cost]]*RawSalesTable6[[#This Row],[Quantity]]</f>
        <v>180.68</v>
      </c>
      <c r="AE383" s="8">
        <f>RawSalesTable6[[#This Row],[Net_Sales]]-RawSalesTable6[[#This Row],[Total_Cost]]</f>
        <v>81.975999999999999</v>
      </c>
      <c r="AF383" s="9">
        <f>RawSalesTable6[[#This Row],[Profit]]/RawSalesTable6[[#This Row],[Net_Sales]]</f>
        <v>0.31210404483430798</v>
      </c>
      <c r="AG383" s="8">
        <f>YEAR(RawSalesTable6[[#This Row],[Order_Date]])</f>
        <v>2025</v>
      </c>
      <c r="AH383" s="8">
        <f>MONTH(RawSalesTable6[[#This Row],[Order_Date]])</f>
        <v>5</v>
      </c>
      <c r="AI383" s="8" t="str">
        <f>TEXT(RawSalesTable6[[#This Row],[Order_Date]],"mmmm")</f>
        <v>mai</v>
      </c>
      <c r="AJ383" s="8" t="str">
        <f>IF(RawSalesTable6[[#This Row],[Month_Number]]&lt;=3,"Q1",IF(RawSalesTable6[[#This Row],[Month_Number]]&lt;=6,"Q2",IF(RawSalesTable6[[#This Row],[Month_Number]]&lt;=9,"Q3","Q4")))</f>
        <v>Q2</v>
      </c>
      <c r="AK383" s="8" t="str">
        <f>VLOOKUP(RawSalesTable6[[#This Row],[Customer_ID_Clean]],CustomersTable[],4,FALSE)</f>
        <v>Ontario</v>
      </c>
      <c r="AL383" s="8">
        <f>IF(RawSalesTable6[[#This Row],[Return_Status]]="Yes",1,0)</f>
        <v>0</v>
      </c>
    </row>
    <row r="384" spans="1:38">
      <c r="A384" t="s">
        <v>801</v>
      </c>
      <c r="B384" s="3">
        <v>45947</v>
      </c>
      <c r="C384" t="s">
        <v>268</v>
      </c>
      <c r="D384" t="s">
        <v>181</v>
      </c>
      <c r="E384" t="s">
        <v>269</v>
      </c>
      <c r="F384" t="s">
        <v>145</v>
      </c>
      <c r="G384" t="s">
        <v>104</v>
      </c>
      <c r="H384" t="s">
        <v>105</v>
      </c>
      <c r="I384">
        <v>2</v>
      </c>
      <c r="J384" s="2">
        <v>369.15</v>
      </c>
      <c r="K384" s="4">
        <v>0</v>
      </c>
      <c r="L384" t="s">
        <v>90</v>
      </c>
      <c r="M384">
        <v>2</v>
      </c>
      <c r="N384" t="s">
        <v>91</v>
      </c>
      <c r="O384" t="str">
        <f>SUBSTITUTE(PROPER(TRIM(RawSalesTable6[[#This Row],[Channel_Raw]])),"Market Place","Marketplace")</f>
        <v>Marketplace</v>
      </c>
      <c r="P384" t="str">
        <f>TRIM(RawSalesTable6[[#This Row],[Product_ID]])</f>
        <v>P1007</v>
      </c>
      <c r="Q384" t="str">
        <f>TRIM(RawSalesTable6[[#This Row],[Customer_ID]])</f>
        <v>C0043</v>
      </c>
      <c r="R384" s="8" t="str">
        <f>PROPER(TRIM(RawSalesTable6[[#This Row],[Store_Raw]]))</f>
        <v>Calgary North</v>
      </c>
      <c r="S384" s="8" t="str">
        <f>IF(TRIM(RawSalesTable6[[#This Row],[Payment_Method_Raw]])="","Non renseigné",SUBSTITUTE(PROPER(TRIM(RawSalesTable6[[#This Row],[Payment_Method_Raw]])),"Cc","Credit Card"))</f>
        <v>Paypal</v>
      </c>
      <c r="T384" s="8">
        <f>COUNTIF(A:A,RawSalesTable6[[#This Row],[Order_ID]])</f>
        <v>1</v>
      </c>
      <c r="U384" s="8" t="str">
        <f>TRIM(LEFT(RawSalesTable6[[#This Row],[Customer_Info]],FIND(",",RawSalesTable6[[#This Row],[Customer_Info]])-1))</f>
        <v>Ava Brown</v>
      </c>
      <c r="V384" s="8" t="str">
        <f>TRIM(MID(RawSalesTable6[[#This Row],[Customer_Info]],FIND(",",RawSalesTable6[[#This Row],[Customer_Info]])+1,FIND(",",RawSalesTable6[[#This Row],[Customer_Info]],FIND(",",RawSalesTable6[[#This Row],[Customer_Info]])+1)-FIND(",",RawSalesTable6[[#This Row],[Customer_Info]])-1))</f>
        <v>Ottawa</v>
      </c>
      <c r="W384" s="8" t="str">
        <f>TRIM(RIGHT(RawSalesTable6[[#This Row],[Customer_Info]],LEN(RawSalesTable6[[#This Row],[Customer_Info]])-FIND(",",RawSalesTable6[[#This Row],[Customer_Info]],FIND(",",RawSalesTable6[[#This Row],[Customer_Info]])+1)))</f>
        <v>Small Business</v>
      </c>
      <c r="X384" s="8" t="str">
        <f>VLOOKUP(RawSalesTable6[[#This Row],[Product_ID_Clean]],ProductsTable[],2,FALSE)</f>
        <v>Monitor</v>
      </c>
      <c r="Y384" s="8" t="str">
        <f>VLOOKUP(RawSalesTable6[[#This Row],[Product_ID_Clean]],ProductsTable[],3,FALSE)</f>
        <v>Electronics</v>
      </c>
      <c r="Z384" s="8">
        <f>VLOOKUP(RawSalesTable6[[#This Row],[Product_ID_Clean]],ProductsTable[],5,FALSE)</f>
        <v>224.47</v>
      </c>
      <c r="AA384" s="8">
        <f>RawSalesTable6[[#This Row],[Unit_Price]]*RawSalesTable6[[#This Row],[Quantity]]</f>
        <v>738.3</v>
      </c>
      <c r="AB384" s="8">
        <f>RawSalesTable6[[#This Row],[Gross_Sales]]*RawSalesTable6[[#This Row],[Discount_Pct]]</f>
        <v>0</v>
      </c>
      <c r="AC384" s="8">
        <f>RawSalesTable6[[#This Row],[Gross_Sales]]-RawSalesTable6[[#This Row],[Discount_Amount]]</f>
        <v>738.3</v>
      </c>
      <c r="AD384" s="8">
        <f>RawSalesTable6[[#This Row],[Unit_Cost]]*RawSalesTable6[[#This Row],[Quantity]]</f>
        <v>448.94</v>
      </c>
      <c r="AE384" s="8">
        <f>RawSalesTable6[[#This Row],[Net_Sales]]-RawSalesTable6[[#This Row],[Total_Cost]]</f>
        <v>289.35999999999996</v>
      </c>
      <c r="AF384" s="9">
        <f>RawSalesTable6[[#This Row],[Profit]]/RawSalesTable6[[#This Row],[Net_Sales]]</f>
        <v>0.39192740078558846</v>
      </c>
      <c r="AG384" s="8">
        <f>YEAR(RawSalesTable6[[#This Row],[Order_Date]])</f>
        <v>2025</v>
      </c>
      <c r="AH384" s="8">
        <f>MONTH(RawSalesTable6[[#This Row],[Order_Date]])</f>
        <v>10</v>
      </c>
      <c r="AI384" s="8" t="str">
        <f>TEXT(RawSalesTable6[[#This Row],[Order_Date]],"mmmm")</f>
        <v>octobre</v>
      </c>
      <c r="AJ384" s="8" t="str">
        <f>IF(RawSalesTable6[[#This Row],[Month_Number]]&lt;=3,"Q1",IF(RawSalesTable6[[#This Row],[Month_Number]]&lt;=6,"Q2",IF(RawSalesTable6[[#This Row],[Month_Number]]&lt;=9,"Q3","Q4")))</f>
        <v>Q4</v>
      </c>
      <c r="AK384" s="8" t="str">
        <f>VLOOKUP(RawSalesTable6[[#This Row],[Customer_ID_Clean]],CustomersTable[],4,FALSE)</f>
        <v>Ontario</v>
      </c>
      <c r="AL384" s="8">
        <f>IF(RawSalesTable6[[#This Row],[Return_Status]]="Yes",1,0)</f>
        <v>0</v>
      </c>
    </row>
    <row r="385" spans="1:38">
      <c r="A385" t="s">
        <v>802</v>
      </c>
      <c r="B385" s="3">
        <v>45947</v>
      </c>
      <c r="C385" t="s">
        <v>335</v>
      </c>
      <c r="D385" t="s">
        <v>194</v>
      </c>
      <c r="E385" t="s">
        <v>336</v>
      </c>
      <c r="F385" t="s">
        <v>103</v>
      </c>
      <c r="G385" t="s">
        <v>171</v>
      </c>
      <c r="H385" t="s">
        <v>308</v>
      </c>
      <c r="I385">
        <v>5</v>
      </c>
      <c r="J385" s="2">
        <v>198.14</v>
      </c>
      <c r="K385" s="4">
        <v>0.25</v>
      </c>
      <c r="L385" t="s">
        <v>369</v>
      </c>
      <c r="M385">
        <v>6</v>
      </c>
      <c r="N385" t="s">
        <v>147</v>
      </c>
      <c r="O385" t="str">
        <f>SUBSTITUTE(PROPER(TRIM(RawSalesTable6[[#This Row],[Channel_Raw]])),"Market Place","Marketplace")</f>
        <v>Online</v>
      </c>
      <c r="P385" t="str">
        <f>TRIM(RawSalesTable6[[#This Row],[Product_ID]])</f>
        <v>P1029</v>
      </c>
      <c r="Q385" t="str">
        <f>TRIM(RawSalesTable6[[#This Row],[Customer_ID]])</f>
        <v>C0037</v>
      </c>
      <c r="R385" s="8" t="str">
        <f>PROPER(TRIM(RawSalesTable6[[#This Row],[Store_Raw]]))</f>
        <v>Vancouver West</v>
      </c>
      <c r="S385" s="8" t="str">
        <f>IF(TRIM(RawSalesTable6[[#This Row],[Payment_Method_Raw]])="","Non renseigné",SUBSTITUTE(PROPER(TRIM(RawSalesTable6[[#This Row],[Payment_Method_Raw]])),"Cc","Credit Card"))</f>
        <v>Paypal</v>
      </c>
      <c r="T385" s="8">
        <f>COUNTIF(A:A,RawSalesTable6[[#This Row],[Order_ID]])</f>
        <v>1</v>
      </c>
      <c r="U385" s="8" t="str">
        <f>TRIM(LEFT(RawSalesTable6[[#This Row],[Customer_Info]],FIND(",",RawSalesTable6[[#This Row],[Customer_Info]])-1))</f>
        <v>Lucas Scott</v>
      </c>
      <c r="V385" s="8" t="str">
        <f>TRIM(MID(RawSalesTable6[[#This Row],[Customer_Info]],FIND(",",RawSalesTable6[[#This Row],[Customer_Info]])+1,FIND(",",RawSalesTable6[[#This Row],[Customer_Info]],FIND(",",RawSalesTable6[[#This Row],[Customer_Info]])+1)-FIND(",",RawSalesTable6[[#This Row],[Customer_Info]])-1))</f>
        <v>Victoria</v>
      </c>
      <c r="W385" s="8" t="str">
        <f>TRIM(RIGHT(RawSalesTable6[[#This Row],[Customer_Info]],LEN(RawSalesTable6[[#This Row],[Customer_Info]])-FIND(",",RawSalesTable6[[#This Row],[Customer_Info]],FIND(",",RawSalesTable6[[#This Row],[Customer_Info]])+1)))</f>
        <v>Small Business</v>
      </c>
      <c r="X385" s="8" t="str">
        <f>VLOOKUP(RawSalesTable6[[#This Row],[Product_ID_Clean]],ProductsTable[],2,FALSE)</f>
        <v>Jump Rope</v>
      </c>
      <c r="Y385" s="8" t="str">
        <f>VLOOKUP(RawSalesTable6[[#This Row],[Product_ID_Clean]],ProductsTable[],3,FALSE)</f>
        <v>Fitness</v>
      </c>
      <c r="Z385" s="8">
        <f>VLOOKUP(RawSalesTable6[[#This Row],[Product_ID_Clean]],ProductsTable[],5,FALSE)</f>
        <v>101</v>
      </c>
      <c r="AA385" s="8">
        <f>RawSalesTable6[[#This Row],[Unit_Price]]*RawSalesTable6[[#This Row],[Quantity]]</f>
        <v>990.69999999999993</v>
      </c>
      <c r="AB385" s="8">
        <f>RawSalesTable6[[#This Row],[Gross_Sales]]*RawSalesTable6[[#This Row],[Discount_Pct]]</f>
        <v>247.67499999999998</v>
      </c>
      <c r="AC385" s="8">
        <f>RawSalesTable6[[#This Row],[Gross_Sales]]-RawSalesTable6[[#This Row],[Discount_Amount]]</f>
        <v>743.02499999999998</v>
      </c>
      <c r="AD385" s="8">
        <f>RawSalesTable6[[#This Row],[Unit_Cost]]*RawSalesTable6[[#This Row],[Quantity]]</f>
        <v>505</v>
      </c>
      <c r="AE385" s="8">
        <f>RawSalesTable6[[#This Row],[Net_Sales]]-RawSalesTable6[[#This Row],[Total_Cost]]</f>
        <v>238.02499999999998</v>
      </c>
      <c r="AF385" s="9">
        <f>RawSalesTable6[[#This Row],[Profit]]/RawSalesTable6[[#This Row],[Net_Sales]]</f>
        <v>0.32034588338212039</v>
      </c>
      <c r="AG385" s="8">
        <f>YEAR(RawSalesTable6[[#This Row],[Order_Date]])</f>
        <v>2025</v>
      </c>
      <c r="AH385" s="8">
        <f>MONTH(RawSalesTable6[[#This Row],[Order_Date]])</f>
        <v>10</v>
      </c>
      <c r="AI385" s="8" t="str">
        <f>TEXT(RawSalesTable6[[#This Row],[Order_Date]],"mmmm")</f>
        <v>octobre</v>
      </c>
      <c r="AJ385" s="8" t="str">
        <f>IF(RawSalesTable6[[#This Row],[Month_Number]]&lt;=3,"Q1",IF(RawSalesTable6[[#This Row],[Month_Number]]&lt;=6,"Q2",IF(RawSalesTable6[[#This Row],[Month_Number]]&lt;=9,"Q3","Q4")))</f>
        <v>Q4</v>
      </c>
      <c r="AK385" s="8" t="str">
        <f>VLOOKUP(RawSalesTable6[[#This Row],[Customer_ID_Clean]],CustomersTable[],4,FALSE)</f>
        <v>British Columbia</v>
      </c>
      <c r="AL385" s="8">
        <f>IF(RawSalesTable6[[#This Row],[Return_Status]]="Yes",1,0)</f>
        <v>1</v>
      </c>
    </row>
    <row r="386" spans="1:38">
      <c r="A386" t="s">
        <v>803</v>
      </c>
      <c r="B386" s="3">
        <v>45783</v>
      </c>
      <c r="C386" t="s">
        <v>374</v>
      </c>
      <c r="D386" t="s">
        <v>114</v>
      </c>
      <c r="E386" t="s">
        <v>375</v>
      </c>
      <c r="F386" t="s">
        <v>145</v>
      </c>
      <c r="G386" t="s">
        <v>130</v>
      </c>
      <c r="H386" t="s">
        <v>89</v>
      </c>
      <c r="I386">
        <v>1</v>
      </c>
      <c r="J386" s="2">
        <v>151.30000000000001</v>
      </c>
      <c r="K386" s="4">
        <v>0</v>
      </c>
      <c r="L386" t="s">
        <v>98</v>
      </c>
      <c r="M386">
        <v>8</v>
      </c>
      <c r="N386" t="s">
        <v>91</v>
      </c>
      <c r="O386" t="str">
        <f>SUBSTITUTE(PROPER(TRIM(RawSalesTable6[[#This Row],[Channel_Raw]])),"Market Place","Marketplace")</f>
        <v>Online</v>
      </c>
      <c r="P386" t="str">
        <f>TRIM(RawSalesTable6[[#This Row],[Product_ID]])</f>
        <v>P1034</v>
      </c>
      <c r="Q386" t="str">
        <f>TRIM(RawSalesTable6[[#This Row],[Customer_ID]])</f>
        <v>C0035</v>
      </c>
      <c r="R386" s="8" t="str">
        <f>PROPER(TRIM(RawSalesTable6[[#This Row],[Store_Raw]]))</f>
        <v>Calgary North</v>
      </c>
      <c r="S386" s="8" t="str">
        <f>IF(TRIM(RawSalesTable6[[#This Row],[Payment_Method_Raw]])="","Non renseigné",SUBSTITUTE(PROPER(TRIM(RawSalesTable6[[#This Row],[Payment_Method_Raw]])),"Cc","Credit Card"))</f>
        <v>Debit Card</v>
      </c>
      <c r="T386" s="8">
        <f>COUNTIF(A:A,RawSalesTable6[[#This Row],[Order_ID]])</f>
        <v>1</v>
      </c>
      <c r="U386" s="8" t="str">
        <f>TRIM(LEFT(RawSalesTable6[[#This Row],[Customer_Info]],FIND(",",RawSalesTable6[[#This Row],[Customer_Info]])-1))</f>
        <v>Amelia Scott</v>
      </c>
      <c r="V386" s="8" t="str">
        <f>TRIM(MID(RawSalesTable6[[#This Row],[Customer_Info]],FIND(",",RawSalesTable6[[#This Row],[Customer_Info]])+1,FIND(",",RawSalesTable6[[#This Row],[Customer_Info]],FIND(",",RawSalesTable6[[#This Row],[Customer_Info]])+1)-FIND(",",RawSalesTable6[[#This Row],[Customer_Info]])-1))</f>
        <v>Edmonton</v>
      </c>
      <c r="W386" s="8" t="str">
        <f>TRIM(RIGHT(RawSalesTable6[[#This Row],[Customer_Info]],LEN(RawSalesTable6[[#This Row],[Customer_Info]])-FIND(",",RawSalesTable6[[#This Row],[Customer_Info]],FIND(",",RawSalesTable6[[#This Row],[Customer_Info]])+1)))</f>
        <v>Small Business</v>
      </c>
      <c r="X386" s="8" t="str">
        <f>VLOOKUP(RawSalesTable6[[#This Row],[Product_ID_Clean]],ProductsTable[],2,FALSE)</f>
        <v>Laptop Sleeve</v>
      </c>
      <c r="Y386" s="8" t="str">
        <f>VLOOKUP(RawSalesTable6[[#This Row],[Product_ID_Clean]],ProductsTable[],3,FALSE)</f>
        <v>Accessories</v>
      </c>
      <c r="Z386" s="8">
        <f>VLOOKUP(RawSalesTable6[[#This Row],[Product_ID_Clean]],ProductsTable[],5,FALSE)</f>
        <v>78.95</v>
      </c>
      <c r="AA386" s="8">
        <f>RawSalesTable6[[#This Row],[Unit_Price]]*RawSalesTable6[[#This Row],[Quantity]]</f>
        <v>151.30000000000001</v>
      </c>
      <c r="AB386" s="8">
        <f>RawSalesTable6[[#This Row],[Gross_Sales]]*RawSalesTable6[[#This Row],[Discount_Pct]]</f>
        <v>0</v>
      </c>
      <c r="AC386" s="8">
        <f>RawSalesTable6[[#This Row],[Gross_Sales]]-RawSalesTable6[[#This Row],[Discount_Amount]]</f>
        <v>151.30000000000001</v>
      </c>
      <c r="AD386" s="8">
        <f>RawSalesTable6[[#This Row],[Unit_Cost]]*RawSalesTable6[[#This Row],[Quantity]]</f>
        <v>78.95</v>
      </c>
      <c r="AE386" s="8">
        <f>RawSalesTable6[[#This Row],[Net_Sales]]-RawSalesTable6[[#This Row],[Total_Cost]]</f>
        <v>72.350000000000009</v>
      </c>
      <c r="AF386" s="9">
        <f>RawSalesTable6[[#This Row],[Profit]]/RawSalesTable6[[#This Row],[Net_Sales]]</f>
        <v>0.47818902842035693</v>
      </c>
      <c r="AG386" s="8">
        <f>YEAR(RawSalesTable6[[#This Row],[Order_Date]])</f>
        <v>2025</v>
      </c>
      <c r="AH386" s="8">
        <f>MONTH(RawSalesTable6[[#This Row],[Order_Date]])</f>
        <v>5</v>
      </c>
      <c r="AI386" s="8" t="str">
        <f>TEXT(RawSalesTable6[[#This Row],[Order_Date]],"mmmm")</f>
        <v>mai</v>
      </c>
      <c r="AJ386" s="8" t="str">
        <f>IF(RawSalesTable6[[#This Row],[Month_Number]]&lt;=3,"Q1",IF(RawSalesTable6[[#This Row],[Month_Number]]&lt;=6,"Q2",IF(RawSalesTable6[[#This Row],[Month_Number]]&lt;=9,"Q3","Q4")))</f>
        <v>Q2</v>
      </c>
      <c r="AK386" s="8" t="str">
        <f>VLOOKUP(RawSalesTable6[[#This Row],[Customer_ID_Clean]],CustomersTable[],4,FALSE)</f>
        <v>Alberta</v>
      </c>
      <c r="AL386" s="8">
        <f>IF(RawSalesTable6[[#This Row],[Return_Status]]="Yes",1,0)</f>
        <v>0</v>
      </c>
    </row>
    <row r="387" spans="1:38">
      <c r="A387" t="s">
        <v>804</v>
      </c>
      <c r="B387" s="3">
        <v>45773</v>
      </c>
      <c r="C387" t="s">
        <v>164</v>
      </c>
      <c r="D387" t="s">
        <v>194</v>
      </c>
      <c r="E387" t="s">
        <v>166</v>
      </c>
      <c r="F387" t="s">
        <v>116</v>
      </c>
      <c r="G387" t="s">
        <v>88</v>
      </c>
      <c r="H387" t="s">
        <v>308</v>
      </c>
      <c r="I387">
        <v>3</v>
      </c>
      <c r="J387" s="2">
        <v>210.85</v>
      </c>
      <c r="K387" s="4">
        <v>0.1</v>
      </c>
      <c r="L387" t="s">
        <v>90</v>
      </c>
      <c r="M387">
        <v>8</v>
      </c>
      <c r="N387" t="s">
        <v>91</v>
      </c>
      <c r="O387" t="str">
        <f>SUBSTITUTE(PROPER(TRIM(RawSalesTable6[[#This Row],[Channel_Raw]])),"Market Place","Marketplace")</f>
        <v>Online</v>
      </c>
      <c r="P387" t="str">
        <f>TRIM(RawSalesTable6[[#This Row],[Product_ID]])</f>
        <v>P1029</v>
      </c>
      <c r="Q387" t="str">
        <f>TRIM(RawSalesTable6[[#This Row],[Customer_ID]])</f>
        <v>C0032</v>
      </c>
      <c r="R387" s="8" t="str">
        <f>PROPER(TRIM(RawSalesTable6[[#This Row],[Store_Raw]]))</f>
        <v>Toronto Downtown</v>
      </c>
      <c r="S387" s="8" t="str">
        <f>IF(TRIM(RawSalesTable6[[#This Row],[Payment_Method_Raw]])="","Non renseigné",SUBSTITUTE(PROPER(TRIM(RawSalesTable6[[#This Row],[Payment_Method_Raw]])),"Cc","Credit Card"))</f>
        <v>Paypal</v>
      </c>
      <c r="T387" s="8">
        <f>COUNTIF(A:A,RawSalesTable6[[#This Row],[Order_ID]])</f>
        <v>1</v>
      </c>
      <c r="U387" s="8" t="str">
        <f>TRIM(LEFT(RawSalesTable6[[#This Row],[Customer_Info]],FIND(",",RawSalesTable6[[#This Row],[Customer_Info]])-1))</f>
        <v>Nora Bennett</v>
      </c>
      <c r="V387" s="8" t="str">
        <f>TRIM(MID(RawSalesTable6[[#This Row],[Customer_Info]],FIND(",",RawSalesTable6[[#This Row],[Customer_Info]])+1,FIND(",",RawSalesTable6[[#This Row],[Customer_Info]],FIND(",",RawSalesTable6[[#This Row],[Customer_Info]])+1)-FIND(",",RawSalesTable6[[#This Row],[Customer_Info]])-1))</f>
        <v>Surrey</v>
      </c>
      <c r="W387" s="8" t="str">
        <f>TRIM(RIGHT(RawSalesTable6[[#This Row],[Customer_Info]],LEN(RawSalesTable6[[#This Row],[Customer_Info]])-FIND(",",RawSalesTable6[[#This Row],[Customer_Info]],FIND(",",RawSalesTable6[[#This Row],[Customer_Info]])+1)))</f>
        <v>Consumer</v>
      </c>
      <c r="X387" s="8" t="str">
        <f>VLOOKUP(RawSalesTable6[[#This Row],[Product_ID_Clean]],ProductsTable[],2,FALSE)</f>
        <v>Jump Rope</v>
      </c>
      <c r="Y387" s="8" t="str">
        <f>VLOOKUP(RawSalesTable6[[#This Row],[Product_ID_Clean]],ProductsTable[],3,FALSE)</f>
        <v>Fitness</v>
      </c>
      <c r="Z387" s="8">
        <f>VLOOKUP(RawSalesTable6[[#This Row],[Product_ID_Clean]],ProductsTable[],5,FALSE)</f>
        <v>101</v>
      </c>
      <c r="AA387" s="8">
        <f>RawSalesTable6[[#This Row],[Unit_Price]]*RawSalesTable6[[#This Row],[Quantity]]</f>
        <v>632.54999999999995</v>
      </c>
      <c r="AB387" s="8">
        <f>RawSalesTable6[[#This Row],[Gross_Sales]]*RawSalesTable6[[#This Row],[Discount_Pct]]</f>
        <v>63.254999999999995</v>
      </c>
      <c r="AC387" s="8">
        <f>RawSalesTable6[[#This Row],[Gross_Sales]]-RawSalesTable6[[#This Row],[Discount_Amount]]</f>
        <v>569.29499999999996</v>
      </c>
      <c r="AD387" s="8">
        <f>RawSalesTable6[[#This Row],[Unit_Cost]]*RawSalesTable6[[#This Row],[Quantity]]</f>
        <v>303</v>
      </c>
      <c r="AE387" s="8">
        <f>RawSalesTable6[[#This Row],[Net_Sales]]-RawSalesTable6[[#This Row],[Total_Cost]]</f>
        <v>266.29499999999996</v>
      </c>
      <c r="AF387" s="9">
        <f>RawSalesTable6[[#This Row],[Profit]]/RawSalesTable6[[#This Row],[Net_Sales]]</f>
        <v>0.46776275920217109</v>
      </c>
      <c r="AG387" s="8">
        <f>YEAR(RawSalesTable6[[#This Row],[Order_Date]])</f>
        <v>2025</v>
      </c>
      <c r="AH387" s="8">
        <f>MONTH(RawSalesTable6[[#This Row],[Order_Date]])</f>
        <v>4</v>
      </c>
      <c r="AI387" s="8" t="str">
        <f>TEXT(RawSalesTable6[[#This Row],[Order_Date]],"mmmm")</f>
        <v>avril</v>
      </c>
      <c r="AJ387" s="8" t="str">
        <f>IF(RawSalesTable6[[#This Row],[Month_Number]]&lt;=3,"Q1",IF(RawSalesTable6[[#This Row],[Month_Number]]&lt;=6,"Q2",IF(RawSalesTable6[[#This Row],[Month_Number]]&lt;=9,"Q3","Q4")))</f>
        <v>Q2</v>
      </c>
      <c r="AK387" s="8" t="str">
        <f>VLOOKUP(RawSalesTable6[[#This Row],[Customer_ID_Clean]],CustomersTable[],4,FALSE)</f>
        <v>British Columbia</v>
      </c>
      <c r="AL387" s="8">
        <f>IF(RawSalesTable6[[#This Row],[Return_Status]]="Yes",1,0)</f>
        <v>0</v>
      </c>
    </row>
    <row r="388" spans="1:38">
      <c r="A388" t="s">
        <v>805</v>
      </c>
      <c r="B388" s="3">
        <v>46019</v>
      </c>
      <c r="C388" t="s">
        <v>487</v>
      </c>
      <c r="D388" t="s">
        <v>271</v>
      </c>
      <c r="E388" t="s">
        <v>806</v>
      </c>
      <c r="F388" t="s">
        <v>103</v>
      </c>
      <c r="G388" t="s">
        <v>88</v>
      </c>
      <c r="H388" t="s">
        <v>228</v>
      </c>
      <c r="I388">
        <v>1</v>
      </c>
      <c r="J388" s="2">
        <v>223.94</v>
      </c>
      <c r="K388" s="4">
        <v>0</v>
      </c>
      <c r="L388" t="s">
        <v>106</v>
      </c>
      <c r="M388">
        <v>7</v>
      </c>
      <c r="N388" t="s">
        <v>147</v>
      </c>
      <c r="O388" t="str">
        <f>SUBSTITUTE(PROPER(TRIM(RawSalesTable6[[#This Row],[Channel_Raw]])),"Market Place","Marketplace")</f>
        <v>Online</v>
      </c>
      <c r="P388" t="str">
        <f>TRIM(RawSalesTable6[[#This Row],[Product_ID]])</f>
        <v>P1026</v>
      </c>
      <c r="Q388" t="str">
        <f>TRIM(RawSalesTable6[[#This Row],[Customer_ID]])</f>
        <v>C0105</v>
      </c>
      <c r="R388" s="8" t="str">
        <f>PROPER(TRIM(RawSalesTable6[[#This Row],[Store_Raw]]))</f>
        <v>Vancouver West</v>
      </c>
      <c r="S388" s="8" t="str">
        <f>IF(TRIM(RawSalesTable6[[#This Row],[Payment_Method_Raw]])="","Non renseigné",SUBSTITUTE(PROPER(TRIM(RawSalesTable6[[#This Row],[Payment_Method_Raw]])),"Cc","Credit Card"))</f>
        <v>Credit Card</v>
      </c>
      <c r="T388" s="8">
        <f>COUNTIF(A:A,RawSalesTable6[[#This Row],[Order_ID]])</f>
        <v>1</v>
      </c>
      <c r="U388" s="8" t="str">
        <f>TRIM(LEFT(RawSalesTable6[[#This Row],[Customer_Info]],FIND(",",RawSalesTable6[[#This Row],[Customer_Info]])-1))</f>
        <v>Liam Martin</v>
      </c>
      <c r="V388" s="8" t="str">
        <f>TRIM(MID(RawSalesTable6[[#This Row],[Customer_Info]],FIND(",",RawSalesTable6[[#This Row],[Customer_Info]])+1,FIND(",",RawSalesTable6[[#This Row],[Customer_Info]],FIND(",",RawSalesTable6[[#This Row],[Customer_Info]])+1)-FIND(",",RawSalesTable6[[#This Row],[Customer_Info]])-1))</f>
        <v>Calgary</v>
      </c>
      <c r="W388" s="8" t="str">
        <f>TRIM(RIGHT(RawSalesTable6[[#This Row],[Customer_Info]],LEN(RawSalesTable6[[#This Row],[Customer_Info]])-FIND(",",RawSalesTable6[[#This Row],[Customer_Info]],FIND(",",RawSalesTable6[[#This Row],[Customer_Info]])+1)))</f>
        <v>Consumer</v>
      </c>
      <c r="X388" s="8" t="str">
        <f>VLOOKUP(RawSalesTable6[[#This Row],[Product_ID_Clean]],ProductsTable[],2,FALSE)</f>
        <v>Resistance Bands</v>
      </c>
      <c r="Y388" s="8" t="str">
        <f>VLOOKUP(RawSalesTable6[[#This Row],[Product_ID_Clean]],ProductsTable[],3,FALSE)</f>
        <v>Fitness</v>
      </c>
      <c r="Z388" s="8">
        <f>VLOOKUP(RawSalesTable6[[#This Row],[Product_ID_Clean]],ProductsTable[],5,FALSE)</f>
        <v>139.19999999999999</v>
      </c>
      <c r="AA388" s="8">
        <f>RawSalesTable6[[#This Row],[Unit_Price]]*RawSalesTable6[[#This Row],[Quantity]]</f>
        <v>223.94</v>
      </c>
      <c r="AB388" s="8">
        <f>RawSalesTable6[[#This Row],[Gross_Sales]]*RawSalesTable6[[#This Row],[Discount_Pct]]</f>
        <v>0</v>
      </c>
      <c r="AC388" s="8">
        <f>RawSalesTable6[[#This Row],[Gross_Sales]]-RawSalesTable6[[#This Row],[Discount_Amount]]</f>
        <v>223.94</v>
      </c>
      <c r="AD388" s="8">
        <f>RawSalesTable6[[#This Row],[Unit_Cost]]*RawSalesTable6[[#This Row],[Quantity]]</f>
        <v>139.19999999999999</v>
      </c>
      <c r="AE388" s="8">
        <f>RawSalesTable6[[#This Row],[Net_Sales]]-RawSalesTable6[[#This Row],[Total_Cost]]</f>
        <v>84.740000000000009</v>
      </c>
      <c r="AF388" s="9">
        <f>RawSalesTable6[[#This Row],[Profit]]/RawSalesTable6[[#This Row],[Net_Sales]]</f>
        <v>0.37840492989193536</v>
      </c>
      <c r="AG388" s="8">
        <f>YEAR(RawSalesTable6[[#This Row],[Order_Date]])</f>
        <v>2025</v>
      </c>
      <c r="AH388" s="8">
        <f>MONTH(RawSalesTable6[[#This Row],[Order_Date]])</f>
        <v>12</v>
      </c>
      <c r="AI388" s="8" t="str">
        <f>TEXT(RawSalesTable6[[#This Row],[Order_Date]],"mmmm")</f>
        <v>décembre</v>
      </c>
      <c r="AJ388" s="8" t="str">
        <f>IF(RawSalesTable6[[#This Row],[Month_Number]]&lt;=3,"Q1",IF(RawSalesTable6[[#This Row],[Month_Number]]&lt;=6,"Q2",IF(RawSalesTable6[[#This Row],[Month_Number]]&lt;=9,"Q3","Q4")))</f>
        <v>Q4</v>
      </c>
      <c r="AK388" s="8" t="str">
        <f>VLOOKUP(RawSalesTable6[[#This Row],[Customer_ID_Clean]],CustomersTable[],4,FALSE)</f>
        <v>Alberta</v>
      </c>
      <c r="AL388" s="8">
        <f>IF(RawSalesTable6[[#This Row],[Return_Status]]="Yes",1,0)</f>
        <v>1</v>
      </c>
    </row>
    <row r="389" spans="1:38">
      <c r="A389" t="s">
        <v>807</v>
      </c>
      <c r="B389" s="3">
        <v>46009</v>
      </c>
      <c r="C389" t="s">
        <v>185</v>
      </c>
      <c r="D389" t="s">
        <v>217</v>
      </c>
      <c r="E389" t="s">
        <v>186</v>
      </c>
      <c r="F389" t="s">
        <v>111</v>
      </c>
      <c r="G389" t="s">
        <v>117</v>
      </c>
      <c r="H389" t="s">
        <v>89</v>
      </c>
      <c r="I389">
        <v>1</v>
      </c>
      <c r="J389" s="2">
        <v>103.33</v>
      </c>
      <c r="K389" s="4">
        <v>0.1</v>
      </c>
      <c r="L389" t="s">
        <v>98</v>
      </c>
      <c r="M389">
        <v>9</v>
      </c>
      <c r="N389" t="s">
        <v>91</v>
      </c>
      <c r="O389" t="str">
        <f>SUBSTITUTE(PROPER(TRIM(RawSalesTable6[[#This Row],[Channel_Raw]])),"Market Place","Marketplace")</f>
        <v>Online</v>
      </c>
      <c r="P389" t="str">
        <f>TRIM(RawSalesTable6[[#This Row],[Product_ID]])</f>
        <v>P1006</v>
      </c>
      <c r="Q389" t="str">
        <f>TRIM(RawSalesTable6[[#This Row],[Customer_ID]])</f>
        <v>C0036</v>
      </c>
      <c r="R389" s="8" t="str">
        <f>PROPER(TRIM(RawSalesTable6[[#This Row],[Store_Raw]]))</f>
        <v>Montreal Central</v>
      </c>
      <c r="S389" s="8" t="str">
        <f>IF(TRIM(RawSalesTable6[[#This Row],[Payment_Method_Raw]])="","Non renseigné",SUBSTITUTE(PROPER(TRIM(RawSalesTable6[[#This Row],[Payment_Method_Raw]])),"Cc","Credit Card"))</f>
        <v>Debit Card</v>
      </c>
      <c r="T389" s="8">
        <f>COUNTIF(A:A,RawSalesTable6[[#This Row],[Order_ID]])</f>
        <v>1</v>
      </c>
      <c r="U389" s="8" t="str">
        <f>TRIM(LEFT(RawSalesTable6[[#This Row],[Customer_Info]],FIND(",",RawSalesTable6[[#This Row],[Customer_Info]])-1))</f>
        <v>Sarah Wilson</v>
      </c>
      <c r="V389" s="8" t="str">
        <f>TRIM(MID(RawSalesTable6[[#This Row],[Customer_Info]],FIND(",",RawSalesTable6[[#This Row],[Customer_Info]])+1,FIND(",",RawSalesTable6[[#This Row],[Customer_Info]],FIND(",",RawSalesTable6[[#This Row],[Customer_Info]])+1)-FIND(",",RawSalesTable6[[#This Row],[Customer_Info]])-1))</f>
        <v>Montreal</v>
      </c>
      <c r="W389" s="8" t="str">
        <f>TRIM(RIGHT(RawSalesTable6[[#This Row],[Customer_Info]],LEN(RawSalesTable6[[#This Row],[Customer_Info]])-FIND(",",RawSalesTable6[[#This Row],[Customer_Info]],FIND(",",RawSalesTable6[[#This Row],[Customer_Info]])+1)))</f>
        <v>Corporate</v>
      </c>
      <c r="X389" s="8" t="str">
        <f>VLOOKUP(RawSalesTable6[[#This Row],[Product_ID_Clean]],ProductsTable[],2,FALSE)</f>
        <v>USB-C Hub</v>
      </c>
      <c r="Y389" s="8" t="str">
        <f>VLOOKUP(RawSalesTable6[[#This Row],[Product_ID_Clean]],ProductsTable[],3,FALSE)</f>
        <v>Electronics</v>
      </c>
      <c r="Z389" s="8">
        <f>VLOOKUP(RawSalesTable6[[#This Row],[Product_ID_Clean]],ProductsTable[],5,FALSE)</f>
        <v>72</v>
      </c>
      <c r="AA389" s="8">
        <f>RawSalesTable6[[#This Row],[Unit_Price]]*RawSalesTable6[[#This Row],[Quantity]]</f>
        <v>103.33</v>
      </c>
      <c r="AB389" s="8">
        <f>RawSalesTable6[[#This Row],[Gross_Sales]]*RawSalesTable6[[#This Row],[Discount_Pct]]</f>
        <v>10.333</v>
      </c>
      <c r="AC389" s="8">
        <f>RawSalesTable6[[#This Row],[Gross_Sales]]-RawSalesTable6[[#This Row],[Discount_Amount]]</f>
        <v>92.997</v>
      </c>
      <c r="AD389" s="8">
        <f>RawSalesTable6[[#This Row],[Unit_Cost]]*RawSalesTable6[[#This Row],[Quantity]]</f>
        <v>72</v>
      </c>
      <c r="AE389" s="8">
        <f>RawSalesTable6[[#This Row],[Net_Sales]]-RawSalesTable6[[#This Row],[Total_Cost]]</f>
        <v>20.997</v>
      </c>
      <c r="AF389" s="9">
        <f>RawSalesTable6[[#This Row],[Profit]]/RawSalesTable6[[#This Row],[Net_Sales]]</f>
        <v>0.22578147682183297</v>
      </c>
      <c r="AG389" s="8">
        <f>YEAR(RawSalesTable6[[#This Row],[Order_Date]])</f>
        <v>2025</v>
      </c>
      <c r="AH389" s="8">
        <f>MONTH(RawSalesTable6[[#This Row],[Order_Date]])</f>
        <v>12</v>
      </c>
      <c r="AI389" s="8" t="str">
        <f>TEXT(RawSalesTable6[[#This Row],[Order_Date]],"mmmm")</f>
        <v>décembre</v>
      </c>
      <c r="AJ389" s="8" t="str">
        <f>IF(RawSalesTable6[[#This Row],[Month_Number]]&lt;=3,"Q1",IF(RawSalesTable6[[#This Row],[Month_Number]]&lt;=6,"Q2",IF(RawSalesTable6[[#This Row],[Month_Number]]&lt;=9,"Q3","Q4")))</f>
        <v>Q4</v>
      </c>
      <c r="AK389" s="8" t="str">
        <f>VLOOKUP(RawSalesTable6[[#This Row],[Customer_ID_Clean]],CustomersTable[],4,FALSE)</f>
        <v>Quebec</v>
      </c>
      <c r="AL389" s="8">
        <f>IF(RawSalesTable6[[#This Row],[Return_Status]]="Yes",1,0)</f>
        <v>0</v>
      </c>
    </row>
    <row r="390" spans="1:38">
      <c r="A390" t="s">
        <v>808</v>
      </c>
      <c r="B390" s="3">
        <v>45911</v>
      </c>
      <c r="C390" t="s">
        <v>809</v>
      </c>
      <c r="D390" t="s">
        <v>136</v>
      </c>
      <c r="E390" t="s">
        <v>810</v>
      </c>
      <c r="F390" t="s">
        <v>111</v>
      </c>
      <c r="G390" t="s">
        <v>122</v>
      </c>
      <c r="H390" t="s">
        <v>97</v>
      </c>
      <c r="I390">
        <v>1</v>
      </c>
      <c r="J390" s="2">
        <v>153.69999999999999</v>
      </c>
      <c r="K390" s="4">
        <v>0.05</v>
      </c>
      <c r="L390" t="s">
        <v>106</v>
      </c>
      <c r="M390">
        <v>1</v>
      </c>
      <c r="N390" t="s">
        <v>91</v>
      </c>
      <c r="O390" t="str">
        <f>SUBSTITUTE(PROPER(TRIM(RawSalesTable6[[#This Row],[Channel_Raw]])),"Market Place","Marketplace")</f>
        <v>Retail Store</v>
      </c>
      <c r="P390" t="str">
        <f>TRIM(RawSalesTable6[[#This Row],[Product_ID]])</f>
        <v>P1003</v>
      </c>
      <c r="Q390" t="str">
        <f>TRIM(RawSalesTable6[[#This Row],[Customer_ID]])</f>
        <v>C0046</v>
      </c>
      <c r="R390" s="8" t="str">
        <f>PROPER(TRIM(RawSalesTable6[[#This Row],[Store_Raw]]))</f>
        <v>Montreal Central</v>
      </c>
      <c r="S390" s="8" t="str">
        <f>IF(TRIM(RawSalesTable6[[#This Row],[Payment_Method_Raw]])="","Non renseigné",SUBSTITUTE(PROPER(TRIM(RawSalesTable6[[#This Row],[Payment_Method_Raw]])),"Cc","Credit Card"))</f>
        <v>Credit Card</v>
      </c>
      <c r="T390" s="8">
        <f>COUNTIF(A:A,RawSalesTable6[[#This Row],[Order_ID]])</f>
        <v>1</v>
      </c>
      <c r="U390" s="8" t="str">
        <f>TRIM(LEFT(RawSalesTable6[[#This Row],[Customer_Info]],FIND(",",RawSalesTable6[[#This Row],[Customer_Info]])-1))</f>
        <v>Amelia Bennett</v>
      </c>
      <c r="V390" s="8" t="str">
        <f>TRIM(MID(RawSalesTable6[[#This Row],[Customer_Info]],FIND(",",RawSalesTable6[[#This Row],[Customer_Info]])+1,FIND(",",RawSalesTable6[[#This Row],[Customer_Info]],FIND(",",RawSalesTable6[[#This Row],[Customer_Info]])+1)-FIND(",",RawSalesTable6[[#This Row],[Customer_Info]])-1))</f>
        <v>Laval</v>
      </c>
      <c r="W390" s="8" t="str">
        <f>TRIM(RIGHT(RawSalesTable6[[#This Row],[Customer_Info]],LEN(RawSalesTable6[[#This Row],[Customer_Info]])-FIND(",",RawSalesTable6[[#This Row],[Customer_Info]],FIND(",",RawSalesTable6[[#This Row],[Customer_Info]])+1)))</f>
        <v>Consumer</v>
      </c>
      <c r="X390" s="8" t="str">
        <f>VLOOKUP(RawSalesTable6[[#This Row],[Product_ID_Clean]],ProductsTable[],2,FALSE)</f>
        <v>Mouse</v>
      </c>
      <c r="Y390" s="8" t="str">
        <f>VLOOKUP(RawSalesTable6[[#This Row],[Product_ID_Clean]],ProductsTable[],3,FALSE)</f>
        <v>Electronics</v>
      </c>
      <c r="Z390" s="8">
        <f>VLOOKUP(RawSalesTable6[[#This Row],[Product_ID_Clean]],ProductsTable[],5,FALSE)</f>
        <v>106.4</v>
      </c>
      <c r="AA390" s="8">
        <f>RawSalesTable6[[#This Row],[Unit_Price]]*RawSalesTable6[[#This Row],[Quantity]]</f>
        <v>153.69999999999999</v>
      </c>
      <c r="AB390" s="8">
        <f>RawSalesTable6[[#This Row],[Gross_Sales]]*RawSalesTable6[[#This Row],[Discount_Pct]]</f>
        <v>7.6849999999999996</v>
      </c>
      <c r="AC390" s="8">
        <f>RawSalesTable6[[#This Row],[Gross_Sales]]-RawSalesTable6[[#This Row],[Discount_Amount]]</f>
        <v>146.01499999999999</v>
      </c>
      <c r="AD390" s="8">
        <f>RawSalesTable6[[#This Row],[Unit_Cost]]*RawSalesTable6[[#This Row],[Quantity]]</f>
        <v>106.4</v>
      </c>
      <c r="AE390" s="8">
        <f>RawSalesTable6[[#This Row],[Net_Sales]]-RawSalesTable6[[#This Row],[Total_Cost]]</f>
        <v>39.614999999999981</v>
      </c>
      <c r="AF390" s="9">
        <f>RawSalesTable6[[#This Row],[Profit]]/RawSalesTable6[[#This Row],[Net_Sales]]</f>
        <v>0.27130774235523736</v>
      </c>
      <c r="AG390" s="8">
        <f>YEAR(RawSalesTable6[[#This Row],[Order_Date]])</f>
        <v>2025</v>
      </c>
      <c r="AH390" s="8">
        <f>MONTH(RawSalesTable6[[#This Row],[Order_Date]])</f>
        <v>9</v>
      </c>
      <c r="AI390" s="8" t="str">
        <f>TEXT(RawSalesTable6[[#This Row],[Order_Date]],"mmmm")</f>
        <v>septembre</v>
      </c>
      <c r="AJ390" s="8" t="str">
        <f>IF(RawSalesTable6[[#This Row],[Month_Number]]&lt;=3,"Q1",IF(RawSalesTable6[[#This Row],[Month_Number]]&lt;=6,"Q2",IF(RawSalesTable6[[#This Row],[Month_Number]]&lt;=9,"Q3","Q4")))</f>
        <v>Q3</v>
      </c>
      <c r="AK390" s="8" t="str">
        <f>VLOOKUP(RawSalesTable6[[#This Row],[Customer_ID_Clean]],CustomersTable[],4,FALSE)</f>
        <v>Quebec</v>
      </c>
      <c r="AL390" s="8">
        <f>IF(RawSalesTable6[[#This Row],[Return_Status]]="Yes",1,0)</f>
        <v>0</v>
      </c>
    </row>
    <row r="391" spans="1:38">
      <c r="A391" t="s">
        <v>811</v>
      </c>
      <c r="B391" s="3">
        <v>45678</v>
      </c>
      <c r="C391" t="s">
        <v>243</v>
      </c>
      <c r="D391" t="s">
        <v>323</v>
      </c>
      <c r="E391" t="s">
        <v>245</v>
      </c>
      <c r="F391" t="s">
        <v>111</v>
      </c>
      <c r="G391" t="s">
        <v>122</v>
      </c>
      <c r="H391" t="s">
        <v>89</v>
      </c>
      <c r="I391">
        <v>3</v>
      </c>
      <c r="J391" s="2">
        <v>318.11</v>
      </c>
      <c r="K391" s="4">
        <v>0.05</v>
      </c>
      <c r="L391" t="s">
        <v>106</v>
      </c>
      <c r="M391">
        <v>5</v>
      </c>
      <c r="N391" t="s">
        <v>91</v>
      </c>
      <c r="O391" t="str">
        <f>SUBSTITUTE(PROPER(TRIM(RawSalesTable6[[#This Row],[Channel_Raw]])),"Market Place","Marketplace")</f>
        <v>Online</v>
      </c>
      <c r="P391" t="str">
        <f>TRIM(RawSalesTable6[[#This Row],[Product_ID]])</f>
        <v>P1023</v>
      </c>
      <c r="Q391" t="str">
        <f>TRIM(RawSalesTable6[[#This Row],[Customer_ID]])</f>
        <v>C0048</v>
      </c>
      <c r="R391" s="8" t="str">
        <f>PROPER(TRIM(RawSalesTable6[[#This Row],[Store_Raw]]))</f>
        <v>Montreal Central</v>
      </c>
      <c r="S391" s="8" t="str">
        <f>IF(TRIM(RawSalesTable6[[#This Row],[Payment_Method_Raw]])="","Non renseigné",SUBSTITUTE(PROPER(TRIM(RawSalesTable6[[#This Row],[Payment_Method_Raw]])),"Cc","Credit Card"))</f>
        <v>Credit Card</v>
      </c>
      <c r="T391" s="8">
        <f>COUNTIF(A:A,RawSalesTable6[[#This Row],[Order_ID]])</f>
        <v>1</v>
      </c>
      <c r="U391" s="8" t="str">
        <f>TRIM(LEFT(RawSalesTable6[[#This Row],[Customer_Info]],FIND(",",RawSalesTable6[[#This Row],[Customer_Info]])-1))</f>
        <v>Amelia Brown</v>
      </c>
      <c r="V391" s="8" t="str">
        <f>TRIM(MID(RawSalesTable6[[#This Row],[Customer_Info]],FIND(",",RawSalesTable6[[#This Row],[Customer_Info]])+1,FIND(",",RawSalesTable6[[#This Row],[Customer_Info]],FIND(",",RawSalesTable6[[#This Row],[Customer_Info]])+1)-FIND(",",RawSalesTable6[[#This Row],[Customer_Info]])-1))</f>
        <v>Quebec City</v>
      </c>
      <c r="W391" s="8" t="str">
        <f>TRIM(RIGHT(RawSalesTable6[[#This Row],[Customer_Info]],LEN(RawSalesTable6[[#This Row],[Customer_Info]])-FIND(",",RawSalesTable6[[#This Row],[Customer_Info]],FIND(",",RawSalesTable6[[#This Row],[Customer_Info]])+1)))</f>
        <v>Corporate</v>
      </c>
      <c r="X391" s="8" t="str">
        <f>VLOOKUP(RawSalesTable6[[#This Row],[Product_ID_Clean]],ProductsTable[],2,FALSE)</f>
        <v>Toaster</v>
      </c>
      <c r="Y391" s="8" t="str">
        <f>VLOOKUP(RawSalesTable6[[#This Row],[Product_ID_Clean]],ProductsTable[],3,FALSE)</f>
        <v>Home</v>
      </c>
      <c r="Z391" s="8">
        <f>VLOOKUP(RawSalesTable6[[#This Row],[Product_ID_Clean]],ProductsTable[],5,FALSE)</f>
        <v>152.88</v>
      </c>
      <c r="AA391" s="8">
        <f>RawSalesTable6[[#This Row],[Unit_Price]]*RawSalesTable6[[#This Row],[Quantity]]</f>
        <v>954.33</v>
      </c>
      <c r="AB391" s="8">
        <f>RawSalesTable6[[#This Row],[Gross_Sales]]*RawSalesTable6[[#This Row],[Discount_Pct]]</f>
        <v>47.716500000000003</v>
      </c>
      <c r="AC391" s="8">
        <f>RawSalesTable6[[#This Row],[Gross_Sales]]-RawSalesTable6[[#This Row],[Discount_Amount]]</f>
        <v>906.61350000000004</v>
      </c>
      <c r="AD391" s="8">
        <f>RawSalesTable6[[#This Row],[Unit_Cost]]*RawSalesTable6[[#This Row],[Quantity]]</f>
        <v>458.64</v>
      </c>
      <c r="AE391" s="8">
        <f>RawSalesTable6[[#This Row],[Net_Sales]]-RawSalesTable6[[#This Row],[Total_Cost]]</f>
        <v>447.97350000000006</v>
      </c>
      <c r="AF391" s="9">
        <f>RawSalesTable6[[#This Row],[Profit]]/RawSalesTable6[[#This Row],[Net_Sales]]</f>
        <v>0.49411739401630356</v>
      </c>
      <c r="AG391" s="8">
        <f>YEAR(RawSalesTable6[[#This Row],[Order_Date]])</f>
        <v>2025</v>
      </c>
      <c r="AH391" s="8">
        <f>MONTH(RawSalesTable6[[#This Row],[Order_Date]])</f>
        <v>1</v>
      </c>
      <c r="AI391" s="8" t="str">
        <f>TEXT(RawSalesTable6[[#This Row],[Order_Date]],"mmmm")</f>
        <v>janvier</v>
      </c>
      <c r="AJ391" s="8" t="str">
        <f>IF(RawSalesTable6[[#This Row],[Month_Number]]&lt;=3,"Q1",IF(RawSalesTable6[[#This Row],[Month_Number]]&lt;=6,"Q2",IF(RawSalesTable6[[#This Row],[Month_Number]]&lt;=9,"Q3","Q4")))</f>
        <v>Q1</v>
      </c>
      <c r="AK391" s="8" t="str">
        <f>VLOOKUP(RawSalesTable6[[#This Row],[Customer_ID_Clean]],CustomersTable[],4,FALSE)</f>
        <v>Quebec</v>
      </c>
      <c r="AL391" s="8">
        <f>IF(RawSalesTable6[[#This Row],[Return_Status]]="Yes",1,0)</f>
        <v>0</v>
      </c>
    </row>
    <row r="392" spans="1:38">
      <c r="A392" t="s">
        <v>812</v>
      </c>
      <c r="B392" s="3">
        <v>45862</v>
      </c>
      <c r="C392" t="s">
        <v>564</v>
      </c>
      <c r="D392" t="s">
        <v>271</v>
      </c>
      <c r="E392" t="s">
        <v>565</v>
      </c>
      <c r="F392" t="s">
        <v>116</v>
      </c>
      <c r="G392" t="s">
        <v>183</v>
      </c>
      <c r="H392" t="s">
        <v>89</v>
      </c>
      <c r="I392">
        <v>2</v>
      </c>
      <c r="J392" s="2">
        <v>213.53</v>
      </c>
      <c r="K392" s="4">
        <v>0.15</v>
      </c>
      <c r="L392" t="s">
        <v>90</v>
      </c>
      <c r="M392">
        <v>7</v>
      </c>
      <c r="N392" t="s">
        <v>91</v>
      </c>
      <c r="O392" t="str">
        <f>SUBSTITUTE(PROPER(TRIM(RawSalesTable6[[#This Row],[Channel_Raw]])),"Market Place","Marketplace")</f>
        <v>Online</v>
      </c>
      <c r="P392" t="str">
        <f>TRIM(RawSalesTable6[[#This Row],[Product_ID]])</f>
        <v>P1026</v>
      </c>
      <c r="Q392" t="str">
        <f>TRIM(RawSalesTable6[[#This Row],[Customer_ID]])</f>
        <v>C0095</v>
      </c>
      <c r="R392" s="8" t="str">
        <f>PROPER(TRIM(RawSalesTable6[[#This Row],[Store_Raw]]))</f>
        <v>Toronto Downtown</v>
      </c>
      <c r="S392" s="8" t="str">
        <f>IF(TRIM(RawSalesTable6[[#This Row],[Payment_Method_Raw]])="","Non renseigné",SUBSTITUTE(PROPER(TRIM(RawSalesTable6[[#This Row],[Payment_Method_Raw]])),"Cc","Credit Card"))</f>
        <v>Paypal</v>
      </c>
      <c r="T392" s="8">
        <f>COUNTIF(A:A,RawSalesTable6[[#This Row],[Order_ID]])</f>
        <v>1</v>
      </c>
      <c r="U392" s="8" t="str">
        <f>TRIM(LEFT(RawSalesTable6[[#This Row],[Customer_Info]],FIND(",",RawSalesTable6[[#This Row],[Customer_Info]])-1))</f>
        <v>Maya White</v>
      </c>
      <c r="V392" s="8" t="str">
        <f>TRIM(MID(RawSalesTable6[[#This Row],[Customer_Info]],FIND(",",RawSalesTable6[[#This Row],[Customer_Info]])+1,FIND(",",RawSalesTable6[[#This Row],[Customer_Info]],FIND(",",RawSalesTable6[[#This Row],[Customer_Info]])+1)-FIND(",",RawSalesTable6[[#This Row],[Customer_Info]])-1))</f>
        <v>Quebec City</v>
      </c>
      <c r="W392" s="8" t="str">
        <f>TRIM(RIGHT(RawSalesTable6[[#This Row],[Customer_Info]],LEN(RawSalesTable6[[#This Row],[Customer_Info]])-FIND(",",RawSalesTable6[[#This Row],[Customer_Info]],FIND(",",RawSalesTable6[[#This Row],[Customer_Info]])+1)))</f>
        <v>Corporate</v>
      </c>
      <c r="X392" s="8" t="str">
        <f>VLOOKUP(RawSalesTable6[[#This Row],[Product_ID_Clean]],ProductsTable[],2,FALSE)</f>
        <v>Resistance Bands</v>
      </c>
      <c r="Y392" s="8" t="str">
        <f>VLOOKUP(RawSalesTable6[[#This Row],[Product_ID_Clean]],ProductsTable[],3,FALSE)</f>
        <v>Fitness</v>
      </c>
      <c r="Z392" s="8">
        <f>VLOOKUP(RawSalesTable6[[#This Row],[Product_ID_Clean]],ProductsTable[],5,FALSE)</f>
        <v>139.19999999999999</v>
      </c>
      <c r="AA392" s="8">
        <f>RawSalesTable6[[#This Row],[Unit_Price]]*RawSalesTable6[[#This Row],[Quantity]]</f>
        <v>427.06</v>
      </c>
      <c r="AB392" s="8">
        <f>RawSalesTable6[[#This Row],[Gross_Sales]]*RawSalesTable6[[#This Row],[Discount_Pct]]</f>
        <v>64.058999999999997</v>
      </c>
      <c r="AC392" s="8">
        <f>RawSalesTable6[[#This Row],[Gross_Sales]]-RawSalesTable6[[#This Row],[Discount_Amount]]</f>
        <v>363.00099999999998</v>
      </c>
      <c r="AD392" s="8">
        <f>RawSalesTable6[[#This Row],[Unit_Cost]]*RawSalesTable6[[#This Row],[Quantity]]</f>
        <v>278.39999999999998</v>
      </c>
      <c r="AE392" s="8">
        <f>RawSalesTable6[[#This Row],[Net_Sales]]-RawSalesTable6[[#This Row],[Total_Cost]]</f>
        <v>84.600999999999999</v>
      </c>
      <c r="AF392" s="9">
        <f>RawSalesTable6[[#This Row],[Profit]]/RawSalesTable6[[#This Row],[Net_Sales]]</f>
        <v>0.23305996402213769</v>
      </c>
      <c r="AG392" s="8">
        <f>YEAR(RawSalesTable6[[#This Row],[Order_Date]])</f>
        <v>2025</v>
      </c>
      <c r="AH392" s="8">
        <f>MONTH(RawSalesTable6[[#This Row],[Order_Date]])</f>
        <v>7</v>
      </c>
      <c r="AI392" s="8" t="str">
        <f>TEXT(RawSalesTable6[[#This Row],[Order_Date]],"mmmm")</f>
        <v>juillet</v>
      </c>
      <c r="AJ392" s="8" t="str">
        <f>IF(RawSalesTable6[[#This Row],[Month_Number]]&lt;=3,"Q1",IF(RawSalesTable6[[#This Row],[Month_Number]]&lt;=6,"Q2",IF(RawSalesTable6[[#This Row],[Month_Number]]&lt;=9,"Q3","Q4")))</f>
        <v>Q3</v>
      </c>
      <c r="AK392" s="8" t="str">
        <f>VLOOKUP(RawSalesTable6[[#This Row],[Customer_ID_Clean]],CustomersTable[],4,FALSE)</f>
        <v>Quebec</v>
      </c>
      <c r="AL392" s="8">
        <f>IF(RawSalesTable6[[#This Row],[Return_Status]]="Yes",1,0)</f>
        <v>0</v>
      </c>
    </row>
    <row r="393" spans="1:38">
      <c r="A393" t="s">
        <v>813</v>
      </c>
      <c r="B393" s="3">
        <v>46018</v>
      </c>
      <c r="C393" t="s">
        <v>472</v>
      </c>
      <c r="D393" t="s">
        <v>252</v>
      </c>
      <c r="E393" t="s">
        <v>473</v>
      </c>
      <c r="F393" t="s">
        <v>87</v>
      </c>
      <c r="G393" t="s">
        <v>130</v>
      </c>
      <c r="H393" t="s">
        <v>89</v>
      </c>
      <c r="I393">
        <v>2</v>
      </c>
      <c r="J393" s="2">
        <v>266.48</v>
      </c>
      <c r="K393" s="4">
        <v>0.05</v>
      </c>
      <c r="L393" t="s">
        <v>98</v>
      </c>
      <c r="M393">
        <v>6</v>
      </c>
      <c r="N393" t="s">
        <v>91</v>
      </c>
      <c r="O393" t="str">
        <f>SUBSTITUTE(PROPER(TRIM(RawSalesTable6[[#This Row],[Channel_Raw]])),"Market Place","Marketplace")</f>
        <v>Online</v>
      </c>
      <c r="P393" t="str">
        <f>TRIM(RawSalesTable6[[#This Row],[Product_ID]])</f>
        <v>P1019</v>
      </c>
      <c r="Q393" t="str">
        <f>TRIM(RawSalesTable6[[#This Row],[Customer_ID]])</f>
        <v>C0018</v>
      </c>
      <c r="R393" s="8" t="str">
        <f>PROPER(TRIM(RawSalesTable6[[#This Row],[Store_Raw]]))</f>
        <v>Online Fulfillment</v>
      </c>
      <c r="S393" s="8" t="str">
        <f>IF(TRIM(RawSalesTable6[[#This Row],[Payment_Method_Raw]])="","Non renseigné",SUBSTITUTE(PROPER(TRIM(RawSalesTable6[[#This Row],[Payment_Method_Raw]])),"Cc","Credit Card"))</f>
        <v>Debit Card</v>
      </c>
      <c r="T393" s="8">
        <f>COUNTIF(A:A,RawSalesTable6[[#This Row],[Order_ID]])</f>
        <v>1</v>
      </c>
      <c r="U393" s="8" t="str">
        <f>TRIM(LEFT(RawSalesTable6[[#This Row],[Customer_Info]],FIND(",",RawSalesTable6[[#This Row],[Customer_Info]])-1))</f>
        <v>Sophia Tremblay</v>
      </c>
      <c r="V393" s="8" t="str">
        <f>TRIM(MID(RawSalesTable6[[#This Row],[Customer_Info]],FIND(",",RawSalesTable6[[#This Row],[Customer_Info]])+1,FIND(",",RawSalesTable6[[#This Row],[Customer_Info]],FIND(",",RawSalesTable6[[#This Row],[Customer_Info]])+1)-FIND(",",RawSalesTable6[[#This Row],[Customer_Info]])-1))</f>
        <v>Laval</v>
      </c>
      <c r="W393" s="8" t="str">
        <f>TRIM(RIGHT(RawSalesTable6[[#This Row],[Customer_Info]],LEN(RawSalesTable6[[#This Row],[Customer_Info]])-FIND(",",RawSalesTable6[[#This Row],[Customer_Info]],FIND(",",RawSalesTable6[[#This Row],[Customer_Info]])+1)))</f>
        <v>Small Business</v>
      </c>
      <c r="X393" s="8" t="str">
        <f>VLOOKUP(RawSalesTable6[[#This Row],[Product_ID_Clean]],ProductsTable[],2,FALSE)</f>
        <v>Vacuum</v>
      </c>
      <c r="Y393" s="8" t="str">
        <f>VLOOKUP(RawSalesTable6[[#This Row],[Product_ID_Clean]],ProductsTable[],3,FALSE)</f>
        <v>Home</v>
      </c>
      <c r="Z393" s="8">
        <f>VLOOKUP(RawSalesTable6[[#This Row],[Product_ID_Clean]],ProductsTable[],5,FALSE)</f>
        <v>186.94</v>
      </c>
      <c r="AA393" s="8">
        <f>RawSalesTable6[[#This Row],[Unit_Price]]*RawSalesTable6[[#This Row],[Quantity]]</f>
        <v>532.96</v>
      </c>
      <c r="AB393" s="8">
        <f>RawSalesTable6[[#This Row],[Gross_Sales]]*RawSalesTable6[[#This Row],[Discount_Pct]]</f>
        <v>26.648000000000003</v>
      </c>
      <c r="AC393" s="8">
        <f>RawSalesTable6[[#This Row],[Gross_Sales]]-RawSalesTable6[[#This Row],[Discount_Amount]]</f>
        <v>506.31200000000001</v>
      </c>
      <c r="AD393" s="8">
        <f>RawSalesTable6[[#This Row],[Unit_Cost]]*RawSalesTable6[[#This Row],[Quantity]]</f>
        <v>373.88</v>
      </c>
      <c r="AE393" s="8">
        <f>RawSalesTable6[[#This Row],[Net_Sales]]-RawSalesTable6[[#This Row],[Total_Cost]]</f>
        <v>132.43200000000002</v>
      </c>
      <c r="AF393" s="9">
        <f>RawSalesTable6[[#This Row],[Profit]]/RawSalesTable6[[#This Row],[Net_Sales]]</f>
        <v>0.26156204079697898</v>
      </c>
      <c r="AG393" s="8">
        <f>YEAR(RawSalesTable6[[#This Row],[Order_Date]])</f>
        <v>2025</v>
      </c>
      <c r="AH393" s="8">
        <f>MONTH(RawSalesTable6[[#This Row],[Order_Date]])</f>
        <v>12</v>
      </c>
      <c r="AI393" s="8" t="str">
        <f>TEXT(RawSalesTable6[[#This Row],[Order_Date]],"mmmm")</f>
        <v>décembre</v>
      </c>
      <c r="AJ393" s="8" t="str">
        <f>IF(RawSalesTable6[[#This Row],[Month_Number]]&lt;=3,"Q1",IF(RawSalesTable6[[#This Row],[Month_Number]]&lt;=6,"Q2",IF(RawSalesTable6[[#This Row],[Month_Number]]&lt;=9,"Q3","Q4")))</f>
        <v>Q4</v>
      </c>
      <c r="AK393" s="8" t="str">
        <f>VLOOKUP(RawSalesTable6[[#This Row],[Customer_ID_Clean]],CustomersTable[],4,FALSE)</f>
        <v>Quebec</v>
      </c>
      <c r="AL393" s="8">
        <f>IF(RawSalesTable6[[#This Row],[Return_Status]]="Yes",1,0)</f>
        <v>0</v>
      </c>
    </row>
    <row r="394" spans="1:38">
      <c r="A394" t="s">
        <v>814</v>
      </c>
      <c r="B394" s="3">
        <v>45952</v>
      </c>
      <c r="C394" t="s">
        <v>290</v>
      </c>
      <c r="D394" t="s">
        <v>418</v>
      </c>
      <c r="E394" t="s">
        <v>732</v>
      </c>
      <c r="F394" t="s">
        <v>87</v>
      </c>
      <c r="G394" t="s">
        <v>183</v>
      </c>
      <c r="H394" t="s">
        <v>89</v>
      </c>
      <c r="I394">
        <v>1</v>
      </c>
      <c r="J394" s="2">
        <v>373.1</v>
      </c>
      <c r="K394" s="4">
        <v>0.1</v>
      </c>
      <c r="L394" t="s">
        <v>98</v>
      </c>
      <c r="M394">
        <v>9</v>
      </c>
      <c r="N394" t="s">
        <v>91</v>
      </c>
      <c r="O394" t="str">
        <f>SUBSTITUTE(PROPER(TRIM(RawSalesTable6[[#This Row],[Channel_Raw]])),"Market Place","Marketplace")</f>
        <v>Online</v>
      </c>
      <c r="P394" t="str">
        <f>TRIM(RawSalesTable6[[#This Row],[Product_ID]])</f>
        <v>P1028</v>
      </c>
      <c r="Q394" t="str">
        <f>TRIM(RawSalesTable6[[#This Row],[Customer_ID]])</f>
        <v>C0116</v>
      </c>
      <c r="R394" s="8" t="str">
        <f>PROPER(TRIM(RawSalesTable6[[#This Row],[Store_Raw]]))</f>
        <v>Online Fulfillment</v>
      </c>
      <c r="S394" s="8" t="str">
        <f>IF(TRIM(RawSalesTable6[[#This Row],[Payment_Method_Raw]])="","Non renseigné",SUBSTITUTE(PROPER(TRIM(RawSalesTable6[[#This Row],[Payment_Method_Raw]])),"Cc","Credit Card"))</f>
        <v>Debit Card</v>
      </c>
      <c r="T394" s="8">
        <f>COUNTIF(A:A,RawSalesTable6[[#This Row],[Order_ID]])</f>
        <v>1</v>
      </c>
      <c r="U394" s="8" t="str">
        <f>TRIM(LEFT(RawSalesTable6[[#This Row],[Customer_Info]],FIND(",",RawSalesTable6[[#This Row],[Customer_Info]])-1))</f>
        <v>Lucas Brown</v>
      </c>
      <c r="V394" s="8" t="str">
        <f>TRIM(MID(RawSalesTable6[[#This Row],[Customer_Info]],FIND(",",RawSalesTable6[[#This Row],[Customer_Info]])+1,FIND(",",RawSalesTable6[[#This Row],[Customer_Info]],FIND(",",RawSalesTable6[[#This Row],[Customer_Info]])+1)-FIND(",",RawSalesTable6[[#This Row],[Customer_Info]])-1))</f>
        <v>Mississauga</v>
      </c>
      <c r="W394" s="8" t="str">
        <f>TRIM(RIGHT(RawSalesTable6[[#This Row],[Customer_Info]],LEN(RawSalesTable6[[#This Row],[Customer_Info]])-FIND(",",RawSalesTable6[[#This Row],[Customer_Info]],FIND(",",RawSalesTable6[[#This Row],[Customer_Info]])+1)))</f>
        <v>Corporate</v>
      </c>
      <c r="X394" s="8" t="str">
        <f>VLOOKUP(RawSalesTable6[[#This Row],[Product_ID_Clean]],ProductsTable[],2,FALSE)</f>
        <v>Foam Roller</v>
      </c>
      <c r="Y394" s="8" t="str">
        <f>VLOOKUP(RawSalesTable6[[#This Row],[Product_ID_Clean]],ProductsTable[],3,FALSE)</f>
        <v>Fitness</v>
      </c>
      <c r="Z394" s="8">
        <f>VLOOKUP(RawSalesTable6[[#This Row],[Product_ID_Clean]],ProductsTable[],5,FALSE)</f>
        <v>212.02</v>
      </c>
      <c r="AA394" s="8">
        <f>RawSalesTable6[[#This Row],[Unit_Price]]*RawSalesTable6[[#This Row],[Quantity]]</f>
        <v>373.1</v>
      </c>
      <c r="AB394" s="8">
        <f>RawSalesTable6[[#This Row],[Gross_Sales]]*RawSalesTable6[[#This Row],[Discount_Pct]]</f>
        <v>37.31</v>
      </c>
      <c r="AC394" s="8">
        <f>RawSalesTable6[[#This Row],[Gross_Sales]]-RawSalesTable6[[#This Row],[Discount_Amount]]</f>
        <v>335.79</v>
      </c>
      <c r="AD394" s="8">
        <f>RawSalesTable6[[#This Row],[Unit_Cost]]*RawSalesTable6[[#This Row],[Quantity]]</f>
        <v>212.02</v>
      </c>
      <c r="AE394" s="8">
        <f>RawSalesTable6[[#This Row],[Net_Sales]]-RawSalesTable6[[#This Row],[Total_Cost]]</f>
        <v>123.77000000000001</v>
      </c>
      <c r="AF394" s="9">
        <f>RawSalesTable6[[#This Row],[Profit]]/RawSalesTable6[[#This Row],[Net_Sales]]</f>
        <v>0.36859346615444177</v>
      </c>
      <c r="AG394" s="8">
        <f>YEAR(RawSalesTable6[[#This Row],[Order_Date]])</f>
        <v>2025</v>
      </c>
      <c r="AH394" s="8">
        <f>MONTH(RawSalesTable6[[#This Row],[Order_Date]])</f>
        <v>10</v>
      </c>
      <c r="AI394" s="8" t="str">
        <f>TEXT(RawSalesTable6[[#This Row],[Order_Date]],"mmmm")</f>
        <v>octobre</v>
      </c>
      <c r="AJ394" s="8" t="str">
        <f>IF(RawSalesTable6[[#This Row],[Month_Number]]&lt;=3,"Q1",IF(RawSalesTable6[[#This Row],[Month_Number]]&lt;=6,"Q2",IF(RawSalesTable6[[#This Row],[Month_Number]]&lt;=9,"Q3","Q4")))</f>
        <v>Q4</v>
      </c>
      <c r="AK394" s="8" t="str">
        <f>VLOOKUP(RawSalesTable6[[#This Row],[Customer_ID_Clean]],CustomersTable[],4,FALSE)</f>
        <v>Ontario</v>
      </c>
      <c r="AL394" s="8">
        <f>IF(RawSalesTable6[[#This Row],[Return_Status]]="Yes",1,0)</f>
        <v>0</v>
      </c>
    </row>
    <row r="395" spans="1:38">
      <c r="A395" t="s">
        <v>815</v>
      </c>
      <c r="B395" s="3">
        <v>45740</v>
      </c>
      <c r="C395" t="s">
        <v>197</v>
      </c>
      <c r="D395" t="s">
        <v>157</v>
      </c>
      <c r="E395" t="s">
        <v>198</v>
      </c>
      <c r="F395" t="s">
        <v>116</v>
      </c>
      <c r="G395" t="s">
        <v>96</v>
      </c>
      <c r="H395" t="s">
        <v>97</v>
      </c>
      <c r="I395">
        <v>4</v>
      </c>
      <c r="J395" s="2">
        <v>285.99</v>
      </c>
      <c r="K395" s="4">
        <v>0</v>
      </c>
      <c r="L395" t="s">
        <v>106</v>
      </c>
      <c r="M395">
        <v>2</v>
      </c>
      <c r="N395" t="s">
        <v>91</v>
      </c>
      <c r="O395" t="str">
        <f>SUBSTITUTE(PROPER(TRIM(RawSalesTable6[[#This Row],[Channel_Raw]])),"Market Place","Marketplace")</f>
        <v>Retail Store</v>
      </c>
      <c r="P395" t="str">
        <f>TRIM(RawSalesTable6[[#This Row],[Product_ID]])</f>
        <v>P1009</v>
      </c>
      <c r="Q395" t="str">
        <f>TRIM(RawSalesTable6[[#This Row],[Customer_ID]])</f>
        <v>C0091</v>
      </c>
      <c r="R395" s="8" t="str">
        <f>PROPER(TRIM(RawSalesTable6[[#This Row],[Store_Raw]]))</f>
        <v>Toronto Downtown</v>
      </c>
      <c r="S395" s="8" t="str">
        <f>IF(TRIM(RawSalesTable6[[#This Row],[Payment_Method_Raw]])="","Non renseigné",SUBSTITUTE(PROPER(TRIM(RawSalesTable6[[#This Row],[Payment_Method_Raw]])),"Cc","Credit Card"))</f>
        <v>Credit Card</v>
      </c>
      <c r="T395" s="8">
        <f>COUNTIF(A:A,RawSalesTable6[[#This Row],[Order_ID]])</f>
        <v>1</v>
      </c>
      <c r="U395" s="8" t="str">
        <f>TRIM(LEFT(RawSalesTable6[[#This Row],[Customer_Info]],FIND(",",RawSalesTable6[[#This Row],[Customer_Info]])-1))</f>
        <v>Leo Taylor</v>
      </c>
      <c r="V395" s="8" t="str">
        <f>TRIM(MID(RawSalesTable6[[#This Row],[Customer_Info]],FIND(",",RawSalesTable6[[#This Row],[Customer_Info]])+1,FIND(",",RawSalesTable6[[#This Row],[Customer_Info]],FIND(",",RawSalesTable6[[#This Row],[Customer_Info]])+1)-FIND(",",RawSalesTable6[[#This Row],[Customer_Info]])-1))</f>
        <v>Victoria</v>
      </c>
      <c r="W395" s="8" t="str">
        <f>TRIM(RIGHT(RawSalesTable6[[#This Row],[Customer_Info]],LEN(RawSalesTable6[[#This Row],[Customer_Info]])-FIND(",",RawSalesTable6[[#This Row],[Customer_Info]],FIND(",",RawSalesTable6[[#This Row],[Customer_Info]])+1)))</f>
        <v>Small Business</v>
      </c>
      <c r="X395" s="8" t="str">
        <f>VLOOKUP(RawSalesTable6[[#This Row],[Product_ID_Clean]],ProductsTable[],2,FALSE)</f>
        <v>Notebook</v>
      </c>
      <c r="Y395" s="8" t="str">
        <f>VLOOKUP(RawSalesTable6[[#This Row],[Product_ID_Clean]],ProductsTable[],3,FALSE)</f>
        <v>Office</v>
      </c>
      <c r="Z395" s="8">
        <f>VLOOKUP(RawSalesTable6[[#This Row],[Product_ID_Clean]],ProductsTable[],5,FALSE)</f>
        <v>176.13</v>
      </c>
      <c r="AA395" s="8">
        <f>RawSalesTable6[[#This Row],[Unit_Price]]*RawSalesTable6[[#This Row],[Quantity]]</f>
        <v>1143.96</v>
      </c>
      <c r="AB395" s="8">
        <f>RawSalesTable6[[#This Row],[Gross_Sales]]*RawSalesTable6[[#This Row],[Discount_Pct]]</f>
        <v>0</v>
      </c>
      <c r="AC395" s="8">
        <f>RawSalesTable6[[#This Row],[Gross_Sales]]-RawSalesTable6[[#This Row],[Discount_Amount]]</f>
        <v>1143.96</v>
      </c>
      <c r="AD395" s="8">
        <f>RawSalesTable6[[#This Row],[Unit_Cost]]*RawSalesTable6[[#This Row],[Quantity]]</f>
        <v>704.52</v>
      </c>
      <c r="AE395" s="8">
        <f>RawSalesTable6[[#This Row],[Net_Sales]]-RawSalesTable6[[#This Row],[Total_Cost]]</f>
        <v>439.44000000000005</v>
      </c>
      <c r="AF395" s="9">
        <f>RawSalesTable6[[#This Row],[Profit]]/RawSalesTable6[[#This Row],[Net_Sales]]</f>
        <v>0.38413930557012488</v>
      </c>
      <c r="AG395" s="8">
        <f>YEAR(RawSalesTable6[[#This Row],[Order_Date]])</f>
        <v>2025</v>
      </c>
      <c r="AH395" s="8">
        <f>MONTH(RawSalesTable6[[#This Row],[Order_Date]])</f>
        <v>3</v>
      </c>
      <c r="AI395" s="8" t="str">
        <f>TEXT(RawSalesTable6[[#This Row],[Order_Date]],"mmmm")</f>
        <v>mars</v>
      </c>
      <c r="AJ395" s="8" t="str">
        <f>IF(RawSalesTable6[[#This Row],[Month_Number]]&lt;=3,"Q1",IF(RawSalesTable6[[#This Row],[Month_Number]]&lt;=6,"Q2",IF(RawSalesTable6[[#This Row],[Month_Number]]&lt;=9,"Q3","Q4")))</f>
        <v>Q1</v>
      </c>
      <c r="AK395" s="8" t="str">
        <f>VLOOKUP(RawSalesTable6[[#This Row],[Customer_ID_Clean]],CustomersTable[],4,FALSE)</f>
        <v>British Columbia</v>
      </c>
      <c r="AL395" s="8">
        <f>IF(RawSalesTable6[[#This Row],[Return_Status]]="Yes",1,0)</f>
        <v>0</v>
      </c>
    </row>
    <row r="396" spans="1:38">
      <c r="A396" t="s">
        <v>816</v>
      </c>
      <c r="B396" s="3">
        <v>45786</v>
      </c>
      <c r="C396" t="s">
        <v>487</v>
      </c>
      <c r="D396" t="s">
        <v>277</v>
      </c>
      <c r="E396" t="s">
        <v>806</v>
      </c>
      <c r="F396" t="s">
        <v>103</v>
      </c>
      <c r="G396" t="s">
        <v>117</v>
      </c>
      <c r="H396" t="s">
        <v>97</v>
      </c>
      <c r="I396">
        <v>4</v>
      </c>
      <c r="J396" s="2">
        <v>392.12</v>
      </c>
      <c r="K396" s="4">
        <v>0.2</v>
      </c>
      <c r="L396" t="s">
        <v>90</v>
      </c>
      <c r="M396">
        <v>1</v>
      </c>
      <c r="N396" t="s">
        <v>91</v>
      </c>
      <c r="O396" t="str">
        <f>SUBSTITUTE(PROPER(TRIM(RawSalesTable6[[#This Row],[Channel_Raw]])),"Market Place","Marketplace")</f>
        <v>Retail Store</v>
      </c>
      <c r="P396" t="str">
        <f>TRIM(RawSalesTable6[[#This Row],[Product_ID]])</f>
        <v>P1001</v>
      </c>
      <c r="Q396" t="str">
        <f>TRIM(RawSalesTable6[[#This Row],[Customer_ID]])</f>
        <v>C0105</v>
      </c>
      <c r="R396" s="8" t="str">
        <f>PROPER(TRIM(RawSalesTable6[[#This Row],[Store_Raw]]))</f>
        <v>Vancouver West</v>
      </c>
      <c r="S396" s="8" t="str">
        <f>IF(TRIM(RawSalesTable6[[#This Row],[Payment_Method_Raw]])="","Non renseigné",SUBSTITUTE(PROPER(TRIM(RawSalesTable6[[#This Row],[Payment_Method_Raw]])),"Cc","Credit Card"))</f>
        <v>Paypal</v>
      </c>
      <c r="T396" s="8">
        <f>COUNTIF(A:A,RawSalesTable6[[#This Row],[Order_ID]])</f>
        <v>1</v>
      </c>
      <c r="U396" s="8" t="str">
        <f>TRIM(LEFT(RawSalesTable6[[#This Row],[Customer_Info]],FIND(",",RawSalesTable6[[#This Row],[Customer_Info]])-1))</f>
        <v>Liam Martin</v>
      </c>
      <c r="V396" s="8" t="str">
        <f>TRIM(MID(RawSalesTable6[[#This Row],[Customer_Info]],FIND(",",RawSalesTable6[[#This Row],[Customer_Info]])+1,FIND(",",RawSalesTable6[[#This Row],[Customer_Info]],FIND(",",RawSalesTable6[[#This Row],[Customer_Info]])+1)-FIND(",",RawSalesTable6[[#This Row],[Customer_Info]])-1))</f>
        <v>Calgary</v>
      </c>
      <c r="W396" s="8" t="str">
        <f>TRIM(RIGHT(RawSalesTable6[[#This Row],[Customer_Info]],LEN(RawSalesTable6[[#This Row],[Customer_Info]])-FIND(",",RawSalesTable6[[#This Row],[Customer_Info]],FIND(",",RawSalesTable6[[#This Row],[Customer_Info]])+1)))</f>
        <v>Consumer</v>
      </c>
      <c r="X396" s="8" t="str">
        <f>VLOOKUP(RawSalesTable6[[#This Row],[Product_ID_Clean]],ProductsTable[],2,FALSE)</f>
        <v>Headphones</v>
      </c>
      <c r="Y396" s="8" t="str">
        <f>VLOOKUP(RawSalesTable6[[#This Row],[Product_ID_Clean]],ProductsTable[],3,FALSE)</f>
        <v>Electronics</v>
      </c>
      <c r="Z396" s="8">
        <f>VLOOKUP(RawSalesTable6[[#This Row],[Product_ID_Clean]],ProductsTable[],5,FALSE)</f>
        <v>254.6</v>
      </c>
      <c r="AA396" s="8">
        <f>RawSalesTable6[[#This Row],[Unit_Price]]*RawSalesTable6[[#This Row],[Quantity]]</f>
        <v>1568.48</v>
      </c>
      <c r="AB396" s="8">
        <f>RawSalesTable6[[#This Row],[Gross_Sales]]*RawSalesTable6[[#This Row],[Discount_Pct]]</f>
        <v>313.69600000000003</v>
      </c>
      <c r="AC396" s="8">
        <f>RawSalesTable6[[#This Row],[Gross_Sales]]-RawSalesTable6[[#This Row],[Discount_Amount]]</f>
        <v>1254.7840000000001</v>
      </c>
      <c r="AD396" s="8">
        <f>RawSalesTable6[[#This Row],[Unit_Cost]]*RawSalesTable6[[#This Row],[Quantity]]</f>
        <v>1018.4</v>
      </c>
      <c r="AE396" s="8">
        <f>RawSalesTable6[[#This Row],[Net_Sales]]-RawSalesTable6[[#This Row],[Total_Cost]]</f>
        <v>236.38400000000013</v>
      </c>
      <c r="AF396" s="9">
        <f>RawSalesTable6[[#This Row],[Profit]]/RawSalesTable6[[#This Row],[Net_Sales]]</f>
        <v>0.18838620830358063</v>
      </c>
      <c r="AG396" s="8">
        <f>YEAR(RawSalesTable6[[#This Row],[Order_Date]])</f>
        <v>2025</v>
      </c>
      <c r="AH396" s="8">
        <f>MONTH(RawSalesTable6[[#This Row],[Order_Date]])</f>
        <v>5</v>
      </c>
      <c r="AI396" s="8" t="str">
        <f>TEXT(RawSalesTable6[[#This Row],[Order_Date]],"mmmm")</f>
        <v>mai</v>
      </c>
      <c r="AJ396" s="8" t="str">
        <f>IF(RawSalesTable6[[#This Row],[Month_Number]]&lt;=3,"Q1",IF(RawSalesTable6[[#This Row],[Month_Number]]&lt;=6,"Q2",IF(RawSalesTable6[[#This Row],[Month_Number]]&lt;=9,"Q3","Q4")))</f>
        <v>Q2</v>
      </c>
      <c r="AK396" s="8" t="str">
        <f>VLOOKUP(RawSalesTable6[[#This Row],[Customer_ID_Clean]],CustomersTable[],4,FALSE)</f>
        <v>Alberta</v>
      </c>
      <c r="AL396" s="8">
        <f>IF(RawSalesTable6[[#This Row],[Return_Status]]="Yes",1,0)</f>
        <v>0</v>
      </c>
    </row>
    <row r="397" spans="1:38">
      <c r="A397" t="s">
        <v>817</v>
      </c>
      <c r="B397" s="3">
        <v>45881</v>
      </c>
      <c r="C397" t="s">
        <v>396</v>
      </c>
      <c r="D397" t="s">
        <v>139</v>
      </c>
      <c r="E397" t="s">
        <v>397</v>
      </c>
      <c r="F397" t="s">
        <v>111</v>
      </c>
      <c r="G397" t="s">
        <v>171</v>
      </c>
      <c r="H397" t="s">
        <v>89</v>
      </c>
      <c r="I397">
        <v>1</v>
      </c>
      <c r="J397" s="2">
        <v>84.27</v>
      </c>
      <c r="K397" s="4">
        <v>0.1</v>
      </c>
      <c r="M397">
        <v>8</v>
      </c>
      <c r="N397" t="s">
        <v>91</v>
      </c>
      <c r="O397" t="str">
        <f>SUBSTITUTE(PROPER(TRIM(RawSalesTable6[[#This Row],[Channel_Raw]])),"Market Place","Marketplace")</f>
        <v>Online</v>
      </c>
      <c r="P397" t="str">
        <f>TRIM(RawSalesTable6[[#This Row],[Product_ID]])</f>
        <v>P1012</v>
      </c>
      <c r="Q397" t="str">
        <f>TRIM(RawSalesTable6[[#This Row],[Customer_ID]])</f>
        <v>C0058</v>
      </c>
      <c r="R397" s="8" t="str">
        <f>PROPER(TRIM(RawSalesTable6[[#This Row],[Store_Raw]]))</f>
        <v>Montreal Central</v>
      </c>
      <c r="S397" s="8" t="str">
        <f>IF(TRIM(RawSalesTable6[[#This Row],[Payment_Method_Raw]])="","Non renseigné",SUBSTITUTE(PROPER(TRIM(RawSalesTable6[[#This Row],[Payment_Method_Raw]])),"Cc","Credit Card"))</f>
        <v>Non renseigné</v>
      </c>
      <c r="T397" s="8">
        <f>COUNTIF(A:A,RawSalesTable6[[#This Row],[Order_ID]])</f>
        <v>1</v>
      </c>
      <c r="U397" s="8" t="str">
        <f>TRIM(LEFT(RawSalesTable6[[#This Row],[Customer_Info]],FIND(",",RawSalesTable6[[#This Row],[Customer_Info]])-1))</f>
        <v>Mia Singh</v>
      </c>
      <c r="V397" s="8" t="str">
        <f>TRIM(MID(RawSalesTable6[[#This Row],[Customer_Info]],FIND(",",RawSalesTable6[[#This Row],[Customer_Info]])+1,FIND(",",RawSalesTable6[[#This Row],[Customer_Info]],FIND(",",RawSalesTable6[[#This Row],[Customer_Info]])+1)-FIND(",",RawSalesTable6[[#This Row],[Customer_Info]])-1))</f>
        <v>Laval</v>
      </c>
      <c r="W397" s="8" t="str">
        <f>TRIM(RIGHT(RawSalesTable6[[#This Row],[Customer_Info]],LEN(RawSalesTable6[[#This Row],[Customer_Info]])-FIND(",",RawSalesTable6[[#This Row],[Customer_Info]],FIND(",",RawSalesTable6[[#This Row],[Customer_Info]])+1)))</f>
        <v>Consumer</v>
      </c>
      <c r="X397" s="8" t="str">
        <f>VLOOKUP(RawSalesTable6[[#This Row],[Product_ID_Clean]],ProductsTable[],2,FALSE)</f>
        <v>Standing Desk</v>
      </c>
      <c r="Y397" s="8" t="str">
        <f>VLOOKUP(RawSalesTable6[[#This Row],[Product_ID_Clean]],ProductsTable[],3,FALSE)</f>
        <v>Office</v>
      </c>
      <c r="Z397" s="8">
        <f>VLOOKUP(RawSalesTable6[[#This Row],[Product_ID_Clean]],ProductsTable[],5,FALSE)</f>
        <v>45.17</v>
      </c>
      <c r="AA397" s="8">
        <f>RawSalesTable6[[#This Row],[Unit_Price]]*RawSalesTable6[[#This Row],[Quantity]]</f>
        <v>84.27</v>
      </c>
      <c r="AB397" s="8">
        <f>RawSalesTable6[[#This Row],[Gross_Sales]]*RawSalesTable6[[#This Row],[Discount_Pct]]</f>
        <v>8.4269999999999996</v>
      </c>
      <c r="AC397" s="8">
        <f>RawSalesTable6[[#This Row],[Gross_Sales]]-RawSalesTable6[[#This Row],[Discount_Amount]]</f>
        <v>75.842999999999989</v>
      </c>
      <c r="AD397" s="8">
        <f>RawSalesTable6[[#This Row],[Unit_Cost]]*RawSalesTable6[[#This Row],[Quantity]]</f>
        <v>45.17</v>
      </c>
      <c r="AE397" s="8">
        <f>RawSalesTable6[[#This Row],[Net_Sales]]-RawSalesTable6[[#This Row],[Total_Cost]]</f>
        <v>30.672999999999988</v>
      </c>
      <c r="AF397" s="9">
        <f>RawSalesTable6[[#This Row],[Profit]]/RawSalesTable6[[#This Row],[Net_Sales]]</f>
        <v>0.40442756747491521</v>
      </c>
      <c r="AG397" s="8">
        <f>YEAR(RawSalesTable6[[#This Row],[Order_Date]])</f>
        <v>2025</v>
      </c>
      <c r="AH397" s="8">
        <f>MONTH(RawSalesTable6[[#This Row],[Order_Date]])</f>
        <v>8</v>
      </c>
      <c r="AI397" s="8" t="str">
        <f>TEXT(RawSalesTable6[[#This Row],[Order_Date]],"mmmm")</f>
        <v>août</v>
      </c>
      <c r="AJ397" s="8" t="str">
        <f>IF(RawSalesTable6[[#This Row],[Month_Number]]&lt;=3,"Q1",IF(RawSalesTable6[[#This Row],[Month_Number]]&lt;=6,"Q2",IF(RawSalesTable6[[#This Row],[Month_Number]]&lt;=9,"Q3","Q4")))</f>
        <v>Q3</v>
      </c>
      <c r="AK397" s="8" t="str">
        <f>VLOOKUP(RawSalesTable6[[#This Row],[Customer_ID_Clean]],CustomersTable[],4,FALSE)</f>
        <v>Quebec</v>
      </c>
      <c r="AL397" s="8">
        <f>IF(RawSalesTable6[[#This Row],[Return_Status]]="Yes",1,0)</f>
        <v>0</v>
      </c>
    </row>
    <row r="398" spans="1:38">
      <c r="A398" t="s">
        <v>818</v>
      </c>
      <c r="B398" s="3">
        <v>45896</v>
      </c>
      <c r="C398" t="s">
        <v>203</v>
      </c>
      <c r="D398" t="s">
        <v>271</v>
      </c>
      <c r="E398" t="s">
        <v>573</v>
      </c>
      <c r="F398" t="s">
        <v>111</v>
      </c>
      <c r="G398" t="s">
        <v>183</v>
      </c>
      <c r="H398" t="s">
        <v>97</v>
      </c>
      <c r="I398">
        <v>1</v>
      </c>
      <c r="J398" s="2">
        <v>231.29</v>
      </c>
      <c r="K398" s="4">
        <v>0.05</v>
      </c>
      <c r="L398" t="s">
        <v>369</v>
      </c>
      <c r="M398">
        <v>1</v>
      </c>
      <c r="N398" t="s">
        <v>91</v>
      </c>
      <c r="O398" t="str">
        <f>SUBSTITUTE(PROPER(TRIM(RawSalesTable6[[#This Row],[Channel_Raw]])),"Market Place","Marketplace")</f>
        <v>Retail Store</v>
      </c>
      <c r="P398" t="str">
        <f>TRIM(RawSalesTable6[[#This Row],[Product_ID]])</f>
        <v>P1026</v>
      </c>
      <c r="Q398" t="str">
        <f>TRIM(RawSalesTable6[[#This Row],[Customer_ID]])</f>
        <v>C0029</v>
      </c>
      <c r="R398" s="8" t="str">
        <f>PROPER(TRIM(RawSalesTable6[[#This Row],[Store_Raw]]))</f>
        <v>Montreal Central</v>
      </c>
      <c r="S398" s="8" t="str">
        <f>IF(TRIM(RawSalesTable6[[#This Row],[Payment_Method_Raw]])="","Non renseigné",SUBSTITUTE(PROPER(TRIM(RawSalesTable6[[#This Row],[Payment_Method_Raw]])),"Cc","Credit Card"))</f>
        <v>Paypal</v>
      </c>
      <c r="T398" s="8">
        <f>COUNTIF(A:A,RawSalesTable6[[#This Row],[Order_ID]])</f>
        <v>1</v>
      </c>
      <c r="U398" s="8" t="str">
        <f>TRIM(LEFT(RawSalesTable6[[#This Row],[Customer_Info]],FIND(",",RawSalesTable6[[#This Row],[Customer_Info]])-1))</f>
        <v>Olivia White</v>
      </c>
      <c r="V398" s="8" t="str">
        <f>TRIM(MID(RawSalesTable6[[#This Row],[Customer_Info]],FIND(",",RawSalesTable6[[#This Row],[Customer_Info]])+1,FIND(",",RawSalesTable6[[#This Row],[Customer_Info]],FIND(",",RawSalesTable6[[#This Row],[Customer_Info]])+1)-FIND(",",RawSalesTable6[[#This Row],[Customer_Info]])-1))</f>
        <v>Victoria</v>
      </c>
      <c r="W398" s="8" t="str">
        <f>TRIM(RIGHT(RawSalesTable6[[#This Row],[Customer_Info]],LEN(RawSalesTable6[[#This Row],[Customer_Info]])-FIND(",",RawSalesTable6[[#This Row],[Customer_Info]],FIND(",",RawSalesTable6[[#This Row],[Customer_Info]])+1)))</f>
        <v>Consumer</v>
      </c>
      <c r="X398" s="8" t="str">
        <f>VLOOKUP(RawSalesTable6[[#This Row],[Product_ID_Clean]],ProductsTable[],2,FALSE)</f>
        <v>Resistance Bands</v>
      </c>
      <c r="Y398" s="8" t="str">
        <f>VLOOKUP(RawSalesTable6[[#This Row],[Product_ID_Clean]],ProductsTable[],3,FALSE)</f>
        <v>Fitness</v>
      </c>
      <c r="Z398" s="8">
        <f>VLOOKUP(RawSalesTable6[[#This Row],[Product_ID_Clean]],ProductsTable[],5,FALSE)</f>
        <v>139.19999999999999</v>
      </c>
      <c r="AA398" s="8">
        <f>RawSalesTable6[[#This Row],[Unit_Price]]*RawSalesTable6[[#This Row],[Quantity]]</f>
        <v>231.29</v>
      </c>
      <c r="AB398" s="8">
        <f>RawSalesTable6[[#This Row],[Gross_Sales]]*RawSalesTable6[[#This Row],[Discount_Pct]]</f>
        <v>11.564500000000001</v>
      </c>
      <c r="AC398" s="8">
        <f>RawSalesTable6[[#This Row],[Gross_Sales]]-RawSalesTable6[[#This Row],[Discount_Amount]]</f>
        <v>219.72549999999998</v>
      </c>
      <c r="AD398" s="8">
        <f>RawSalesTable6[[#This Row],[Unit_Cost]]*RawSalesTable6[[#This Row],[Quantity]]</f>
        <v>139.19999999999999</v>
      </c>
      <c r="AE398" s="8">
        <f>RawSalesTable6[[#This Row],[Net_Sales]]-RawSalesTable6[[#This Row],[Total_Cost]]</f>
        <v>80.525499999999994</v>
      </c>
      <c r="AF398" s="9">
        <f>RawSalesTable6[[#This Row],[Profit]]/RawSalesTable6[[#This Row],[Net_Sales]]</f>
        <v>0.36648226992315414</v>
      </c>
      <c r="AG398" s="8">
        <f>YEAR(RawSalesTable6[[#This Row],[Order_Date]])</f>
        <v>2025</v>
      </c>
      <c r="AH398" s="8">
        <f>MONTH(RawSalesTable6[[#This Row],[Order_Date]])</f>
        <v>8</v>
      </c>
      <c r="AI398" s="8" t="str">
        <f>TEXT(RawSalesTable6[[#This Row],[Order_Date]],"mmmm")</f>
        <v>août</v>
      </c>
      <c r="AJ398" s="8" t="str">
        <f>IF(RawSalesTable6[[#This Row],[Month_Number]]&lt;=3,"Q1",IF(RawSalesTable6[[#This Row],[Month_Number]]&lt;=6,"Q2",IF(RawSalesTable6[[#This Row],[Month_Number]]&lt;=9,"Q3","Q4")))</f>
        <v>Q3</v>
      </c>
      <c r="AK398" s="8" t="str">
        <f>VLOOKUP(RawSalesTable6[[#This Row],[Customer_ID_Clean]],CustomersTable[],4,FALSE)</f>
        <v>British Columbia</v>
      </c>
      <c r="AL398" s="8">
        <f>IF(RawSalesTable6[[#This Row],[Return_Status]]="Yes",1,0)</f>
        <v>0</v>
      </c>
    </row>
    <row r="399" spans="1:38">
      <c r="A399" t="s">
        <v>819</v>
      </c>
      <c r="B399" s="3">
        <v>45920</v>
      </c>
      <c r="C399" t="s">
        <v>480</v>
      </c>
      <c r="D399" t="s">
        <v>303</v>
      </c>
      <c r="E399" t="s">
        <v>773</v>
      </c>
      <c r="F399" t="s">
        <v>87</v>
      </c>
      <c r="G399" t="s">
        <v>117</v>
      </c>
      <c r="H399" t="s">
        <v>89</v>
      </c>
      <c r="I399">
        <v>2</v>
      </c>
      <c r="J399" s="2">
        <v>158.16</v>
      </c>
      <c r="K399" s="4">
        <v>0</v>
      </c>
      <c r="L399" t="s">
        <v>369</v>
      </c>
      <c r="M399">
        <v>2</v>
      </c>
      <c r="N399" t="s">
        <v>91</v>
      </c>
      <c r="O399" t="str">
        <f>SUBSTITUTE(PROPER(TRIM(RawSalesTable6[[#This Row],[Channel_Raw]])),"Market Place","Marketplace")</f>
        <v>Online</v>
      </c>
      <c r="P399" t="str">
        <f>TRIM(RawSalesTable6[[#This Row],[Product_ID]])</f>
        <v>P1036</v>
      </c>
      <c r="Q399" t="str">
        <f>TRIM(RawSalesTable6[[#This Row],[Customer_ID]])</f>
        <v>C0053</v>
      </c>
      <c r="R399" s="8" t="str">
        <f>PROPER(TRIM(RawSalesTable6[[#This Row],[Store_Raw]]))</f>
        <v>Online Fulfillment</v>
      </c>
      <c r="S399" s="8" t="str">
        <f>IF(TRIM(RawSalesTable6[[#This Row],[Payment_Method_Raw]])="","Non renseigné",SUBSTITUTE(PROPER(TRIM(RawSalesTable6[[#This Row],[Payment_Method_Raw]])),"Cc","Credit Card"))</f>
        <v>Paypal</v>
      </c>
      <c r="T399" s="8">
        <f>COUNTIF(A:A,RawSalesTable6[[#This Row],[Order_ID]])</f>
        <v>1</v>
      </c>
      <c r="U399" s="8" t="str">
        <f>TRIM(LEFT(RawSalesTable6[[#This Row],[Customer_Info]],FIND(",",RawSalesTable6[[#This Row],[Customer_Info]])-1))</f>
        <v>Ryan Lee</v>
      </c>
      <c r="V399" s="8" t="str">
        <f>TRIM(MID(RawSalesTable6[[#This Row],[Customer_Info]],FIND(",",RawSalesTable6[[#This Row],[Customer_Info]])+1,FIND(",",RawSalesTable6[[#This Row],[Customer_Info]],FIND(",",RawSalesTable6[[#This Row],[Customer_Info]])+1)-FIND(",",RawSalesTable6[[#This Row],[Customer_Info]])-1))</f>
        <v>Laval</v>
      </c>
      <c r="W399" s="8" t="str">
        <f>TRIM(RIGHT(RawSalesTable6[[#This Row],[Customer_Info]],LEN(RawSalesTable6[[#This Row],[Customer_Info]])-FIND(",",RawSalesTable6[[#This Row],[Customer_Info]],FIND(",",RawSalesTable6[[#This Row],[Customer_Info]])+1)))</f>
        <v>Consumer</v>
      </c>
      <c r="X399" s="8" t="str">
        <f>VLOOKUP(RawSalesTable6[[#This Row],[Product_ID_Clean]],ProductsTable[],2,FALSE)</f>
        <v>Power Bank</v>
      </c>
      <c r="Y399" s="8" t="str">
        <f>VLOOKUP(RawSalesTable6[[#This Row],[Product_ID_Clean]],ProductsTable[],3,FALSE)</f>
        <v>Accessories</v>
      </c>
      <c r="Z399" s="8">
        <f>VLOOKUP(RawSalesTable6[[#This Row],[Product_ID_Clean]],ProductsTable[],5,FALSE)</f>
        <v>76.97</v>
      </c>
      <c r="AA399" s="8">
        <f>RawSalesTable6[[#This Row],[Unit_Price]]*RawSalesTable6[[#This Row],[Quantity]]</f>
        <v>316.32</v>
      </c>
      <c r="AB399" s="8">
        <f>RawSalesTable6[[#This Row],[Gross_Sales]]*RawSalesTable6[[#This Row],[Discount_Pct]]</f>
        <v>0</v>
      </c>
      <c r="AC399" s="8">
        <f>RawSalesTable6[[#This Row],[Gross_Sales]]-RawSalesTable6[[#This Row],[Discount_Amount]]</f>
        <v>316.32</v>
      </c>
      <c r="AD399" s="8">
        <f>RawSalesTable6[[#This Row],[Unit_Cost]]*RawSalesTable6[[#This Row],[Quantity]]</f>
        <v>153.94</v>
      </c>
      <c r="AE399" s="8">
        <f>RawSalesTable6[[#This Row],[Net_Sales]]-RawSalesTable6[[#This Row],[Total_Cost]]</f>
        <v>162.38</v>
      </c>
      <c r="AF399" s="9">
        <f>RawSalesTable6[[#This Row],[Profit]]/RawSalesTable6[[#This Row],[Net_Sales]]</f>
        <v>0.51334092058674763</v>
      </c>
      <c r="AG399" s="8">
        <f>YEAR(RawSalesTable6[[#This Row],[Order_Date]])</f>
        <v>2025</v>
      </c>
      <c r="AH399" s="8">
        <f>MONTH(RawSalesTable6[[#This Row],[Order_Date]])</f>
        <v>9</v>
      </c>
      <c r="AI399" s="8" t="str">
        <f>TEXT(RawSalesTable6[[#This Row],[Order_Date]],"mmmm")</f>
        <v>septembre</v>
      </c>
      <c r="AJ399" s="8" t="str">
        <f>IF(RawSalesTable6[[#This Row],[Month_Number]]&lt;=3,"Q1",IF(RawSalesTable6[[#This Row],[Month_Number]]&lt;=6,"Q2",IF(RawSalesTable6[[#This Row],[Month_Number]]&lt;=9,"Q3","Q4")))</f>
        <v>Q3</v>
      </c>
      <c r="AK399" s="8" t="str">
        <f>VLOOKUP(RawSalesTable6[[#This Row],[Customer_ID_Clean]],CustomersTable[],4,FALSE)</f>
        <v>Quebec</v>
      </c>
      <c r="AL399" s="8">
        <f>IF(RawSalesTable6[[#This Row],[Return_Status]]="Yes",1,0)</f>
        <v>0</v>
      </c>
    </row>
    <row r="400" spans="1:38">
      <c r="A400" t="s">
        <v>820</v>
      </c>
      <c r="B400" s="3">
        <v>45881</v>
      </c>
      <c r="C400" t="s">
        <v>487</v>
      </c>
      <c r="D400" t="s">
        <v>249</v>
      </c>
      <c r="E400" t="s">
        <v>806</v>
      </c>
      <c r="F400" t="s">
        <v>103</v>
      </c>
      <c r="G400" t="s">
        <v>122</v>
      </c>
      <c r="H400" t="s">
        <v>105</v>
      </c>
      <c r="I400">
        <v>3</v>
      </c>
      <c r="J400" s="2">
        <v>439.62</v>
      </c>
      <c r="K400" s="4">
        <v>0</v>
      </c>
      <c r="L400" t="s">
        <v>98</v>
      </c>
      <c r="M400">
        <v>6</v>
      </c>
      <c r="N400" t="s">
        <v>91</v>
      </c>
      <c r="O400" t="str">
        <f>SUBSTITUTE(PROPER(TRIM(RawSalesTable6[[#This Row],[Channel_Raw]])),"Market Place","Marketplace")</f>
        <v>Marketplace</v>
      </c>
      <c r="P400" t="str">
        <f>TRIM(RawSalesTable6[[#This Row],[Product_ID]])</f>
        <v>P1022</v>
      </c>
      <c r="Q400" t="str">
        <f>TRIM(RawSalesTable6[[#This Row],[Customer_ID]])</f>
        <v>C0105</v>
      </c>
      <c r="R400" s="8" t="str">
        <f>PROPER(TRIM(RawSalesTable6[[#This Row],[Store_Raw]]))</f>
        <v>Vancouver West</v>
      </c>
      <c r="S400" s="8" t="str">
        <f>IF(TRIM(RawSalesTable6[[#This Row],[Payment_Method_Raw]])="","Non renseigné",SUBSTITUTE(PROPER(TRIM(RawSalesTable6[[#This Row],[Payment_Method_Raw]])),"Cc","Credit Card"))</f>
        <v>Debit Card</v>
      </c>
      <c r="T400" s="8">
        <f>COUNTIF(A:A,RawSalesTable6[[#This Row],[Order_ID]])</f>
        <v>1</v>
      </c>
      <c r="U400" s="8" t="str">
        <f>TRIM(LEFT(RawSalesTable6[[#This Row],[Customer_Info]],FIND(",",RawSalesTable6[[#This Row],[Customer_Info]])-1))</f>
        <v>Liam Martin</v>
      </c>
      <c r="V400" s="8" t="str">
        <f>TRIM(MID(RawSalesTable6[[#This Row],[Customer_Info]],FIND(",",RawSalesTable6[[#This Row],[Customer_Info]])+1,FIND(",",RawSalesTable6[[#This Row],[Customer_Info]],FIND(",",RawSalesTable6[[#This Row],[Customer_Info]])+1)-FIND(",",RawSalesTable6[[#This Row],[Customer_Info]])-1))</f>
        <v>Calgary</v>
      </c>
      <c r="W400" s="8" t="str">
        <f>TRIM(RIGHT(RawSalesTable6[[#This Row],[Customer_Info]],LEN(RawSalesTable6[[#This Row],[Customer_Info]])-FIND(",",RawSalesTable6[[#This Row],[Customer_Info]],FIND(",",RawSalesTable6[[#This Row],[Customer_Info]])+1)))</f>
        <v>Consumer</v>
      </c>
      <c r="X400" s="8" t="str">
        <f>VLOOKUP(RawSalesTable6[[#This Row],[Product_ID_Clean]],ProductsTable[],2,FALSE)</f>
        <v>Humidifier</v>
      </c>
      <c r="Y400" s="8" t="str">
        <f>VLOOKUP(RawSalesTable6[[#This Row],[Product_ID_Clean]],ProductsTable[],3,FALSE)</f>
        <v>Home</v>
      </c>
      <c r="Z400" s="8">
        <f>VLOOKUP(RawSalesTable6[[#This Row],[Product_ID_Clean]],ProductsTable[],5,FALSE)</f>
        <v>239.67</v>
      </c>
      <c r="AA400" s="8">
        <f>RawSalesTable6[[#This Row],[Unit_Price]]*RawSalesTable6[[#This Row],[Quantity]]</f>
        <v>1318.8600000000001</v>
      </c>
      <c r="AB400" s="8">
        <f>RawSalesTable6[[#This Row],[Gross_Sales]]*RawSalesTable6[[#This Row],[Discount_Pct]]</f>
        <v>0</v>
      </c>
      <c r="AC400" s="8">
        <f>RawSalesTable6[[#This Row],[Gross_Sales]]-RawSalesTable6[[#This Row],[Discount_Amount]]</f>
        <v>1318.8600000000001</v>
      </c>
      <c r="AD400" s="8">
        <f>RawSalesTable6[[#This Row],[Unit_Cost]]*RawSalesTable6[[#This Row],[Quantity]]</f>
        <v>719.01</v>
      </c>
      <c r="AE400" s="8">
        <f>RawSalesTable6[[#This Row],[Net_Sales]]-RawSalesTable6[[#This Row],[Total_Cost]]</f>
        <v>599.85000000000014</v>
      </c>
      <c r="AF400" s="9">
        <f>RawSalesTable6[[#This Row],[Profit]]/RawSalesTable6[[#This Row],[Net_Sales]]</f>
        <v>0.45482462126381878</v>
      </c>
      <c r="AG400" s="8">
        <f>YEAR(RawSalesTable6[[#This Row],[Order_Date]])</f>
        <v>2025</v>
      </c>
      <c r="AH400" s="8">
        <f>MONTH(RawSalesTable6[[#This Row],[Order_Date]])</f>
        <v>8</v>
      </c>
      <c r="AI400" s="8" t="str">
        <f>TEXT(RawSalesTable6[[#This Row],[Order_Date]],"mmmm")</f>
        <v>août</v>
      </c>
      <c r="AJ400" s="8" t="str">
        <f>IF(RawSalesTable6[[#This Row],[Month_Number]]&lt;=3,"Q1",IF(RawSalesTable6[[#This Row],[Month_Number]]&lt;=6,"Q2",IF(RawSalesTable6[[#This Row],[Month_Number]]&lt;=9,"Q3","Q4")))</f>
        <v>Q3</v>
      </c>
      <c r="AK400" s="8" t="str">
        <f>VLOOKUP(RawSalesTable6[[#This Row],[Customer_ID_Clean]],CustomersTable[],4,FALSE)</f>
        <v>Alberta</v>
      </c>
      <c r="AL400" s="8">
        <f>IF(RawSalesTable6[[#This Row],[Return_Status]]="Yes",1,0)</f>
        <v>0</v>
      </c>
    </row>
    <row r="401" spans="1:38">
      <c r="A401" t="s">
        <v>821</v>
      </c>
      <c r="B401" s="3">
        <v>45697</v>
      </c>
      <c r="C401" t="s">
        <v>213</v>
      </c>
      <c r="D401" t="s">
        <v>323</v>
      </c>
      <c r="E401" t="s">
        <v>214</v>
      </c>
      <c r="F401" t="s">
        <v>145</v>
      </c>
      <c r="G401" t="s">
        <v>117</v>
      </c>
      <c r="H401" t="s">
        <v>89</v>
      </c>
      <c r="I401">
        <v>4</v>
      </c>
      <c r="J401" s="2">
        <v>329.97</v>
      </c>
      <c r="K401" s="4">
        <v>0</v>
      </c>
      <c r="L401" t="s">
        <v>369</v>
      </c>
      <c r="M401">
        <v>8</v>
      </c>
      <c r="N401" t="s">
        <v>91</v>
      </c>
      <c r="O401" t="str">
        <f>SUBSTITUTE(PROPER(TRIM(RawSalesTable6[[#This Row],[Channel_Raw]])),"Market Place","Marketplace")</f>
        <v>Online</v>
      </c>
      <c r="P401" t="str">
        <f>TRIM(RawSalesTable6[[#This Row],[Product_ID]])</f>
        <v>P1023</v>
      </c>
      <c r="Q401" t="str">
        <f>TRIM(RawSalesTable6[[#This Row],[Customer_ID]])</f>
        <v>C0001</v>
      </c>
      <c r="R401" s="8" t="str">
        <f>PROPER(TRIM(RawSalesTable6[[#This Row],[Store_Raw]]))</f>
        <v>Calgary North</v>
      </c>
      <c r="S401" s="8" t="str">
        <f>IF(TRIM(RawSalesTable6[[#This Row],[Payment_Method_Raw]])="","Non renseigné",SUBSTITUTE(PROPER(TRIM(RawSalesTable6[[#This Row],[Payment_Method_Raw]])),"Cc","Credit Card"))</f>
        <v>Paypal</v>
      </c>
      <c r="T401" s="8">
        <f>COUNTIF(A:A,RawSalesTable6[[#This Row],[Order_ID]])</f>
        <v>1</v>
      </c>
      <c r="U401" s="8" t="str">
        <f>TRIM(LEFT(RawSalesTable6[[#This Row],[Customer_Info]],FIND(",",RawSalesTable6[[#This Row],[Customer_Info]])-1))</f>
        <v>Ethan Roy</v>
      </c>
      <c r="V401" s="8" t="str">
        <f>TRIM(MID(RawSalesTable6[[#This Row],[Customer_Info]],FIND(",",RawSalesTable6[[#This Row],[Customer_Info]])+1,FIND(",",RawSalesTable6[[#This Row],[Customer_Info]],FIND(",",RawSalesTable6[[#This Row],[Customer_Info]])+1)-FIND(",",RawSalesTable6[[#This Row],[Customer_Info]])-1))</f>
        <v>Halifax</v>
      </c>
      <c r="W401" s="8" t="str">
        <f>TRIM(RIGHT(RawSalesTable6[[#This Row],[Customer_Info]],LEN(RawSalesTable6[[#This Row],[Customer_Info]])-FIND(",",RawSalesTable6[[#This Row],[Customer_Info]],FIND(",",RawSalesTable6[[#This Row],[Customer_Info]])+1)))</f>
        <v>Consumer</v>
      </c>
      <c r="X401" s="8" t="str">
        <f>VLOOKUP(RawSalesTable6[[#This Row],[Product_ID_Clean]],ProductsTable[],2,FALSE)</f>
        <v>Toaster</v>
      </c>
      <c r="Y401" s="8" t="str">
        <f>VLOOKUP(RawSalesTable6[[#This Row],[Product_ID_Clean]],ProductsTable[],3,FALSE)</f>
        <v>Home</v>
      </c>
      <c r="Z401" s="8">
        <f>VLOOKUP(RawSalesTable6[[#This Row],[Product_ID_Clean]],ProductsTable[],5,FALSE)</f>
        <v>152.88</v>
      </c>
      <c r="AA401" s="8">
        <f>RawSalesTable6[[#This Row],[Unit_Price]]*RawSalesTable6[[#This Row],[Quantity]]</f>
        <v>1319.88</v>
      </c>
      <c r="AB401" s="8">
        <f>RawSalesTable6[[#This Row],[Gross_Sales]]*RawSalesTable6[[#This Row],[Discount_Pct]]</f>
        <v>0</v>
      </c>
      <c r="AC401" s="8">
        <f>RawSalesTable6[[#This Row],[Gross_Sales]]-RawSalesTable6[[#This Row],[Discount_Amount]]</f>
        <v>1319.88</v>
      </c>
      <c r="AD401" s="8">
        <f>RawSalesTable6[[#This Row],[Unit_Cost]]*RawSalesTable6[[#This Row],[Quantity]]</f>
        <v>611.52</v>
      </c>
      <c r="AE401" s="8">
        <f>RawSalesTable6[[#This Row],[Net_Sales]]-RawSalesTable6[[#This Row],[Total_Cost]]</f>
        <v>708.36000000000013</v>
      </c>
      <c r="AF401" s="9">
        <f>RawSalesTable6[[#This Row],[Profit]]/RawSalesTable6[[#This Row],[Net_Sales]]</f>
        <v>0.53668515319574517</v>
      </c>
      <c r="AG401" s="8">
        <f>YEAR(RawSalesTable6[[#This Row],[Order_Date]])</f>
        <v>2025</v>
      </c>
      <c r="AH401" s="8">
        <f>MONTH(RawSalesTable6[[#This Row],[Order_Date]])</f>
        <v>2</v>
      </c>
      <c r="AI401" s="8" t="str">
        <f>TEXT(RawSalesTable6[[#This Row],[Order_Date]],"mmmm")</f>
        <v>février</v>
      </c>
      <c r="AJ401" s="8" t="str">
        <f>IF(RawSalesTable6[[#This Row],[Month_Number]]&lt;=3,"Q1",IF(RawSalesTable6[[#This Row],[Month_Number]]&lt;=6,"Q2",IF(RawSalesTable6[[#This Row],[Month_Number]]&lt;=9,"Q3","Q4")))</f>
        <v>Q1</v>
      </c>
      <c r="AK401" s="8" t="str">
        <f>VLOOKUP(RawSalesTable6[[#This Row],[Customer_ID_Clean]],CustomersTable[],4,FALSE)</f>
        <v>Nova Scotia</v>
      </c>
      <c r="AL401" s="8">
        <f>IF(RawSalesTable6[[#This Row],[Return_Status]]="Yes",1,0)</f>
        <v>0</v>
      </c>
    </row>
    <row r="402" spans="1:38">
      <c r="A402" t="s">
        <v>822</v>
      </c>
      <c r="B402" s="3">
        <v>45838</v>
      </c>
      <c r="C402" t="s">
        <v>206</v>
      </c>
      <c r="D402" t="s">
        <v>165</v>
      </c>
      <c r="E402" t="s">
        <v>823</v>
      </c>
      <c r="F402" t="s">
        <v>87</v>
      </c>
      <c r="G402" t="s">
        <v>96</v>
      </c>
      <c r="H402" t="s">
        <v>97</v>
      </c>
      <c r="I402">
        <v>1</v>
      </c>
      <c r="J402" s="2">
        <v>105.56</v>
      </c>
      <c r="K402" s="4">
        <v>0.05</v>
      </c>
      <c r="L402" t="s">
        <v>369</v>
      </c>
      <c r="M402">
        <v>1</v>
      </c>
      <c r="N402" t="s">
        <v>91</v>
      </c>
      <c r="O402" t="str">
        <f>SUBSTITUTE(PROPER(TRIM(RawSalesTable6[[#This Row],[Channel_Raw]])),"Market Place","Marketplace")</f>
        <v>Retail Store</v>
      </c>
      <c r="P402" t="str">
        <f>TRIM(RawSalesTable6[[#This Row],[Product_ID]])</f>
        <v>P1024</v>
      </c>
      <c r="Q402" t="str">
        <f>TRIM(RawSalesTable6[[#This Row],[Customer_ID]])</f>
        <v>C0061</v>
      </c>
      <c r="R402" s="8" t="str">
        <f>PROPER(TRIM(RawSalesTable6[[#This Row],[Store_Raw]]))</f>
        <v>Online Fulfillment</v>
      </c>
      <c r="S402" s="8" t="str">
        <f>IF(TRIM(RawSalesTable6[[#This Row],[Payment_Method_Raw]])="","Non renseigné",SUBSTITUTE(PROPER(TRIM(RawSalesTable6[[#This Row],[Payment_Method_Raw]])),"Cc","Credit Card"))</f>
        <v>Paypal</v>
      </c>
      <c r="T402" s="8">
        <f>COUNTIF(A:A,RawSalesTable6[[#This Row],[Order_ID]])</f>
        <v>1</v>
      </c>
      <c r="U402" s="8" t="str">
        <f>TRIM(LEFT(RawSalesTable6[[#This Row],[Customer_Info]],FIND(",",RawSalesTable6[[#This Row],[Customer_Info]])-1))</f>
        <v>Zoe Hall</v>
      </c>
      <c r="V402" s="8" t="str">
        <f>TRIM(MID(RawSalesTable6[[#This Row],[Customer_Info]],FIND(",",RawSalesTable6[[#This Row],[Customer_Info]])+1,FIND(",",RawSalesTable6[[#This Row],[Customer_Info]],FIND(",",RawSalesTable6[[#This Row],[Customer_Info]])+1)-FIND(",",RawSalesTable6[[#This Row],[Customer_Info]])-1))</f>
        <v>Vancouver</v>
      </c>
      <c r="W402" s="8" t="str">
        <f>TRIM(RIGHT(RawSalesTable6[[#This Row],[Customer_Info]],LEN(RawSalesTable6[[#This Row],[Customer_Info]])-FIND(",",RawSalesTable6[[#This Row],[Customer_Info]],FIND(",",RawSalesTable6[[#This Row],[Customer_Info]])+1)))</f>
        <v>Consumer</v>
      </c>
      <c r="X402" s="8" t="str">
        <f>VLOOKUP(RawSalesTable6[[#This Row],[Product_ID_Clean]],ProductsTable[],2,FALSE)</f>
        <v>Food Scale</v>
      </c>
      <c r="Y402" s="8" t="str">
        <f>VLOOKUP(RawSalesTable6[[#This Row],[Product_ID_Clean]],ProductsTable[],3,FALSE)</f>
        <v>Home</v>
      </c>
      <c r="Z402" s="8">
        <f>VLOOKUP(RawSalesTable6[[#This Row],[Product_ID_Clean]],ProductsTable[],5,FALSE)</f>
        <v>46.07</v>
      </c>
      <c r="AA402" s="8">
        <f>RawSalesTable6[[#This Row],[Unit_Price]]*RawSalesTable6[[#This Row],[Quantity]]</f>
        <v>105.56</v>
      </c>
      <c r="AB402" s="8">
        <f>RawSalesTable6[[#This Row],[Gross_Sales]]*RawSalesTable6[[#This Row],[Discount_Pct]]</f>
        <v>5.2780000000000005</v>
      </c>
      <c r="AC402" s="8">
        <f>RawSalesTable6[[#This Row],[Gross_Sales]]-RawSalesTable6[[#This Row],[Discount_Amount]]</f>
        <v>100.282</v>
      </c>
      <c r="AD402" s="8">
        <f>RawSalesTable6[[#This Row],[Unit_Cost]]*RawSalesTable6[[#This Row],[Quantity]]</f>
        <v>46.07</v>
      </c>
      <c r="AE402" s="8">
        <f>RawSalesTable6[[#This Row],[Net_Sales]]-RawSalesTable6[[#This Row],[Total_Cost]]</f>
        <v>54.211999999999996</v>
      </c>
      <c r="AF402" s="9">
        <f>RawSalesTable6[[#This Row],[Profit]]/RawSalesTable6[[#This Row],[Net_Sales]]</f>
        <v>0.54059552063181826</v>
      </c>
      <c r="AG402" s="8">
        <f>YEAR(RawSalesTable6[[#This Row],[Order_Date]])</f>
        <v>2025</v>
      </c>
      <c r="AH402" s="8">
        <f>MONTH(RawSalesTable6[[#This Row],[Order_Date]])</f>
        <v>6</v>
      </c>
      <c r="AI402" s="8" t="str">
        <f>TEXT(RawSalesTable6[[#This Row],[Order_Date]],"mmmm")</f>
        <v>juin</v>
      </c>
      <c r="AJ402" s="8" t="str">
        <f>IF(RawSalesTable6[[#This Row],[Month_Number]]&lt;=3,"Q1",IF(RawSalesTable6[[#This Row],[Month_Number]]&lt;=6,"Q2",IF(RawSalesTable6[[#This Row],[Month_Number]]&lt;=9,"Q3","Q4")))</f>
        <v>Q2</v>
      </c>
      <c r="AK402" s="8" t="str">
        <f>VLOOKUP(RawSalesTable6[[#This Row],[Customer_ID_Clean]],CustomersTable[],4,FALSE)</f>
        <v>British Columbia</v>
      </c>
      <c r="AL402" s="8">
        <f>IF(RawSalesTable6[[#This Row],[Return_Status]]="Yes",1,0)</f>
        <v>0</v>
      </c>
    </row>
    <row r="403" spans="1:38">
      <c r="A403" t="s">
        <v>824</v>
      </c>
      <c r="B403" s="3">
        <v>45691</v>
      </c>
      <c r="C403" t="s">
        <v>374</v>
      </c>
      <c r="D403" t="s">
        <v>249</v>
      </c>
      <c r="E403" t="s">
        <v>825</v>
      </c>
      <c r="F403" t="s">
        <v>111</v>
      </c>
      <c r="G403" t="s">
        <v>117</v>
      </c>
      <c r="H403" t="s">
        <v>105</v>
      </c>
      <c r="I403">
        <v>1</v>
      </c>
      <c r="J403" s="2">
        <v>411.6</v>
      </c>
      <c r="K403" s="4">
        <v>0</v>
      </c>
      <c r="L403" t="s">
        <v>90</v>
      </c>
      <c r="M403">
        <v>4</v>
      </c>
      <c r="N403" t="s">
        <v>91</v>
      </c>
      <c r="O403" t="str">
        <f>SUBSTITUTE(PROPER(TRIM(RawSalesTable6[[#This Row],[Channel_Raw]])),"Market Place","Marketplace")</f>
        <v>Marketplace</v>
      </c>
      <c r="P403" t="str">
        <f>TRIM(RawSalesTable6[[#This Row],[Product_ID]])</f>
        <v>P1022</v>
      </c>
      <c r="Q403" t="str">
        <f>TRIM(RawSalesTable6[[#This Row],[Customer_ID]])</f>
        <v>C0035</v>
      </c>
      <c r="R403" s="8" t="str">
        <f>PROPER(TRIM(RawSalesTable6[[#This Row],[Store_Raw]]))</f>
        <v>Montreal Central</v>
      </c>
      <c r="S403" s="8" t="str">
        <f>IF(TRIM(RawSalesTable6[[#This Row],[Payment_Method_Raw]])="","Non renseigné",SUBSTITUTE(PROPER(TRIM(RawSalesTable6[[#This Row],[Payment_Method_Raw]])),"Cc","Credit Card"))</f>
        <v>Paypal</v>
      </c>
      <c r="T403" s="8">
        <f>COUNTIF(A:A,RawSalesTable6[[#This Row],[Order_ID]])</f>
        <v>1</v>
      </c>
      <c r="U403" s="8" t="str">
        <f>TRIM(LEFT(RawSalesTable6[[#This Row],[Customer_Info]],FIND(",",RawSalesTable6[[#This Row],[Customer_Info]])-1))</f>
        <v>Amelia Scott</v>
      </c>
      <c r="V403" s="8" t="str">
        <f>TRIM(MID(RawSalesTable6[[#This Row],[Customer_Info]],FIND(",",RawSalesTable6[[#This Row],[Customer_Info]])+1,FIND(",",RawSalesTable6[[#This Row],[Customer_Info]],FIND(",",RawSalesTable6[[#This Row],[Customer_Info]])+1)-FIND(",",RawSalesTable6[[#This Row],[Customer_Info]])-1))</f>
        <v>Edmonton</v>
      </c>
      <c r="W403" s="8" t="str">
        <f>TRIM(RIGHT(RawSalesTable6[[#This Row],[Customer_Info]],LEN(RawSalesTable6[[#This Row],[Customer_Info]])-FIND(",",RawSalesTable6[[#This Row],[Customer_Info]],FIND(",",RawSalesTable6[[#This Row],[Customer_Info]])+1)))</f>
        <v>Small Business</v>
      </c>
      <c r="X403" s="8" t="str">
        <f>VLOOKUP(RawSalesTable6[[#This Row],[Product_ID_Clean]],ProductsTable[],2,FALSE)</f>
        <v>Humidifier</v>
      </c>
      <c r="Y403" s="8" t="str">
        <f>VLOOKUP(RawSalesTable6[[#This Row],[Product_ID_Clean]],ProductsTable[],3,FALSE)</f>
        <v>Home</v>
      </c>
      <c r="Z403" s="8">
        <f>VLOOKUP(RawSalesTable6[[#This Row],[Product_ID_Clean]],ProductsTable[],5,FALSE)</f>
        <v>239.67</v>
      </c>
      <c r="AA403" s="8">
        <f>RawSalesTable6[[#This Row],[Unit_Price]]*RawSalesTable6[[#This Row],[Quantity]]</f>
        <v>411.6</v>
      </c>
      <c r="AB403" s="8">
        <f>RawSalesTable6[[#This Row],[Gross_Sales]]*RawSalesTable6[[#This Row],[Discount_Pct]]</f>
        <v>0</v>
      </c>
      <c r="AC403" s="8">
        <f>RawSalesTable6[[#This Row],[Gross_Sales]]-RawSalesTable6[[#This Row],[Discount_Amount]]</f>
        <v>411.6</v>
      </c>
      <c r="AD403" s="8">
        <f>RawSalesTable6[[#This Row],[Unit_Cost]]*RawSalesTable6[[#This Row],[Quantity]]</f>
        <v>239.67</v>
      </c>
      <c r="AE403" s="8">
        <f>RawSalesTable6[[#This Row],[Net_Sales]]-RawSalesTable6[[#This Row],[Total_Cost]]</f>
        <v>171.93000000000004</v>
      </c>
      <c r="AF403" s="9">
        <f>RawSalesTable6[[#This Row],[Profit]]/RawSalesTable6[[#This Row],[Net_Sales]]</f>
        <v>0.41771137026239075</v>
      </c>
      <c r="AG403" s="8">
        <f>YEAR(RawSalesTable6[[#This Row],[Order_Date]])</f>
        <v>2025</v>
      </c>
      <c r="AH403" s="8">
        <f>MONTH(RawSalesTable6[[#This Row],[Order_Date]])</f>
        <v>2</v>
      </c>
      <c r="AI403" s="8" t="str">
        <f>TEXT(RawSalesTable6[[#This Row],[Order_Date]],"mmmm")</f>
        <v>février</v>
      </c>
      <c r="AJ403" s="8" t="str">
        <f>IF(RawSalesTable6[[#This Row],[Month_Number]]&lt;=3,"Q1",IF(RawSalesTable6[[#This Row],[Month_Number]]&lt;=6,"Q2",IF(RawSalesTable6[[#This Row],[Month_Number]]&lt;=9,"Q3","Q4")))</f>
        <v>Q1</v>
      </c>
      <c r="AK403" s="8" t="str">
        <f>VLOOKUP(RawSalesTable6[[#This Row],[Customer_ID_Clean]],CustomersTable[],4,FALSE)</f>
        <v>Alberta</v>
      </c>
      <c r="AL403" s="8">
        <f>IF(RawSalesTable6[[#This Row],[Return_Status]]="Yes",1,0)</f>
        <v>0</v>
      </c>
    </row>
    <row r="404" spans="1:38">
      <c r="A404" t="s">
        <v>826</v>
      </c>
      <c r="B404" s="3">
        <v>45922</v>
      </c>
      <c r="C404" t="s">
        <v>151</v>
      </c>
      <c r="D404" t="s">
        <v>360</v>
      </c>
      <c r="E404" t="s">
        <v>827</v>
      </c>
      <c r="F404" t="s">
        <v>111</v>
      </c>
      <c r="G404" t="s">
        <v>171</v>
      </c>
      <c r="H404" t="s">
        <v>308</v>
      </c>
      <c r="I404">
        <v>1</v>
      </c>
      <c r="J404" s="2">
        <v>62.36</v>
      </c>
      <c r="K404" s="4">
        <v>0</v>
      </c>
      <c r="L404" t="s">
        <v>432</v>
      </c>
      <c r="M404">
        <v>6</v>
      </c>
      <c r="N404" t="s">
        <v>91</v>
      </c>
      <c r="O404" t="str">
        <f>SUBSTITUTE(PROPER(TRIM(RawSalesTable6[[#This Row],[Channel_Raw]])),"Market Place","Marketplace")</f>
        <v>Online</v>
      </c>
      <c r="P404" t="str">
        <f>TRIM(RawSalesTable6[[#This Row],[Product_ID]])</f>
        <v>P1020</v>
      </c>
      <c r="Q404" t="str">
        <f>TRIM(RawSalesTable6[[#This Row],[Customer_ID]])</f>
        <v>C0014</v>
      </c>
      <c r="R404" s="8" t="str">
        <f>PROPER(TRIM(RawSalesTable6[[#This Row],[Store_Raw]]))</f>
        <v>Montreal Central</v>
      </c>
      <c r="S404" s="8" t="str">
        <f>IF(TRIM(RawSalesTable6[[#This Row],[Payment_Method_Raw]])="","Non renseigné",SUBSTITUTE(PROPER(TRIM(RawSalesTable6[[#This Row],[Payment_Method_Raw]])),"Cc","Credit Card"))</f>
        <v>Paypal</v>
      </c>
      <c r="T404" s="8">
        <f>COUNTIF(A:A,RawSalesTable6[[#This Row],[Order_ID]])</f>
        <v>1</v>
      </c>
      <c r="U404" s="8" t="str">
        <f>TRIM(LEFT(RawSalesTable6[[#This Row],[Customer_Info]],FIND(",",RawSalesTable6[[#This Row],[Customer_Info]])-1))</f>
        <v>Zoe Scott</v>
      </c>
      <c r="V404" s="8" t="str">
        <f>TRIM(MID(RawSalesTable6[[#This Row],[Customer_Info]],FIND(",",RawSalesTable6[[#This Row],[Customer_Info]])+1,FIND(",",RawSalesTable6[[#This Row],[Customer_Info]],FIND(",",RawSalesTable6[[#This Row],[Customer_Info]])+1)-FIND(",",RawSalesTable6[[#This Row],[Customer_Info]])-1))</f>
        <v>Montreal</v>
      </c>
      <c r="W404" s="8" t="str">
        <f>TRIM(RIGHT(RawSalesTable6[[#This Row],[Customer_Info]],LEN(RawSalesTable6[[#This Row],[Customer_Info]])-FIND(",",RawSalesTable6[[#This Row],[Customer_Info]],FIND(",",RawSalesTable6[[#This Row],[Customer_Info]])+1)))</f>
        <v>Small Business</v>
      </c>
      <c r="X404" s="8" t="str">
        <f>VLOOKUP(RawSalesTable6[[#This Row],[Product_ID_Clean]],ProductsTable[],2,FALSE)</f>
        <v>Blender</v>
      </c>
      <c r="Y404" s="8" t="str">
        <f>VLOOKUP(RawSalesTable6[[#This Row],[Product_ID_Clean]],ProductsTable[],3,FALSE)</f>
        <v>Home</v>
      </c>
      <c r="Z404" s="8">
        <f>VLOOKUP(RawSalesTable6[[#This Row],[Product_ID_Clean]],ProductsTable[],5,FALSE)</f>
        <v>37.46</v>
      </c>
      <c r="AA404" s="8">
        <f>RawSalesTable6[[#This Row],[Unit_Price]]*RawSalesTable6[[#This Row],[Quantity]]</f>
        <v>62.36</v>
      </c>
      <c r="AB404" s="8">
        <f>RawSalesTable6[[#This Row],[Gross_Sales]]*RawSalesTable6[[#This Row],[Discount_Pct]]</f>
        <v>0</v>
      </c>
      <c r="AC404" s="8">
        <f>RawSalesTable6[[#This Row],[Gross_Sales]]-RawSalesTable6[[#This Row],[Discount_Amount]]</f>
        <v>62.36</v>
      </c>
      <c r="AD404" s="8">
        <f>RawSalesTable6[[#This Row],[Unit_Cost]]*RawSalesTable6[[#This Row],[Quantity]]</f>
        <v>37.46</v>
      </c>
      <c r="AE404" s="8">
        <f>RawSalesTable6[[#This Row],[Net_Sales]]-RawSalesTable6[[#This Row],[Total_Cost]]</f>
        <v>24.9</v>
      </c>
      <c r="AF404" s="9">
        <f>RawSalesTable6[[#This Row],[Profit]]/RawSalesTable6[[#This Row],[Net_Sales]]</f>
        <v>0.39929441949967925</v>
      </c>
      <c r="AG404" s="8">
        <f>YEAR(RawSalesTable6[[#This Row],[Order_Date]])</f>
        <v>2025</v>
      </c>
      <c r="AH404" s="8">
        <f>MONTH(RawSalesTable6[[#This Row],[Order_Date]])</f>
        <v>9</v>
      </c>
      <c r="AI404" s="8" t="str">
        <f>TEXT(RawSalesTable6[[#This Row],[Order_Date]],"mmmm")</f>
        <v>septembre</v>
      </c>
      <c r="AJ404" s="8" t="str">
        <f>IF(RawSalesTable6[[#This Row],[Month_Number]]&lt;=3,"Q1",IF(RawSalesTable6[[#This Row],[Month_Number]]&lt;=6,"Q2",IF(RawSalesTable6[[#This Row],[Month_Number]]&lt;=9,"Q3","Q4")))</f>
        <v>Q3</v>
      </c>
      <c r="AK404" s="8" t="str">
        <f>VLOOKUP(RawSalesTable6[[#This Row],[Customer_ID_Clean]],CustomersTable[],4,FALSE)</f>
        <v>Quebec</v>
      </c>
      <c r="AL404" s="8">
        <f>IF(RawSalesTable6[[#This Row],[Return_Status]]="Yes",1,0)</f>
        <v>0</v>
      </c>
    </row>
    <row r="405" spans="1:38">
      <c r="A405" t="s">
        <v>828</v>
      </c>
      <c r="B405" s="3">
        <v>45905</v>
      </c>
      <c r="C405" t="s">
        <v>180</v>
      </c>
      <c r="D405" t="s">
        <v>85</v>
      </c>
      <c r="E405" t="s">
        <v>182</v>
      </c>
      <c r="F405" t="s">
        <v>145</v>
      </c>
      <c r="G405" t="s">
        <v>117</v>
      </c>
      <c r="H405" t="s">
        <v>89</v>
      </c>
      <c r="I405">
        <v>1</v>
      </c>
      <c r="J405" s="2">
        <v>310.61</v>
      </c>
      <c r="K405" s="4">
        <v>0.25</v>
      </c>
      <c r="L405" t="s">
        <v>106</v>
      </c>
      <c r="M405">
        <v>5</v>
      </c>
      <c r="N405" t="s">
        <v>91</v>
      </c>
      <c r="O405" t="str">
        <f>SUBSTITUTE(PROPER(TRIM(RawSalesTable6[[#This Row],[Channel_Raw]])),"Market Place","Marketplace")</f>
        <v>Online</v>
      </c>
      <c r="P405" t="str">
        <f>TRIM(RawSalesTable6[[#This Row],[Product_ID]])</f>
        <v>P1025</v>
      </c>
      <c r="Q405" t="str">
        <f>TRIM(RawSalesTable6[[#This Row],[Customer_ID]])</f>
        <v>C0085</v>
      </c>
      <c r="R405" s="8" t="str">
        <f>PROPER(TRIM(RawSalesTable6[[#This Row],[Store_Raw]]))</f>
        <v>Calgary North</v>
      </c>
      <c r="S405" s="8" t="str">
        <f>IF(TRIM(RawSalesTable6[[#This Row],[Payment_Method_Raw]])="","Non renseigné",SUBSTITUTE(PROPER(TRIM(RawSalesTable6[[#This Row],[Payment_Method_Raw]])),"Cc","Credit Card"))</f>
        <v>Credit Card</v>
      </c>
      <c r="T405" s="8">
        <f>COUNTIF(A:A,RawSalesTable6[[#This Row],[Order_ID]])</f>
        <v>1</v>
      </c>
      <c r="U405" s="8" t="str">
        <f>TRIM(LEFT(RawSalesTable6[[#This Row],[Customer_Info]],FIND(",",RawSalesTable6[[#This Row],[Customer_Info]])-1))</f>
        <v>Yasmine Clark</v>
      </c>
      <c r="V405" s="8" t="str">
        <f>TRIM(MID(RawSalesTable6[[#This Row],[Customer_Info]],FIND(",",RawSalesTable6[[#This Row],[Customer_Info]])+1,FIND(",",RawSalesTable6[[#This Row],[Customer_Info]],FIND(",",RawSalesTable6[[#This Row],[Customer_Info]])+1)-FIND(",",RawSalesTable6[[#This Row],[Customer_Info]])-1))</f>
        <v>Calgary</v>
      </c>
      <c r="W405" s="8" t="str">
        <f>TRIM(RIGHT(RawSalesTable6[[#This Row],[Customer_Info]],LEN(RawSalesTable6[[#This Row],[Customer_Info]])-FIND(",",RawSalesTable6[[#This Row],[Customer_Info]],FIND(",",RawSalesTable6[[#This Row],[Customer_Info]])+1)))</f>
        <v>Consumer</v>
      </c>
      <c r="X405" s="8" t="str">
        <f>VLOOKUP(RawSalesTable6[[#This Row],[Product_ID_Clean]],ProductsTable[],2,FALSE)</f>
        <v>Yoga Mat</v>
      </c>
      <c r="Y405" s="8" t="str">
        <f>VLOOKUP(RawSalesTable6[[#This Row],[Product_ID_Clean]],ProductsTable[],3,FALSE)</f>
        <v>Fitness</v>
      </c>
      <c r="Z405" s="8">
        <f>VLOOKUP(RawSalesTable6[[#This Row],[Product_ID_Clean]],ProductsTable[],5,FALSE)</f>
        <v>197.33</v>
      </c>
      <c r="AA405" s="8">
        <f>RawSalesTable6[[#This Row],[Unit_Price]]*RawSalesTable6[[#This Row],[Quantity]]</f>
        <v>310.61</v>
      </c>
      <c r="AB405" s="8">
        <f>RawSalesTable6[[#This Row],[Gross_Sales]]*RawSalesTable6[[#This Row],[Discount_Pct]]</f>
        <v>77.652500000000003</v>
      </c>
      <c r="AC405" s="8">
        <f>RawSalesTable6[[#This Row],[Gross_Sales]]-RawSalesTable6[[#This Row],[Discount_Amount]]</f>
        <v>232.95750000000001</v>
      </c>
      <c r="AD405" s="8">
        <f>RawSalesTable6[[#This Row],[Unit_Cost]]*RawSalesTable6[[#This Row],[Quantity]]</f>
        <v>197.33</v>
      </c>
      <c r="AE405" s="8">
        <f>RawSalesTable6[[#This Row],[Net_Sales]]-RawSalesTable6[[#This Row],[Total_Cost]]</f>
        <v>35.627499999999998</v>
      </c>
      <c r="AF405" s="9">
        <f>RawSalesTable6[[#This Row],[Profit]]/RawSalesTable6[[#This Row],[Net_Sales]]</f>
        <v>0.15293562130431515</v>
      </c>
      <c r="AG405" s="8">
        <f>YEAR(RawSalesTable6[[#This Row],[Order_Date]])</f>
        <v>2025</v>
      </c>
      <c r="AH405" s="8">
        <f>MONTH(RawSalesTable6[[#This Row],[Order_Date]])</f>
        <v>9</v>
      </c>
      <c r="AI405" s="8" t="str">
        <f>TEXT(RawSalesTable6[[#This Row],[Order_Date]],"mmmm")</f>
        <v>septembre</v>
      </c>
      <c r="AJ405" s="8" t="str">
        <f>IF(RawSalesTable6[[#This Row],[Month_Number]]&lt;=3,"Q1",IF(RawSalesTable6[[#This Row],[Month_Number]]&lt;=6,"Q2",IF(RawSalesTable6[[#This Row],[Month_Number]]&lt;=9,"Q3","Q4")))</f>
        <v>Q3</v>
      </c>
      <c r="AK405" s="8" t="str">
        <f>VLOOKUP(RawSalesTable6[[#This Row],[Customer_ID_Clean]],CustomersTable[],4,FALSE)</f>
        <v>Alberta</v>
      </c>
      <c r="AL405" s="8">
        <f>IF(RawSalesTable6[[#This Row],[Return_Status]]="Yes",1,0)</f>
        <v>0</v>
      </c>
    </row>
    <row r="406" spans="1:38">
      <c r="A406" t="s">
        <v>829</v>
      </c>
      <c r="B406" s="3">
        <v>45988</v>
      </c>
      <c r="C406" t="s">
        <v>706</v>
      </c>
      <c r="D406" t="s">
        <v>136</v>
      </c>
      <c r="E406" t="s">
        <v>707</v>
      </c>
      <c r="F406" t="s">
        <v>87</v>
      </c>
      <c r="G406" t="s">
        <v>183</v>
      </c>
      <c r="H406" t="s">
        <v>89</v>
      </c>
      <c r="I406">
        <v>2</v>
      </c>
      <c r="J406" s="2">
        <v>151.38999999999999</v>
      </c>
      <c r="K406" s="4">
        <v>0.15</v>
      </c>
      <c r="L406" t="s">
        <v>106</v>
      </c>
      <c r="M406">
        <v>1</v>
      </c>
      <c r="N406" t="s">
        <v>91</v>
      </c>
      <c r="O406" t="str">
        <f>SUBSTITUTE(PROPER(TRIM(RawSalesTable6[[#This Row],[Channel_Raw]])),"Market Place","Marketplace")</f>
        <v>Online</v>
      </c>
      <c r="P406" t="str">
        <f>TRIM(RawSalesTable6[[#This Row],[Product_ID]])</f>
        <v>P1003</v>
      </c>
      <c r="Q406" t="str">
        <f>TRIM(RawSalesTable6[[#This Row],[Customer_ID]])</f>
        <v>C0006</v>
      </c>
      <c r="R406" s="8" t="str">
        <f>PROPER(TRIM(RawSalesTable6[[#This Row],[Store_Raw]]))</f>
        <v>Online Fulfillment</v>
      </c>
      <c r="S406" s="8" t="str">
        <f>IF(TRIM(RawSalesTable6[[#This Row],[Payment_Method_Raw]])="","Non renseigné",SUBSTITUTE(PROPER(TRIM(RawSalesTable6[[#This Row],[Payment_Method_Raw]])),"Cc","Credit Card"))</f>
        <v>Credit Card</v>
      </c>
      <c r="T406" s="8">
        <f>COUNTIF(A:A,RawSalesTable6[[#This Row],[Order_ID]])</f>
        <v>1</v>
      </c>
      <c r="U406" s="8" t="str">
        <f>TRIM(LEFT(RawSalesTable6[[#This Row],[Customer_Info]],FIND(",",RawSalesTable6[[#This Row],[Customer_Info]])-1))</f>
        <v>Nora Wilson</v>
      </c>
      <c r="V406" s="8" t="str">
        <f>TRIM(MID(RawSalesTable6[[#This Row],[Customer_Info]],FIND(",",RawSalesTable6[[#This Row],[Customer_Info]])+1,FIND(",",RawSalesTable6[[#This Row],[Customer_Info]],FIND(",",RawSalesTable6[[#This Row],[Customer_Info]])+1)-FIND(",",RawSalesTable6[[#This Row],[Customer_Info]])-1))</f>
        <v>Laval</v>
      </c>
      <c r="W406" s="8" t="str">
        <f>TRIM(RIGHT(RawSalesTable6[[#This Row],[Customer_Info]],LEN(RawSalesTable6[[#This Row],[Customer_Info]])-FIND(",",RawSalesTable6[[#This Row],[Customer_Info]],FIND(",",RawSalesTable6[[#This Row],[Customer_Info]])+1)))</f>
        <v>Consumer</v>
      </c>
      <c r="X406" s="8" t="str">
        <f>VLOOKUP(RawSalesTable6[[#This Row],[Product_ID_Clean]],ProductsTable[],2,FALSE)</f>
        <v>Mouse</v>
      </c>
      <c r="Y406" s="8" t="str">
        <f>VLOOKUP(RawSalesTable6[[#This Row],[Product_ID_Clean]],ProductsTable[],3,FALSE)</f>
        <v>Electronics</v>
      </c>
      <c r="Z406" s="8">
        <f>VLOOKUP(RawSalesTable6[[#This Row],[Product_ID_Clean]],ProductsTable[],5,FALSE)</f>
        <v>106.4</v>
      </c>
      <c r="AA406" s="8">
        <f>RawSalesTable6[[#This Row],[Unit_Price]]*RawSalesTable6[[#This Row],[Quantity]]</f>
        <v>302.77999999999997</v>
      </c>
      <c r="AB406" s="8">
        <f>RawSalesTable6[[#This Row],[Gross_Sales]]*RawSalesTable6[[#This Row],[Discount_Pct]]</f>
        <v>45.416999999999994</v>
      </c>
      <c r="AC406" s="8">
        <f>RawSalesTable6[[#This Row],[Gross_Sales]]-RawSalesTable6[[#This Row],[Discount_Amount]]</f>
        <v>257.363</v>
      </c>
      <c r="AD406" s="8">
        <f>RawSalesTable6[[#This Row],[Unit_Cost]]*RawSalesTable6[[#This Row],[Quantity]]</f>
        <v>212.8</v>
      </c>
      <c r="AE406" s="8">
        <f>RawSalesTable6[[#This Row],[Net_Sales]]-RawSalesTable6[[#This Row],[Total_Cost]]</f>
        <v>44.562999999999988</v>
      </c>
      <c r="AF406" s="9">
        <f>RawSalesTable6[[#This Row],[Profit]]/RawSalesTable6[[#This Row],[Net_Sales]]</f>
        <v>0.17315231793225905</v>
      </c>
      <c r="AG406" s="8">
        <f>YEAR(RawSalesTable6[[#This Row],[Order_Date]])</f>
        <v>2025</v>
      </c>
      <c r="AH406" s="8">
        <f>MONTH(RawSalesTable6[[#This Row],[Order_Date]])</f>
        <v>11</v>
      </c>
      <c r="AI406" s="8" t="str">
        <f>TEXT(RawSalesTable6[[#This Row],[Order_Date]],"mmmm")</f>
        <v>novembre</v>
      </c>
      <c r="AJ406" s="8" t="str">
        <f>IF(RawSalesTable6[[#This Row],[Month_Number]]&lt;=3,"Q1",IF(RawSalesTable6[[#This Row],[Month_Number]]&lt;=6,"Q2",IF(RawSalesTable6[[#This Row],[Month_Number]]&lt;=9,"Q3","Q4")))</f>
        <v>Q4</v>
      </c>
      <c r="AK406" s="8" t="str">
        <f>VLOOKUP(RawSalesTable6[[#This Row],[Customer_ID_Clean]],CustomersTable[],4,FALSE)</f>
        <v>Quebec</v>
      </c>
      <c r="AL406" s="8">
        <f>IF(RawSalesTable6[[#This Row],[Return_Status]]="Yes",1,0)</f>
        <v>0</v>
      </c>
    </row>
    <row r="407" spans="1:38">
      <c r="A407" t="s">
        <v>830</v>
      </c>
      <c r="B407" s="3">
        <v>45788</v>
      </c>
      <c r="C407" t="s">
        <v>366</v>
      </c>
      <c r="D407" t="s">
        <v>360</v>
      </c>
      <c r="E407" t="s">
        <v>367</v>
      </c>
      <c r="F407" t="s">
        <v>116</v>
      </c>
      <c r="G407" t="s">
        <v>183</v>
      </c>
      <c r="H407" t="s">
        <v>89</v>
      </c>
      <c r="I407">
        <v>1</v>
      </c>
      <c r="J407" s="2">
        <v>67.59</v>
      </c>
      <c r="K407" s="4">
        <v>0.2</v>
      </c>
      <c r="L407" t="s">
        <v>98</v>
      </c>
      <c r="M407">
        <v>3</v>
      </c>
      <c r="N407" t="s">
        <v>91</v>
      </c>
      <c r="O407" t="str">
        <f>SUBSTITUTE(PROPER(TRIM(RawSalesTable6[[#This Row],[Channel_Raw]])),"Market Place","Marketplace")</f>
        <v>Online</v>
      </c>
      <c r="P407" t="str">
        <f>TRIM(RawSalesTable6[[#This Row],[Product_ID]])</f>
        <v>P1020</v>
      </c>
      <c r="Q407" t="str">
        <f>TRIM(RawSalesTable6[[#This Row],[Customer_ID]])</f>
        <v>C0117</v>
      </c>
      <c r="R407" s="8" t="str">
        <f>PROPER(TRIM(RawSalesTable6[[#This Row],[Store_Raw]]))</f>
        <v>Toronto Downtown</v>
      </c>
      <c r="S407" s="8" t="str">
        <f>IF(TRIM(RawSalesTable6[[#This Row],[Payment_Method_Raw]])="","Non renseigné",SUBSTITUTE(PROPER(TRIM(RawSalesTable6[[#This Row],[Payment_Method_Raw]])),"Cc","Credit Card"))</f>
        <v>Debit Card</v>
      </c>
      <c r="T407" s="8">
        <f>COUNTIF(A:A,RawSalesTable6[[#This Row],[Order_ID]])</f>
        <v>1</v>
      </c>
      <c r="U407" s="8" t="str">
        <f>TRIM(LEFT(RawSalesTable6[[#This Row],[Customer_Info]],FIND(",",RawSalesTable6[[#This Row],[Customer_Info]])-1))</f>
        <v>Ethan Hall</v>
      </c>
      <c r="V407" s="8" t="str">
        <f>TRIM(MID(RawSalesTable6[[#This Row],[Customer_Info]],FIND(",",RawSalesTable6[[#This Row],[Customer_Info]])+1,FIND(",",RawSalesTable6[[#This Row],[Customer_Info]],FIND(",",RawSalesTable6[[#This Row],[Customer_Info]])+1)-FIND(",",RawSalesTable6[[#This Row],[Customer_Info]])-1))</f>
        <v>Vancouver</v>
      </c>
      <c r="W407" s="8" t="str">
        <f>TRIM(RIGHT(RawSalesTable6[[#This Row],[Customer_Info]],LEN(RawSalesTable6[[#This Row],[Customer_Info]])-FIND(",",RawSalesTable6[[#This Row],[Customer_Info]],FIND(",",RawSalesTable6[[#This Row],[Customer_Info]])+1)))</f>
        <v>Consumer</v>
      </c>
      <c r="X407" s="8" t="str">
        <f>VLOOKUP(RawSalesTable6[[#This Row],[Product_ID_Clean]],ProductsTable[],2,FALSE)</f>
        <v>Blender</v>
      </c>
      <c r="Y407" s="8" t="str">
        <f>VLOOKUP(RawSalesTable6[[#This Row],[Product_ID_Clean]],ProductsTable[],3,FALSE)</f>
        <v>Home</v>
      </c>
      <c r="Z407" s="8">
        <f>VLOOKUP(RawSalesTable6[[#This Row],[Product_ID_Clean]],ProductsTable[],5,FALSE)</f>
        <v>37.46</v>
      </c>
      <c r="AA407" s="8">
        <f>RawSalesTable6[[#This Row],[Unit_Price]]*RawSalesTable6[[#This Row],[Quantity]]</f>
        <v>67.59</v>
      </c>
      <c r="AB407" s="8">
        <f>RawSalesTable6[[#This Row],[Gross_Sales]]*RawSalesTable6[[#This Row],[Discount_Pct]]</f>
        <v>13.518000000000001</v>
      </c>
      <c r="AC407" s="8">
        <f>RawSalesTable6[[#This Row],[Gross_Sales]]-RawSalesTable6[[#This Row],[Discount_Amount]]</f>
        <v>54.072000000000003</v>
      </c>
      <c r="AD407" s="8">
        <f>RawSalesTable6[[#This Row],[Unit_Cost]]*RawSalesTable6[[#This Row],[Quantity]]</f>
        <v>37.46</v>
      </c>
      <c r="AE407" s="8">
        <f>RawSalesTable6[[#This Row],[Net_Sales]]-RawSalesTable6[[#This Row],[Total_Cost]]</f>
        <v>16.612000000000002</v>
      </c>
      <c r="AF407" s="9">
        <f>RawSalesTable6[[#This Row],[Profit]]/RawSalesTable6[[#This Row],[Net_Sales]]</f>
        <v>0.30722000295901764</v>
      </c>
      <c r="AG407" s="8">
        <f>YEAR(RawSalesTable6[[#This Row],[Order_Date]])</f>
        <v>2025</v>
      </c>
      <c r="AH407" s="8">
        <f>MONTH(RawSalesTable6[[#This Row],[Order_Date]])</f>
        <v>5</v>
      </c>
      <c r="AI407" s="8" t="str">
        <f>TEXT(RawSalesTable6[[#This Row],[Order_Date]],"mmmm")</f>
        <v>mai</v>
      </c>
      <c r="AJ407" s="8" t="str">
        <f>IF(RawSalesTable6[[#This Row],[Month_Number]]&lt;=3,"Q1",IF(RawSalesTable6[[#This Row],[Month_Number]]&lt;=6,"Q2",IF(RawSalesTable6[[#This Row],[Month_Number]]&lt;=9,"Q3","Q4")))</f>
        <v>Q2</v>
      </c>
      <c r="AK407" s="8" t="str">
        <f>VLOOKUP(RawSalesTable6[[#This Row],[Customer_ID_Clean]],CustomersTable[],4,FALSE)</f>
        <v>British Columbia</v>
      </c>
      <c r="AL407" s="8">
        <f>IF(RawSalesTable6[[#This Row],[Return_Status]]="Yes",1,0)</f>
        <v>0</v>
      </c>
    </row>
    <row r="408" spans="1:38">
      <c r="A408" t="s">
        <v>831</v>
      </c>
      <c r="B408" s="3">
        <v>45746</v>
      </c>
      <c r="C408" t="s">
        <v>597</v>
      </c>
      <c r="D408" t="s">
        <v>418</v>
      </c>
      <c r="E408" t="s">
        <v>598</v>
      </c>
      <c r="F408" t="s">
        <v>116</v>
      </c>
      <c r="G408" t="s">
        <v>183</v>
      </c>
      <c r="H408" t="s">
        <v>89</v>
      </c>
      <c r="I408">
        <v>4</v>
      </c>
      <c r="J408" s="2">
        <v>369.52</v>
      </c>
      <c r="K408" s="4">
        <v>0.05</v>
      </c>
      <c r="L408" t="s">
        <v>106</v>
      </c>
      <c r="M408">
        <v>5</v>
      </c>
      <c r="N408" t="s">
        <v>91</v>
      </c>
      <c r="O408" t="str">
        <f>SUBSTITUTE(PROPER(TRIM(RawSalesTable6[[#This Row],[Channel_Raw]])),"Market Place","Marketplace")</f>
        <v>Online</v>
      </c>
      <c r="P408" t="str">
        <f>TRIM(RawSalesTable6[[#This Row],[Product_ID]])</f>
        <v>P1028</v>
      </c>
      <c r="Q408" t="str">
        <f>TRIM(RawSalesTable6[[#This Row],[Customer_ID]])</f>
        <v>C0004</v>
      </c>
      <c r="R408" s="8" t="str">
        <f>PROPER(TRIM(RawSalesTable6[[#This Row],[Store_Raw]]))</f>
        <v>Toronto Downtown</v>
      </c>
      <c r="S408" s="8" t="str">
        <f>IF(TRIM(RawSalesTable6[[#This Row],[Payment_Method_Raw]])="","Non renseigné",SUBSTITUTE(PROPER(TRIM(RawSalesTable6[[#This Row],[Payment_Method_Raw]])),"Cc","Credit Card"))</f>
        <v>Credit Card</v>
      </c>
      <c r="T408" s="8">
        <f>COUNTIF(A:A,RawSalesTable6[[#This Row],[Order_ID]])</f>
        <v>1</v>
      </c>
      <c r="U408" s="8" t="str">
        <f>TRIM(LEFT(RawSalesTable6[[#This Row],[Customer_Info]],FIND(",",RawSalesTable6[[#This Row],[Customer_Info]])-1))</f>
        <v>Mia Bennett</v>
      </c>
      <c r="V408" s="8" t="str">
        <f>TRIM(MID(RawSalesTable6[[#This Row],[Customer_Info]],FIND(",",RawSalesTable6[[#This Row],[Customer_Info]])+1,FIND(",",RawSalesTable6[[#This Row],[Customer_Info]],FIND(",",RawSalesTable6[[#This Row],[Customer_Info]])+1)-FIND(",",RawSalesTable6[[#This Row],[Customer_Info]])-1))</f>
        <v>Laval</v>
      </c>
      <c r="W408" s="8" t="str">
        <f>TRIM(RIGHT(RawSalesTable6[[#This Row],[Customer_Info]],LEN(RawSalesTable6[[#This Row],[Customer_Info]])-FIND(",",RawSalesTable6[[#This Row],[Customer_Info]],FIND(",",RawSalesTable6[[#This Row],[Customer_Info]])+1)))</f>
        <v>Consumer</v>
      </c>
      <c r="X408" s="8" t="str">
        <f>VLOOKUP(RawSalesTable6[[#This Row],[Product_ID_Clean]],ProductsTable[],2,FALSE)</f>
        <v>Foam Roller</v>
      </c>
      <c r="Y408" s="8" t="str">
        <f>VLOOKUP(RawSalesTable6[[#This Row],[Product_ID_Clean]],ProductsTable[],3,FALSE)</f>
        <v>Fitness</v>
      </c>
      <c r="Z408" s="8">
        <f>VLOOKUP(RawSalesTable6[[#This Row],[Product_ID_Clean]],ProductsTable[],5,FALSE)</f>
        <v>212.02</v>
      </c>
      <c r="AA408" s="8">
        <f>RawSalesTable6[[#This Row],[Unit_Price]]*RawSalesTable6[[#This Row],[Quantity]]</f>
        <v>1478.08</v>
      </c>
      <c r="AB408" s="8">
        <f>RawSalesTable6[[#This Row],[Gross_Sales]]*RawSalesTable6[[#This Row],[Discount_Pct]]</f>
        <v>73.903999999999996</v>
      </c>
      <c r="AC408" s="8">
        <f>RawSalesTable6[[#This Row],[Gross_Sales]]-RawSalesTable6[[#This Row],[Discount_Amount]]</f>
        <v>1404.1759999999999</v>
      </c>
      <c r="AD408" s="8">
        <f>RawSalesTable6[[#This Row],[Unit_Cost]]*RawSalesTable6[[#This Row],[Quantity]]</f>
        <v>848.08</v>
      </c>
      <c r="AE408" s="8">
        <f>RawSalesTable6[[#This Row],[Net_Sales]]-RawSalesTable6[[#This Row],[Total_Cost]]</f>
        <v>556.09599999999989</v>
      </c>
      <c r="AF408" s="9">
        <f>RawSalesTable6[[#This Row],[Profit]]/RawSalesTable6[[#This Row],[Net_Sales]]</f>
        <v>0.39603012727749221</v>
      </c>
      <c r="AG408" s="8">
        <f>YEAR(RawSalesTable6[[#This Row],[Order_Date]])</f>
        <v>2025</v>
      </c>
      <c r="AH408" s="8">
        <f>MONTH(RawSalesTable6[[#This Row],[Order_Date]])</f>
        <v>3</v>
      </c>
      <c r="AI408" s="8" t="str">
        <f>TEXT(RawSalesTable6[[#This Row],[Order_Date]],"mmmm")</f>
        <v>mars</v>
      </c>
      <c r="AJ408" s="8" t="str">
        <f>IF(RawSalesTable6[[#This Row],[Month_Number]]&lt;=3,"Q1",IF(RawSalesTable6[[#This Row],[Month_Number]]&lt;=6,"Q2",IF(RawSalesTable6[[#This Row],[Month_Number]]&lt;=9,"Q3","Q4")))</f>
        <v>Q1</v>
      </c>
      <c r="AK408" s="8" t="str">
        <f>VLOOKUP(RawSalesTable6[[#This Row],[Customer_ID_Clean]],CustomersTable[],4,FALSE)</f>
        <v>Quebec</v>
      </c>
      <c r="AL408" s="8">
        <f>IF(RawSalesTable6[[#This Row],[Return_Status]]="Yes",1,0)</f>
        <v>0</v>
      </c>
    </row>
    <row r="409" spans="1:38">
      <c r="A409" t="s">
        <v>832</v>
      </c>
      <c r="B409" s="3">
        <v>45786</v>
      </c>
      <c r="C409" t="s">
        <v>189</v>
      </c>
      <c r="D409" t="s">
        <v>143</v>
      </c>
      <c r="E409" t="s">
        <v>457</v>
      </c>
      <c r="F409" t="s">
        <v>103</v>
      </c>
      <c r="G409" t="s">
        <v>88</v>
      </c>
      <c r="H409" t="s">
        <v>89</v>
      </c>
      <c r="I409">
        <v>1</v>
      </c>
      <c r="J409" s="2">
        <v>273.12</v>
      </c>
      <c r="K409" s="4">
        <v>0</v>
      </c>
      <c r="L409" t="s">
        <v>90</v>
      </c>
      <c r="M409">
        <v>1</v>
      </c>
      <c r="N409" t="s">
        <v>91</v>
      </c>
      <c r="O409" t="str">
        <f>SUBSTITUTE(PROPER(TRIM(RawSalesTable6[[#This Row],[Channel_Raw]])),"Market Place","Marketplace")</f>
        <v>Online</v>
      </c>
      <c r="P409" t="str">
        <f>TRIM(RawSalesTable6[[#This Row],[Product_ID]])</f>
        <v>P1038</v>
      </c>
      <c r="Q409" t="str">
        <f>TRIM(RawSalesTable6[[#This Row],[Customer_ID]])</f>
        <v>C0054</v>
      </c>
      <c r="R409" s="8" t="str">
        <f>PROPER(TRIM(RawSalesTable6[[#This Row],[Store_Raw]]))</f>
        <v>Vancouver West</v>
      </c>
      <c r="S409" s="8" t="str">
        <f>IF(TRIM(RawSalesTable6[[#This Row],[Payment_Method_Raw]])="","Non renseigné",SUBSTITUTE(PROPER(TRIM(RawSalesTable6[[#This Row],[Payment_Method_Raw]])),"Cc","Credit Card"))</f>
        <v>Paypal</v>
      </c>
      <c r="T409" s="8">
        <f>COUNTIF(A:A,RawSalesTable6[[#This Row],[Order_ID]])</f>
        <v>1</v>
      </c>
      <c r="U409" s="8" t="str">
        <f>TRIM(LEFT(RawSalesTable6[[#This Row],[Customer_Info]],FIND(",",RawSalesTable6[[#This Row],[Customer_Info]])-1))</f>
        <v>Maya Hall</v>
      </c>
      <c r="V409" s="8" t="str">
        <f>TRIM(MID(RawSalesTable6[[#This Row],[Customer_Info]],FIND(",",RawSalesTable6[[#This Row],[Customer_Info]])+1,FIND(",",RawSalesTable6[[#This Row],[Customer_Info]],FIND(",",RawSalesTable6[[#This Row],[Customer_Info]])+1)-FIND(",",RawSalesTable6[[#This Row],[Customer_Info]])-1))</f>
        <v>Surrey</v>
      </c>
      <c r="W409" s="8" t="str">
        <f>TRIM(RIGHT(RawSalesTable6[[#This Row],[Customer_Info]],LEN(RawSalesTable6[[#This Row],[Customer_Info]])-FIND(",",RawSalesTable6[[#This Row],[Customer_Info]],FIND(",",RawSalesTable6[[#This Row],[Customer_Info]])+1)))</f>
        <v>Small Business</v>
      </c>
      <c r="X409" s="8" t="str">
        <f>VLOOKUP(RawSalesTable6[[#This Row],[Product_ID_Clean]],ProductsTable[],2,FALSE)</f>
        <v>Water Bottle</v>
      </c>
      <c r="Y409" s="8" t="str">
        <f>VLOOKUP(RawSalesTable6[[#This Row],[Product_ID_Clean]],ProductsTable[],3,FALSE)</f>
        <v>Accessories</v>
      </c>
      <c r="Z409" s="8">
        <f>VLOOKUP(RawSalesTable6[[#This Row],[Product_ID_Clean]],ProductsTable[],5,FALSE)</f>
        <v>119.16</v>
      </c>
      <c r="AA409" s="8">
        <f>RawSalesTable6[[#This Row],[Unit_Price]]*RawSalesTable6[[#This Row],[Quantity]]</f>
        <v>273.12</v>
      </c>
      <c r="AB409" s="8">
        <f>RawSalesTable6[[#This Row],[Gross_Sales]]*RawSalesTable6[[#This Row],[Discount_Pct]]</f>
        <v>0</v>
      </c>
      <c r="AC409" s="8">
        <f>RawSalesTable6[[#This Row],[Gross_Sales]]-RawSalesTable6[[#This Row],[Discount_Amount]]</f>
        <v>273.12</v>
      </c>
      <c r="AD409" s="8">
        <f>RawSalesTable6[[#This Row],[Unit_Cost]]*RawSalesTable6[[#This Row],[Quantity]]</f>
        <v>119.16</v>
      </c>
      <c r="AE409" s="8">
        <f>RawSalesTable6[[#This Row],[Net_Sales]]-RawSalesTable6[[#This Row],[Total_Cost]]</f>
        <v>153.96</v>
      </c>
      <c r="AF409" s="9">
        <f>RawSalesTable6[[#This Row],[Profit]]/RawSalesTable6[[#This Row],[Net_Sales]]</f>
        <v>0.56370826010544817</v>
      </c>
      <c r="AG409" s="8">
        <f>YEAR(RawSalesTable6[[#This Row],[Order_Date]])</f>
        <v>2025</v>
      </c>
      <c r="AH409" s="8">
        <f>MONTH(RawSalesTable6[[#This Row],[Order_Date]])</f>
        <v>5</v>
      </c>
      <c r="AI409" s="8" t="str">
        <f>TEXT(RawSalesTable6[[#This Row],[Order_Date]],"mmmm")</f>
        <v>mai</v>
      </c>
      <c r="AJ409" s="8" t="str">
        <f>IF(RawSalesTable6[[#This Row],[Month_Number]]&lt;=3,"Q1",IF(RawSalesTable6[[#This Row],[Month_Number]]&lt;=6,"Q2",IF(RawSalesTable6[[#This Row],[Month_Number]]&lt;=9,"Q3","Q4")))</f>
        <v>Q2</v>
      </c>
      <c r="AK409" s="8" t="str">
        <f>VLOOKUP(RawSalesTable6[[#This Row],[Customer_ID_Clean]],CustomersTable[],4,FALSE)</f>
        <v>British Columbia</v>
      </c>
      <c r="AL409" s="8">
        <f>IF(RawSalesTable6[[#This Row],[Return_Status]]="Yes",1,0)</f>
        <v>0</v>
      </c>
    </row>
    <row r="410" spans="1:38">
      <c r="A410" t="s">
        <v>833</v>
      </c>
      <c r="B410" s="3">
        <v>45857</v>
      </c>
      <c r="C410" t="s">
        <v>124</v>
      </c>
      <c r="D410" t="s">
        <v>261</v>
      </c>
      <c r="E410" t="s">
        <v>126</v>
      </c>
      <c r="F410" t="s">
        <v>111</v>
      </c>
      <c r="G410" t="s">
        <v>171</v>
      </c>
      <c r="H410" t="s">
        <v>97</v>
      </c>
      <c r="I410">
        <v>1</v>
      </c>
      <c r="J410" s="2">
        <v>265.35000000000002</v>
      </c>
      <c r="K410" s="4">
        <v>0.15</v>
      </c>
      <c r="L410" t="s">
        <v>90</v>
      </c>
      <c r="M410">
        <v>0</v>
      </c>
      <c r="N410" t="s">
        <v>91</v>
      </c>
      <c r="O410" t="str">
        <f>SUBSTITUTE(PROPER(TRIM(RawSalesTable6[[#This Row],[Channel_Raw]])),"Market Place","Marketplace")</f>
        <v>Retail Store</v>
      </c>
      <c r="P410" t="str">
        <f>TRIM(RawSalesTable6[[#This Row],[Product_ID]])</f>
        <v>P1031</v>
      </c>
      <c r="Q410" t="str">
        <f>TRIM(RawSalesTable6[[#This Row],[Customer_ID]])</f>
        <v>C0021</v>
      </c>
      <c r="R410" s="8" t="str">
        <f>PROPER(TRIM(RawSalesTable6[[#This Row],[Store_Raw]]))</f>
        <v>Montreal Central</v>
      </c>
      <c r="S410" s="8" t="str">
        <f>IF(TRIM(RawSalesTable6[[#This Row],[Payment_Method_Raw]])="","Non renseigné",SUBSTITUTE(PROPER(TRIM(RawSalesTable6[[#This Row],[Payment_Method_Raw]])),"Cc","Credit Card"))</f>
        <v>Paypal</v>
      </c>
      <c r="T410" s="8">
        <f>COUNTIF(A:A,RawSalesTable6[[#This Row],[Order_ID]])</f>
        <v>1</v>
      </c>
      <c r="U410" s="8" t="str">
        <f>TRIM(LEFT(RawSalesTable6[[#This Row],[Customer_Info]],FIND(",",RawSalesTable6[[#This Row],[Customer_Info]])-1))</f>
        <v>Nora King</v>
      </c>
      <c r="V410" s="8" t="str">
        <f>TRIM(MID(RawSalesTable6[[#This Row],[Customer_Info]],FIND(",",RawSalesTable6[[#This Row],[Customer_Info]])+1,FIND(",",RawSalesTable6[[#This Row],[Customer_Info]],FIND(",",RawSalesTable6[[#This Row],[Customer_Info]])+1)-FIND(",",RawSalesTable6[[#This Row],[Customer_Info]])-1))</f>
        <v>Halifax</v>
      </c>
      <c r="W410" s="8" t="str">
        <f>TRIM(RIGHT(RawSalesTable6[[#This Row],[Customer_Info]],LEN(RawSalesTable6[[#This Row],[Customer_Info]])-FIND(",",RawSalesTable6[[#This Row],[Customer_Info]],FIND(",",RawSalesTable6[[#This Row],[Customer_Info]])+1)))</f>
        <v>Corporate</v>
      </c>
      <c r="X410" s="8" t="str">
        <f>VLOOKUP(RawSalesTable6[[#This Row],[Product_ID_Clean]],ProductsTable[],2,FALSE)</f>
        <v>Dumbbell Set</v>
      </c>
      <c r="Y410" s="8" t="str">
        <f>VLOOKUP(RawSalesTable6[[#This Row],[Product_ID_Clean]],ProductsTable[],3,FALSE)</f>
        <v>Fitness</v>
      </c>
      <c r="Z410" s="8">
        <f>VLOOKUP(RawSalesTable6[[#This Row],[Product_ID_Clean]],ProductsTable[],5,FALSE)</f>
        <v>131.72999999999999</v>
      </c>
      <c r="AA410" s="8">
        <f>RawSalesTable6[[#This Row],[Unit_Price]]*RawSalesTable6[[#This Row],[Quantity]]</f>
        <v>265.35000000000002</v>
      </c>
      <c r="AB410" s="8">
        <f>RawSalesTable6[[#This Row],[Gross_Sales]]*RawSalesTable6[[#This Row],[Discount_Pct]]</f>
        <v>39.802500000000002</v>
      </c>
      <c r="AC410" s="8">
        <f>RawSalesTable6[[#This Row],[Gross_Sales]]-RawSalesTable6[[#This Row],[Discount_Amount]]</f>
        <v>225.54750000000001</v>
      </c>
      <c r="AD410" s="8">
        <f>RawSalesTable6[[#This Row],[Unit_Cost]]*RawSalesTable6[[#This Row],[Quantity]]</f>
        <v>131.72999999999999</v>
      </c>
      <c r="AE410" s="8">
        <f>RawSalesTable6[[#This Row],[Net_Sales]]-RawSalesTable6[[#This Row],[Total_Cost]]</f>
        <v>93.817500000000024</v>
      </c>
      <c r="AF410" s="9">
        <f>RawSalesTable6[[#This Row],[Profit]]/RawSalesTable6[[#This Row],[Net_Sales]]</f>
        <v>0.41595451069065281</v>
      </c>
      <c r="AG410" s="8">
        <f>YEAR(RawSalesTable6[[#This Row],[Order_Date]])</f>
        <v>2025</v>
      </c>
      <c r="AH410" s="8">
        <f>MONTH(RawSalesTable6[[#This Row],[Order_Date]])</f>
        <v>7</v>
      </c>
      <c r="AI410" s="8" t="str">
        <f>TEXT(RawSalesTable6[[#This Row],[Order_Date]],"mmmm")</f>
        <v>juillet</v>
      </c>
      <c r="AJ410" s="8" t="str">
        <f>IF(RawSalesTable6[[#This Row],[Month_Number]]&lt;=3,"Q1",IF(RawSalesTable6[[#This Row],[Month_Number]]&lt;=6,"Q2",IF(RawSalesTable6[[#This Row],[Month_Number]]&lt;=9,"Q3","Q4")))</f>
        <v>Q3</v>
      </c>
      <c r="AK410" s="8" t="str">
        <f>VLOOKUP(RawSalesTable6[[#This Row],[Customer_ID_Clean]],CustomersTable[],4,FALSE)</f>
        <v>Nova Scotia</v>
      </c>
      <c r="AL410" s="8">
        <f>IF(RawSalesTable6[[#This Row],[Return_Status]]="Yes",1,0)</f>
        <v>0</v>
      </c>
    </row>
    <row r="411" spans="1:38">
      <c r="A411" t="s">
        <v>834</v>
      </c>
      <c r="B411" s="3">
        <v>46011</v>
      </c>
      <c r="C411" t="s">
        <v>84</v>
      </c>
      <c r="D411" t="s">
        <v>120</v>
      </c>
      <c r="E411" t="s">
        <v>86</v>
      </c>
      <c r="F411" t="s">
        <v>145</v>
      </c>
      <c r="G411" t="s">
        <v>96</v>
      </c>
      <c r="H411" t="s">
        <v>89</v>
      </c>
      <c r="I411">
        <v>4</v>
      </c>
      <c r="J411" s="2">
        <v>369.84</v>
      </c>
      <c r="K411" s="4">
        <v>0.15</v>
      </c>
      <c r="L411" t="s">
        <v>106</v>
      </c>
      <c r="M411">
        <v>9</v>
      </c>
      <c r="N411" t="s">
        <v>91</v>
      </c>
      <c r="O411" t="str">
        <f>SUBSTITUTE(PROPER(TRIM(RawSalesTable6[[#This Row],[Channel_Raw]])),"Market Place","Marketplace")</f>
        <v>Online</v>
      </c>
      <c r="P411" t="str">
        <f>TRIM(RawSalesTable6[[#This Row],[Product_ID]])</f>
        <v>P1015</v>
      </c>
      <c r="Q411" t="str">
        <f>TRIM(RawSalesTable6[[#This Row],[Customer_ID]])</f>
        <v>C0113</v>
      </c>
      <c r="R411" s="8" t="str">
        <f>PROPER(TRIM(RawSalesTable6[[#This Row],[Store_Raw]]))</f>
        <v>Calgary North</v>
      </c>
      <c r="S411" s="8" t="str">
        <f>IF(TRIM(RawSalesTable6[[#This Row],[Payment_Method_Raw]])="","Non renseigné",SUBSTITUTE(PROPER(TRIM(RawSalesTable6[[#This Row],[Payment_Method_Raw]])),"Cc","Credit Card"))</f>
        <v>Credit Card</v>
      </c>
      <c r="T411" s="8">
        <f>COUNTIF(A:A,RawSalesTable6[[#This Row],[Order_ID]])</f>
        <v>1</v>
      </c>
      <c r="U411" s="8" t="str">
        <f>TRIM(LEFT(RawSalesTable6[[#This Row],[Customer_Info]],FIND(",",RawSalesTable6[[#This Row],[Customer_Info]])-1))</f>
        <v>Olivia Johnson</v>
      </c>
      <c r="V411" s="8" t="str">
        <f>TRIM(MID(RawSalesTable6[[#This Row],[Customer_Info]],FIND(",",RawSalesTable6[[#This Row],[Customer_Info]])+1,FIND(",",RawSalesTable6[[#This Row],[Customer_Info]],FIND(",",RawSalesTable6[[#This Row],[Customer_Info]])+1)-FIND(",",RawSalesTable6[[#This Row],[Customer_Info]])-1))</f>
        <v>Surrey</v>
      </c>
      <c r="W411" s="8" t="str">
        <f>TRIM(RIGHT(RawSalesTable6[[#This Row],[Customer_Info]],LEN(RawSalesTable6[[#This Row],[Customer_Info]])-FIND(",",RawSalesTable6[[#This Row],[Customer_Info]],FIND(",",RawSalesTable6[[#This Row],[Customer_Info]])+1)))</f>
        <v>Consumer</v>
      </c>
      <c r="X411" s="8" t="str">
        <f>VLOOKUP(RawSalesTable6[[#This Row],[Product_ID_Clean]],ProductsTable[],2,FALSE)</f>
        <v>Desk Organizer</v>
      </c>
      <c r="Y411" s="8" t="str">
        <f>VLOOKUP(RawSalesTable6[[#This Row],[Product_ID_Clean]],ProductsTable[],3,FALSE)</f>
        <v>Office</v>
      </c>
      <c r="Z411" s="8">
        <f>VLOOKUP(RawSalesTable6[[#This Row],[Product_ID_Clean]],ProductsTable[],5,FALSE)</f>
        <v>235.76</v>
      </c>
      <c r="AA411" s="8">
        <f>RawSalesTable6[[#This Row],[Unit_Price]]*RawSalesTable6[[#This Row],[Quantity]]</f>
        <v>1479.36</v>
      </c>
      <c r="AB411" s="8">
        <f>RawSalesTable6[[#This Row],[Gross_Sales]]*RawSalesTable6[[#This Row],[Discount_Pct]]</f>
        <v>221.90399999999997</v>
      </c>
      <c r="AC411" s="8">
        <f>RawSalesTable6[[#This Row],[Gross_Sales]]-RawSalesTable6[[#This Row],[Discount_Amount]]</f>
        <v>1257.4559999999999</v>
      </c>
      <c r="AD411" s="8">
        <f>RawSalesTable6[[#This Row],[Unit_Cost]]*RawSalesTable6[[#This Row],[Quantity]]</f>
        <v>943.04</v>
      </c>
      <c r="AE411" s="8">
        <f>RawSalesTable6[[#This Row],[Net_Sales]]-RawSalesTable6[[#This Row],[Total_Cost]]</f>
        <v>314.41599999999994</v>
      </c>
      <c r="AF411" s="9">
        <f>RawSalesTable6[[#This Row],[Profit]]/RawSalesTable6[[#This Row],[Net_Sales]]</f>
        <v>0.25004135333562366</v>
      </c>
      <c r="AG411" s="8">
        <f>YEAR(RawSalesTable6[[#This Row],[Order_Date]])</f>
        <v>2025</v>
      </c>
      <c r="AH411" s="8">
        <f>MONTH(RawSalesTable6[[#This Row],[Order_Date]])</f>
        <v>12</v>
      </c>
      <c r="AI411" s="8" t="str">
        <f>TEXT(RawSalesTable6[[#This Row],[Order_Date]],"mmmm")</f>
        <v>décembre</v>
      </c>
      <c r="AJ411" s="8" t="str">
        <f>IF(RawSalesTable6[[#This Row],[Month_Number]]&lt;=3,"Q1",IF(RawSalesTable6[[#This Row],[Month_Number]]&lt;=6,"Q2",IF(RawSalesTable6[[#This Row],[Month_Number]]&lt;=9,"Q3","Q4")))</f>
        <v>Q4</v>
      </c>
      <c r="AK411" s="8" t="str">
        <f>VLOOKUP(RawSalesTable6[[#This Row],[Customer_ID_Clean]],CustomersTable[],4,FALSE)</f>
        <v>British Columbia</v>
      </c>
      <c r="AL411" s="8">
        <f>IF(RawSalesTable6[[#This Row],[Return_Status]]="Yes",1,0)</f>
        <v>0</v>
      </c>
    </row>
    <row r="412" spans="1:38">
      <c r="A412" t="s">
        <v>835</v>
      </c>
      <c r="B412" s="3">
        <v>45924</v>
      </c>
      <c r="C412" t="s">
        <v>379</v>
      </c>
      <c r="D412" t="s">
        <v>125</v>
      </c>
      <c r="E412" t="s">
        <v>380</v>
      </c>
      <c r="F412" t="s">
        <v>145</v>
      </c>
      <c r="G412" t="s">
        <v>96</v>
      </c>
      <c r="H412" t="s">
        <v>89</v>
      </c>
      <c r="I412">
        <v>1</v>
      </c>
      <c r="J412" s="2">
        <v>54.86</v>
      </c>
      <c r="K412" s="4">
        <v>0</v>
      </c>
      <c r="L412" t="s">
        <v>106</v>
      </c>
      <c r="M412">
        <v>2</v>
      </c>
      <c r="N412" t="s">
        <v>91</v>
      </c>
      <c r="O412" t="str">
        <f>SUBSTITUTE(PROPER(TRIM(RawSalesTable6[[#This Row],[Channel_Raw]])),"Market Place","Marketplace")</f>
        <v>Online</v>
      </c>
      <c r="P412" t="str">
        <f>TRIM(RawSalesTable6[[#This Row],[Product_ID]])</f>
        <v>P1027</v>
      </c>
      <c r="Q412" t="str">
        <f>TRIM(RawSalesTable6[[#This Row],[Customer_ID]])</f>
        <v>C0072</v>
      </c>
      <c r="R412" s="8" t="str">
        <f>PROPER(TRIM(RawSalesTable6[[#This Row],[Store_Raw]]))</f>
        <v>Calgary North</v>
      </c>
      <c r="S412" s="8" t="str">
        <f>IF(TRIM(RawSalesTable6[[#This Row],[Payment_Method_Raw]])="","Non renseigné",SUBSTITUTE(PROPER(TRIM(RawSalesTable6[[#This Row],[Payment_Method_Raw]])),"Cc","Credit Card"))</f>
        <v>Credit Card</v>
      </c>
      <c r="T412" s="8">
        <f>COUNTIF(A:A,RawSalesTable6[[#This Row],[Order_ID]])</f>
        <v>1</v>
      </c>
      <c r="U412" s="8" t="str">
        <f>TRIM(LEFT(RawSalesTable6[[#This Row],[Customer_Info]],FIND(",",RawSalesTable6[[#This Row],[Customer_Info]])-1))</f>
        <v>Ryan Bennett</v>
      </c>
      <c r="V412" s="8" t="str">
        <f>TRIM(MID(RawSalesTable6[[#This Row],[Customer_Info]],FIND(",",RawSalesTable6[[#This Row],[Customer_Info]])+1,FIND(",",RawSalesTable6[[#This Row],[Customer_Info]],FIND(",",RawSalesTable6[[#This Row],[Customer_Info]])+1)-FIND(",",RawSalesTable6[[#This Row],[Customer_Info]])-1))</f>
        <v>Montreal</v>
      </c>
      <c r="W412" s="8" t="str">
        <f>TRIM(RIGHT(RawSalesTable6[[#This Row],[Customer_Info]],LEN(RawSalesTable6[[#This Row],[Customer_Info]])-FIND(",",RawSalesTable6[[#This Row],[Customer_Info]],FIND(",",RawSalesTable6[[#This Row],[Customer_Info]])+1)))</f>
        <v>Corporate</v>
      </c>
      <c r="X412" s="8" t="str">
        <f>VLOOKUP(RawSalesTable6[[#This Row],[Product_ID_Clean]],ProductsTable[],2,FALSE)</f>
        <v>Kettlebell</v>
      </c>
      <c r="Y412" s="8" t="str">
        <f>VLOOKUP(RawSalesTable6[[#This Row],[Product_ID_Clean]],ProductsTable[],3,FALSE)</f>
        <v>Fitness</v>
      </c>
      <c r="Z412" s="8">
        <f>VLOOKUP(RawSalesTable6[[#This Row],[Product_ID_Clean]],ProductsTable[],5,FALSE)</f>
        <v>25.97</v>
      </c>
      <c r="AA412" s="8">
        <f>RawSalesTable6[[#This Row],[Unit_Price]]*RawSalesTable6[[#This Row],[Quantity]]</f>
        <v>54.86</v>
      </c>
      <c r="AB412" s="8">
        <f>RawSalesTable6[[#This Row],[Gross_Sales]]*RawSalesTable6[[#This Row],[Discount_Pct]]</f>
        <v>0</v>
      </c>
      <c r="AC412" s="8">
        <f>RawSalesTable6[[#This Row],[Gross_Sales]]-RawSalesTable6[[#This Row],[Discount_Amount]]</f>
        <v>54.86</v>
      </c>
      <c r="AD412" s="8">
        <f>RawSalesTable6[[#This Row],[Unit_Cost]]*RawSalesTable6[[#This Row],[Quantity]]</f>
        <v>25.97</v>
      </c>
      <c r="AE412" s="8">
        <f>RawSalesTable6[[#This Row],[Net_Sales]]-RawSalesTable6[[#This Row],[Total_Cost]]</f>
        <v>28.89</v>
      </c>
      <c r="AF412" s="9">
        <f>RawSalesTable6[[#This Row],[Profit]]/RawSalesTable6[[#This Row],[Net_Sales]]</f>
        <v>0.52661319722931099</v>
      </c>
      <c r="AG412" s="8">
        <f>YEAR(RawSalesTable6[[#This Row],[Order_Date]])</f>
        <v>2025</v>
      </c>
      <c r="AH412" s="8">
        <f>MONTH(RawSalesTable6[[#This Row],[Order_Date]])</f>
        <v>9</v>
      </c>
      <c r="AI412" s="8" t="str">
        <f>TEXT(RawSalesTable6[[#This Row],[Order_Date]],"mmmm")</f>
        <v>septembre</v>
      </c>
      <c r="AJ412" s="8" t="str">
        <f>IF(RawSalesTable6[[#This Row],[Month_Number]]&lt;=3,"Q1",IF(RawSalesTable6[[#This Row],[Month_Number]]&lt;=6,"Q2",IF(RawSalesTable6[[#This Row],[Month_Number]]&lt;=9,"Q3","Q4")))</f>
        <v>Q3</v>
      </c>
      <c r="AK412" s="8" t="str">
        <f>VLOOKUP(RawSalesTable6[[#This Row],[Customer_ID_Clean]],CustomersTable[],4,FALSE)</f>
        <v>Quebec</v>
      </c>
      <c r="AL412" s="8">
        <f>IF(RawSalesTable6[[#This Row],[Return_Status]]="Yes",1,0)</f>
        <v>0</v>
      </c>
    </row>
    <row r="413" spans="1:38">
      <c r="A413" t="s">
        <v>836</v>
      </c>
      <c r="B413" s="3">
        <v>45747</v>
      </c>
      <c r="C413" t="s">
        <v>466</v>
      </c>
      <c r="D413" t="s">
        <v>249</v>
      </c>
      <c r="E413" t="s">
        <v>467</v>
      </c>
      <c r="F413" t="s">
        <v>103</v>
      </c>
      <c r="G413" t="s">
        <v>88</v>
      </c>
      <c r="H413" t="s">
        <v>89</v>
      </c>
      <c r="I413">
        <v>2</v>
      </c>
      <c r="J413" s="2">
        <v>405.32</v>
      </c>
      <c r="K413" s="4">
        <v>0</v>
      </c>
      <c r="L413" t="s">
        <v>106</v>
      </c>
      <c r="M413">
        <v>5</v>
      </c>
      <c r="N413" t="s">
        <v>91</v>
      </c>
      <c r="O413" t="str">
        <f>SUBSTITUTE(PROPER(TRIM(RawSalesTable6[[#This Row],[Channel_Raw]])),"Market Place","Marketplace")</f>
        <v>Online</v>
      </c>
      <c r="P413" t="str">
        <f>TRIM(RawSalesTable6[[#This Row],[Product_ID]])</f>
        <v>P1022</v>
      </c>
      <c r="Q413" t="str">
        <f>TRIM(RawSalesTable6[[#This Row],[Customer_ID]])</f>
        <v>C0096</v>
      </c>
      <c r="R413" s="8" t="str">
        <f>PROPER(TRIM(RawSalesTable6[[#This Row],[Store_Raw]]))</f>
        <v>Vancouver West</v>
      </c>
      <c r="S413" s="8" t="str">
        <f>IF(TRIM(RawSalesTable6[[#This Row],[Payment_Method_Raw]])="","Non renseigné",SUBSTITUTE(PROPER(TRIM(RawSalesTable6[[#This Row],[Payment_Method_Raw]])),"Cc","Credit Card"))</f>
        <v>Credit Card</v>
      </c>
      <c r="T413" s="8">
        <f>COUNTIF(A:A,RawSalesTable6[[#This Row],[Order_ID]])</f>
        <v>1</v>
      </c>
      <c r="U413" s="8" t="str">
        <f>TRIM(LEFT(RawSalesTable6[[#This Row],[Customer_Info]],FIND(",",RawSalesTable6[[#This Row],[Customer_Info]])-1))</f>
        <v>Ryan Roy</v>
      </c>
      <c r="V413" s="8" t="str">
        <f>TRIM(MID(RawSalesTable6[[#This Row],[Customer_Info]],FIND(",",RawSalesTable6[[#This Row],[Customer_Info]])+1,FIND(",",RawSalesTable6[[#This Row],[Customer_Info]],FIND(",",RawSalesTable6[[#This Row],[Customer_Info]])+1)-FIND(",",RawSalesTable6[[#This Row],[Customer_Info]])-1))</f>
        <v>Laval</v>
      </c>
      <c r="W413" s="8" t="str">
        <f>TRIM(RIGHT(RawSalesTable6[[#This Row],[Customer_Info]],LEN(RawSalesTable6[[#This Row],[Customer_Info]])-FIND(",",RawSalesTable6[[#This Row],[Customer_Info]],FIND(",",RawSalesTable6[[#This Row],[Customer_Info]])+1)))</f>
        <v>Corporate</v>
      </c>
      <c r="X413" s="8" t="str">
        <f>VLOOKUP(RawSalesTable6[[#This Row],[Product_ID_Clean]],ProductsTable[],2,FALSE)</f>
        <v>Humidifier</v>
      </c>
      <c r="Y413" s="8" t="str">
        <f>VLOOKUP(RawSalesTable6[[#This Row],[Product_ID_Clean]],ProductsTable[],3,FALSE)</f>
        <v>Home</v>
      </c>
      <c r="Z413" s="8">
        <f>VLOOKUP(RawSalesTable6[[#This Row],[Product_ID_Clean]],ProductsTable[],5,FALSE)</f>
        <v>239.67</v>
      </c>
      <c r="AA413" s="8">
        <f>RawSalesTable6[[#This Row],[Unit_Price]]*RawSalesTable6[[#This Row],[Quantity]]</f>
        <v>810.64</v>
      </c>
      <c r="AB413" s="8">
        <f>RawSalesTable6[[#This Row],[Gross_Sales]]*RawSalesTable6[[#This Row],[Discount_Pct]]</f>
        <v>0</v>
      </c>
      <c r="AC413" s="8">
        <f>RawSalesTable6[[#This Row],[Gross_Sales]]-RawSalesTable6[[#This Row],[Discount_Amount]]</f>
        <v>810.64</v>
      </c>
      <c r="AD413" s="8">
        <f>RawSalesTable6[[#This Row],[Unit_Cost]]*RawSalesTable6[[#This Row],[Quantity]]</f>
        <v>479.34</v>
      </c>
      <c r="AE413" s="8">
        <f>RawSalesTable6[[#This Row],[Net_Sales]]-RawSalesTable6[[#This Row],[Total_Cost]]</f>
        <v>331.3</v>
      </c>
      <c r="AF413" s="9">
        <f>RawSalesTable6[[#This Row],[Profit]]/RawSalesTable6[[#This Row],[Net_Sales]]</f>
        <v>0.40868943057337415</v>
      </c>
      <c r="AG413" s="8">
        <f>YEAR(RawSalesTable6[[#This Row],[Order_Date]])</f>
        <v>2025</v>
      </c>
      <c r="AH413" s="8">
        <f>MONTH(RawSalesTable6[[#This Row],[Order_Date]])</f>
        <v>3</v>
      </c>
      <c r="AI413" s="8" t="str">
        <f>TEXT(RawSalesTable6[[#This Row],[Order_Date]],"mmmm")</f>
        <v>mars</v>
      </c>
      <c r="AJ413" s="8" t="str">
        <f>IF(RawSalesTable6[[#This Row],[Month_Number]]&lt;=3,"Q1",IF(RawSalesTable6[[#This Row],[Month_Number]]&lt;=6,"Q2",IF(RawSalesTable6[[#This Row],[Month_Number]]&lt;=9,"Q3","Q4")))</f>
        <v>Q1</v>
      </c>
      <c r="AK413" s="8" t="str">
        <f>VLOOKUP(RawSalesTable6[[#This Row],[Customer_ID_Clean]],CustomersTable[],4,FALSE)</f>
        <v>Quebec</v>
      </c>
      <c r="AL413" s="8">
        <f>IF(RawSalesTable6[[#This Row],[Return_Status]]="Yes",1,0)</f>
        <v>0</v>
      </c>
    </row>
    <row r="414" spans="1:38">
      <c r="A414" t="s">
        <v>837</v>
      </c>
      <c r="B414" s="3">
        <v>45779</v>
      </c>
      <c r="C414" t="s">
        <v>516</v>
      </c>
      <c r="D414" t="s">
        <v>210</v>
      </c>
      <c r="E414" t="s">
        <v>517</v>
      </c>
      <c r="F414" t="s">
        <v>111</v>
      </c>
      <c r="G414" t="s">
        <v>130</v>
      </c>
      <c r="H414" t="s">
        <v>89</v>
      </c>
      <c r="I414">
        <v>2</v>
      </c>
      <c r="J414" s="2">
        <v>316.13</v>
      </c>
      <c r="K414" s="4">
        <v>0</v>
      </c>
      <c r="L414" t="s">
        <v>106</v>
      </c>
      <c r="M414">
        <v>6</v>
      </c>
      <c r="N414" t="s">
        <v>147</v>
      </c>
      <c r="O414" t="str">
        <f>SUBSTITUTE(PROPER(TRIM(RawSalesTable6[[#This Row],[Channel_Raw]])),"Market Place","Marketplace")</f>
        <v>Online</v>
      </c>
      <c r="P414" t="str">
        <f>TRIM(RawSalesTable6[[#This Row],[Product_ID]])</f>
        <v>P1040</v>
      </c>
      <c r="Q414" t="str">
        <f>TRIM(RawSalesTable6[[#This Row],[Customer_ID]])</f>
        <v>C0120</v>
      </c>
      <c r="R414" s="8" t="str">
        <f>PROPER(TRIM(RawSalesTable6[[#This Row],[Store_Raw]]))</f>
        <v>Montreal Central</v>
      </c>
      <c r="S414" s="8" t="str">
        <f>IF(TRIM(RawSalesTable6[[#This Row],[Payment_Method_Raw]])="","Non renseigné",SUBSTITUTE(PROPER(TRIM(RawSalesTable6[[#This Row],[Payment_Method_Raw]])),"Cc","Credit Card"))</f>
        <v>Credit Card</v>
      </c>
      <c r="T414" s="8">
        <f>COUNTIF(A:A,RawSalesTable6[[#This Row],[Order_ID]])</f>
        <v>1</v>
      </c>
      <c r="U414" s="8" t="str">
        <f>TRIM(LEFT(RawSalesTable6[[#This Row],[Customer_Info]],FIND(",",RawSalesTable6[[#This Row],[Customer_Info]])-1))</f>
        <v>Ethan King</v>
      </c>
      <c r="V414" s="8" t="str">
        <f>TRIM(MID(RawSalesTable6[[#This Row],[Customer_Info]],FIND(",",RawSalesTable6[[#This Row],[Customer_Info]])+1,FIND(",",RawSalesTable6[[#This Row],[Customer_Info]],FIND(",",RawSalesTable6[[#This Row],[Customer_Info]])+1)-FIND(",",RawSalesTable6[[#This Row],[Customer_Info]])-1))</f>
        <v>Mississauga</v>
      </c>
      <c r="W414" s="8" t="str">
        <f>TRIM(RIGHT(RawSalesTable6[[#This Row],[Customer_Info]],LEN(RawSalesTable6[[#This Row],[Customer_Info]])-FIND(",",RawSalesTable6[[#This Row],[Customer_Info]],FIND(",",RawSalesTable6[[#This Row],[Customer_Info]])+1)))</f>
        <v>Small Business</v>
      </c>
      <c r="X414" s="8" t="str">
        <f>VLOOKUP(RawSalesTable6[[#This Row],[Product_ID_Clean]],ProductsTable[],2,FALSE)</f>
        <v>Desk Pad</v>
      </c>
      <c r="Y414" s="8" t="str">
        <f>VLOOKUP(RawSalesTable6[[#This Row],[Product_ID_Clean]],ProductsTable[],3,FALSE)</f>
        <v>Accessories</v>
      </c>
      <c r="Z414" s="8">
        <f>VLOOKUP(RawSalesTable6[[#This Row],[Product_ID_Clean]],ProductsTable[],5,FALSE)</f>
        <v>177.57</v>
      </c>
      <c r="AA414" s="8">
        <f>RawSalesTable6[[#This Row],[Unit_Price]]*RawSalesTable6[[#This Row],[Quantity]]</f>
        <v>632.26</v>
      </c>
      <c r="AB414" s="8">
        <f>RawSalesTable6[[#This Row],[Gross_Sales]]*RawSalesTable6[[#This Row],[Discount_Pct]]</f>
        <v>0</v>
      </c>
      <c r="AC414" s="8">
        <f>RawSalesTable6[[#This Row],[Gross_Sales]]-RawSalesTable6[[#This Row],[Discount_Amount]]</f>
        <v>632.26</v>
      </c>
      <c r="AD414" s="8">
        <f>RawSalesTable6[[#This Row],[Unit_Cost]]*RawSalesTable6[[#This Row],[Quantity]]</f>
        <v>355.14</v>
      </c>
      <c r="AE414" s="8">
        <f>RawSalesTable6[[#This Row],[Net_Sales]]-RawSalesTable6[[#This Row],[Total_Cost]]</f>
        <v>277.12</v>
      </c>
      <c r="AF414" s="9">
        <f>RawSalesTable6[[#This Row],[Profit]]/RawSalesTable6[[#This Row],[Net_Sales]]</f>
        <v>0.43830069907949265</v>
      </c>
      <c r="AG414" s="8">
        <f>YEAR(RawSalesTable6[[#This Row],[Order_Date]])</f>
        <v>2025</v>
      </c>
      <c r="AH414" s="8">
        <f>MONTH(RawSalesTable6[[#This Row],[Order_Date]])</f>
        <v>5</v>
      </c>
      <c r="AI414" s="8" t="str">
        <f>TEXT(RawSalesTable6[[#This Row],[Order_Date]],"mmmm")</f>
        <v>mai</v>
      </c>
      <c r="AJ414" s="8" t="str">
        <f>IF(RawSalesTable6[[#This Row],[Month_Number]]&lt;=3,"Q1",IF(RawSalesTable6[[#This Row],[Month_Number]]&lt;=6,"Q2",IF(RawSalesTable6[[#This Row],[Month_Number]]&lt;=9,"Q3","Q4")))</f>
        <v>Q2</v>
      </c>
      <c r="AK414" s="8" t="str">
        <f>VLOOKUP(RawSalesTable6[[#This Row],[Customer_ID_Clean]],CustomersTable[],4,FALSE)</f>
        <v>Ontario</v>
      </c>
      <c r="AL414" s="8">
        <f>IF(RawSalesTable6[[#This Row],[Return_Status]]="Yes",1,0)</f>
        <v>1</v>
      </c>
    </row>
    <row r="415" spans="1:38">
      <c r="A415" t="s">
        <v>838</v>
      </c>
      <c r="B415" s="3">
        <v>45941</v>
      </c>
      <c r="C415" t="s">
        <v>177</v>
      </c>
      <c r="D415" t="s">
        <v>261</v>
      </c>
      <c r="E415" t="s">
        <v>178</v>
      </c>
      <c r="F415" t="s">
        <v>103</v>
      </c>
      <c r="G415" t="s">
        <v>104</v>
      </c>
      <c r="H415" t="s">
        <v>89</v>
      </c>
      <c r="I415">
        <v>4</v>
      </c>
      <c r="J415" s="2">
        <v>245.77</v>
      </c>
      <c r="K415" s="4">
        <v>0</v>
      </c>
      <c r="L415" t="s">
        <v>154</v>
      </c>
      <c r="M415">
        <v>9</v>
      </c>
      <c r="N415" t="s">
        <v>91</v>
      </c>
      <c r="O415" t="str">
        <f>SUBSTITUTE(PROPER(TRIM(RawSalesTable6[[#This Row],[Channel_Raw]])),"Market Place","Marketplace")</f>
        <v>Online</v>
      </c>
      <c r="P415" t="str">
        <f>TRIM(RawSalesTable6[[#This Row],[Product_ID]])</f>
        <v>P1031</v>
      </c>
      <c r="Q415" t="str">
        <f>TRIM(RawSalesTable6[[#This Row],[Customer_ID]])</f>
        <v>C0041</v>
      </c>
      <c r="R415" s="8" t="str">
        <f>PROPER(TRIM(RawSalesTable6[[#This Row],[Store_Raw]]))</f>
        <v>Vancouver West</v>
      </c>
      <c r="S415" s="8" t="str">
        <f>IF(TRIM(RawSalesTable6[[#This Row],[Payment_Method_Raw]])="","Non renseigné",SUBSTITUTE(PROPER(TRIM(RawSalesTable6[[#This Row],[Payment_Method_Raw]])),"Cc","Credit Card"))</f>
        <v>Gift Card</v>
      </c>
      <c r="T415" s="8">
        <f>COUNTIF(A:A,RawSalesTable6[[#This Row],[Order_ID]])</f>
        <v>1</v>
      </c>
      <c r="U415" s="8" t="str">
        <f>TRIM(LEFT(RawSalesTable6[[#This Row],[Customer_Info]],FIND(",",RawSalesTable6[[#This Row],[Customer_Info]])-1))</f>
        <v>Amine Chen</v>
      </c>
      <c r="V415" s="8" t="str">
        <f>TRIM(MID(RawSalesTable6[[#This Row],[Customer_Info]],FIND(",",RawSalesTable6[[#This Row],[Customer_Info]])+1,FIND(",",RawSalesTable6[[#This Row],[Customer_Info]],FIND(",",RawSalesTable6[[#This Row],[Customer_Info]])+1)-FIND(",",RawSalesTable6[[#This Row],[Customer_Info]])-1))</f>
        <v>Halifax</v>
      </c>
      <c r="W415" s="8" t="str">
        <f>TRIM(RIGHT(RawSalesTable6[[#This Row],[Customer_Info]],LEN(RawSalesTable6[[#This Row],[Customer_Info]])-FIND(",",RawSalesTable6[[#This Row],[Customer_Info]],FIND(",",RawSalesTable6[[#This Row],[Customer_Info]])+1)))</f>
        <v>Small Business</v>
      </c>
      <c r="X415" s="8" t="str">
        <f>VLOOKUP(RawSalesTable6[[#This Row],[Product_ID_Clean]],ProductsTable[],2,FALSE)</f>
        <v>Dumbbell Set</v>
      </c>
      <c r="Y415" s="8" t="str">
        <f>VLOOKUP(RawSalesTable6[[#This Row],[Product_ID_Clean]],ProductsTable[],3,FALSE)</f>
        <v>Fitness</v>
      </c>
      <c r="Z415" s="8">
        <f>VLOOKUP(RawSalesTable6[[#This Row],[Product_ID_Clean]],ProductsTable[],5,FALSE)</f>
        <v>131.72999999999999</v>
      </c>
      <c r="AA415" s="8">
        <f>RawSalesTable6[[#This Row],[Unit_Price]]*RawSalesTable6[[#This Row],[Quantity]]</f>
        <v>983.08</v>
      </c>
      <c r="AB415" s="8">
        <f>RawSalesTable6[[#This Row],[Gross_Sales]]*RawSalesTable6[[#This Row],[Discount_Pct]]</f>
        <v>0</v>
      </c>
      <c r="AC415" s="8">
        <f>RawSalesTable6[[#This Row],[Gross_Sales]]-RawSalesTable6[[#This Row],[Discount_Amount]]</f>
        <v>983.08</v>
      </c>
      <c r="AD415" s="8">
        <f>RawSalesTable6[[#This Row],[Unit_Cost]]*RawSalesTable6[[#This Row],[Quantity]]</f>
        <v>526.91999999999996</v>
      </c>
      <c r="AE415" s="8">
        <f>RawSalesTable6[[#This Row],[Net_Sales]]-RawSalesTable6[[#This Row],[Total_Cost]]</f>
        <v>456.16000000000008</v>
      </c>
      <c r="AF415" s="9">
        <f>RawSalesTable6[[#This Row],[Profit]]/RawSalesTable6[[#This Row],[Net_Sales]]</f>
        <v>0.46401106725800551</v>
      </c>
      <c r="AG415" s="8">
        <f>YEAR(RawSalesTable6[[#This Row],[Order_Date]])</f>
        <v>2025</v>
      </c>
      <c r="AH415" s="8">
        <f>MONTH(RawSalesTable6[[#This Row],[Order_Date]])</f>
        <v>10</v>
      </c>
      <c r="AI415" s="8" t="str">
        <f>TEXT(RawSalesTable6[[#This Row],[Order_Date]],"mmmm")</f>
        <v>octobre</v>
      </c>
      <c r="AJ415" s="8" t="str">
        <f>IF(RawSalesTable6[[#This Row],[Month_Number]]&lt;=3,"Q1",IF(RawSalesTable6[[#This Row],[Month_Number]]&lt;=6,"Q2",IF(RawSalesTable6[[#This Row],[Month_Number]]&lt;=9,"Q3","Q4")))</f>
        <v>Q4</v>
      </c>
      <c r="AK415" s="8" t="str">
        <f>VLOOKUP(RawSalesTable6[[#This Row],[Customer_ID_Clean]],CustomersTable[],4,FALSE)</f>
        <v>Nova Scotia</v>
      </c>
      <c r="AL415" s="8">
        <f>IF(RawSalesTable6[[#This Row],[Return_Status]]="Yes",1,0)</f>
        <v>0</v>
      </c>
    </row>
    <row r="416" spans="1:38">
      <c r="A416" t="s">
        <v>839</v>
      </c>
      <c r="B416" s="3">
        <v>45972</v>
      </c>
      <c r="C416" t="s">
        <v>220</v>
      </c>
      <c r="D416" t="s">
        <v>139</v>
      </c>
      <c r="E416" t="s">
        <v>222</v>
      </c>
      <c r="F416" t="s">
        <v>87</v>
      </c>
      <c r="G416" t="s">
        <v>117</v>
      </c>
      <c r="H416" t="s">
        <v>105</v>
      </c>
      <c r="I416">
        <v>1</v>
      </c>
      <c r="J416" s="2">
        <v>85.38</v>
      </c>
      <c r="K416" s="4">
        <v>0</v>
      </c>
      <c r="L416" t="s">
        <v>106</v>
      </c>
      <c r="M416">
        <v>7</v>
      </c>
      <c r="N416" t="s">
        <v>91</v>
      </c>
      <c r="O416" t="str">
        <f>SUBSTITUTE(PROPER(TRIM(RawSalesTable6[[#This Row],[Channel_Raw]])),"Market Place","Marketplace")</f>
        <v>Marketplace</v>
      </c>
      <c r="P416" t="str">
        <f>TRIM(RawSalesTable6[[#This Row],[Product_ID]])</f>
        <v>P1012</v>
      </c>
      <c r="Q416" t="str">
        <f>TRIM(RawSalesTable6[[#This Row],[Customer_ID]])</f>
        <v>C0067</v>
      </c>
      <c r="R416" s="8" t="str">
        <f>PROPER(TRIM(RawSalesTable6[[#This Row],[Store_Raw]]))</f>
        <v>Online Fulfillment</v>
      </c>
      <c r="S416" s="8" t="str">
        <f>IF(TRIM(RawSalesTable6[[#This Row],[Payment_Method_Raw]])="","Non renseigné",SUBSTITUTE(PROPER(TRIM(RawSalesTable6[[#This Row],[Payment_Method_Raw]])),"Cc","Credit Card"))</f>
        <v>Credit Card</v>
      </c>
      <c r="T416" s="8">
        <f>COUNTIF(A:A,RawSalesTable6[[#This Row],[Order_ID]])</f>
        <v>1</v>
      </c>
      <c r="U416" s="8" t="str">
        <f>TRIM(LEFT(RawSalesTable6[[#This Row],[Customer_Info]],FIND(",",RawSalesTable6[[#This Row],[Customer_Info]])-1))</f>
        <v>Leo Bennett</v>
      </c>
      <c r="V416" s="8" t="str">
        <f>TRIM(MID(RawSalesTable6[[#This Row],[Customer_Info]],FIND(",",RawSalesTable6[[#This Row],[Customer_Info]])+1,FIND(",",RawSalesTable6[[#This Row],[Customer_Info]],FIND(",",RawSalesTable6[[#This Row],[Customer_Info]])+1)-FIND(",",RawSalesTable6[[#This Row],[Customer_Info]])-1))</f>
        <v>Mississauga</v>
      </c>
      <c r="W416" s="8" t="str">
        <f>TRIM(RIGHT(RawSalesTable6[[#This Row],[Customer_Info]],LEN(RawSalesTable6[[#This Row],[Customer_Info]])-FIND(",",RawSalesTable6[[#This Row],[Customer_Info]],FIND(",",RawSalesTable6[[#This Row],[Customer_Info]])+1)))</f>
        <v>Consumer</v>
      </c>
      <c r="X416" s="8" t="str">
        <f>VLOOKUP(RawSalesTable6[[#This Row],[Product_ID_Clean]],ProductsTable[],2,FALSE)</f>
        <v>Standing Desk</v>
      </c>
      <c r="Y416" s="8" t="str">
        <f>VLOOKUP(RawSalesTable6[[#This Row],[Product_ID_Clean]],ProductsTable[],3,FALSE)</f>
        <v>Office</v>
      </c>
      <c r="Z416" s="8">
        <f>VLOOKUP(RawSalesTable6[[#This Row],[Product_ID_Clean]],ProductsTable[],5,FALSE)</f>
        <v>45.17</v>
      </c>
      <c r="AA416" s="8">
        <f>RawSalesTable6[[#This Row],[Unit_Price]]*RawSalesTable6[[#This Row],[Quantity]]</f>
        <v>85.38</v>
      </c>
      <c r="AB416" s="8">
        <f>RawSalesTable6[[#This Row],[Gross_Sales]]*RawSalesTable6[[#This Row],[Discount_Pct]]</f>
        <v>0</v>
      </c>
      <c r="AC416" s="8">
        <f>RawSalesTable6[[#This Row],[Gross_Sales]]-RawSalesTable6[[#This Row],[Discount_Amount]]</f>
        <v>85.38</v>
      </c>
      <c r="AD416" s="8">
        <f>RawSalesTable6[[#This Row],[Unit_Cost]]*RawSalesTable6[[#This Row],[Quantity]]</f>
        <v>45.17</v>
      </c>
      <c r="AE416" s="8">
        <f>RawSalesTable6[[#This Row],[Net_Sales]]-RawSalesTable6[[#This Row],[Total_Cost]]</f>
        <v>40.209999999999994</v>
      </c>
      <c r="AF416" s="9">
        <f>RawSalesTable6[[#This Row],[Profit]]/RawSalesTable6[[#This Row],[Net_Sales]]</f>
        <v>0.47095338486765048</v>
      </c>
      <c r="AG416" s="8">
        <f>YEAR(RawSalesTable6[[#This Row],[Order_Date]])</f>
        <v>2025</v>
      </c>
      <c r="AH416" s="8">
        <f>MONTH(RawSalesTable6[[#This Row],[Order_Date]])</f>
        <v>11</v>
      </c>
      <c r="AI416" s="8" t="str">
        <f>TEXT(RawSalesTable6[[#This Row],[Order_Date]],"mmmm")</f>
        <v>novembre</v>
      </c>
      <c r="AJ416" s="8" t="str">
        <f>IF(RawSalesTable6[[#This Row],[Month_Number]]&lt;=3,"Q1",IF(RawSalesTable6[[#This Row],[Month_Number]]&lt;=6,"Q2",IF(RawSalesTable6[[#This Row],[Month_Number]]&lt;=9,"Q3","Q4")))</f>
        <v>Q4</v>
      </c>
      <c r="AK416" s="8" t="str">
        <f>VLOOKUP(RawSalesTable6[[#This Row],[Customer_ID_Clean]],CustomersTable[],4,FALSE)</f>
        <v>Ontario</v>
      </c>
      <c r="AL416" s="8">
        <f>IF(RawSalesTable6[[#This Row],[Return_Status]]="Yes",1,0)</f>
        <v>0</v>
      </c>
    </row>
    <row r="417" spans="1:38">
      <c r="A417" t="s">
        <v>840</v>
      </c>
      <c r="B417" s="3">
        <v>45740</v>
      </c>
      <c r="C417" t="s">
        <v>268</v>
      </c>
      <c r="D417" t="s">
        <v>94</v>
      </c>
      <c r="E417" t="s">
        <v>269</v>
      </c>
      <c r="F417" t="s">
        <v>111</v>
      </c>
      <c r="G417" t="s">
        <v>117</v>
      </c>
      <c r="H417" t="s">
        <v>89</v>
      </c>
      <c r="I417">
        <v>1</v>
      </c>
      <c r="J417" s="2">
        <v>303.56</v>
      </c>
      <c r="K417" s="4">
        <v>0</v>
      </c>
      <c r="L417" t="s">
        <v>154</v>
      </c>
      <c r="M417">
        <v>4</v>
      </c>
      <c r="N417" t="s">
        <v>91</v>
      </c>
      <c r="O417" t="str">
        <f>SUBSTITUTE(PROPER(TRIM(RawSalesTable6[[#This Row],[Channel_Raw]])),"Market Place","Marketplace")</f>
        <v>Online</v>
      </c>
      <c r="P417" t="str">
        <f>TRIM(RawSalesTable6[[#This Row],[Product_ID]])</f>
        <v>P1033</v>
      </c>
      <c r="Q417" t="str">
        <f>TRIM(RawSalesTable6[[#This Row],[Customer_ID]])</f>
        <v>C0043</v>
      </c>
      <c r="R417" s="8" t="str">
        <f>PROPER(TRIM(RawSalesTable6[[#This Row],[Store_Raw]]))</f>
        <v>Montreal Central</v>
      </c>
      <c r="S417" s="8" t="str">
        <f>IF(TRIM(RawSalesTable6[[#This Row],[Payment_Method_Raw]])="","Non renseigné",SUBSTITUTE(PROPER(TRIM(RawSalesTable6[[#This Row],[Payment_Method_Raw]])),"Cc","Credit Card"))</f>
        <v>Gift Card</v>
      </c>
      <c r="T417" s="8">
        <f>COUNTIF(A:A,RawSalesTable6[[#This Row],[Order_ID]])</f>
        <v>1</v>
      </c>
      <c r="U417" s="8" t="str">
        <f>TRIM(LEFT(RawSalesTable6[[#This Row],[Customer_Info]],FIND(",",RawSalesTable6[[#This Row],[Customer_Info]])-1))</f>
        <v>Ava Brown</v>
      </c>
      <c r="V417" s="8" t="str">
        <f>TRIM(MID(RawSalesTable6[[#This Row],[Customer_Info]],FIND(",",RawSalesTable6[[#This Row],[Customer_Info]])+1,FIND(",",RawSalesTable6[[#This Row],[Customer_Info]],FIND(",",RawSalesTable6[[#This Row],[Customer_Info]])+1)-FIND(",",RawSalesTable6[[#This Row],[Customer_Info]])-1))</f>
        <v>Ottawa</v>
      </c>
      <c r="W417" s="8" t="str">
        <f>TRIM(RIGHT(RawSalesTable6[[#This Row],[Customer_Info]],LEN(RawSalesTable6[[#This Row],[Customer_Info]])-FIND(",",RawSalesTable6[[#This Row],[Customer_Info]],FIND(",",RawSalesTable6[[#This Row],[Customer_Info]])+1)))</f>
        <v>Small Business</v>
      </c>
      <c r="X417" s="8" t="str">
        <f>VLOOKUP(RawSalesTable6[[#This Row],[Product_ID_Clean]],ProductsTable[],2,FALSE)</f>
        <v>Backpack</v>
      </c>
      <c r="Y417" s="8" t="str">
        <f>VLOOKUP(RawSalesTable6[[#This Row],[Product_ID_Clean]],ProductsTable[],3,FALSE)</f>
        <v>Accessories</v>
      </c>
      <c r="Z417" s="8">
        <f>VLOOKUP(RawSalesTable6[[#This Row],[Product_ID_Clean]],ProductsTable[],5,FALSE)</f>
        <v>152.55000000000001</v>
      </c>
      <c r="AA417" s="8">
        <f>RawSalesTable6[[#This Row],[Unit_Price]]*RawSalesTable6[[#This Row],[Quantity]]</f>
        <v>303.56</v>
      </c>
      <c r="AB417" s="8">
        <f>RawSalesTable6[[#This Row],[Gross_Sales]]*RawSalesTable6[[#This Row],[Discount_Pct]]</f>
        <v>0</v>
      </c>
      <c r="AC417" s="8">
        <f>RawSalesTable6[[#This Row],[Gross_Sales]]-RawSalesTable6[[#This Row],[Discount_Amount]]</f>
        <v>303.56</v>
      </c>
      <c r="AD417" s="8">
        <f>RawSalesTable6[[#This Row],[Unit_Cost]]*RawSalesTable6[[#This Row],[Quantity]]</f>
        <v>152.55000000000001</v>
      </c>
      <c r="AE417" s="8">
        <f>RawSalesTable6[[#This Row],[Net_Sales]]-RawSalesTable6[[#This Row],[Total_Cost]]</f>
        <v>151.01</v>
      </c>
      <c r="AF417" s="9">
        <f>RawSalesTable6[[#This Row],[Profit]]/RawSalesTable6[[#This Row],[Net_Sales]]</f>
        <v>0.49746343391751213</v>
      </c>
      <c r="AG417" s="8">
        <f>YEAR(RawSalesTable6[[#This Row],[Order_Date]])</f>
        <v>2025</v>
      </c>
      <c r="AH417" s="8">
        <f>MONTH(RawSalesTable6[[#This Row],[Order_Date]])</f>
        <v>3</v>
      </c>
      <c r="AI417" s="8" t="str">
        <f>TEXT(RawSalesTable6[[#This Row],[Order_Date]],"mmmm")</f>
        <v>mars</v>
      </c>
      <c r="AJ417" s="8" t="str">
        <f>IF(RawSalesTable6[[#This Row],[Month_Number]]&lt;=3,"Q1",IF(RawSalesTable6[[#This Row],[Month_Number]]&lt;=6,"Q2",IF(RawSalesTable6[[#This Row],[Month_Number]]&lt;=9,"Q3","Q4")))</f>
        <v>Q1</v>
      </c>
      <c r="AK417" s="8" t="str">
        <f>VLOOKUP(RawSalesTable6[[#This Row],[Customer_ID_Clean]],CustomersTable[],4,FALSE)</f>
        <v>Ontario</v>
      </c>
      <c r="AL417" s="8">
        <f>IF(RawSalesTable6[[#This Row],[Return_Status]]="Yes",1,0)</f>
        <v>0</v>
      </c>
    </row>
    <row r="418" spans="1:38">
      <c r="A418" t="s">
        <v>841</v>
      </c>
      <c r="B418" s="3">
        <v>45809</v>
      </c>
      <c r="C418" t="s">
        <v>480</v>
      </c>
      <c r="D418" t="s">
        <v>143</v>
      </c>
      <c r="E418" t="s">
        <v>481</v>
      </c>
      <c r="F418" t="s">
        <v>103</v>
      </c>
      <c r="G418" t="s">
        <v>183</v>
      </c>
      <c r="H418" t="s">
        <v>308</v>
      </c>
      <c r="I418">
        <v>2</v>
      </c>
      <c r="J418" s="2">
        <v>276.93</v>
      </c>
      <c r="K418" s="4">
        <v>0.25</v>
      </c>
      <c r="L418" t="s">
        <v>521</v>
      </c>
      <c r="M418">
        <v>1</v>
      </c>
      <c r="N418" t="s">
        <v>91</v>
      </c>
      <c r="O418" t="str">
        <f>SUBSTITUTE(PROPER(TRIM(RawSalesTable6[[#This Row],[Channel_Raw]])),"Market Place","Marketplace")</f>
        <v>Online</v>
      </c>
      <c r="P418" t="str">
        <f>TRIM(RawSalesTable6[[#This Row],[Product_ID]])</f>
        <v>P1038</v>
      </c>
      <c r="Q418" t="str">
        <f>TRIM(RawSalesTable6[[#This Row],[Customer_ID]])</f>
        <v>C0053</v>
      </c>
      <c r="R418" s="8" t="str">
        <f>PROPER(TRIM(RawSalesTable6[[#This Row],[Store_Raw]]))</f>
        <v>Vancouver West</v>
      </c>
      <c r="S418" s="8" t="str">
        <f>IF(TRIM(RawSalesTable6[[#This Row],[Payment_Method_Raw]])="","Non renseigné",SUBSTITUTE(PROPER(TRIM(RawSalesTable6[[#This Row],[Payment_Method_Raw]])),"Cc","Credit Card"))</f>
        <v>Debit Card</v>
      </c>
      <c r="T418" s="8">
        <f>COUNTIF(A:A,RawSalesTable6[[#This Row],[Order_ID]])</f>
        <v>1</v>
      </c>
      <c r="U418" s="8" t="str">
        <f>TRIM(LEFT(RawSalesTable6[[#This Row],[Customer_Info]],FIND(",",RawSalesTable6[[#This Row],[Customer_Info]])-1))</f>
        <v>Ryan Lee</v>
      </c>
      <c r="V418" s="8" t="str">
        <f>TRIM(MID(RawSalesTable6[[#This Row],[Customer_Info]],FIND(",",RawSalesTable6[[#This Row],[Customer_Info]])+1,FIND(",",RawSalesTable6[[#This Row],[Customer_Info]],FIND(",",RawSalesTable6[[#This Row],[Customer_Info]])+1)-FIND(",",RawSalesTable6[[#This Row],[Customer_Info]])-1))</f>
        <v>Laval</v>
      </c>
      <c r="W418" s="8" t="str">
        <f>TRIM(RIGHT(RawSalesTable6[[#This Row],[Customer_Info]],LEN(RawSalesTable6[[#This Row],[Customer_Info]])-FIND(",",RawSalesTable6[[#This Row],[Customer_Info]],FIND(",",RawSalesTable6[[#This Row],[Customer_Info]])+1)))</f>
        <v>Consumer</v>
      </c>
      <c r="X418" s="8" t="str">
        <f>VLOOKUP(RawSalesTable6[[#This Row],[Product_ID_Clean]],ProductsTable[],2,FALSE)</f>
        <v>Water Bottle</v>
      </c>
      <c r="Y418" s="8" t="str">
        <f>VLOOKUP(RawSalesTable6[[#This Row],[Product_ID_Clean]],ProductsTable[],3,FALSE)</f>
        <v>Accessories</v>
      </c>
      <c r="Z418" s="8">
        <f>VLOOKUP(RawSalesTable6[[#This Row],[Product_ID_Clean]],ProductsTable[],5,FALSE)</f>
        <v>119.16</v>
      </c>
      <c r="AA418" s="8">
        <f>RawSalesTable6[[#This Row],[Unit_Price]]*RawSalesTable6[[#This Row],[Quantity]]</f>
        <v>553.86</v>
      </c>
      <c r="AB418" s="8">
        <f>RawSalesTable6[[#This Row],[Gross_Sales]]*RawSalesTable6[[#This Row],[Discount_Pct]]</f>
        <v>138.465</v>
      </c>
      <c r="AC418" s="8">
        <f>RawSalesTable6[[#This Row],[Gross_Sales]]-RawSalesTable6[[#This Row],[Discount_Amount]]</f>
        <v>415.39499999999998</v>
      </c>
      <c r="AD418" s="8">
        <f>RawSalesTable6[[#This Row],[Unit_Cost]]*RawSalesTable6[[#This Row],[Quantity]]</f>
        <v>238.32</v>
      </c>
      <c r="AE418" s="8">
        <f>RawSalesTable6[[#This Row],[Net_Sales]]-RawSalesTable6[[#This Row],[Total_Cost]]</f>
        <v>177.07499999999999</v>
      </c>
      <c r="AF418" s="9">
        <f>RawSalesTable6[[#This Row],[Profit]]/RawSalesTable6[[#This Row],[Net_Sales]]</f>
        <v>0.42628100964142562</v>
      </c>
      <c r="AG418" s="8">
        <f>YEAR(RawSalesTable6[[#This Row],[Order_Date]])</f>
        <v>2025</v>
      </c>
      <c r="AH418" s="8">
        <f>MONTH(RawSalesTable6[[#This Row],[Order_Date]])</f>
        <v>6</v>
      </c>
      <c r="AI418" s="8" t="str">
        <f>TEXT(RawSalesTable6[[#This Row],[Order_Date]],"mmmm")</f>
        <v>juin</v>
      </c>
      <c r="AJ418" s="8" t="str">
        <f>IF(RawSalesTable6[[#This Row],[Month_Number]]&lt;=3,"Q1",IF(RawSalesTable6[[#This Row],[Month_Number]]&lt;=6,"Q2",IF(RawSalesTable6[[#This Row],[Month_Number]]&lt;=9,"Q3","Q4")))</f>
        <v>Q2</v>
      </c>
      <c r="AK418" s="8" t="str">
        <f>VLOOKUP(RawSalesTable6[[#This Row],[Customer_ID_Clean]],CustomersTable[],4,FALSE)</f>
        <v>Quebec</v>
      </c>
      <c r="AL418" s="8">
        <f>IF(RawSalesTable6[[#This Row],[Return_Status]]="Yes",1,0)</f>
        <v>0</v>
      </c>
    </row>
    <row r="419" spans="1:38">
      <c r="A419" t="s">
        <v>842</v>
      </c>
      <c r="B419" s="3">
        <v>45980</v>
      </c>
      <c r="C419" t="s">
        <v>706</v>
      </c>
      <c r="D419" t="s">
        <v>360</v>
      </c>
      <c r="E419" t="s">
        <v>843</v>
      </c>
      <c r="F419" t="s">
        <v>87</v>
      </c>
      <c r="G419" t="s">
        <v>130</v>
      </c>
      <c r="H419" t="s">
        <v>97</v>
      </c>
      <c r="I419">
        <v>1</v>
      </c>
      <c r="J419" s="2">
        <v>65.44</v>
      </c>
      <c r="K419" s="4">
        <v>0.1</v>
      </c>
      <c r="L419" t="s">
        <v>106</v>
      </c>
      <c r="M419">
        <v>4</v>
      </c>
      <c r="N419" t="s">
        <v>91</v>
      </c>
      <c r="O419" t="str">
        <f>SUBSTITUTE(PROPER(TRIM(RawSalesTable6[[#This Row],[Channel_Raw]])),"Market Place","Marketplace")</f>
        <v>Retail Store</v>
      </c>
      <c r="P419" t="str">
        <f>TRIM(RawSalesTable6[[#This Row],[Product_ID]])</f>
        <v>P1020</v>
      </c>
      <c r="Q419" t="str">
        <f>TRIM(RawSalesTable6[[#This Row],[Customer_ID]])</f>
        <v>C0006</v>
      </c>
      <c r="R419" s="8" t="str">
        <f>PROPER(TRIM(RawSalesTable6[[#This Row],[Store_Raw]]))</f>
        <v>Online Fulfillment</v>
      </c>
      <c r="S419" s="8" t="str">
        <f>IF(TRIM(RawSalesTable6[[#This Row],[Payment_Method_Raw]])="","Non renseigné",SUBSTITUTE(PROPER(TRIM(RawSalesTable6[[#This Row],[Payment_Method_Raw]])),"Cc","Credit Card"))</f>
        <v>Credit Card</v>
      </c>
      <c r="T419" s="8">
        <f>COUNTIF(A:A,RawSalesTable6[[#This Row],[Order_ID]])</f>
        <v>1</v>
      </c>
      <c r="U419" s="8" t="str">
        <f>TRIM(LEFT(RawSalesTable6[[#This Row],[Customer_Info]],FIND(",",RawSalesTable6[[#This Row],[Customer_Info]])-1))</f>
        <v>Nora Wilson</v>
      </c>
      <c r="V419" s="8" t="str">
        <f>TRIM(MID(RawSalesTable6[[#This Row],[Customer_Info]],FIND(",",RawSalesTable6[[#This Row],[Customer_Info]])+1,FIND(",",RawSalesTable6[[#This Row],[Customer_Info]],FIND(",",RawSalesTable6[[#This Row],[Customer_Info]])+1)-FIND(",",RawSalesTable6[[#This Row],[Customer_Info]])-1))</f>
        <v>Laval</v>
      </c>
      <c r="W419" s="8" t="str">
        <f>TRIM(RIGHT(RawSalesTable6[[#This Row],[Customer_Info]],LEN(RawSalesTable6[[#This Row],[Customer_Info]])-FIND(",",RawSalesTable6[[#This Row],[Customer_Info]],FIND(",",RawSalesTable6[[#This Row],[Customer_Info]])+1)))</f>
        <v>Consumer</v>
      </c>
      <c r="X419" s="8" t="str">
        <f>VLOOKUP(RawSalesTable6[[#This Row],[Product_ID_Clean]],ProductsTable[],2,FALSE)</f>
        <v>Blender</v>
      </c>
      <c r="Y419" s="8" t="str">
        <f>VLOOKUP(RawSalesTable6[[#This Row],[Product_ID_Clean]],ProductsTable[],3,FALSE)</f>
        <v>Home</v>
      </c>
      <c r="Z419" s="8">
        <f>VLOOKUP(RawSalesTable6[[#This Row],[Product_ID_Clean]],ProductsTable[],5,FALSE)</f>
        <v>37.46</v>
      </c>
      <c r="AA419" s="8">
        <f>RawSalesTable6[[#This Row],[Unit_Price]]*RawSalesTable6[[#This Row],[Quantity]]</f>
        <v>65.44</v>
      </c>
      <c r="AB419" s="8">
        <f>RawSalesTable6[[#This Row],[Gross_Sales]]*RawSalesTable6[[#This Row],[Discount_Pct]]</f>
        <v>6.5440000000000005</v>
      </c>
      <c r="AC419" s="8">
        <f>RawSalesTable6[[#This Row],[Gross_Sales]]-RawSalesTable6[[#This Row],[Discount_Amount]]</f>
        <v>58.896000000000001</v>
      </c>
      <c r="AD419" s="8">
        <f>RawSalesTable6[[#This Row],[Unit_Cost]]*RawSalesTable6[[#This Row],[Quantity]]</f>
        <v>37.46</v>
      </c>
      <c r="AE419" s="8">
        <f>RawSalesTable6[[#This Row],[Net_Sales]]-RawSalesTable6[[#This Row],[Total_Cost]]</f>
        <v>21.436</v>
      </c>
      <c r="AF419" s="9">
        <f>RawSalesTable6[[#This Row],[Profit]]/RawSalesTable6[[#This Row],[Net_Sales]]</f>
        <v>0.3639635968486824</v>
      </c>
      <c r="AG419" s="8">
        <f>YEAR(RawSalesTable6[[#This Row],[Order_Date]])</f>
        <v>2025</v>
      </c>
      <c r="AH419" s="8">
        <f>MONTH(RawSalesTable6[[#This Row],[Order_Date]])</f>
        <v>11</v>
      </c>
      <c r="AI419" s="8" t="str">
        <f>TEXT(RawSalesTable6[[#This Row],[Order_Date]],"mmmm")</f>
        <v>novembre</v>
      </c>
      <c r="AJ419" s="8" t="str">
        <f>IF(RawSalesTable6[[#This Row],[Month_Number]]&lt;=3,"Q1",IF(RawSalesTable6[[#This Row],[Month_Number]]&lt;=6,"Q2",IF(RawSalesTable6[[#This Row],[Month_Number]]&lt;=9,"Q3","Q4")))</f>
        <v>Q4</v>
      </c>
      <c r="AK419" s="8" t="str">
        <f>VLOOKUP(RawSalesTable6[[#This Row],[Customer_ID_Clean]],CustomersTable[],4,FALSE)</f>
        <v>Quebec</v>
      </c>
      <c r="AL419" s="8">
        <f>IF(RawSalesTable6[[#This Row],[Return_Status]]="Yes",1,0)</f>
        <v>0</v>
      </c>
    </row>
    <row r="420" spans="1:38">
      <c r="A420" t="s">
        <v>844</v>
      </c>
      <c r="B420" s="3">
        <v>45892</v>
      </c>
      <c r="C420" t="s">
        <v>173</v>
      </c>
      <c r="D420" t="s">
        <v>194</v>
      </c>
      <c r="E420" t="s">
        <v>175</v>
      </c>
      <c r="F420" t="s">
        <v>145</v>
      </c>
      <c r="G420" t="s">
        <v>183</v>
      </c>
      <c r="H420" t="s">
        <v>97</v>
      </c>
      <c r="I420">
        <v>2</v>
      </c>
      <c r="J420" s="2">
        <v>206.15</v>
      </c>
      <c r="K420" s="4">
        <v>0.1</v>
      </c>
      <c r="L420" t="s">
        <v>98</v>
      </c>
      <c r="M420">
        <v>3</v>
      </c>
      <c r="N420" t="s">
        <v>91</v>
      </c>
      <c r="O420" t="str">
        <f>SUBSTITUTE(PROPER(TRIM(RawSalesTable6[[#This Row],[Channel_Raw]])),"Market Place","Marketplace")</f>
        <v>Retail Store</v>
      </c>
      <c r="P420" t="str">
        <f>TRIM(RawSalesTable6[[#This Row],[Product_ID]])</f>
        <v>P1029</v>
      </c>
      <c r="Q420" t="str">
        <f>TRIM(RawSalesTable6[[#This Row],[Customer_ID]])</f>
        <v>C0077</v>
      </c>
      <c r="R420" s="8" t="str">
        <f>PROPER(TRIM(RawSalesTable6[[#This Row],[Store_Raw]]))</f>
        <v>Calgary North</v>
      </c>
      <c r="S420" s="8" t="str">
        <f>IF(TRIM(RawSalesTable6[[#This Row],[Payment_Method_Raw]])="","Non renseigné",SUBSTITUTE(PROPER(TRIM(RawSalesTable6[[#This Row],[Payment_Method_Raw]])),"Cc","Credit Card"))</f>
        <v>Debit Card</v>
      </c>
      <c r="T420" s="8">
        <f>COUNTIF(A:A,RawSalesTable6[[#This Row],[Order_ID]])</f>
        <v>1</v>
      </c>
      <c r="U420" s="8" t="str">
        <f>TRIM(LEFT(RawSalesTable6[[#This Row],[Customer_Info]],FIND(",",RawSalesTable6[[#This Row],[Customer_Info]])-1))</f>
        <v>Amine Taylor</v>
      </c>
      <c r="V420" s="8" t="str">
        <f>TRIM(MID(RawSalesTable6[[#This Row],[Customer_Info]],FIND(",",RawSalesTable6[[#This Row],[Customer_Info]])+1,FIND(",",RawSalesTable6[[#This Row],[Customer_Info]],FIND(",",RawSalesTable6[[#This Row],[Customer_Info]])+1)-FIND(",",RawSalesTable6[[#This Row],[Customer_Info]])-1))</f>
        <v>Surrey</v>
      </c>
      <c r="W420" s="8" t="str">
        <f>TRIM(RIGHT(RawSalesTable6[[#This Row],[Customer_Info]],LEN(RawSalesTable6[[#This Row],[Customer_Info]])-FIND(",",RawSalesTable6[[#This Row],[Customer_Info]],FIND(",",RawSalesTable6[[#This Row],[Customer_Info]])+1)))</f>
        <v>Small Business</v>
      </c>
      <c r="X420" s="8" t="str">
        <f>VLOOKUP(RawSalesTable6[[#This Row],[Product_ID_Clean]],ProductsTable[],2,FALSE)</f>
        <v>Jump Rope</v>
      </c>
      <c r="Y420" s="8" t="str">
        <f>VLOOKUP(RawSalesTable6[[#This Row],[Product_ID_Clean]],ProductsTable[],3,FALSE)</f>
        <v>Fitness</v>
      </c>
      <c r="Z420" s="8">
        <f>VLOOKUP(RawSalesTable6[[#This Row],[Product_ID_Clean]],ProductsTable[],5,FALSE)</f>
        <v>101</v>
      </c>
      <c r="AA420" s="8">
        <f>RawSalesTable6[[#This Row],[Unit_Price]]*RawSalesTable6[[#This Row],[Quantity]]</f>
        <v>412.3</v>
      </c>
      <c r="AB420" s="8">
        <f>RawSalesTable6[[#This Row],[Gross_Sales]]*RawSalesTable6[[#This Row],[Discount_Pct]]</f>
        <v>41.230000000000004</v>
      </c>
      <c r="AC420" s="8">
        <f>RawSalesTable6[[#This Row],[Gross_Sales]]-RawSalesTable6[[#This Row],[Discount_Amount]]</f>
        <v>371.07</v>
      </c>
      <c r="AD420" s="8">
        <f>RawSalesTable6[[#This Row],[Unit_Cost]]*RawSalesTable6[[#This Row],[Quantity]]</f>
        <v>202</v>
      </c>
      <c r="AE420" s="8">
        <f>RawSalesTable6[[#This Row],[Net_Sales]]-RawSalesTable6[[#This Row],[Total_Cost]]</f>
        <v>169.07</v>
      </c>
      <c r="AF420" s="9">
        <f>RawSalesTable6[[#This Row],[Profit]]/RawSalesTable6[[#This Row],[Net_Sales]]</f>
        <v>0.4556283181070957</v>
      </c>
      <c r="AG420" s="8">
        <f>YEAR(RawSalesTable6[[#This Row],[Order_Date]])</f>
        <v>2025</v>
      </c>
      <c r="AH420" s="8">
        <f>MONTH(RawSalesTable6[[#This Row],[Order_Date]])</f>
        <v>8</v>
      </c>
      <c r="AI420" s="8" t="str">
        <f>TEXT(RawSalesTable6[[#This Row],[Order_Date]],"mmmm")</f>
        <v>août</v>
      </c>
      <c r="AJ420" s="8" t="str">
        <f>IF(RawSalesTable6[[#This Row],[Month_Number]]&lt;=3,"Q1",IF(RawSalesTable6[[#This Row],[Month_Number]]&lt;=6,"Q2",IF(RawSalesTable6[[#This Row],[Month_Number]]&lt;=9,"Q3","Q4")))</f>
        <v>Q3</v>
      </c>
      <c r="AK420" s="8" t="str">
        <f>VLOOKUP(RawSalesTable6[[#This Row],[Customer_ID_Clean]],CustomersTable[],4,FALSE)</f>
        <v>British Columbia</v>
      </c>
      <c r="AL420" s="8">
        <f>IF(RawSalesTable6[[#This Row],[Return_Status]]="Yes",1,0)</f>
        <v>0</v>
      </c>
    </row>
    <row r="421" spans="1:38">
      <c r="A421" t="s">
        <v>845</v>
      </c>
      <c r="B421" s="3">
        <v>45877</v>
      </c>
      <c r="C421" t="s">
        <v>500</v>
      </c>
      <c r="D421" t="s">
        <v>271</v>
      </c>
      <c r="E421" t="s">
        <v>846</v>
      </c>
      <c r="F421" t="s">
        <v>116</v>
      </c>
      <c r="G421" t="s">
        <v>183</v>
      </c>
      <c r="H421" t="s">
        <v>97</v>
      </c>
      <c r="I421">
        <v>2</v>
      </c>
      <c r="J421" s="2">
        <v>212.26</v>
      </c>
      <c r="K421" s="4">
        <v>0.1</v>
      </c>
      <c r="L421" t="s">
        <v>106</v>
      </c>
      <c r="M421">
        <v>0</v>
      </c>
      <c r="N421" t="s">
        <v>91</v>
      </c>
      <c r="O421" t="str">
        <f>SUBSTITUTE(PROPER(TRIM(RawSalesTable6[[#This Row],[Channel_Raw]])),"Market Place","Marketplace")</f>
        <v>Retail Store</v>
      </c>
      <c r="P421" t="str">
        <f>TRIM(RawSalesTable6[[#This Row],[Product_ID]])</f>
        <v>P1026</v>
      </c>
      <c r="Q421" t="str">
        <f>TRIM(RawSalesTable6[[#This Row],[Customer_ID]])</f>
        <v>C0059</v>
      </c>
      <c r="R421" s="8" t="str">
        <f>PROPER(TRIM(RawSalesTable6[[#This Row],[Store_Raw]]))</f>
        <v>Toronto Downtown</v>
      </c>
      <c r="S421" s="8" t="str">
        <f>IF(TRIM(RawSalesTable6[[#This Row],[Payment_Method_Raw]])="","Non renseigné",SUBSTITUTE(PROPER(TRIM(RawSalesTable6[[#This Row],[Payment_Method_Raw]])),"Cc","Credit Card"))</f>
        <v>Credit Card</v>
      </c>
      <c r="T421" s="8">
        <f>COUNTIF(A:A,RawSalesTable6[[#This Row],[Order_ID]])</f>
        <v>1</v>
      </c>
      <c r="U421" s="8" t="str">
        <f>TRIM(LEFT(RawSalesTable6[[#This Row],[Customer_Info]],FIND(",",RawSalesTable6[[#This Row],[Customer_Info]])-1))</f>
        <v>Lucas Chen</v>
      </c>
      <c r="V421" s="8" t="str">
        <f>TRIM(MID(RawSalesTable6[[#This Row],[Customer_Info]],FIND(",",RawSalesTable6[[#This Row],[Customer_Info]])+1,FIND(",",RawSalesTable6[[#This Row],[Customer_Info]],FIND(",",RawSalesTable6[[#This Row],[Customer_Info]])+1)-FIND(",",RawSalesTable6[[#This Row],[Customer_Info]])-1))</f>
        <v>Vancouver</v>
      </c>
      <c r="W421" s="8" t="str">
        <f>TRIM(RIGHT(RawSalesTable6[[#This Row],[Customer_Info]],LEN(RawSalesTable6[[#This Row],[Customer_Info]])-FIND(",",RawSalesTable6[[#This Row],[Customer_Info]],FIND(",",RawSalesTable6[[#This Row],[Customer_Info]])+1)))</f>
        <v>Corporate</v>
      </c>
      <c r="X421" s="8" t="str">
        <f>VLOOKUP(RawSalesTable6[[#This Row],[Product_ID_Clean]],ProductsTable[],2,FALSE)</f>
        <v>Resistance Bands</v>
      </c>
      <c r="Y421" s="8" t="str">
        <f>VLOOKUP(RawSalesTable6[[#This Row],[Product_ID_Clean]],ProductsTable[],3,FALSE)</f>
        <v>Fitness</v>
      </c>
      <c r="Z421" s="8">
        <f>VLOOKUP(RawSalesTable6[[#This Row],[Product_ID_Clean]],ProductsTable[],5,FALSE)</f>
        <v>139.19999999999999</v>
      </c>
      <c r="AA421" s="8">
        <f>RawSalesTable6[[#This Row],[Unit_Price]]*RawSalesTable6[[#This Row],[Quantity]]</f>
        <v>424.52</v>
      </c>
      <c r="AB421" s="8">
        <f>RawSalesTable6[[#This Row],[Gross_Sales]]*RawSalesTable6[[#This Row],[Discount_Pct]]</f>
        <v>42.451999999999998</v>
      </c>
      <c r="AC421" s="8">
        <f>RawSalesTable6[[#This Row],[Gross_Sales]]-RawSalesTable6[[#This Row],[Discount_Amount]]</f>
        <v>382.06799999999998</v>
      </c>
      <c r="AD421" s="8">
        <f>RawSalesTable6[[#This Row],[Unit_Cost]]*RawSalesTable6[[#This Row],[Quantity]]</f>
        <v>278.39999999999998</v>
      </c>
      <c r="AE421" s="8">
        <f>RawSalesTable6[[#This Row],[Net_Sales]]-RawSalesTable6[[#This Row],[Total_Cost]]</f>
        <v>103.66800000000001</v>
      </c>
      <c r="AF421" s="9">
        <f>RawSalesTable6[[#This Row],[Profit]]/RawSalesTable6[[#This Row],[Net_Sales]]</f>
        <v>0.27133389867772234</v>
      </c>
      <c r="AG421" s="8">
        <f>YEAR(RawSalesTable6[[#This Row],[Order_Date]])</f>
        <v>2025</v>
      </c>
      <c r="AH421" s="8">
        <f>MONTH(RawSalesTable6[[#This Row],[Order_Date]])</f>
        <v>8</v>
      </c>
      <c r="AI421" s="8" t="str">
        <f>TEXT(RawSalesTable6[[#This Row],[Order_Date]],"mmmm")</f>
        <v>août</v>
      </c>
      <c r="AJ421" s="8" t="str">
        <f>IF(RawSalesTable6[[#This Row],[Month_Number]]&lt;=3,"Q1",IF(RawSalesTable6[[#This Row],[Month_Number]]&lt;=6,"Q2",IF(RawSalesTable6[[#This Row],[Month_Number]]&lt;=9,"Q3","Q4")))</f>
        <v>Q3</v>
      </c>
      <c r="AK421" s="8" t="str">
        <f>VLOOKUP(RawSalesTable6[[#This Row],[Customer_ID_Clean]],CustomersTable[],4,FALSE)</f>
        <v>British Columbia</v>
      </c>
      <c r="AL421" s="8">
        <f>IF(RawSalesTable6[[#This Row],[Return_Status]]="Yes",1,0)</f>
        <v>0</v>
      </c>
    </row>
    <row r="422" spans="1:38">
      <c r="A422" t="s">
        <v>847</v>
      </c>
      <c r="B422" s="3">
        <v>45801</v>
      </c>
      <c r="C422" t="s">
        <v>209</v>
      </c>
      <c r="D422" t="s">
        <v>303</v>
      </c>
      <c r="E422" t="s">
        <v>211</v>
      </c>
      <c r="F422" t="s">
        <v>103</v>
      </c>
      <c r="G422" t="s">
        <v>183</v>
      </c>
      <c r="H422" t="s">
        <v>478</v>
      </c>
      <c r="I422">
        <v>1</v>
      </c>
      <c r="J422" s="2">
        <v>165.6</v>
      </c>
      <c r="K422" s="4">
        <v>0.2</v>
      </c>
      <c r="L422" t="s">
        <v>98</v>
      </c>
      <c r="M422">
        <v>4</v>
      </c>
      <c r="N422" t="s">
        <v>91</v>
      </c>
      <c r="O422" t="str">
        <f>SUBSTITUTE(PROPER(TRIM(RawSalesTable6[[#This Row],[Channel_Raw]])),"Market Place","Marketplace")</f>
        <v>Marketplace</v>
      </c>
      <c r="P422" t="str">
        <f>TRIM(RawSalesTable6[[#This Row],[Product_ID]])</f>
        <v>P1036</v>
      </c>
      <c r="Q422" t="str">
        <f>TRIM(RawSalesTable6[[#This Row],[Customer_ID]])</f>
        <v>C0005</v>
      </c>
      <c r="R422" s="8" t="str">
        <f>PROPER(TRIM(RawSalesTable6[[#This Row],[Store_Raw]]))</f>
        <v>Vancouver West</v>
      </c>
      <c r="S422" s="8" t="str">
        <f>IF(TRIM(RawSalesTable6[[#This Row],[Payment_Method_Raw]])="","Non renseigné",SUBSTITUTE(PROPER(TRIM(RawSalesTable6[[#This Row],[Payment_Method_Raw]])),"Cc","Credit Card"))</f>
        <v>Debit Card</v>
      </c>
      <c r="T422" s="8">
        <f>COUNTIF(A:A,RawSalesTable6[[#This Row],[Order_ID]])</f>
        <v>1</v>
      </c>
      <c r="U422" s="8" t="str">
        <f>TRIM(LEFT(RawSalesTable6[[#This Row],[Customer_Info]],FIND(",",RawSalesTable6[[#This Row],[Customer_Info]])-1))</f>
        <v>Yasmine Taylor</v>
      </c>
      <c r="V422" s="8" t="str">
        <f>TRIM(MID(RawSalesTable6[[#This Row],[Customer_Info]],FIND(",",RawSalesTable6[[#This Row],[Customer_Info]])+1,FIND(",",RawSalesTable6[[#This Row],[Customer_Info]],FIND(",",RawSalesTable6[[#This Row],[Customer_Info]])+1)-FIND(",",RawSalesTable6[[#This Row],[Customer_Info]])-1))</f>
        <v>Calgary</v>
      </c>
      <c r="W422" s="8" t="str">
        <f>TRIM(RIGHT(RawSalesTable6[[#This Row],[Customer_Info]],LEN(RawSalesTable6[[#This Row],[Customer_Info]])-FIND(",",RawSalesTable6[[#This Row],[Customer_Info]],FIND(",",RawSalesTable6[[#This Row],[Customer_Info]])+1)))</f>
        <v>Consumer</v>
      </c>
      <c r="X422" s="8" t="str">
        <f>VLOOKUP(RawSalesTable6[[#This Row],[Product_ID_Clean]],ProductsTable[],2,FALSE)</f>
        <v>Power Bank</v>
      </c>
      <c r="Y422" s="8" t="str">
        <f>VLOOKUP(RawSalesTable6[[#This Row],[Product_ID_Clean]],ProductsTable[],3,FALSE)</f>
        <v>Accessories</v>
      </c>
      <c r="Z422" s="8">
        <f>VLOOKUP(RawSalesTable6[[#This Row],[Product_ID_Clean]],ProductsTable[],5,FALSE)</f>
        <v>76.97</v>
      </c>
      <c r="AA422" s="8">
        <f>RawSalesTable6[[#This Row],[Unit_Price]]*RawSalesTable6[[#This Row],[Quantity]]</f>
        <v>165.6</v>
      </c>
      <c r="AB422" s="8">
        <f>RawSalesTable6[[#This Row],[Gross_Sales]]*RawSalesTable6[[#This Row],[Discount_Pct]]</f>
        <v>33.119999999999997</v>
      </c>
      <c r="AC422" s="8">
        <f>RawSalesTable6[[#This Row],[Gross_Sales]]-RawSalesTable6[[#This Row],[Discount_Amount]]</f>
        <v>132.47999999999999</v>
      </c>
      <c r="AD422" s="8">
        <f>RawSalesTable6[[#This Row],[Unit_Cost]]*RawSalesTable6[[#This Row],[Quantity]]</f>
        <v>76.97</v>
      </c>
      <c r="AE422" s="8">
        <f>RawSalesTable6[[#This Row],[Net_Sales]]-RawSalesTable6[[#This Row],[Total_Cost]]</f>
        <v>55.509999999999991</v>
      </c>
      <c r="AF422" s="9">
        <f>RawSalesTable6[[#This Row],[Profit]]/RawSalesTable6[[#This Row],[Net_Sales]]</f>
        <v>0.41900664251207725</v>
      </c>
      <c r="AG422" s="8">
        <f>YEAR(RawSalesTable6[[#This Row],[Order_Date]])</f>
        <v>2025</v>
      </c>
      <c r="AH422" s="8">
        <f>MONTH(RawSalesTable6[[#This Row],[Order_Date]])</f>
        <v>5</v>
      </c>
      <c r="AI422" s="8" t="str">
        <f>TEXT(RawSalesTable6[[#This Row],[Order_Date]],"mmmm")</f>
        <v>mai</v>
      </c>
      <c r="AJ422" s="8" t="str">
        <f>IF(RawSalesTable6[[#This Row],[Month_Number]]&lt;=3,"Q1",IF(RawSalesTable6[[#This Row],[Month_Number]]&lt;=6,"Q2",IF(RawSalesTable6[[#This Row],[Month_Number]]&lt;=9,"Q3","Q4")))</f>
        <v>Q2</v>
      </c>
      <c r="AK422" s="8" t="str">
        <f>VLOOKUP(RawSalesTable6[[#This Row],[Customer_ID_Clean]],CustomersTable[],4,FALSE)</f>
        <v>Alberta</v>
      </c>
      <c r="AL422" s="8">
        <f>IF(RawSalesTable6[[#This Row],[Return_Status]]="Yes",1,0)</f>
        <v>0</v>
      </c>
    </row>
    <row r="423" spans="1:38">
      <c r="A423" t="s">
        <v>848</v>
      </c>
      <c r="B423" s="3">
        <v>45743</v>
      </c>
      <c r="C423" t="s">
        <v>225</v>
      </c>
      <c r="D423" t="s">
        <v>249</v>
      </c>
      <c r="E423" t="s">
        <v>227</v>
      </c>
      <c r="F423" t="s">
        <v>849</v>
      </c>
      <c r="G423" t="s">
        <v>88</v>
      </c>
      <c r="H423" t="s">
        <v>97</v>
      </c>
      <c r="I423">
        <v>1</v>
      </c>
      <c r="J423" s="2">
        <v>394.3</v>
      </c>
      <c r="K423" s="4">
        <v>0</v>
      </c>
      <c r="L423" t="s">
        <v>106</v>
      </c>
      <c r="M423">
        <v>4</v>
      </c>
      <c r="N423" t="s">
        <v>91</v>
      </c>
      <c r="O423" t="str">
        <f>SUBSTITUTE(PROPER(TRIM(RawSalesTable6[[#This Row],[Channel_Raw]])),"Market Place","Marketplace")</f>
        <v>Retail Store</v>
      </c>
      <c r="P423" t="str">
        <f>TRIM(RawSalesTable6[[#This Row],[Product_ID]])</f>
        <v>P1022</v>
      </c>
      <c r="Q423" t="str">
        <f>TRIM(RawSalesTable6[[#This Row],[Customer_ID]])</f>
        <v>C0110</v>
      </c>
      <c r="R423" s="8" t="str">
        <f>PROPER(TRIM(RawSalesTable6[[#This Row],[Store_Raw]]))</f>
        <v>Calgary North</v>
      </c>
      <c r="S423" s="8" t="str">
        <f>IF(TRIM(RawSalesTable6[[#This Row],[Payment_Method_Raw]])="","Non renseigné",SUBSTITUTE(PROPER(TRIM(RawSalesTable6[[#This Row],[Payment_Method_Raw]])),"Cc","Credit Card"))</f>
        <v>Credit Card</v>
      </c>
      <c r="T423" s="8">
        <f>COUNTIF(A:A,RawSalesTable6[[#This Row],[Order_ID]])</f>
        <v>1</v>
      </c>
      <c r="U423" s="8" t="str">
        <f>TRIM(LEFT(RawSalesTable6[[#This Row],[Customer_Info]],FIND(",",RawSalesTable6[[#This Row],[Customer_Info]])-1))</f>
        <v>Sarah Smith</v>
      </c>
      <c r="V423" s="8" t="str">
        <f>TRIM(MID(RawSalesTable6[[#This Row],[Customer_Info]],FIND(",",RawSalesTable6[[#This Row],[Customer_Info]])+1,FIND(",",RawSalesTable6[[#This Row],[Customer_Info]],FIND(",",RawSalesTable6[[#This Row],[Customer_Info]])+1)-FIND(",",RawSalesTable6[[#This Row],[Customer_Info]])-1))</f>
        <v>Laval</v>
      </c>
      <c r="W423" s="8" t="str">
        <f>TRIM(RIGHT(RawSalesTable6[[#This Row],[Customer_Info]],LEN(RawSalesTable6[[#This Row],[Customer_Info]])-FIND(",",RawSalesTable6[[#This Row],[Customer_Info]],FIND(",",RawSalesTable6[[#This Row],[Customer_Info]])+1)))</f>
        <v>Consumer</v>
      </c>
      <c r="X423" s="8" t="str">
        <f>VLOOKUP(RawSalesTable6[[#This Row],[Product_ID_Clean]],ProductsTable[],2,FALSE)</f>
        <v>Humidifier</v>
      </c>
      <c r="Y423" s="8" t="str">
        <f>VLOOKUP(RawSalesTable6[[#This Row],[Product_ID_Clean]],ProductsTable[],3,FALSE)</f>
        <v>Home</v>
      </c>
      <c r="Z423" s="8">
        <f>VLOOKUP(RawSalesTable6[[#This Row],[Product_ID_Clean]],ProductsTable[],5,FALSE)</f>
        <v>239.67</v>
      </c>
      <c r="AA423" s="8">
        <f>RawSalesTable6[[#This Row],[Unit_Price]]*RawSalesTable6[[#This Row],[Quantity]]</f>
        <v>394.3</v>
      </c>
      <c r="AB423" s="8">
        <f>RawSalesTable6[[#This Row],[Gross_Sales]]*RawSalesTable6[[#This Row],[Discount_Pct]]</f>
        <v>0</v>
      </c>
      <c r="AC423" s="8">
        <f>RawSalesTable6[[#This Row],[Gross_Sales]]-RawSalesTable6[[#This Row],[Discount_Amount]]</f>
        <v>394.3</v>
      </c>
      <c r="AD423" s="8">
        <f>RawSalesTable6[[#This Row],[Unit_Cost]]*RawSalesTable6[[#This Row],[Quantity]]</f>
        <v>239.67</v>
      </c>
      <c r="AE423" s="8">
        <f>RawSalesTable6[[#This Row],[Net_Sales]]-RawSalesTable6[[#This Row],[Total_Cost]]</f>
        <v>154.63000000000002</v>
      </c>
      <c r="AF423" s="9">
        <f>RawSalesTable6[[#This Row],[Profit]]/RawSalesTable6[[#This Row],[Net_Sales]]</f>
        <v>0.39216332741567339</v>
      </c>
      <c r="AG423" s="8">
        <f>YEAR(RawSalesTable6[[#This Row],[Order_Date]])</f>
        <v>2025</v>
      </c>
      <c r="AH423" s="8">
        <f>MONTH(RawSalesTable6[[#This Row],[Order_Date]])</f>
        <v>3</v>
      </c>
      <c r="AI423" s="8" t="str">
        <f>TEXT(RawSalesTable6[[#This Row],[Order_Date]],"mmmm")</f>
        <v>mars</v>
      </c>
      <c r="AJ423" s="8" t="str">
        <f>IF(RawSalesTable6[[#This Row],[Month_Number]]&lt;=3,"Q1",IF(RawSalesTable6[[#This Row],[Month_Number]]&lt;=6,"Q2",IF(RawSalesTable6[[#This Row],[Month_Number]]&lt;=9,"Q3","Q4")))</f>
        <v>Q1</v>
      </c>
      <c r="AK423" s="8" t="str">
        <f>VLOOKUP(RawSalesTable6[[#This Row],[Customer_ID_Clean]],CustomersTable[],4,FALSE)</f>
        <v>Quebec</v>
      </c>
      <c r="AL423" s="8">
        <f>IF(RawSalesTable6[[#This Row],[Return_Status]]="Yes",1,0)</f>
        <v>0</v>
      </c>
    </row>
    <row r="424" spans="1:38">
      <c r="A424" t="s">
        <v>850</v>
      </c>
      <c r="B424" s="3">
        <v>45747</v>
      </c>
      <c r="C424" t="s">
        <v>851</v>
      </c>
      <c r="D424" t="s">
        <v>271</v>
      </c>
      <c r="E424" t="s">
        <v>852</v>
      </c>
      <c r="F424" t="s">
        <v>116</v>
      </c>
      <c r="G424" t="s">
        <v>183</v>
      </c>
      <c r="H424" t="s">
        <v>233</v>
      </c>
      <c r="I424">
        <v>1</v>
      </c>
      <c r="J424" s="2">
        <v>236.77</v>
      </c>
      <c r="K424" s="4">
        <v>0.1</v>
      </c>
      <c r="L424" t="s">
        <v>106</v>
      </c>
      <c r="M424">
        <v>0</v>
      </c>
      <c r="N424" t="s">
        <v>91</v>
      </c>
      <c r="O424" t="str">
        <f>SUBSTITUTE(PROPER(TRIM(RawSalesTable6[[#This Row],[Channel_Raw]])),"Market Place","Marketplace")</f>
        <v>Retail Store</v>
      </c>
      <c r="P424" t="str">
        <f>TRIM(RawSalesTable6[[#This Row],[Product_ID]])</f>
        <v>P1026</v>
      </c>
      <c r="Q424" t="str">
        <f>TRIM(RawSalesTable6[[#This Row],[Customer_ID]])</f>
        <v>C0026</v>
      </c>
      <c r="R424" s="8" t="str">
        <f>PROPER(TRIM(RawSalesTable6[[#This Row],[Store_Raw]]))</f>
        <v>Toronto Downtown</v>
      </c>
      <c r="S424" s="8" t="str">
        <f>IF(TRIM(RawSalesTable6[[#This Row],[Payment_Method_Raw]])="","Non renseigné",SUBSTITUTE(PROPER(TRIM(RawSalesTable6[[#This Row],[Payment_Method_Raw]])),"Cc","Credit Card"))</f>
        <v>Credit Card</v>
      </c>
      <c r="T424" s="8">
        <f>COUNTIF(A:A,RawSalesTable6[[#This Row],[Order_ID]])</f>
        <v>1</v>
      </c>
      <c r="U424" s="8" t="str">
        <f>TRIM(LEFT(RawSalesTable6[[#This Row],[Customer_Info]],FIND(",",RawSalesTable6[[#This Row],[Customer_Info]])-1))</f>
        <v>Adam Hall</v>
      </c>
      <c r="V424" s="8" t="str">
        <f>TRIM(MID(RawSalesTable6[[#This Row],[Customer_Info]],FIND(",",RawSalesTable6[[#This Row],[Customer_Info]])+1,FIND(",",RawSalesTable6[[#This Row],[Customer_Info]],FIND(",",RawSalesTable6[[#This Row],[Customer_Info]])+1)-FIND(",",RawSalesTable6[[#This Row],[Customer_Info]])-1))</f>
        <v>Surrey</v>
      </c>
      <c r="W424" s="8" t="str">
        <f>TRIM(RIGHT(RawSalesTable6[[#This Row],[Customer_Info]],LEN(RawSalesTable6[[#This Row],[Customer_Info]])-FIND(",",RawSalesTable6[[#This Row],[Customer_Info]],FIND(",",RawSalesTable6[[#This Row],[Customer_Info]])+1)))</f>
        <v>Corporate</v>
      </c>
      <c r="X424" s="8" t="str">
        <f>VLOOKUP(RawSalesTable6[[#This Row],[Product_ID_Clean]],ProductsTable[],2,FALSE)</f>
        <v>Resistance Bands</v>
      </c>
      <c r="Y424" s="8" t="str">
        <f>VLOOKUP(RawSalesTable6[[#This Row],[Product_ID_Clean]],ProductsTable[],3,FALSE)</f>
        <v>Fitness</v>
      </c>
      <c r="Z424" s="8">
        <f>VLOOKUP(RawSalesTable6[[#This Row],[Product_ID_Clean]],ProductsTable[],5,FALSE)</f>
        <v>139.19999999999999</v>
      </c>
      <c r="AA424" s="8">
        <f>RawSalesTable6[[#This Row],[Unit_Price]]*RawSalesTable6[[#This Row],[Quantity]]</f>
        <v>236.77</v>
      </c>
      <c r="AB424" s="8">
        <f>RawSalesTable6[[#This Row],[Gross_Sales]]*RawSalesTable6[[#This Row],[Discount_Pct]]</f>
        <v>23.677000000000003</v>
      </c>
      <c r="AC424" s="8">
        <f>RawSalesTable6[[#This Row],[Gross_Sales]]-RawSalesTable6[[#This Row],[Discount_Amount]]</f>
        <v>213.09300000000002</v>
      </c>
      <c r="AD424" s="8">
        <f>RawSalesTable6[[#This Row],[Unit_Cost]]*RawSalesTable6[[#This Row],[Quantity]]</f>
        <v>139.19999999999999</v>
      </c>
      <c r="AE424" s="8">
        <f>RawSalesTable6[[#This Row],[Net_Sales]]-RawSalesTable6[[#This Row],[Total_Cost]]</f>
        <v>73.893000000000029</v>
      </c>
      <c r="AF424" s="9">
        <f>RawSalesTable6[[#This Row],[Profit]]/RawSalesTable6[[#This Row],[Net_Sales]]</f>
        <v>0.34676408891892285</v>
      </c>
      <c r="AG424" s="8">
        <f>YEAR(RawSalesTable6[[#This Row],[Order_Date]])</f>
        <v>2025</v>
      </c>
      <c r="AH424" s="8">
        <f>MONTH(RawSalesTable6[[#This Row],[Order_Date]])</f>
        <v>3</v>
      </c>
      <c r="AI424" s="8" t="str">
        <f>TEXT(RawSalesTable6[[#This Row],[Order_Date]],"mmmm")</f>
        <v>mars</v>
      </c>
      <c r="AJ424" s="8" t="str">
        <f>IF(RawSalesTable6[[#This Row],[Month_Number]]&lt;=3,"Q1",IF(RawSalesTable6[[#This Row],[Month_Number]]&lt;=6,"Q2",IF(RawSalesTable6[[#This Row],[Month_Number]]&lt;=9,"Q3","Q4")))</f>
        <v>Q1</v>
      </c>
      <c r="AK424" s="8" t="str">
        <f>VLOOKUP(RawSalesTable6[[#This Row],[Customer_ID_Clean]],CustomersTable[],4,FALSE)</f>
        <v>British Columbia</v>
      </c>
      <c r="AL424" s="8">
        <f>IF(RawSalesTable6[[#This Row],[Return_Status]]="Yes",1,0)</f>
        <v>0</v>
      </c>
    </row>
    <row r="425" spans="1:38">
      <c r="A425" t="s">
        <v>853</v>
      </c>
      <c r="B425" s="3">
        <v>45992</v>
      </c>
      <c r="C425" t="s">
        <v>661</v>
      </c>
      <c r="D425" t="s">
        <v>503</v>
      </c>
      <c r="E425" t="s">
        <v>662</v>
      </c>
      <c r="F425" t="s">
        <v>87</v>
      </c>
      <c r="G425" t="s">
        <v>104</v>
      </c>
      <c r="H425" t="s">
        <v>97</v>
      </c>
      <c r="I425">
        <v>1</v>
      </c>
      <c r="J425" s="2">
        <v>123.65</v>
      </c>
      <c r="K425" s="4">
        <v>0.2</v>
      </c>
      <c r="L425" t="s">
        <v>253</v>
      </c>
      <c r="M425">
        <v>3</v>
      </c>
      <c r="N425" t="s">
        <v>91</v>
      </c>
      <c r="O425" t="str">
        <f>SUBSTITUTE(PROPER(TRIM(RawSalesTable6[[#This Row],[Channel_Raw]])),"Market Place","Marketplace")</f>
        <v>Retail Store</v>
      </c>
      <c r="P425" t="str">
        <f>TRIM(RawSalesTable6[[#This Row],[Product_ID]])</f>
        <v>P1013</v>
      </c>
      <c r="Q425" t="str">
        <f>TRIM(RawSalesTable6[[#This Row],[Customer_ID]])</f>
        <v>C0111</v>
      </c>
      <c r="R425" s="8" t="str">
        <f>PROPER(TRIM(RawSalesTable6[[#This Row],[Store_Raw]]))</f>
        <v>Online Fulfillment</v>
      </c>
      <c r="S425" s="8" t="str">
        <f>IF(TRIM(RawSalesTable6[[#This Row],[Payment_Method_Raw]])="","Non renseigné",SUBSTITUTE(PROPER(TRIM(RawSalesTable6[[#This Row],[Payment_Method_Raw]])),"Cc","Credit Card"))</f>
        <v>Credit Card</v>
      </c>
      <c r="T425" s="8">
        <f>COUNTIF(A:A,RawSalesTable6[[#This Row],[Order_ID]])</f>
        <v>1</v>
      </c>
      <c r="U425" s="8" t="str">
        <f>TRIM(LEFT(RawSalesTable6[[#This Row],[Customer_Info]],FIND(",",RawSalesTable6[[#This Row],[Customer_Info]])-1))</f>
        <v>Noah Khan</v>
      </c>
      <c r="V425" s="8" t="str">
        <f>TRIM(MID(RawSalesTable6[[#This Row],[Customer_Info]],FIND(",",RawSalesTable6[[#This Row],[Customer_Info]])+1,FIND(",",RawSalesTable6[[#This Row],[Customer_Info]],FIND(",",RawSalesTable6[[#This Row],[Customer_Info]])+1)-FIND(",",RawSalesTable6[[#This Row],[Customer_Info]])-1))</f>
        <v>Halifax</v>
      </c>
      <c r="W425" s="8" t="str">
        <f>TRIM(RIGHT(RawSalesTable6[[#This Row],[Customer_Info]],LEN(RawSalesTable6[[#This Row],[Customer_Info]])-FIND(",",RawSalesTable6[[#This Row],[Customer_Info]],FIND(",",RawSalesTable6[[#This Row],[Customer_Info]])+1)))</f>
        <v>Consumer</v>
      </c>
      <c r="X425" s="8" t="str">
        <f>VLOOKUP(RawSalesTable6[[#This Row],[Product_ID_Clean]],ProductsTable[],2,FALSE)</f>
        <v>Whiteboard</v>
      </c>
      <c r="Y425" s="8" t="str">
        <f>VLOOKUP(RawSalesTable6[[#This Row],[Product_ID_Clean]],ProductsTable[],3,FALSE)</f>
        <v>Office</v>
      </c>
      <c r="Z425" s="8">
        <f>VLOOKUP(RawSalesTable6[[#This Row],[Product_ID_Clean]],ProductsTable[],5,FALSE)</f>
        <v>85.73</v>
      </c>
      <c r="AA425" s="8">
        <f>RawSalesTable6[[#This Row],[Unit_Price]]*RawSalesTable6[[#This Row],[Quantity]]</f>
        <v>123.65</v>
      </c>
      <c r="AB425" s="8">
        <f>RawSalesTable6[[#This Row],[Gross_Sales]]*RawSalesTable6[[#This Row],[Discount_Pct]]</f>
        <v>24.730000000000004</v>
      </c>
      <c r="AC425" s="8">
        <f>RawSalesTable6[[#This Row],[Gross_Sales]]-RawSalesTable6[[#This Row],[Discount_Amount]]</f>
        <v>98.92</v>
      </c>
      <c r="AD425" s="8">
        <f>RawSalesTable6[[#This Row],[Unit_Cost]]*RawSalesTable6[[#This Row],[Quantity]]</f>
        <v>85.73</v>
      </c>
      <c r="AE425" s="8">
        <f>RawSalesTable6[[#This Row],[Net_Sales]]-RawSalesTable6[[#This Row],[Total_Cost]]</f>
        <v>13.189999999999998</v>
      </c>
      <c r="AF425" s="9">
        <f>RawSalesTable6[[#This Row],[Profit]]/RawSalesTable6[[#This Row],[Net_Sales]]</f>
        <v>0.13334007278608975</v>
      </c>
      <c r="AG425" s="8">
        <f>YEAR(RawSalesTable6[[#This Row],[Order_Date]])</f>
        <v>2025</v>
      </c>
      <c r="AH425" s="8">
        <f>MONTH(RawSalesTable6[[#This Row],[Order_Date]])</f>
        <v>12</v>
      </c>
      <c r="AI425" s="8" t="str">
        <f>TEXT(RawSalesTable6[[#This Row],[Order_Date]],"mmmm")</f>
        <v>décembre</v>
      </c>
      <c r="AJ425" s="8" t="str">
        <f>IF(RawSalesTable6[[#This Row],[Month_Number]]&lt;=3,"Q1",IF(RawSalesTable6[[#This Row],[Month_Number]]&lt;=6,"Q2",IF(RawSalesTable6[[#This Row],[Month_Number]]&lt;=9,"Q3","Q4")))</f>
        <v>Q4</v>
      </c>
      <c r="AK425" s="8" t="str">
        <f>VLOOKUP(RawSalesTable6[[#This Row],[Customer_ID_Clean]],CustomersTable[],4,FALSE)</f>
        <v>Nova Scotia</v>
      </c>
      <c r="AL425" s="8">
        <f>IF(RawSalesTable6[[#This Row],[Return_Status]]="Yes",1,0)</f>
        <v>0</v>
      </c>
    </row>
    <row r="426" spans="1:38">
      <c r="A426" t="s">
        <v>854</v>
      </c>
      <c r="B426" s="3">
        <v>45970</v>
      </c>
      <c r="C426" t="s">
        <v>220</v>
      </c>
      <c r="D426" t="s">
        <v>133</v>
      </c>
      <c r="E426" t="s">
        <v>222</v>
      </c>
      <c r="F426" t="s">
        <v>145</v>
      </c>
      <c r="G426" t="s">
        <v>183</v>
      </c>
      <c r="H426" t="s">
        <v>97</v>
      </c>
      <c r="I426">
        <v>4</v>
      </c>
      <c r="J426" s="2">
        <v>342.63</v>
      </c>
      <c r="K426" s="4">
        <v>0.05</v>
      </c>
      <c r="L426" t="s">
        <v>106</v>
      </c>
      <c r="M426">
        <v>2</v>
      </c>
      <c r="N426" t="s">
        <v>91</v>
      </c>
      <c r="O426" t="str">
        <f>SUBSTITUTE(PROPER(TRIM(RawSalesTable6[[#This Row],[Channel_Raw]])),"Market Place","Marketplace")</f>
        <v>Retail Store</v>
      </c>
      <c r="P426" t="str">
        <f>TRIM(RawSalesTable6[[#This Row],[Product_ID]])</f>
        <v>P1039</v>
      </c>
      <c r="Q426" t="str">
        <f>TRIM(RawSalesTable6[[#This Row],[Customer_ID]])</f>
        <v>C0067</v>
      </c>
      <c r="R426" s="8" t="str">
        <f>PROPER(TRIM(RawSalesTable6[[#This Row],[Store_Raw]]))</f>
        <v>Calgary North</v>
      </c>
      <c r="S426" s="8" t="str">
        <f>IF(TRIM(RawSalesTable6[[#This Row],[Payment_Method_Raw]])="","Non renseigné",SUBSTITUTE(PROPER(TRIM(RawSalesTable6[[#This Row],[Payment_Method_Raw]])),"Cc","Credit Card"))</f>
        <v>Credit Card</v>
      </c>
      <c r="T426" s="8">
        <f>COUNTIF(A:A,RawSalesTable6[[#This Row],[Order_ID]])</f>
        <v>1</v>
      </c>
      <c r="U426" s="8" t="str">
        <f>TRIM(LEFT(RawSalesTable6[[#This Row],[Customer_Info]],FIND(",",RawSalesTable6[[#This Row],[Customer_Info]])-1))</f>
        <v>Leo Bennett</v>
      </c>
      <c r="V426" s="8" t="str">
        <f>TRIM(MID(RawSalesTable6[[#This Row],[Customer_Info]],FIND(",",RawSalesTable6[[#This Row],[Customer_Info]])+1,FIND(",",RawSalesTable6[[#This Row],[Customer_Info]],FIND(",",RawSalesTable6[[#This Row],[Customer_Info]])+1)-FIND(",",RawSalesTable6[[#This Row],[Customer_Info]])-1))</f>
        <v>Mississauga</v>
      </c>
      <c r="W426" s="8" t="str">
        <f>TRIM(RIGHT(RawSalesTable6[[#This Row],[Customer_Info]],LEN(RawSalesTable6[[#This Row],[Customer_Info]])-FIND(",",RawSalesTable6[[#This Row],[Customer_Info]],FIND(",",RawSalesTable6[[#This Row],[Customer_Info]])+1)))</f>
        <v>Consumer</v>
      </c>
      <c r="X426" s="8" t="str">
        <f>VLOOKUP(RawSalesTable6[[#This Row],[Product_ID_Clean]],ProductsTable[],2,FALSE)</f>
        <v>Travel Adapter</v>
      </c>
      <c r="Y426" s="8" t="str">
        <f>VLOOKUP(RawSalesTable6[[#This Row],[Product_ID_Clean]],ProductsTable[],3,FALSE)</f>
        <v>Accessories</v>
      </c>
      <c r="Z426" s="8">
        <f>VLOOKUP(RawSalesTable6[[#This Row],[Product_ID_Clean]],ProductsTable[],5,FALSE)</f>
        <v>229.86</v>
      </c>
      <c r="AA426" s="8">
        <f>RawSalesTable6[[#This Row],[Unit_Price]]*RawSalesTable6[[#This Row],[Quantity]]</f>
        <v>1370.52</v>
      </c>
      <c r="AB426" s="8">
        <f>RawSalesTable6[[#This Row],[Gross_Sales]]*RawSalesTable6[[#This Row],[Discount_Pct]]</f>
        <v>68.525999999999996</v>
      </c>
      <c r="AC426" s="8">
        <f>RawSalesTable6[[#This Row],[Gross_Sales]]-RawSalesTable6[[#This Row],[Discount_Amount]]</f>
        <v>1301.9939999999999</v>
      </c>
      <c r="AD426" s="8">
        <f>RawSalesTable6[[#This Row],[Unit_Cost]]*RawSalesTable6[[#This Row],[Quantity]]</f>
        <v>919.44</v>
      </c>
      <c r="AE426" s="8">
        <f>RawSalesTable6[[#This Row],[Net_Sales]]-RawSalesTable6[[#This Row],[Total_Cost]]</f>
        <v>382.55399999999986</v>
      </c>
      <c r="AF426" s="9">
        <f>RawSalesTable6[[#This Row],[Profit]]/RawSalesTable6[[#This Row],[Net_Sales]]</f>
        <v>0.29382163051442622</v>
      </c>
      <c r="AG426" s="8">
        <f>YEAR(RawSalesTable6[[#This Row],[Order_Date]])</f>
        <v>2025</v>
      </c>
      <c r="AH426" s="8">
        <f>MONTH(RawSalesTable6[[#This Row],[Order_Date]])</f>
        <v>11</v>
      </c>
      <c r="AI426" s="8" t="str">
        <f>TEXT(RawSalesTable6[[#This Row],[Order_Date]],"mmmm")</f>
        <v>novembre</v>
      </c>
      <c r="AJ426" s="8" t="str">
        <f>IF(RawSalesTable6[[#This Row],[Month_Number]]&lt;=3,"Q1",IF(RawSalesTable6[[#This Row],[Month_Number]]&lt;=6,"Q2",IF(RawSalesTable6[[#This Row],[Month_Number]]&lt;=9,"Q3","Q4")))</f>
        <v>Q4</v>
      </c>
      <c r="AK426" s="8" t="str">
        <f>VLOOKUP(RawSalesTable6[[#This Row],[Customer_ID_Clean]],CustomersTable[],4,FALSE)</f>
        <v>Ontario</v>
      </c>
      <c r="AL426" s="8">
        <f>IF(RawSalesTable6[[#This Row],[Return_Status]]="Yes",1,0)</f>
        <v>0</v>
      </c>
    </row>
    <row r="427" spans="1:38">
      <c r="A427" t="s">
        <v>855</v>
      </c>
      <c r="B427" s="3">
        <v>45881</v>
      </c>
      <c r="C427" t="s">
        <v>209</v>
      </c>
      <c r="D427" t="s">
        <v>520</v>
      </c>
      <c r="E427" t="s">
        <v>211</v>
      </c>
      <c r="F427" t="s">
        <v>87</v>
      </c>
      <c r="G427" t="s">
        <v>171</v>
      </c>
      <c r="H427" t="s">
        <v>97</v>
      </c>
      <c r="I427">
        <v>3</v>
      </c>
      <c r="J427" s="2">
        <v>380.43</v>
      </c>
      <c r="K427" s="4">
        <v>0</v>
      </c>
      <c r="L427" t="s">
        <v>98</v>
      </c>
      <c r="M427">
        <v>1</v>
      </c>
      <c r="N427" t="s">
        <v>147</v>
      </c>
      <c r="O427" t="str">
        <f>SUBSTITUTE(PROPER(TRIM(RawSalesTable6[[#This Row],[Channel_Raw]])),"Market Place","Marketplace")</f>
        <v>Retail Store</v>
      </c>
      <c r="P427" t="str">
        <f>TRIM(RawSalesTable6[[#This Row],[Product_ID]])</f>
        <v>P1017</v>
      </c>
      <c r="Q427" t="str">
        <f>TRIM(RawSalesTable6[[#This Row],[Customer_ID]])</f>
        <v>C0005</v>
      </c>
      <c r="R427" s="8" t="str">
        <f>PROPER(TRIM(RawSalesTable6[[#This Row],[Store_Raw]]))</f>
        <v>Online Fulfillment</v>
      </c>
      <c r="S427" s="8" t="str">
        <f>IF(TRIM(RawSalesTable6[[#This Row],[Payment_Method_Raw]])="","Non renseigné",SUBSTITUTE(PROPER(TRIM(RawSalesTable6[[#This Row],[Payment_Method_Raw]])),"Cc","Credit Card"))</f>
        <v>Debit Card</v>
      </c>
      <c r="T427" s="8">
        <f>COUNTIF(A:A,RawSalesTable6[[#This Row],[Order_ID]])</f>
        <v>1</v>
      </c>
      <c r="U427" s="8" t="str">
        <f>TRIM(LEFT(RawSalesTable6[[#This Row],[Customer_Info]],FIND(",",RawSalesTable6[[#This Row],[Customer_Info]])-1))</f>
        <v>Yasmine Taylor</v>
      </c>
      <c r="V427" s="8" t="str">
        <f>TRIM(MID(RawSalesTable6[[#This Row],[Customer_Info]],FIND(",",RawSalesTable6[[#This Row],[Customer_Info]])+1,FIND(",",RawSalesTable6[[#This Row],[Customer_Info]],FIND(",",RawSalesTable6[[#This Row],[Customer_Info]])+1)-FIND(",",RawSalesTable6[[#This Row],[Customer_Info]])-1))</f>
        <v>Calgary</v>
      </c>
      <c r="W427" s="8" t="str">
        <f>TRIM(RIGHT(RawSalesTable6[[#This Row],[Customer_Info]],LEN(RawSalesTable6[[#This Row],[Customer_Info]])-FIND(",",RawSalesTable6[[#This Row],[Customer_Info]],FIND(",",RawSalesTable6[[#This Row],[Customer_Info]])+1)))</f>
        <v>Consumer</v>
      </c>
      <c r="X427" s="8" t="str">
        <f>VLOOKUP(RawSalesTable6[[#This Row],[Product_ID_Clean]],ProductsTable[],2,FALSE)</f>
        <v>Coffee Maker</v>
      </c>
      <c r="Y427" s="8" t="str">
        <f>VLOOKUP(RawSalesTable6[[#This Row],[Product_ID_Clean]],ProductsTable[],3,FALSE)</f>
        <v>Home</v>
      </c>
      <c r="Z427" s="8">
        <f>VLOOKUP(RawSalesTable6[[#This Row],[Product_ID_Clean]],ProductsTable[],5,FALSE)</f>
        <v>241.16</v>
      </c>
      <c r="AA427" s="8">
        <f>RawSalesTable6[[#This Row],[Unit_Price]]*RawSalesTable6[[#This Row],[Quantity]]</f>
        <v>1141.29</v>
      </c>
      <c r="AB427" s="8">
        <f>RawSalesTable6[[#This Row],[Gross_Sales]]*RawSalesTable6[[#This Row],[Discount_Pct]]</f>
        <v>0</v>
      </c>
      <c r="AC427" s="8">
        <f>RawSalesTable6[[#This Row],[Gross_Sales]]-RawSalesTable6[[#This Row],[Discount_Amount]]</f>
        <v>1141.29</v>
      </c>
      <c r="AD427" s="8">
        <f>RawSalesTable6[[#This Row],[Unit_Cost]]*RawSalesTable6[[#This Row],[Quantity]]</f>
        <v>723.48</v>
      </c>
      <c r="AE427" s="8">
        <f>RawSalesTable6[[#This Row],[Net_Sales]]-RawSalesTable6[[#This Row],[Total_Cost]]</f>
        <v>417.80999999999995</v>
      </c>
      <c r="AF427" s="9">
        <f>RawSalesTable6[[#This Row],[Profit]]/RawSalesTable6[[#This Row],[Net_Sales]]</f>
        <v>0.36608574507793806</v>
      </c>
      <c r="AG427" s="8">
        <f>YEAR(RawSalesTable6[[#This Row],[Order_Date]])</f>
        <v>2025</v>
      </c>
      <c r="AH427" s="8">
        <f>MONTH(RawSalesTable6[[#This Row],[Order_Date]])</f>
        <v>8</v>
      </c>
      <c r="AI427" s="8" t="str">
        <f>TEXT(RawSalesTable6[[#This Row],[Order_Date]],"mmmm")</f>
        <v>août</v>
      </c>
      <c r="AJ427" s="8" t="str">
        <f>IF(RawSalesTable6[[#This Row],[Month_Number]]&lt;=3,"Q1",IF(RawSalesTable6[[#This Row],[Month_Number]]&lt;=6,"Q2",IF(RawSalesTable6[[#This Row],[Month_Number]]&lt;=9,"Q3","Q4")))</f>
        <v>Q3</v>
      </c>
      <c r="AK427" s="8" t="str">
        <f>VLOOKUP(RawSalesTable6[[#This Row],[Customer_ID_Clean]],CustomersTable[],4,FALSE)</f>
        <v>Alberta</v>
      </c>
      <c r="AL427" s="8">
        <f>IF(RawSalesTable6[[#This Row],[Return_Status]]="Yes",1,0)</f>
        <v>1</v>
      </c>
    </row>
    <row r="428" spans="1:38">
      <c r="A428" t="s">
        <v>856</v>
      </c>
      <c r="B428" s="3">
        <v>45840</v>
      </c>
      <c r="C428" t="s">
        <v>472</v>
      </c>
      <c r="D428" t="s">
        <v>277</v>
      </c>
      <c r="E428" t="s">
        <v>473</v>
      </c>
      <c r="F428" t="s">
        <v>87</v>
      </c>
      <c r="G428" t="s">
        <v>130</v>
      </c>
      <c r="H428" t="s">
        <v>228</v>
      </c>
      <c r="I428">
        <v>2</v>
      </c>
      <c r="J428" s="2">
        <v>351.69</v>
      </c>
      <c r="K428" s="4">
        <v>0</v>
      </c>
      <c r="L428" t="s">
        <v>106</v>
      </c>
      <c r="M428">
        <v>2</v>
      </c>
      <c r="N428" t="s">
        <v>91</v>
      </c>
      <c r="O428" t="str">
        <f>SUBSTITUTE(PROPER(TRIM(RawSalesTable6[[#This Row],[Channel_Raw]])),"Market Place","Marketplace")</f>
        <v>Online</v>
      </c>
      <c r="P428" t="str">
        <f>TRIM(RawSalesTable6[[#This Row],[Product_ID]])</f>
        <v>P1001</v>
      </c>
      <c r="Q428" t="str">
        <f>TRIM(RawSalesTable6[[#This Row],[Customer_ID]])</f>
        <v>C0018</v>
      </c>
      <c r="R428" s="8" t="str">
        <f>PROPER(TRIM(RawSalesTable6[[#This Row],[Store_Raw]]))</f>
        <v>Online Fulfillment</v>
      </c>
      <c r="S428" s="8" t="str">
        <f>IF(TRIM(RawSalesTable6[[#This Row],[Payment_Method_Raw]])="","Non renseigné",SUBSTITUTE(PROPER(TRIM(RawSalesTable6[[#This Row],[Payment_Method_Raw]])),"Cc","Credit Card"))</f>
        <v>Credit Card</v>
      </c>
      <c r="T428" s="8">
        <f>COUNTIF(A:A,RawSalesTable6[[#This Row],[Order_ID]])</f>
        <v>1</v>
      </c>
      <c r="U428" s="8" t="str">
        <f>TRIM(LEFT(RawSalesTable6[[#This Row],[Customer_Info]],FIND(",",RawSalesTable6[[#This Row],[Customer_Info]])-1))</f>
        <v>Sophia Tremblay</v>
      </c>
      <c r="V428" s="8" t="str">
        <f>TRIM(MID(RawSalesTable6[[#This Row],[Customer_Info]],FIND(",",RawSalesTable6[[#This Row],[Customer_Info]])+1,FIND(",",RawSalesTable6[[#This Row],[Customer_Info]],FIND(",",RawSalesTable6[[#This Row],[Customer_Info]])+1)-FIND(",",RawSalesTable6[[#This Row],[Customer_Info]])-1))</f>
        <v>Laval</v>
      </c>
      <c r="W428" s="8" t="str">
        <f>TRIM(RIGHT(RawSalesTable6[[#This Row],[Customer_Info]],LEN(RawSalesTable6[[#This Row],[Customer_Info]])-FIND(",",RawSalesTable6[[#This Row],[Customer_Info]],FIND(",",RawSalesTable6[[#This Row],[Customer_Info]])+1)))</f>
        <v>Small Business</v>
      </c>
      <c r="X428" s="8" t="str">
        <f>VLOOKUP(RawSalesTable6[[#This Row],[Product_ID_Clean]],ProductsTable[],2,FALSE)</f>
        <v>Headphones</v>
      </c>
      <c r="Y428" s="8" t="str">
        <f>VLOOKUP(RawSalesTable6[[#This Row],[Product_ID_Clean]],ProductsTable[],3,FALSE)</f>
        <v>Electronics</v>
      </c>
      <c r="Z428" s="8">
        <f>VLOOKUP(RawSalesTable6[[#This Row],[Product_ID_Clean]],ProductsTable[],5,FALSE)</f>
        <v>254.6</v>
      </c>
      <c r="AA428" s="8">
        <f>RawSalesTable6[[#This Row],[Unit_Price]]*RawSalesTable6[[#This Row],[Quantity]]</f>
        <v>703.38</v>
      </c>
      <c r="AB428" s="8">
        <f>RawSalesTable6[[#This Row],[Gross_Sales]]*RawSalesTable6[[#This Row],[Discount_Pct]]</f>
        <v>0</v>
      </c>
      <c r="AC428" s="8">
        <f>RawSalesTable6[[#This Row],[Gross_Sales]]-RawSalesTable6[[#This Row],[Discount_Amount]]</f>
        <v>703.38</v>
      </c>
      <c r="AD428" s="8">
        <f>RawSalesTable6[[#This Row],[Unit_Cost]]*RawSalesTable6[[#This Row],[Quantity]]</f>
        <v>509.2</v>
      </c>
      <c r="AE428" s="8">
        <f>RawSalesTable6[[#This Row],[Net_Sales]]-RawSalesTable6[[#This Row],[Total_Cost]]</f>
        <v>194.18</v>
      </c>
      <c r="AF428" s="9">
        <f>RawSalesTable6[[#This Row],[Profit]]/RawSalesTable6[[#This Row],[Net_Sales]]</f>
        <v>0.27606699081577529</v>
      </c>
      <c r="AG428" s="8">
        <f>YEAR(RawSalesTable6[[#This Row],[Order_Date]])</f>
        <v>2025</v>
      </c>
      <c r="AH428" s="8">
        <f>MONTH(RawSalesTable6[[#This Row],[Order_Date]])</f>
        <v>7</v>
      </c>
      <c r="AI428" s="8" t="str">
        <f>TEXT(RawSalesTable6[[#This Row],[Order_Date]],"mmmm")</f>
        <v>juillet</v>
      </c>
      <c r="AJ428" s="8" t="str">
        <f>IF(RawSalesTable6[[#This Row],[Month_Number]]&lt;=3,"Q1",IF(RawSalesTable6[[#This Row],[Month_Number]]&lt;=6,"Q2",IF(RawSalesTable6[[#This Row],[Month_Number]]&lt;=9,"Q3","Q4")))</f>
        <v>Q3</v>
      </c>
      <c r="AK428" s="8" t="str">
        <f>VLOOKUP(RawSalesTable6[[#This Row],[Customer_ID_Clean]],CustomersTable[],4,FALSE)</f>
        <v>Quebec</v>
      </c>
      <c r="AL428" s="8">
        <f>IF(RawSalesTable6[[#This Row],[Return_Status]]="Yes",1,0)</f>
        <v>0</v>
      </c>
    </row>
    <row r="429" spans="1:38">
      <c r="A429" t="s">
        <v>857</v>
      </c>
      <c r="B429" s="3">
        <v>45924</v>
      </c>
      <c r="C429" t="s">
        <v>243</v>
      </c>
      <c r="D429" t="s">
        <v>738</v>
      </c>
      <c r="E429" t="s">
        <v>245</v>
      </c>
      <c r="F429" t="s">
        <v>145</v>
      </c>
      <c r="G429" t="s">
        <v>171</v>
      </c>
      <c r="H429" t="s">
        <v>89</v>
      </c>
      <c r="I429">
        <v>2</v>
      </c>
      <c r="J429" s="2">
        <v>336.2</v>
      </c>
      <c r="K429" s="4">
        <v>0.05</v>
      </c>
      <c r="L429" t="s">
        <v>90</v>
      </c>
      <c r="M429">
        <v>6</v>
      </c>
      <c r="N429" t="s">
        <v>91</v>
      </c>
      <c r="O429" t="str">
        <f>SUBSTITUTE(PROPER(TRIM(RawSalesTable6[[#This Row],[Channel_Raw]])),"Market Place","Marketplace")</f>
        <v>Online</v>
      </c>
      <c r="P429" t="str">
        <f>TRIM(RawSalesTable6[[#This Row],[Product_ID]])</f>
        <v>P1016</v>
      </c>
      <c r="Q429" t="str">
        <f>TRIM(RawSalesTable6[[#This Row],[Customer_ID]])</f>
        <v>C0048</v>
      </c>
      <c r="R429" s="8" t="str">
        <f>PROPER(TRIM(RawSalesTable6[[#This Row],[Store_Raw]]))</f>
        <v>Calgary North</v>
      </c>
      <c r="S429" s="8" t="str">
        <f>IF(TRIM(RawSalesTable6[[#This Row],[Payment_Method_Raw]])="","Non renseigné",SUBSTITUTE(PROPER(TRIM(RawSalesTable6[[#This Row],[Payment_Method_Raw]])),"Cc","Credit Card"))</f>
        <v>Paypal</v>
      </c>
      <c r="T429" s="8">
        <f>COUNTIF(A:A,RawSalesTable6[[#This Row],[Order_ID]])</f>
        <v>1</v>
      </c>
      <c r="U429" s="8" t="str">
        <f>TRIM(LEFT(RawSalesTable6[[#This Row],[Customer_Info]],FIND(",",RawSalesTable6[[#This Row],[Customer_Info]])-1))</f>
        <v>Amelia Brown</v>
      </c>
      <c r="V429" s="8" t="str">
        <f>TRIM(MID(RawSalesTable6[[#This Row],[Customer_Info]],FIND(",",RawSalesTable6[[#This Row],[Customer_Info]])+1,FIND(",",RawSalesTable6[[#This Row],[Customer_Info]],FIND(",",RawSalesTable6[[#This Row],[Customer_Info]])+1)-FIND(",",RawSalesTable6[[#This Row],[Customer_Info]])-1))</f>
        <v>Quebec City</v>
      </c>
      <c r="W429" s="8" t="str">
        <f>TRIM(RIGHT(RawSalesTable6[[#This Row],[Customer_Info]],LEN(RawSalesTable6[[#This Row],[Customer_Info]])-FIND(",",RawSalesTable6[[#This Row],[Customer_Info]],FIND(",",RawSalesTable6[[#This Row],[Customer_Info]])+1)))</f>
        <v>Corporate</v>
      </c>
      <c r="X429" s="8" t="str">
        <f>VLOOKUP(RawSalesTable6[[#This Row],[Product_ID_Clean]],ProductsTable[],2,FALSE)</f>
        <v>Printer</v>
      </c>
      <c r="Y429" s="8" t="str">
        <f>VLOOKUP(RawSalesTable6[[#This Row],[Product_ID_Clean]],ProductsTable[],3,FALSE)</f>
        <v>Office</v>
      </c>
      <c r="Z429" s="8">
        <f>VLOOKUP(RawSalesTable6[[#This Row],[Product_ID_Clean]],ProductsTable[],5,FALSE)</f>
        <v>156.75</v>
      </c>
      <c r="AA429" s="8">
        <f>RawSalesTable6[[#This Row],[Unit_Price]]*RawSalesTable6[[#This Row],[Quantity]]</f>
        <v>672.4</v>
      </c>
      <c r="AB429" s="8">
        <f>RawSalesTable6[[#This Row],[Gross_Sales]]*RawSalesTable6[[#This Row],[Discount_Pct]]</f>
        <v>33.619999999999997</v>
      </c>
      <c r="AC429" s="8">
        <f>RawSalesTable6[[#This Row],[Gross_Sales]]-RawSalesTable6[[#This Row],[Discount_Amount]]</f>
        <v>638.78</v>
      </c>
      <c r="AD429" s="8">
        <f>RawSalesTable6[[#This Row],[Unit_Cost]]*RawSalesTable6[[#This Row],[Quantity]]</f>
        <v>313.5</v>
      </c>
      <c r="AE429" s="8">
        <f>RawSalesTable6[[#This Row],[Net_Sales]]-RawSalesTable6[[#This Row],[Total_Cost]]</f>
        <v>325.27999999999997</v>
      </c>
      <c r="AF429" s="9">
        <f>RawSalesTable6[[#This Row],[Profit]]/RawSalesTable6[[#This Row],[Net_Sales]]</f>
        <v>0.50922070196311719</v>
      </c>
      <c r="AG429" s="8">
        <f>YEAR(RawSalesTable6[[#This Row],[Order_Date]])</f>
        <v>2025</v>
      </c>
      <c r="AH429" s="8">
        <f>MONTH(RawSalesTable6[[#This Row],[Order_Date]])</f>
        <v>9</v>
      </c>
      <c r="AI429" s="8" t="str">
        <f>TEXT(RawSalesTable6[[#This Row],[Order_Date]],"mmmm")</f>
        <v>septembre</v>
      </c>
      <c r="AJ429" s="8" t="str">
        <f>IF(RawSalesTable6[[#This Row],[Month_Number]]&lt;=3,"Q1",IF(RawSalesTable6[[#This Row],[Month_Number]]&lt;=6,"Q2",IF(RawSalesTable6[[#This Row],[Month_Number]]&lt;=9,"Q3","Q4")))</f>
        <v>Q3</v>
      </c>
      <c r="AK429" s="8" t="str">
        <f>VLOOKUP(RawSalesTable6[[#This Row],[Customer_ID_Clean]],CustomersTable[],4,FALSE)</f>
        <v>Quebec</v>
      </c>
      <c r="AL429" s="8">
        <f>IF(RawSalesTable6[[#This Row],[Return_Status]]="Yes",1,0)</f>
        <v>0</v>
      </c>
    </row>
    <row r="430" spans="1:38">
      <c r="A430" t="s">
        <v>858</v>
      </c>
      <c r="B430" s="3">
        <v>45719</v>
      </c>
      <c r="C430" t="s">
        <v>216</v>
      </c>
      <c r="D430" t="s">
        <v>360</v>
      </c>
      <c r="E430" t="s">
        <v>218</v>
      </c>
      <c r="F430" t="s">
        <v>111</v>
      </c>
      <c r="G430" t="s">
        <v>171</v>
      </c>
      <c r="H430" t="s">
        <v>228</v>
      </c>
      <c r="I430">
        <v>3</v>
      </c>
      <c r="J430" s="2">
        <v>65.599999999999994</v>
      </c>
      <c r="K430" s="4">
        <v>0.05</v>
      </c>
      <c r="L430" t="s">
        <v>90</v>
      </c>
      <c r="M430">
        <v>4</v>
      </c>
      <c r="N430" t="s">
        <v>91</v>
      </c>
      <c r="O430" t="str">
        <f>SUBSTITUTE(PROPER(TRIM(RawSalesTable6[[#This Row],[Channel_Raw]])),"Market Place","Marketplace")</f>
        <v>Online</v>
      </c>
      <c r="P430" t="str">
        <f>TRIM(RawSalesTable6[[#This Row],[Product_ID]])</f>
        <v>P1020</v>
      </c>
      <c r="Q430" t="str">
        <f>TRIM(RawSalesTable6[[#This Row],[Customer_ID]])</f>
        <v>C0065</v>
      </c>
      <c r="R430" s="8" t="str">
        <f>PROPER(TRIM(RawSalesTable6[[#This Row],[Store_Raw]]))</f>
        <v>Montreal Central</v>
      </c>
      <c r="S430" s="8" t="str">
        <f>IF(TRIM(RawSalesTable6[[#This Row],[Payment_Method_Raw]])="","Non renseigné",SUBSTITUTE(PROPER(TRIM(RawSalesTable6[[#This Row],[Payment_Method_Raw]])),"Cc","Credit Card"))</f>
        <v>Paypal</v>
      </c>
      <c r="T430" s="8">
        <f>COUNTIF(A:A,RawSalesTable6[[#This Row],[Order_ID]])</f>
        <v>1</v>
      </c>
      <c r="U430" s="8" t="str">
        <f>TRIM(LEFT(RawSalesTable6[[#This Row],[Customer_Info]],FIND(",",RawSalesTable6[[#This Row],[Customer_Info]])-1))</f>
        <v>Mia Wilson</v>
      </c>
      <c r="V430" s="8" t="str">
        <f>TRIM(MID(RawSalesTable6[[#This Row],[Customer_Info]],FIND(",",RawSalesTable6[[#This Row],[Customer_Info]])+1,FIND(",",RawSalesTable6[[#This Row],[Customer_Info]],FIND(",",RawSalesTable6[[#This Row],[Customer_Info]])+1)-FIND(",",RawSalesTable6[[#This Row],[Customer_Info]])-1))</f>
        <v>Quebec City</v>
      </c>
      <c r="W430" s="8" t="str">
        <f>TRIM(RIGHT(RawSalesTable6[[#This Row],[Customer_Info]],LEN(RawSalesTable6[[#This Row],[Customer_Info]])-FIND(",",RawSalesTable6[[#This Row],[Customer_Info]],FIND(",",RawSalesTable6[[#This Row],[Customer_Info]])+1)))</f>
        <v>Consumer</v>
      </c>
      <c r="X430" s="8" t="str">
        <f>VLOOKUP(RawSalesTable6[[#This Row],[Product_ID_Clean]],ProductsTable[],2,FALSE)</f>
        <v>Blender</v>
      </c>
      <c r="Y430" s="8" t="str">
        <f>VLOOKUP(RawSalesTable6[[#This Row],[Product_ID_Clean]],ProductsTable[],3,FALSE)</f>
        <v>Home</v>
      </c>
      <c r="Z430" s="8">
        <f>VLOOKUP(RawSalesTable6[[#This Row],[Product_ID_Clean]],ProductsTable[],5,FALSE)</f>
        <v>37.46</v>
      </c>
      <c r="AA430" s="8">
        <f>RawSalesTable6[[#This Row],[Unit_Price]]*RawSalesTable6[[#This Row],[Quantity]]</f>
        <v>196.79999999999998</v>
      </c>
      <c r="AB430" s="8">
        <f>RawSalesTable6[[#This Row],[Gross_Sales]]*RawSalesTable6[[#This Row],[Discount_Pct]]</f>
        <v>9.84</v>
      </c>
      <c r="AC430" s="8">
        <f>RawSalesTable6[[#This Row],[Gross_Sales]]-RawSalesTable6[[#This Row],[Discount_Amount]]</f>
        <v>186.95999999999998</v>
      </c>
      <c r="AD430" s="8">
        <f>RawSalesTable6[[#This Row],[Unit_Cost]]*RawSalesTable6[[#This Row],[Quantity]]</f>
        <v>112.38</v>
      </c>
      <c r="AE430" s="8">
        <f>RawSalesTable6[[#This Row],[Net_Sales]]-RawSalesTable6[[#This Row],[Total_Cost]]</f>
        <v>74.579999999999984</v>
      </c>
      <c r="AF430" s="9">
        <f>RawSalesTable6[[#This Row],[Profit]]/RawSalesTable6[[#This Row],[Net_Sales]]</f>
        <v>0.39890885750962768</v>
      </c>
      <c r="AG430" s="8">
        <f>YEAR(RawSalesTable6[[#This Row],[Order_Date]])</f>
        <v>2025</v>
      </c>
      <c r="AH430" s="8">
        <f>MONTH(RawSalesTable6[[#This Row],[Order_Date]])</f>
        <v>3</v>
      </c>
      <c r="AI430" s="8" t="str">
        <f>TEXT(RawSalesTable6[[#This Row],[Order_Date]],"mmmm")</f>
        <v>mars</v>
      </c>
      <c r="AJ430" s="8" t="str">
        <f>IF(RawSalesTable6[[#This Row],[Month_Number]]&lt;=3,"Q1",IF(RawSalesTable6[[#This Row],[Month_Number]]&lt;=6,"Q2",IF(RawSalesTable6[[#This Row],[Month_Number]]&lt;=9,"Q3","Q4")))</f>
        <v>Q1</v>
      </c>
      <c r="AK430" s="8" t="str">
        <f>VLOOKUP(RawSalesTable6[[#This Row],[Customer_ID_Clean]],CustomersTable[],4,FALSE)</f>
        <v>Quebec</v>
      </c>
      <c r="AL430" s="8">
        <f>IF(RawSalesTable6[[#This Row],[Return_Status]]="Yes",1,0)</f>
        <v>0</v>
      </c>
    </row>
    <row r="431" spans="1:38">
      <c r="A431" t="s">
        <v>859</v>
      </c>
      <c r="B431" s="3">
        <v>46004</v>
      </c>
      <c r="C431" t="s">
        <v>610</v>
      </c>
      <c r="D431" t="s">
        <v>190</v>
      </c>
      <c r="E431" t="s">
        <v>611</v>
      </c>
      <c r="F431" t="s">
        <v>145</v>
      </c>
      <c r="G431" t="s">
        <v>183</v>
      </c>
      <c r="H431" t="s">
        <v>89</v>
      </c>
      <c r="I431">
        <v>1</v>
      </c>
      <c r="J431" s="2">
        <v>273.05</v>
      </c>
      <c r="K431" s="4">
        <v>0</v>
      </c>
      <c r="L431" t="s">
        <v>106</v>
      </c>
      <c r="M431">
        <v>2</v>
      </c>
      <c r="N431" t="s">
        <v>147</v>
      </c>
      <c r="O431" t="str">
        <f>SUBSTITUTE(PROPER(TRIM(RawSalesTable6[[#This Row],[Channel_Raw]])),"Market Place","Marketplace")</f>
        <v>Online</v>
      </c>
      <c r="P431" t="str">
        <f>TRIM(RawSalesTable6[[#This Row],[Product_ID]])</f>
        <v>P1004</v>
      </c>
      <c r="Q431" t="str">
        <f>TRIM(RawSalesTable6[[#This Row],[Customer_ID]])</f>
        <v>C0051</v>
      </c>
      <c r="R431" s="8" t="str">
        <f>PROPER(TRIM(RawSalesTable6[[#This Row],[Store_Raw]]))</f>
        <v>Calgary North</v>
      </c>
      <c r="S431" s="8" t="str">
        <f>IF(TRIM(RawSalesTable6[[#This Row],[Payment_Method_Raw]])="","Non renseigné",SUBSTITUTE(PROPER(TRIM(RawSalesTable6[[#This Row],[Payment_Method_Raw]])),"Cc","Credit Card"))</f>
        <v>Credit Card</v>
      </c>
      <c r="T431" s="8">
        <f>COUNTIF(A:A,RawSalesTable6[[#This Row],[Order_ID]])</f>
        <v>1</v>
      </c>
      <c r="U431" s="8" t="str">
        <f>TRIM(LEFT(RawSalesTable6[[#This Row],[Customer_Info]],FIND(",",RawSalesTable6[[#This Row],[Customer_Info]])-1))</f>
        <v>Daniel Brown</v>
      </c>
      <c r="V431" s="8" t="str">
        <f>TRIM(MID(RawSalesTable6[[#This Row],[Customer_Info]],FIND(",",RawSalesTable6[[#This Row],[Customer_Info]])+1,FIND(",",RawSalesTable6[[#This Row],[Customer_Info]],FIND(",",RawSalesTable6[[#This Row],[Customer_Info]])+1)-FIND(",",RawSalesTable6[[#This Row],[Customer_Info]])-1))</f>
        <v>Vancouver</v>
      </c>
      <c r="W431" s="8" t="str">
        <f>TRIM(RIGHT(RawSalesTable6[[#This Row],[Customer_Info]],LEN(RawSalesTable6[[#This Row],[Customer_Info]])-FIND(",",RawSalesTable6[[#This Row],[Customer_Info]],FIND(",",RawSalesTable6[[#This Row],[Customer_Info]])+1)))</f>
        <v>Small Business</v>
      </c>
      <c r="X431" s="8" t="str">
        <f>VLOOKUP(RawSalesTable6[[#This Row],[Product_ID_Clean]],ProductsTable[],2,FALSE)</f>
        <v>Webcam</v>
      </c>
      <c r="Y431" s="8" t="str">
        <f>VLOOKUP(RawSalesTable6[[#This Row],[Product_ID_Clean]],ProductsTable[],3,FALSE)</f>
        <v>Electronics</v>
      </c>
      <c r="Z431" s="8">
        <f>VLOOKUP(RawSalesTable6[[#This Row],[Product_ID_Clean]],ProductsTable[],5,FALSE)</f>
        <v>154.72999999999999</v>
      </c>
      <c r="AA431" s="8">
        <f>RawSalesTable6[[#This Row],[Unit_Price]]*RawSalesTable6[[#This Row],[Quantity]]</f>
        <v>273.05</v>
      </c>
      <c r="AB431" s="8">
        <f>RawSalesTable6[[#This Row],[Gross_Sales]]*RawSalesTable6[[#This Row],[Discount_Pct]]</f>
        <v>0</v>
      </c>
      <c r="AC431" s="8">
        <f>RawSalesTable6[[#This Row],[Gross_Sales]]-RawSalesTable6[[#This Row],[Discount_Amount]]</f>
        <v>273.05</v>
      </c>
      <c r="AD431" s="8">
        <f>RawSalesTable6[[#This Row],[Unit_Cost]]*RawSalesTable6[[#This Row],[Quantity]]</f>
        <v>154.72999999999999</v>
      </c>
      <c r="AE431" s="8">
        <f>RawSalesTable6[[#This Row],[Net_Sales]]-RawSalesTable6[[#This Row],[Total_Cost]]</f>
        <v>118.32000000000002</v>
      </c>
      <c r="AF431" s="9">
        <f>RawSalesTable6[[#This Row],[Profit]]/RawSalesTable6[[#This Row],[Net_Sales]]</f>
        <v>0.43332722944515661</v>
      </c>
      <c r="AG431" s="8">
        <f>YEAR(RawSalesTable6[[#This Row],[Order_Date]])</f>
        <v>2025</v>
      </c>
      <c r="AH431" s="8">
        <f>MONTH(RawSalesTable6[[#This Row],[Order_Date]])</f>
        <v>12</v>
      </c>
      <c r="AI431" s="8" t="str">
        <f>TEXT(RawSalesTable6[[#This Row],[Order_Date]],"mmmm")</f>
        <v>décembre</v>
      </c>
      <c r="AJ431" s="8" t="str">
        <f>IF(RawSalesTable6[[#This Row],[Month_Number]]&lt;=3,"Q1",IF(RawSalesTable6[[#This Row],[Month_Number]]&lt;=6,"Q2",IF(RawSalesTable6[[#This Row],[Month_Number]]&lt;=9,"Q3","Q4")))</f>
        <v>Q4</v>
      </c>
      <c r="AK431" s="8" t="str">
        <f>VLOOKUP(RawSalesTable6[[#This Row],[Customer_ID_Clean]],CustomersTable[],4,FALSE)</f>
        <v>British Columbia</v>
      </c>
      <c r="AL431" s="8">
        <f>IF(RawSalesTable6[[#This Row],[Return_Status]]="Yes",1,0)</f>
        <v>1</v>
      </c>
    </row>
    <row r="432" spans="1:38">
      <c r="A432" t="s">
        <v>860</v>
      </c>
      <c r="B432" s="3">
        <v>45834</v>
      </c>
      <c r="C432" t="s">
        <v>507</v>
      </c>
      <c r="D432" t="s">
        <v>149</v>
      </c>
      <c r="E432" t="s">
        <v>508</v>
      </c>
      <c r="F432" t="s">
        <v>116</v>
      </c>
      <c r="G432" t="s">
        <v>88</v>
      </c>
      <c r="H432" t="s">
        <v>89</v>
      </c>
      <c r="I432">
        <v>1</v>
      </c>
      <c r="J432" s="2">
        <v>80.47</v>
      </c>
      <c r="K432" s="4">
        <v>0.25</v>
      </c>
      <c r="L432" t="s">
        <v>98</v>
      </c>
      <c r="M432">
        <v>4</v>
      </c>
      <c r="N432" t="s">
        <v>91</v>
      </c>
      <c r="O432" t="str">
        <f>SUBSTITUTE(PROPER(TRIM(RawSalesTable6[[#This Row],[Channel_Raw]])),"Market Place","Marketplace")</f>
        <v>Online</v>
      </c>
      <c r="P432" t="str">
        <f>TRIM(RawSalesTable6[[#This Row],[Product_ID]])</f>
        <v>P1011</v>
      </c>
      <c r="Q432" t="str">
        <f>TRIM(RawSalesTable6[[#This Row],[Customer_ID]])</f>
        <v>C0078</v>
      </c>
      <c r="R432" s="8" t="str">
        <f>PROPER(TRIM(RawSalesTable6[[#This Row],[Store_Raw]]))</f>
        <v>Toronto Downtown</v>
      </c>
      <c r="S432" s="8" t="str">
        <f>IF(TRIM(RawSalesTable6[[#This Row],[Payment_Method_Raw]])="","Non renseigné",SUBSTITUTE(PROPER(TRIM(RawSalesTable6[[#This Row],[Payment_Method_Raw]])),"Cc","Credit Card"))</f>
        <v>Debit Card</v>
      </c>
      <c r="T432" s="8">
        <f>COUNTIF(A:A,RawSalesTable6[[#This Row],[Order_ID]])</f>
        <v>1</v>
      </c>
      <c r="U432" s="8" t="str">
        <f>TRIM(LEFT(RawSalesTable6[[#This Row],[Customer_Info]],FIND(",",RawSalesTable6[[#This Row],[Customer_Info]])-1))</f>
        <v>Sarah Smith</v>
      </c>
      <c r="V432" s="8" t="str">
        <f>TRIM(MID(RawSalesTable6[[#This Row],[Customer_Info]],FIND(",",RawSalesTable6[[#This Row],[Customer_Info]])+1,FIND(",",RawSalesTable6[[#This Row],[Customer_Info]],FIND(",",RawSalesTable6[[#This Row],[Customer_Info]])+1)-FIND(",",RawSalesTable6[[#This Row],[Customer_Info]])-1))</f>
        <v>Edmonton</v>
      </c>
      <c r="W432" s="8" t="str">
        <f>TRIM(RIGHT(RawSalesTable6[[#This Row],[Customer_Info]],LEN(RawSalesTable6[[#This Row],[Customer_Info]])-FIND(",",RawSalesTable6[[#This Row],[Customer_Info]],FIND(",",RawSalesTable6[[#This Row],[Customer_Info]])+1)))</f>
        <v>Corporate</v>
      </c>
      <c r="X432" s="8" t="str">
        <f>VLOOKUP(RawSalesTable6[[#This Row],[Product_ID_Clean]],ProductsTable[],2,FALSE)</f>
        <v>Office Chair</v>
      </c>
      <c r="Y432" s="8" t="str">
        <f>VLOOKUP(RawSalesTable6[[#This Row],[Product_ID_Clean]],ProductsTable[],3,FALSE)</f>
        <v>Office</v>
      </c>
      <c r="Z432" s="8">
        <f>VLOOKUP(RawSalesTable6[[#This Row],[Product_ID_Clean]],ProductsTable[],5,FALSE)</f>
        <v>39.26</v>
      </c>
      <c r="AA432" s="8">
        <f>RawSalesTable6[[#This Row],[Unit_Price]]*RawSalesTable6[[#This Row],[Quantity]]</f>
        <v>80.47</v>
      </c>
      <c r="AB432" s="8">
        <f>RawSalesTable6[[#This Row],[Gross_Sales]]*RawSalesTable6[[#This Row],[Discount_Pct]]</f>
        <v>20.1175</v>
      </c>
      <c r="AC432" s="8">
        <f>RawSalesTable6[[#This Row],[Gross_Sales]]-RawSalesTable6[[#This Row],[Discount_Amount]]</f>
        <v>60.352499999999999</v>
      </c>
      <c r="AD432" s="8">
        <f>RawSalesTable6[[#This Row],[Unit_Cost]]*RawSalesTable6[[#This Row],[Quantity]]</f>
        <v>39.26</v>
      </c>
      <c r="AE432" s="8">
        <f>RawSalesTable6[[#This Row],[Net_Sales]]-RawSalesTable6[[#This Row],[Total_Cost]]</f>
        <v>21.092500000000001</v>
      </c>
      <c r="AF432" s="9">
        <f>RawSalesTable6[[#This Row],[Profit]]/RawSalesTable6[[#This Row],[Net_Sales]]</f>
        <v>0.34948842218632203</v>
      </c>
      <c r="AG432" s="8">
        <f>YEAR(RawSalesTable6[[#This Row],[Order_Date]])</f>
        <v>2025</v>
      </c>
      <c r="AH432" s="8">
        <f>MONTH(RawSalesTable6[[#This Row],[Order_Date]])</f>
        <v>6</v>
      </c>
      <c r="AI432" s="8" t="str">
        <f>TEXT(RawSalesTable6[[#This Row],[Order_Date]],"mmmm")</f>
        <v>juin</v>
      </c>
      <c r="AJ432" s="8" t="str">
        <f>IF(RawSalesTable6[[#This Row],[Month_Number]]&lt;=3,"Q1",IF(RawSalesTable6[[#This Row],[Month_Number]]&lt;=6,"Q2",IF(RawSalesTable6[[#This Row],[Month_Number]]&lt;=9,"Q3","Q4")))</f>
        <v>Q2</v>
      </c>
      <c r="AK432" s="8" t="str">
        <f>VLOOKUP(RawSalesTable6[[#This Row],[Customer_ID_Clean]],CustomersTable[],4,FALSE)</f>
        <v>Alberta</v>
      </c>
      <c r="AL432" s="8">
        <f>IF(RawSalesTable6[[#This Row],[Return_Status]]="Yes",1,0)</f>
        <v>0</v>
      </c>
    </row>
    <row r="433" spans="1:38">
      <c r="A433" t="s">
        <v>861</v>
      </c>
      <c r="B433" s="3">
        <v>45758</v>
      </c>
      <c r="C433" t="s">
        <v>349</v>
      </c>
      <c r="D433" t="s">
        <v>503</v>
      </c>
      <c r="E433" t="s">
        <v>350</v>
      </c>
      <c r="F433" t="s">
        <v>87</v>
      </c>
      <c r="G433" t="s">
        <v>104</v>
      </c>
      <c r="H433" t="s">
        <v>89</v>
      </c>
      <c r="I433">
        <v>1</v>
      </c>
      <c r="J433" s="2">
        <v>117.18</v>
      </c>
      <c r="K433" s="4">
        <v>0.05</v>
      </c>
      <c r="L433" t="s">
        <v>106</v>
      </c>
      <c r="M433">
        <v>7</v>
      </c>
      <c r="N433" t="s">
        <v>91</v>
      </c>
      <c r="O433" t="str">
        <f>SUBSTITUTE(PROPER(TRIM(RawSalesTable6[[#This Row],[Channel_Raw]])),"Market Place","Marketplace")</f>
        <v>Online</v>
      </c>
      <c r="P433" t="str">
        <f>TRIM(RawSalesTable6[[#This Row],[Product_ID]])</f>
        <v>P1013</v>
      </c>
      <c r="Q433" t="str">
        <f>TRIM(RawSalesTable6[[#This Row],[Customer_ID]])</f>
        <v>C0088</v>
      </c>
      <c r="R433" s="8" t="str">
        <f>PROPER(TRIM(RawSalesTable6[[#This Row],[Store_Raw]]))</f>
        <v>Online Fulfillment</v>
      </c>
      <c r="S433" s="8" t="str">
        <f>IF(TRIM(RawSalesTable6[[#This Row],[Payment_Method_Raw]])="","Non renseigné",SUBSTITUTE(PROPER(TRIM(RawSalesTable6[[#This Row],[Payment_Method_Raw]])),"Cc","Credit Card"))</f>
        <v>Credit Card</v>
      </c>
      <c r="T433" s="8">
        <f>COUNTIF(A:A,RawSalesTable6[[#This Row],[Order_ID]])</f>
        <v>1</v>
      </c>
      <c r="U433" s="8" t="str">
        <f>TRIM(LEFT(RawSalesTable6[[#This Row],[Customer_Info]],FIND(",",RawSalesTable6[[#This Row],[Customer_Info]])-1))</f>
        <v>Olivia Bennett</v>
      </c>
      <c r="V433" s="8" t="str">
        <f>TRIM(MID(RawSalesTable6[[#This Row],[Customer_Info]],FIND(",",RawSalesTable6[[#This Row],[Customer_Info]])+1,FIND(",",RawSalesTable6[[#This Row],[Customer_Info]],FIND(",",RawSalesTable6[[#This Row],[Customer_Info]])+1)-FIND(",",RawSalesTable6[[#This Row],[Customer_Info]])-1))</f>
        <v>Vancouver</v>
      </c>
      <c r="W433" s="8" t="str">
        <f>TRIM(RIGHT(RawSalesTable6[[#This Row],[Customer_Info]],LEN(RawSalesTable6[[#This Row],[Customer_Info]])-FIND(",",RawSalesTable6[[#This Row],[Customer_Info]],FIND(",",RawSalesTable6[[#This Row],[Customer_Info]])+1)))</f>
        <v>Small Business</v>
      </c>
      <c r="X433" s="8" t="str">
        <f>VLOOKUP(RawSalesTable6[[#This Row],[Product_ID_Clean]],ProductsTable[],2,FALSE)</f>
        <v>Whiteboard</v>
      </c>
      <c r="Y433" s="8" t="str">
        <f>VLOOKUP(RawSalesTable6[[#This Row],[Product_ID_Clean]],ProductsTable[],3,FALSE)</f>
        <v>Office</v>
      </c>
      <c r="Z433" s="8">
        <f>VLOOKUP(RawSalesTable6[[#This Row],[Product_ID_Clean]],ProductsTable[],5,FALSE)</f>
        <v>85.73</v>
      </c>
      <c r="AA433" s="8">
        <f>RawSalesTable6[[#This Row],[Unit_Price]]*RawSalesTable6[[#This Row],[Quantity]]</f>
        <v>117.18</v>
      </c>
      <c r="AB433" s="8">
        <f>RawSalesTable6[[#This Row],[Gross_Sales]]*RawSalesTable6[[#This Row],[Discount_Pct]]</f>
        <v>5.8590000000000009</v>
      </c>
      <c r="AC433" s="8">
        <f>RawSalesTable6[[#This Row],[Gross_Sales]]-RawSalesTable6[[#This Row],[Discount_Amount]]</f>
        <v>111.32100000000001</v>
      </c>
      <c r="AD433" s="8">
        <f>RawSalesTable6[[#This Row],[Unit_Cost]]*RawSalesTable6[[#This Row],[Quantity]]</f>
        <v>85.73</v>
      </c>
      <c r="AE433" s="8">
        <f>RawSalesTable6[[#This Row],[Net_Sales]]-RawSalesTable6[[#This Row],[Total_Cost]]</f>
        <v>25.591000000000008</v>
      </c>
      <c r="AF433" s="9">
        <f>RawSalesTable6[[#This Row],[Profit]]/RawSalesTable6[[#This Row],[Net_Sales]]</f>
        <v>0.22988474771157288</v>
      </c>
      <c r="AG433" s="8">
        <f>YEAR(RawSalesTable6[[#This Row],[Order_Date]])</f>
        <v>2025</v>
      </c>
      <c r="AH433" s="8">
        <f>MONTH(RawSalesTable6[[#This Row],[Order_Date]])</f>
        <v>4</v>
      </c>
      <c r="AI433" s="8" t="str">
        <f>TEXT(RawSalesTable6[[#This Row],[Order_Date]],"mmmm")</f>
        <v>avril</v>
      </c>
      <c r="AJ433" s="8" t="str">
        <f>IF(RawSalesTable6[[#This Row],[Month_Number]]&lt;=3,"Q1",IF(RawSalesTable6[[#This Row],[Month_Number]]&lt;=6,"Q2",IF(RawSalesTable6[[#This Row],[Month_Number]]&lt;=9,"Q3","Q4")))</f>
        <v>Q2</v>
      </c>
      <c r="AK433" s="8" t="str">
        <f>VLOOKUP(RawSalesTable6[[#This Row],[Customer_ID_Clean]],CustomersTable[],4,FALSE)</f>
        <v>British Columbia</v>
      </c>
      <c r="AL433" s="8">
        <f>IF(RawSalesTable6[[#This Row],[Return_Status]]="Yes",1,0)</f>
        <v>0</v>
      </c>
    </row>
    <row r="434" spans="1:38">
      <c r="A434" t="s">
        <v>862</v>
      </c>
      <c r="B434" s="3">
        <v>45671</v>
      </c>
      <c r="C434" t="s">
        <v>523</v>
      </c>
      <c r="D434" t="s">
        <v>136</v>
      </c>
      <c r="E434" t="s">
        <v>524</v>
      </c>
      <c r="F434" t="s">
        <v>145</v>
      </c>
      <c r="G434" t="s">
        <v>96</v>
      </c>
      <c r="H434" t="s">
        <v>97</v>
      </c>
      <c r="I434">
        <v>1</v>
      </c>
      <c r="J434" s="2">
        <v>161.27000000000001</v>
      </c>
      <c r="K434" s="4">
        <v>0</v>
      </c>
      <c r="L434" t="s">
        <v>90</v>
      </c>
      <c r="M434">
        <v>1</v>
      </c>
      <c r="N434" t="s">
        <v>91</v>
      </c>
      <c r="O434" t="str">
        <f>SUBSTITUTE(PROPER(TRIM(RawSalesTable6[[#This Row],[Channel_Raw]])),"Market Place","Marketplace")</f>
        <v>Retail Store</v>
      </c>
      <c r="P434" t="str">
        <f>TRIM(RawSalesTable6[[#This Row],[Product_ID]])</f>
        <v>P1003</v>
      </c>
      <c r="Q434" t="str">
        <f>TRIM(RawSalesTable6[[#This Row],[Customer_ID]])</f>
        <v>C0115</v>
      </c>
      <c r="R434" s="8" t="str">
        <f>PROPER(TRIM(RawSalesTable6[[#This Row],[Store_Raw]]))</f>
        <v>Calgary North</v>
      </c>
      <c r="S434" s="8" t="str">
        <f>IF(TRIM(RawSalesTable6[[#This Row],[Payment_Method_Raw]])="","Non renseigné",SUBSTITUTE(PROPER(TRIM(RawSalesTable6[[#This Row],[Payment_Method_Raw]])),"Cc","Credit Card"))</f>
        <v>Paypal</v>
      </c>
      <c r="T434" s="8">
        <f>COUNTIF(A:A,RawSalesTable6[[#This Row],[Order_ID]])</f>
        <v>1</v>
      </c>
      <c r="U434" s="8" t="str">
        <f>TRIM(LEFT(RawSalesTable6[[#This Row],[Customer_Info]],FIND(",",RawSalesTable6[[#This Row],[Customer_Info]])-1))</f>
        <v>Nora Lee</v>
      </c>
      <c r="V434" s="8" t="str">
        <f>TRIM(MID(RawSalesTable6[[#This Row],[Customer_Info]],FIND(",",RawSalesTable6[[#This Row],[Customer_Info]])+1,FIND(",",RawSalesTable6[[#This Row],[Customer_Info]],FIND(",",RawSalesTable6[[#This Row],[Customer_Info]])+1)-FIND(",",RawSalesTable6[[#This Row],[Customer_Info]])-1))</f>
        <v>Calgary</v>
      </c>
      <c r="W434" s="8" t="str">
        <f>TRIM(RIGHT(RawSalesTable6[[#This Row],[Customer_Info]],LEN(RawSalesTable6[[#This Row],[Customer_Info]])-FIND(",",RawSalesTable6[[#This Row],[Customer_Info]],FIND(",",RawSalesTable6[[#This Row],[Customer_Info]])+1)))</f>
        <v>Consumer</v>
      </c>
      <c r="X434" s="8" t="str">
        <f>VLOOKUP(RawSalesTable6[[#This Row],[Product_ID_Clean]],ProductsTable[],2,FALSE)</f>
        <v>Mouse</v>
      </c>
      <c r="Y434" s="8" t="str">
        <f>VLOOKUP(RawSalesTable6[[#This Row],[Product_ID_Clean]],ProductsTable[],3,FALSE)</f>
        <v>Electronics</v>
      </c>
      <c r="Z434" s="8">
        <f>VLOOKUP(RawSalesTable6[[#This Row],[Product_ID_Clean]],ProductsTable[],5,FALSE)</f>
        <v>106.4</v>
      </c>
      <c r="AA434" s="8">
        <f>RawSalesTable6[[#This Row],[Unit_Price]]*RawSalesTable6[[#This Row],[Quantity]]</f>
        <v>161.27000000000001</v>
      </c>
      <c r="AB434" s="8">
        <f>RawSalesTable6[[#This Row],[Gross_Sales]]*RawSalesTable6[[#This Row],[Discount_Pct]]</f>
        <v>0</v>
      </c>
      <c r="AC434" s="8">
        <f>RawSalesTable6[[#This Row],[Gross_Sales]]-RawSalesTable6[[#This Row],[Discount_Amount]]</f>
        <v>161.27000000000001</v>
      </c>
      <c r="AD434" s="8">
        <f>RawSalesTable6[[#This Row],[Unit_Cost]]*RawSalesTable6[[#This Row],[Quantity]]</f>
        <v>106.4</v>
      </c>
      <c r="AE434" s="8">
        <f>RawSalesTable6[[#This Row],[Net_Sales]]-RawSalesTable6[[#This Row],[Total_Cost]]</f>
        <v>54.870000000000005</v>
      </c>
      <c r="AF434" s="9">
        <f>RawSalesTable6[[#This Row],[Profit]]/RawSalesTable6[[#This Row],[Net_Sales]]</f>
        <v>0.34023686984560053</v>
      </c>
      <c r="AG434" s="8">
        <f>YEAR(RawSalesTable6[[#This Row],[Order_Date]])</f>
        <v>2025</v>
      </c>
      <c r="AH434" s="8">
        <f>MONTH(RawSalesTable6[[#This Row],[Order_Date]])</f>
        <v>1</v>
      </c>
      <c r="AI434" s="8" t="str">
        <f>TEXT(RawSalesTable6[[#This Row],[Order_Date]],"mmmm")</f>
        <v>janvier</v>
      </c>
      <c r="AJ434" s="8" t="str">
        <f>IF(RawSalesTable6[[#This Row],[Month_Number]]&lt;=3,"Q1",IF(RawSalesTable6[[#This Row],[Month_Number]]&lt;=6,"Q2",IF(RawSalesTable6[[#This Row],[Month_Number]]&lt;=9,"Q3","Q4")))</f>
        <v>Q1</v>
      </c>
      <c r="AK434" s="8" t="str">
        <f>VLOOKUP(RawSalesTable6[[#This Row],[Customer_ID_Clean]],CustomersTable[],4,FALSE)</f>
        <v>Alberta</v>
      </c>
      <c r="AL434" s="8">
        <f>IF(RawSalesTable6[[#This Row],[Return_Status]]="Yes",1,0)</f>
        <v>0</v>
      </c>
    </row>
    <row r="435" spans="1:38">
      <c r="A435" t="s">
        <v>863</v>
      </c>
      <c r="B435" s="3">
        <v>45847</v>
      </c>
      <c r="C435" t="s">
        <v>193</v>
      </c>
      <c r="D435" t="s">
        <v>520</v>
      </c>
      <c r="E435" t="s">
        <v>195</v>
      </c>
      <c r="F435" t="s">
        <v>103</v>
      </c>
      <c r="G435" t="s">
        <v>88</v>
      </c>
      <c r="H435" t="s">
        <v>97</v>
      </c>
      <c r="I435">
        <v>1</v>
      </c>
      <c r="J435" s="2">
        <v>376.37</v>
      </c>
      <c r="K435" s="4">
        <v>0.15</v>
      </c>
      <c r="L435" t="s">
        <v>106</v>
      </c>
      <c r="M435">
        <v>4</v>
      </c>
      <c r="N435" t="s">
        <v>147</v>
      </c>
      <c r="O435" t="str">
        <f>SUBSTITUTE(PROPER(TRIM(RawSalesTable6[[#This Row],[Channel_Raw]])),"Market Place","Marketplace")</f>
        <v>Retail Store</v>
      </c>
      <c r="P435" t="str">
        <f>TRIM(RawSalesTable6[[#This Row],[Product_ID]])</f>
        <v>P1017</v>
      </c>
      <c r="Q435" t="str">
        <f>TRIM(RawSalesTable6[[#This Row],[Customer_ID]])</f>
        <v>C0023</v>
      </c>
      <c r="R435" s="8" t="str">
        <f>PROPER(TRIM(RawSalesTable6[[#This Row],[Store_Raw]]))</f>
        <v>Vancouver West</v>
      </c>
      <c r="S435" s="8" t="str">
        <f>IF(TRIM(RawSalesTable6[[#This Row],[Payment_Method_Raw]])="","Non renseigné",SUBSTITUTE(PROPER(TRIM(RawSalesTable6[[#This Row],[Payment_Method_Raw]])),"Cc","Credit Card"))</f>
        <v>Credit Card</v>
      </c>
      <c r="T435" s="8">
        <f>COUNTIF(A:A,RawSalesTable6[[#This Row],[Order_ID]])</f>
        <v>1</v>
      </c>
      <c r="U435" s="8" t="str">
        <f>TRIM(LEFT(RawSalesTable6[[#This Row],[Customer_Info]],FIND(",",RawSalesTable6[[#This Row],[Customer_Info]])-1))</f>
        <v>Ryan Gagnon</v>
      </c>
      <c r="V435" s="8" t="str">
        <f>TRIM(MID(RawSalesTable6[[#This Row],[Customer_Info]],FIND(",",RawSalesTable6[[#This Row],[Customer_Info]])+1,FIND(",",RawSalesTable6[[#This Row],[Customer_Info]],FIND(",",RawSalesTable6[[#This Row],[Customer_Info]])+1)-FIND(",",RawSalesTable6[[#This Row],[Customer_Info]])-1))</f>
        <v>Ottawa</v>
      </c>
      <c r="W435" s="8" t="str">
        <f>TRIM(RIGHT(RawSalesTable6[[#This Row],[Customer_Info]],LEN(RawSalesTable6[[#This Row],[Customer_Info]])-FIND(",",RawSalesTable6[[#This Row],[Customer_Info]],FIND(",",RawSalesTable6[[#This Row],[Customer_Info]])+1)))</f>
        <v>Small Business</v>
      </c>
      <c r="X435" s="8" t="str">
        <f>VLOOKUP(RawSalesTable6[[#This Row],[Product_ID_Clean]],ProductsTable[],2,FALSE)</f>
        <v>Coffee Maker</v>
      </c>
      <c r="Y435" s="8" t="str">
        <f>VLOOKUP(RawSalesTable6[[#This Row],[Product_ID_Clean]],ProductsTable[],3,FALSE)</f>
        <v>Home</v>
      </c>
      <c r="Z435" s="8">
        <f>VLOOKUP(RawSalesTable6[[#This Row],[Product_ID_Clean]],ProductsTable[],5,FALSE)</f>
        <v>241.16</v>
      </c>
      <c r="AA435" s="8">
        <f>RawSalesTable6[[#This Row],[Unit_Price]]*RawSalesTable6[[#This Row],[Quantity]]</f>
        <v>376.37</v>
      </c>
      <c r="AB435" s="8">
        <f>RawSalesTable6[[#This Row],[Gross_Sales]]*RawSalesTable6[[#This Row],[Discount_Pct]]</f>
        <v>56.455500000000001</v>
      </c>
      <c r="AC435" s="8">
        <f>RawSalesTable6[[#This Row],[Gross_Sales]]-RawSalesTable6[[#This Row],[Discount_Amount]]</f>
        <v>319.91449999999998</v>
      </c>
      <c r="AD435" s="8">
        <f>RawSalesTable6[[#This Row],[Unit_Cost]]*RawSalesTable6[[#This Row],[Quantity]]</f>
        <v>241.16</v>
      </c>
      <c r="AE435" s="8">
        <f>RawSalesTable6[[#This Row],[Net_Sales]]-RawSalesTable6[[#This Row],[Total_Cost]]</f>
        <v>78.754499999999979</v>
      </c>
      <c r="AF435" s="9">
        <f>RawSalesTable6[[#This Row],[Profit]]/RawSalesTable6[[#This Row],[Net_Sales]]</f>
        <v>0.24617358700527792</v>
      </c>
      <c r="AG435" s="8">
        <f>YEAR(RawSalesTable6[[#This Row],[Order_Date]])</f>
        <v>2025</v>
      </c>
      <c r="AH435" s="8">
        <f>MONTH(RawSalesTable6[[#This Row],[Order_Date]])</f>
        <v>7</v>
      </c>
      <c r="AI435" s="8" t="str">
        <f>TEXT(RawSalesTable6[[#This Row],[Order_Date]],"mmmm")</f>
        <v>juillet</v>
      </c>
      <c r="AJ435" s="8" t="str">
        <f>IF(RawSalesTable6[[#This Row],[Month_Number]]&lt;=3,"Q1",IF(RawSalesTable6[[#This Row],[Month_Number]]&lt;=6,"Q2",IF(RawSalesTable6[[#This Row],[Month_Number]]&lt;=9,"Q3","Q4")))</f>
        <v>Q3</v>
      </c>
      <c r="AK435" s="8" t="str">
        <f>VLOOKUP(RawSalesTable6[[#This Row],[Customer_ID_Clean]],CustomersTable[],4,FALSE)</f>
        <v>Ontario</v>
      </c>
      <c r="AL435" s="8">
        <f>IF(RawSalesTable6[[#This Row],[Return_Status]]="Yes",1,0)</f>
        <v>1</v>
      </c>
    </row>
    <row r="436" spans="1:38">
      <c r="A436" t="s">
        <v>864</v>
      </c>
      <c r="B436" s="3">
        <v>45689</v>
      </c>
      <c r="C436" t="s">
        <v>273</v>
      </c>
      <c r="D436" t="s">
        <v>520</v>
      </c>
      <c r="E436" t="s">
        <v>274</v>
      </c>
      <c r="F436" t="s">
        <v>111</v>
      </c>
      <c r="G436" t="s">
        <v>104</v>
      </c>
      <c r="H436" t="s">
        <v>105</v>
      </c>
      <c r="I436">
        <v>5</v>
      </c>
      <c r="J436" s="2">
        <v>356.85</v>
      </c>
      <c r="K436" s="4">
        <v>0</v>
      </c>
      <c r="L436" t="s">
        <v>90</v>
      </c>
      <c r="M436">
        <v>1</v>
      </c>
      <c r="N436" t="s">
        <v>91</v>
      </c>
      <c r="O436" t="str">
        <f>SUBSTITUTE(PROPER(TRIM(RawSalesTable6[[#This Row],[Channel_Raw]])),"Market Place","Marketplace")</f>
        <v>Marketplace</v>
      </c>
      <c r="P436" t="str">
        <f>TRIM(RawSalesTable6[[#This Row],[Product_ID]])</f>
        <v>P1017</v>
      </c>
      <c r="Q436" t="str">
        <f>TRIM(RawSalesTable6[[#This Row],[Customer_ID]])</f>
        <v>C0066</v>
      </c>
      <c r="R436" s="8" t="str">
        <f>PROPER(TRIM(RawSalesTable6[[#This Row],[Store_Raw]]))</f>
        <v>Montreal Central</v>
      </c>
      <c r="S436" s="8" t="str">
        <f>IF(TRIM(RawSalesTable6[[#This Row],[Payment_Method_Raw]])="","Non renseigné",SUBSTITUTE(PROPER(TRIM(RawSalesTable6[[#This Row],[Payment_Method_Raw]])),"Cc","Credit Card"))</f>
        <v>Paypal</v>
      </c>
      <c r="T436" s="8">
        <f>COUNTIF(A:A,RawSalesTable6[[#This Row],[Order_ID]])</f>
        <v>1</v>
      </c>
      <c r="U436" s="8" t="str">
        <f>TRIM(LEFT(RawSalesTable6[[#This Row],[Customer_Info]],FIND(",",RawSalesTable6[[#This Row],[Customer_Info]])-1))</f>
        <v>Noah Clark</v>
      </c>
      <c r="V436" s="8" t="str">
        <f>TRIM(MID(RawSalesTable6[[#This Row],[Customer_Info]],FIND(",",RawSalesTable6[[#This Row],[Customer_Info]])+1,FIND(",",RawSalesTable6[[#This Row],[Customer_Info]],FIND(",",RawSalesTable6[[#This Row],[Customer_Info]])+1)-FIND(",",RawSalesTable6[[#This Row],[Customer_Info]])-1))</f>
        <v>Laval</v>
      </c>
      <c r="W436" s="8" t="str">
        <f>TRIM(RIGHT(RawSalesTable6[[#This Row],[Customer_Info]],LEN(RawSalesTable6[[#This Row],[Customer_Info]])-FIND(",",RawSalesTable6[[#This Row],[Customer_Info]],FIND(",",RawSalesTable6[[#This Row],[Customer_Info]])+1)))</f>
        <v>Consumer</v>
      </c>
      <c r="X436" s="8" t="str">
        <f>VLOOKUP(RawSalesTable6[[#This Row],[Product_ID_Clean]],ProductsTable[],2,FALSE)</f>
        <v>Coffee Maker</v>
      </c>
      <c r="Y436" s="8" t="str">
        <f>VLOOKUP(RawSalesTable6[[#This Row],[Product_ID_Clean]],ProductsTable[],3,FALSE)</f>
        <v>Home</v>
      </c>
      <c r="Z436" s="8">
        <f>VLOOKUP(RawSalesTable6[[#This Row],[Product_ID_Clean]],ProductsTable[],5,FALSE)</f>
        <v>241.16</v>
      </c>
      <c r="AA436" s="8">
        <f>RawSalesTable6[[#This Row],[Unit_Price]]*RawSalesTable6[[#This Row],[Quantity]]</f>
        <v>1784.25</v>
      </c>
      <c r="AB436" s="8">
        <f>RawSalesTable6[[#This Row],[Gross_Sales]]*RawSalesTable6[[#This Row],[Discount_Pct]]</f>
        <v>0</v>
      </c>
      <c r="AC436" s="8">
        <f>RawSalesTable6[[#This Row],[Gross_Sales]]-RawSalesTable6[[#This Row],[Discount_Amount]]</f>
        <v>1784.25</v>
      </c>
      <c r="AD436" s="8">
        <f>RawSalesTable6[[#This Row],[Unit_Cost]]*RawSalesTable6[[#This Row],[Quantity]]</f>
        <v>1205.8</v>
      </c>
      <c r="AE436" s="8">
        <f>RawSalesTable6[[#This Row],[Net_Sales]]-RawSalesTable6[[#This Row],[Total_Cost]]</f>
        <v>578.45000000000005</v>
      </c>
      <c r="AF436" s="9">
        <f>RawSalesTable6[[#This Row],[Profit]]/RawSalesTable6[[#This Row],[Net_Sales]]</f>
        <v>0.32419784223062914</v>
      </c>
      <c r="AG436" s="8">
        <f>YEAR(RawSalesTable6[[#This Row],[Order_Date]])</f>
        <v>2025</v>
      </c>
      <c r="AH436" s="8">
        <f>MONTH(RawSalesTable6[[#This Row],[Order_Date]])</f>
        <v>2</v>
      </c>
      <c r="AI436" s="8" t="str">
        <f>TEXT(RawSalesTable6[[#This Row],[Order_Date]],"mmmm")</f>
        <v>février</v>
      </c>
      <c r="AJ436" s="8" t="str">
        <f>IF(RawSalesTable6[[#This Row],[Month_Number]]&lt;=3,"Q1",IF(RawSalesTable6[[#This Row],[Month_Number]]&lt;=6,"Q2",IF(RawSalesTable6[[#This Row],[Month_Number]]&lt;=9,"Q3","Q4")))</f>
        <v>Q1</v>
      </c>
      <c r="AK436" s="8" t="str">
        <f>VLOOKUP(RawSalesTable6[[#This Row],[Customer_ID_Clean]],CustomersTable[],4,FALSE)</f>
        <v>Quebec</v>
      </c>
      <c r="AL436" s="8">
        <f>IF(RawSalesTable6[[#This Row],[Return_Status]]="Yes",1,0)</f>
        <v>0</v>
      </c>
    </row>
    <row r="437" spans="1:38">
      <c r="A437" t="s">
        <v>865</v>
      </c>
      <c r="B437" s="3">
        <v>45671</v>
      </c>
      <c r="C437" t="s">
        <v>322</v>
      </c>
      <c r="D437" t="s">
        <v>252</v>
      </c>
      <c r="E437" t="s">
        <v>470</v>
      </c>
      <c r="F437" t="s">
        <v>116</v>
      </c>
      <c r="G437" t="s">
        <v>96</v>
      </c>
      <c r="H437" t="s">
        <v>97</v>
      </c>
      <c r="I437">
        <v>5</v>
      </c>
      <c r="J437" s="2">
        <v>277.52999999999997</v>
      </c>
      <c r="K437" s="4">
        <v>0.25</v>
      </c>
      <c r="L437" t="s">
        <v>106</v>
      </c>
      <c r="M437">
        <v>0</v>
      </c>
      <c r="N437" t="s">
        <v>91</v>
      </c>
      <c r="O437" t="str">
        <f>SUBSTITUTE(PROPER(TRIM(RawSalesTable6[[#This Row],[Channel_Raw]])),"Market Place","Marketplace")</f>
        <v>Retail Store</v>
      </c>
      <c r="P437" t="str">
        <f>TRIM(RawSalesTable6[[#This Row],[Product_ID]])</f>
        <v>P1019</v>
      </c>
      <c r="Q437" t="str">
        <f>TRIM(RawSalesTable6[[#This Row],[Customer_ID]])</f>
        <v>C0119</v>
      </c>
      <c r="R437" s="8" t="str">
        <f>PROPER(TRIM(RawSalesTable6[[#This Row],[Store_Raw]]))</f>
        <v>Toronto Downtown</v>
      </c>
      <c r="S437" s="8" t="str">
        <f>IF(TRIM(RawSalesTable6[[#This Row],[Payment_Method_Raw]])="","Non renseigné",SUBSTITUTE(PROPER(TRIM(RawSalesTable6[[#This Row],[Payment_Method_Raw]])),"Cc","Credit Card"))</f>
        <v>Credit Card</v>
      </c>
      <c r="T437" s="8">
        <f>COUNTIF(A:A,RawSalesTable6[[#This Row],[Order_ID]])</f>
        <v>1</v>
      </c>
      <c r="U437" s="8" t="str">
        <f>TRIM(LEFT(RawSalesTable6[[#This Row],[Customer_Info]],FIND(",",RawSalesTable6[[#This Row],[Customer_Info]])-1))</f>
        <v>Liam Chen</v>
      </c>
      <c r="V437" s="8" t="str">
        <f>TRIM(MID(RawSalesTable6[[#This Row],[Customer_Info]],FIND(",",RawSalesTable6[[#This Row],[Customer_Info]])+1,FIND(",",RawSalesTable6[[#This Row],[Customer_Info]],FIND(",",RawSalesTable6[[#This Row],[Customer_Info]])+1)-FIND(",",RawSalesTable6[[#This Row],[Customer_Info]])-1))</f>
        <v>Winnipeg</v>
      </c>
      <c r="W437" s="8" t="str">
        <f>TRIM(RIGHT(RawSalesTable6[[#This Row],[Customer_Info]],LEN(RawSalesTable6[[#This Row],[Customer_Info]])-FIND(",",RawSalesTable6[[#This Row],[Customer_Info]],FIND(",",RawSalesTable6[[#This Row],[Customer_Info]])+1)))</f>
        <v>Consumer</v>
      </c>
      <c r="X437" s="8" t="str">
        <f>VLOOKUP(RawSalesTable6[[#This Row],[Product_ID_Clean]],ProductsTable[],2,FALSE)</f>
        <v>Vacuum</v>
      </c>
      <c r="Y437" s="8" t="str">
        <f>VLOOKUP(RawSalesTable6[[#This Row],[Product_ID_Clean]],ProductsTable[],3,FALSE)</f>
        <v>Home</v>
      </c>
      <c r="Z437" s="8">
        <f>VLOOKUP(RawSalesTable6[[#This Row],[Product_ID_Clean]],ProductsTable[],5,FALSE)</f>
        <v>186.94</v>
      </c>
      <c r="AA437" s="8">
        <f>RawSalesTable6[[#This Row],[Unit_Price]]*RawSalesTable6[[#This Row],[Quantity]]</f>
        <v>1387.6499999999999</v>
      </c>
      <c r="AB437" s="8">
        <f>RawSalesTable6[[#This Row],[Gross_Sales]]*RawSalesTable6[[#This Row],[Discount_Pct]]</f>
        <v>346.91249999999997</v>
      </c>
      <c r="AC437" s="8">
        <f>RawSalesTable6[[#This Row],[Gross_Sales]]-RawSalesTable6[[#This Row],[Discount_Amount]]</f>
        <v>1040.7375</v>
      </c>
      <c r="AD437" s="8">
        <f>RawSalesTable6[[#This Row],[Unit_Cost]]*RawSalesTable6[[#This Row],[Quantity]]</f>
        <v>934.7</v>
      </c>
      <c r="AE437" s="8">
        <f>RawSalesTable6[[#This Row],[Net_Sales]]-RawSalesTable6[[#This Row],[Total_Cost]]</f>
        <v>106.03749999999991</v>
      </c>
      <c r="AF437" s="9">
        <f>RawSalesTable6[[#This Row],[Profit]]/RawSalesTable6[[#This Row],[Net_Sales]]</f>
        <v>0.10188688309972486</v>
      </c>
      <c r="AG437" s="8">
        <f>YEAR(RawSalesTable6[[#This Row],[Order_Date]])</f>
        <v>2025</v>
      </c>
      <c r="AH437" s="8">
        <f>MONTH(RawSalesTable6[[#This Row],[Order_Date]])</f>
        <v>1</v>
      </c>
      <c r="AI437" s="8" t="str">
        <f>TEXT(RawSalesTable6[[#This Row],[Order_Date]],"mmmm")</f>
        <v>janvier</v>
      </c>
      <c r="AJ437" s="8" t="str">
        <f>IF(RawSalesTable6[[#This Row],[Month_Number]]&lt;=3,"Q1",IF(RawSalesTable6[[#This Row],[Month_Number]]&lt;=6,"Q2",IF(RawSalesTable6[[#This Row],[Month_Number]]&lt;=9,"Q3","Q4")))</f>
        <v>Q1</v>
      </c>
      <c r="AK437" s="8" t="str">
        <f>VLOOKUP(RawSalesTable6[[#This Row],[Customer_ID_Clean]],CustomersTable[],4,FALSE)</f>
        <v>Manitoba</v>
      </c>
      <c r="AL437" s="8">
        <f>IF(RawSalesTable6[[#This Row],[Return_Status]]="Yes",1,0)</f>
        <v>0</v>
      </c>
    </row>
    <row r="438" spans="1:38">
      <c r="A438" t="s">
        <v>866</v>
      </c>
      <c r="B438" s="3">
        <v>46003</v>
      </c>
      <c r="C438" t="s">
        <v>613</v>
      </c>
      <c r="D438" t="s">
        <v>85</v>
      </c>
      <c r="E438" t="s">
        <v>710</v>
      </c>
      <c r="F438" t="s">
        <v>116</v>
      </c>
      <c r="G438" t="s">
        <v>183</v>
      </c>
      <c r="H438" t="s">
        <v>89</v>
      </c>
      <c r="I438">
        <v>1</v>
      </c>
      <c r="J438" s="2">
        <v>302.3</v>
      </c>
      <c r="K438" s="4">
        <v>0</v>
      </c>
      <c r="L438" t="s">
        <v>106</v>
      </c>
      <c r="M438">
        <v>3</v>
      </c>
      <c r="N438" t="s">
        <v>91</v>
      </c>
      <c r="O438" t="str">
        <f>SUBSTITUTE(PROPER(TRIM(RawSalesTable6[[#This Row],[Channel_Raw]])),"Market Place","Marketplace")</f>
        <v>Online</v>
      </c>
      <c r="P438" t="str">
        <f>TRIM(RawSalesTable6[[#This Row],[Product_ID]])</f>
        <v>P1025</v>
      </c>
      <c r="Q438" t="str">
        <f>TRIM(RawSalesTable6[[#This Row],[Customer_ID]])</f>
        <v>C0060</v>
      </c>
      <c r="R438" s="8" t="str">
        <f>PROPER(TRIM(RawSalesTable6[[#This Row],[Store_Raw]]))</f>
        <v>Toronto Downtown</v>
      </c>
      <c r="S438" s="8" t="str">
        <f>IF(TRIM(RawSalesTable6[[#This Row],[Payment_Method_Raw]])="","Non renseigné",SUBSTITUTE(PROPER(TRIM(RawSalesTable6[[#This Row],[Payment_Method_Raw]])),"Cc","Credit Card"))</f>
        <v>Credit Card</v>
      </c>
      <c r="T438" s="8">
        <f>COUNTIF(A:A,RawSalesTable6[[#This Row],[Order_ID]])</f>
        <v>1</v>
      </c>
      <c r="U438" s="8" t="str">
        <f>TRIM(LEFT(RawSalesTable6[[#This Row],[Customer_Info]],FIND(",",RawSalesTable6[[#This Row],[Customer_Info]])-1))</f>
        <v>Sarah Wilson</v>
      </c>
      <c r="V438" s="8" t="str">
        <f>TRIM(MID(RawSalesTable6[[#This Row],[Customer_Info]],FIND(",",RawSalesTable6[[#This Row],[Customer_Info]])+1,FIND(",",RawSalesTable6[[#This Row],[Customer_Info]],FIND(",",RawSalesTable6[[#This Row],[Customer_Info]])+1)-FIND(",",RawSalesTable6[[#This Row],[Customer_Info]])-1))</f>
        <v>Quebec City</v>
      </c>
      <c r="W438" s="8" t="str">
        <f>TRIM(RIGHT(RawSalesTable6[[#This Row],[Customer_Info]],LEN(RawSalesTable6[[#This Row],[Customer_Info]])-FIND(",",RawSalesTable6[[#This Row],[Customer_Info]],FIND(",",RawSalesTable6[[#This Row],[Customer_Info]])+1)))</f>
        <v>Corporate</v>
      </c>
      <c r="X438" s="8" t="str">
        <f>VLOOKUP(RawSalesTable6[[#This Row],[Product_ID_Clean]],ProductsTable[],2,FALSE)</f>
        <v>Yoga Mat</v>
      </c>
      <c r="Y438" s="8" t="str">
        <f>VLOOKUP(RawSalesTable6[[#This Row],[Product_ID_Clean]],ProductsTable[],3,FALSE)</f>
        <v>Fitness</v>
      </c>
      <c r="Z438" s="8">
        <f>VLOOKUP(RawSalesTable6[[#This Row],[Product_ID_Clean]],ProductsTable[],5,FALSE)</f>
        <v>197.33</v>
      </c>
      <c r="AA438" s="8">
        <f>RawSalesTable6[[#This Row],[Unit_Price]]*RawSalesTable6[[#This Row],[Quantity]]</f>
        <v>302.3</v>
      </c>
      <c r="AB438" s="8">
        <f>RawSalesTable6[[#This Row],[Gross_Sales]]*RawSalesTable6[[#This Row],[Discount_Pct]]</f>
        <v>0</v>
      </c>
      <c r="AC438" s="8">
        <f>RawSalesTable6[[#This Row],[Gross_Sales]]-RawSalesTable6[[#This Row],[Discount_Amount]]</f>
        <v>302.3</v>
      </c>
      <c r="AD438" s="8">
        <f>RawSalesTable6[[#This Row],[Unit_Cost]]*RawSalesTable6[[#This Row],[Quantity]]</f>
        <v>197.33</v>
      </c>
      <c r="AE438" s="8">
        <f>RawSalesTable6[[#This Row],[Net_Sales]]-RawSalesTable6[[#This Row],[Total_Cost]]</f>
        <v>104.97</v>
      </c>
      <c r="AF438" s="9">
        <f>RawSalesTable6[[#This Row],[Profit]]/RawSalesTable6[[#This Row],[Net_Sales]]</f>
        <v>0.34723784320211709</v>
      </c>
      <c r="AG438" s="8">
        <f>YEAR(RawSalesTable6[[#This Row],[Order_Date]])</f>
        <v>2025</v>
      </c>
      <c r="AH438" s="8">
        <f>MONTH(RawSalesTable6[[#This Row],[Order_Date]])</f>
        <v>12</v>
      </c>
      <c r="AI438" s="8" t="str">
        <f>TEXT(RawSalesTable6[[#This Row],[Order_Date]],"mmmm")</f>
        <v>décembre</v>
      </c>
      <c r="AJ438" s="8" t="str">
        <f>IF(RawSalesTable6[[#This Row],[Month_Number]]&lt;=3,"Q1",IF(RawSalesTable6[[#This Row],[Month_Number]]&lt;=6,"Q2",IF(RawSalesTable6[[#This Row],[Month_Number]]&lt;=9,"Q3","Q4")))</f>
        <v>Q4</v>
      </c>
      <c r="AK438" s="8" t="str">
        <f>VLOOKUP(RawSalesTable6[[#This Row],[Customer_ID_Clean]],CustomersTable[],4,FALSE)</f>
        <v>Quebec</v>
      </c>
      <c r="AL438" s="8">
        <f>IF(RawSalesTable6[[#This Row],[Return_Status]]="Yes",1,0)</f>
        <v>0</v>
      </c>
    </row>
    <row r="439" spans="1:38">
      <c r="A439" t="s">
        <v>867</v>
      </c>
      <c r="B439" s="3">
        <v>45879</v>
      </c>
      <c r="C439" t="s">
        <v>551</v>
      </c>
      <c r="D439" t="s">
        <v>217</v>
      </c>
      <c r="E439" t="s">
        <v>552</v>
      </c>
      <c r="F439" t="s">
        <v>310</v>
      </c>
      <c r="G439" t="s">
        <v>122</v>
      </c>
      <c r="H439" t="s">
        <v>97</v>
      </c>
      <c r="I439">
        <v>1</v>
      </c>
      <c r="J439" s="2">
        <v>99.22</v>
      </c>
      <c r="K439" s="4">
        <v>0.05</v>
      </c>
      <c r="L439" t="s">
        <v>154</v>
      </c>
      <c r="M439">
        <v>3</v>
      </c>
      <c r="N439" t="s">
        <v>91</v>
      </c>
      <c r="O439" t="str">
        <f>SUBSTITUTE(PROPER(TRIM(RawSalesTable6[[#This Row],[Channel_Raw]])),"Market Place","Marketplace")</f>
        <v>Retail Store</v>
      </c>
      <c r="P439" t="str">
        <f>TRIM(RawSalesTable6[[#This Row],[Product_ID]])</f>
        <v>P1006</v>
      </c>
      <c r="Q439" t="str">
        <f>TRIM(RawSalesTable6[[#This Row],[Customer_ID]])</f>
        <v>C0094</v>
      </c>
      <c r="R439" s="8" t="str">
        <f>PROPER(TRIM(RawSalesTable6[[#This Row],[Store_Raw]]))</f>
        <v>Toronto Downtown</v>
      </c>
      <c r="S439" s="8" t="str">
        <f>IF(TRIM(RawSalesTable6[[#This Row],[Payment_Method_Raw]])="","Non renseigné",SUBSTITUTE(PROPER(TRIM(RawSalesTable6[[#This Row],[Payment_Method_Raw]])),"Cc","Credit Card"))</f>
        <v>Gift Card</v>
      </c>
      <c r="T439" s="8">
        <f>COUNTIF(A:A,RawSalesTable6[[#This Row],[Order_ID]])</f>
        <v>1</v>
      </c>
      <c r="U439" s="8" t="str">
        <f>TRIM(LEFT(RawSalesTable6[[#This Row],[Customer_Info]],FIND(",",RawSalesTable6[[#This Row],[Customer_Info]])-1))</f>
        <v>Mia Singh</v>
      </c>
      <c r="V439" s="8" t="str">
        <f>TRIM(MID(RawSalesTable6[[#This Row],[Customer_Info]],FIND(",",RawSalesTable6[[#This Row],[Customer_Info]])+1,FIND(",",RawSalesTable6[[#This Row],[Customer_Info]],FIND(",",RawSalesTable6[[#This Row],[Customer_Info]])+1)-FIND(",",RawSalesTable6[[#This Row],[Customer_Info]])-1))</f>
        <v>Quebec City</v>
      </c>
      <c r="W439" s="8" t="str">
        <f>TRIM(RIGHT(RawSalesTable6[[#This Row],[Customer_Info]],LEN(RawSalesTable6[[#This Row],[Customer_Info]])-FIND(",",RawSalesTable6[[#This Row],[Customer_Info]],FIND(",",RawSalesTable6[[#This Row],[Customer_Info]])+1)))</f>
        <v>Consumer</v>
      </c>
      <c r="X439" s="8" t="str">
        <f>VLOOKUP(RawSalesTable6[[#This Row],[Product_ID_Clean]],ProductsTable[],2,FALSE)</f>
        <v>USB-C Hub</v>
      </c>
      <c r="Y439" s="8" t="str">
        <f>VLOOKUP(RawSalesTable6[[#This Row],[Product_ID_Clean]],ProductsTable[],3,FALSE)</f>
        <v>Electronics</v>
      </c>
      <c r="Z439" s="8">
        <f>VLOOKUP(RawSalesTable6[[#This Row],[Product_ID_Clean]],ProductsTable[],5,FALSE)</f>
        <v>72</v>
      </c>
      <c r="AA439" s="8">
        <f>RawSalesTable6[[#This Row],[Unit_Price]]*RawSalesTable6[[#This Row],[Quantity]]</f>
        <v>99.22</v>
      </c>
      <c r="AB439" s="8">
        <f>RawSalesTable6[[#This Row],[Gross_Sales]]*RawSalesTable6[[#This Row],[Discount_Pct]]</f>
        <v>4.9610000000000003</v>
      </c>
      <c r="AC439" s="8">
        <f>RawSalesTable6[[#This Row],[Gross_Sales]]-RawSalesTable6[[#This Row],[Discount_Amount]]</f>
        <v>94.259</v>
      </c>
      <c r="AD439" s="8">
        <f>RawSalesTable6[[#This Row],[Unit_Cost]]*RawSalesTable6[[#This Row],[Quantity]]</f>
        <v>72</v>
      </c>
      <c r="AE439" s="8">
        <f>RawSalesTable6[[#This Row],[Net_Sales]]-RawSalesTable6[[#This Row],[Total_Cost]]</f>
        <v>22.259</v>
      </c>
      <c r="AF439" s="9">
        <f>RawSalesTable6[[#This Row],[Profit]]/RawSalesTable6[[#This Row],[Net_Sales]]</f>
        <v>0.23614721140686831</v>
      </c>
      <c r="AG439" s="8">
        <f>YEAR(RawSalesTable6[[#This Row],[Order_Date]])</f>
        <v>2025</v>
      </c>
      <c r="AH439" s="8">
        <f>MONTH(RawSalesTable6[[#This Row],[Order_Date]])</f>
        <v>8</v>
      </c>
      <c r="AI439" s="8" t="str">
        <f>TEXT(RawSalesTable6[[#This Row],[Order_Date]],"mmmm")</f>
        <v>août</v>
      </c>
      <c r="AJ439" s="8" t="str">
        <f>IF(RawSalesTable6[[#This Row],[Month_Number]]&lt;=3,"Q1",IF(RawSalesTable6[[#This Row],[Month_Number]]&lt;=6,"Q2",IF(RawSalesTable6[[#This Row],[Month_Number]]&lt;=9,"Q3","Q4")))</f>
        <v>Q3</v>
      </c>
      <c r="AK439" s="8" t="str">
        <f>VLOOKUP(RawSalesTable6[[#This Row],[Customer_ID_Clean]],CustomersTable[],4,FALSE)</f>
        <v>Quebec</v>
      </c>
      <c r="AL439" s="8">
        <f>IF(RawSalesTable6[[#This Row],[Return_Status]]="Yes",1,0)</f>
        <v>0</v>
      </c>
    </row>
    <row r="440" spans="1:38">
      <c r="A440" t="s">
        <v>868</v>
      </c>
      <c r="B440" s="3">
        <v>45758</v>
      </c>
      <c r="C440" t="s">
        <v>613</v>
      </c>
      <c r="D440" t="s">
        <v>271</v>
      </c>
      <c r="E440" t="s">
        <v>710</v>
      </c>
      <c r="F440" t="s">
        <v>145</v>
      </c>
      <c r="G440" t="s">
        <v>130</v>
      </c>
      <c r="H440" t="s">
        <v>97</v>
      </c>
      <c r="I440">
        <v>1</v>
      </c>
      <c r="J440" s="2">
        <v>217.33</v>
      </c>
      <c r="K440" s="4">
        <v>0.15</v>
      </c>
      <c r="L440" t="s">
        <v>98</v>
      </c>
      <c r="M440">
        <v>2</v>
      </c>
      <c r="N440" t="s">
        <v>91</v>
      </c>
      <c r="O440" t="str">
        <f>SUBSTITUTE(PROPER(TRIM(RawSalesTable6[[#This Row],[Channel_Raw]])),"Market Place","Marketplace")</f>
        <v>Retail Store</v>
      </c>
      <c r="P440" t="str">
        <f>TRIM(RawSalesTable6[[#This Row],[Product_ID]])</f>
        <v>P1026</v>
      </c>
      <c r="Q440" t="str">
        <f>TRIM(RawSalesTable6[[#This Row],[Customer_ID]])</f>
        <v>C0060</v>
      </c>
      <c r="R440" s="8" t="str">
        <f>PROPER(TRIM(RawSalesTable6[[#This Row],[Store_Raw]]))</f>
        <v>Calgary North</v>
      </c>
      <c r="S440" s="8" t="str">
        <f>IF(TRIM(RawSalesTable6[[#This Row],[Payment_Method_Raw]])="","Non renseigné",SUBSTITUTE(PROPER(TRIM(RawSalesTable6[[#This Row],[Payment_Method_Raw]])),"Cc","Credit Card"))</f>
        <v>Debit Card</v>
      </c>
      <c r="T440" s="8">
        <f>COUNTIF(A:A,RawSalesTable6[[#This Row],[Order_ID]])</f>
        <v>1</v>
      </c>
      <c r="U440" s="8" t="str">
        <f>TRIM(LEFT(RawSalesTable6[[#This Row],[Customer_Info]],FIND(",",RawSalesTable6[[#This Row],[Customer_Info]])-1))</f>
        <v>Sarah Wilson</v>
      </c>
      <c r="V440" s="8" t="str">
        <f>TRIM(MID(RawSalesTable6[[#This Row],[Customer_Info]],FIND(",",RawSalesTable6[[#This Row],[Customer_Info]])+1,FIND(",",RawSalesTable6[[#This Row],[Customer_Info]],FIND(",",RawSalesTable6[[#This Row],[Customer_Info]])+1)-FIND(",",RawSalesTable6[[#This Row],[Customer_Info]])-1))</f>
        <v>Quebec City</v>
      </c>
      <c r="W440" s="8" t="str">
        <f>TRIM(RIGHT(RawSalesTable6[[#This Row],[Customer_Info]],LEN(RawSalesTable6[[#This Row],[Customer_Info]])-FIND(",",RawSalesTable6[[#This Row],[Customer_Info]],FIND(",",RawSalesTable6[[#This Row],[Customer_Info]])+1)))</f>
        <v>Corporate</v>
      </c>
      <c r="X440" s="8" t="str">
        <f>VLOOKUP(RawSalesTable6[[#This Row],[Product_ID_Clean]],ProductsTable[],2,FALSE)</f>
        <v>Resistance Bands</v>
      </c>
      <c r="Y440" s="8" t="str">
        <f>VLOOKUP(RawSalesTable6[[#This Row],[Product_ID_Clean]],ProductsTable[],3,FALSE)</f>
        <v>Fitness</v>
      </c>
      <c r="Z440" s="8">
        <f>VLOOKUP(RawSalesTable6[[#This Row],[Product_ID_Clean]],ProductsTable[],5,FALSE)</f>
        <v>139.19999999999999</v>
      </c>
      <c r="AA440" s="8">
        <f>RawSalesTable6[[#This Row],[Unit_Price]]*RawSalesTable6[[#This Row],[Quantity]]</f>
        <v>217.33</v>
      </c>
      <c r="AB440" s="8">
        <f>RawSalesTable6[[#This Row],[Gross_Sales]]*RawSalesTable6[[#This Row],[Discount_Pct]]</f>
        <v>32.599499999999999</v>
      </c>
      <c r="AC440" s="8">
        <f>RawSalesTable6[[#This Row],[Gross_Sales]]-RawSalesTable6[[#This Row],[Discount_Amount]]</f>
        <v>184.73050000000001</v>
      </c>
      <c r="AD440" s="8">
        <f>RawSalesTable6[[#This Row],[Unit_Cost]]*RawSalesTable6[[#This Row],[Quantity]]</f>
        <v>139.19999999999999</v>
      </c>
      <c r="AE440" s="8">
        <f>RawSalesTable6[[#This Row],[Net_Sales]]-RawSalesTable6[[#This Row],[Total_Cost]]</f>
        <v>45.530500000000018</v>
      </c>
      <c r="AF440" s="9">
        <f>RawSalesTable6[[#This Row],[Profit]]/RawSalesTable6[[#This Row],[Net_Sales]]</f>
        <v>0.24646985744097491</v>
      </c>
      <c r="AG440" s="8">
        <f>YEAR(RawSalesTable6[[#This Row],[Order_Date]])</f>
        <v>2025</v>
      </c>
      <c r="AH440" s="8">
        <f>MONTH(RawSalesTable6[[#This Row],[Order_Date]])</f>
        <v>4</v>
      </c>
      <c r="AI440" s="8" t="str">
        <f>TEXT(RawSalesTable6[[#This Row],[Order_Date]],"mmmm")</f>
        <v>avril</v>
      </c>
      <c r="AJ440" s="8" t="str">
        <f>IF(RawSalesTable6[[#This Row],[Month_Number]]&lt;=3,"Q1",IF(RawSalesTable6[[#This Row],[Month_Number]]&lt;=6,"Q2",IF(RawSalesTable6[[#This Row],[Month_Number]]&lt;=9,"Q3","Q4")))</f>
        <v>Q2</v>
      </c>
      <c r="AK440" s="8" t="str">
        <f>VLOOKUP(RawSalesTable6[[#This Row],[Customer_ID_Clean]],CustomersTable[],4,FALSE)</f>
        <v>Quebec</v>
      </c>
      <c r="AL440" s="8">
        <f>IF(RawSalesTable6[[#This Row],[Return_Status]]="Yes",1,0)</f>
        <v>0</v>
      </c>
    </row>
    <row r="441" spans="1:38">
      <c r="A441" t="s">
        <v>869</v>
      </c>
      <c r="B441" s="3">
        <v>45850</v>
      </c>
      <c r="C441" t="s">
        <v>93</v>
      </c>
      <c r="D441" t="s">
        <v>143</v>
      </c>
      <c r="E441" t="s">
        <v>95</v>
      </c>
      <c r="F441" t="s">
        <v>87</v>
      </c>
      <c r="G441" t="s">
        <v>117</v>
      </c>
      <c r="H441" t="s">
        <v>97</v>
      </c>
      <c r="I441">
        <v>1</v>
      </c>
      <c r="J441" s="2">
        <v>269.99</v>
      </c>
      <c r="K441" s="4">
        <v>0.15</v>
      </c>
      <c r="L441" t="s">
        <v>90</v>
      </c>
      <c r="M441">
        <v>0</v>
      </c>
      <c r="N441" t="s">
        <v>91</v>
      </c>
      <c r="O441" t="str">
        <f>SUBSTITUTE(PROPER(TRIM(RawSalesTable6[[#This Row],[Channel_Raw]])),"Market Place","Marketplace")</f>
        <v>Retail Store</v>
      </c>
      <c r="P441" t="str">
        <f>TRIM(RawSalesTable6[[#This Row],[Product_ID]])</f>
        <v>P1038</v>
      </c>
      <c r="Q441" t="str">
        <f>TRIM(RawSalesTable6[[#This Row],[Customer_ID]])</f>
        <v>C0084</v>
      </c>
      <c r="R441" s="8" t="str">
        <f>PROPER(TRIM(RawSalesTable6[[#This Row],[Store_Raw]]))</f>
        <v>Online Fulfillment</v>
      </c>
      <c r="S441" s="8" t="str">
        <f>IF(TRIM(RawSalesTable6[[#This Row],[Payment_Method_Raw]])="","Non renseigné",SUBSTITUTE(PROPER(TRIM(RawSalesTable6[[#This Row],[Payment_Method_Raw]])),"Cc","Credit Card"))</f>
        <v>Paypal</v>
      </c>
      <c r="T441" s="8">
        <f>COUNTIF(A:A,RawSalesTable6[[#This Row],[Order_ID]])</f>
        <v>1</v>
      </c>
      <c r="U441" s="8" t="str">
        <f>TRIM(LEFT(RawSalesTable6[[#This Row],[Customer_Info]],FIND(",",RawSalesTable6[[#This Row],[Customer_Info]])-1))</f>
        <v>Ryan Clark</v>
      </c>
      <c r="V441" s="8" t="str">
        <f>TRIM(MID(RawSalesTable6[[#This Row],[Customer_Info]],FIND(",",RawSalesTable6[[#This Row],[Customer_Info]])+1,FIND(",",RawSalesTable6[[#This Row],[Customer_Info]],FIND(",",RawSalesTable6[[#This Row],[Customer_Info]])+1)-FIND(",",RawSalesTable6[[#This Row],[Customer_Info]])-1))</f>
        <v>Montreal</v>
      </c>
      <c r="W441" s="8" t="str">
        <f>TRIM(RIGHT(RawSalesTable6[[#This Row],[Customer_Info]],LEN(RawSalesTable6[[#This Row],[Customer_Info]])-FIND(",",RawSalesTable6[[#This Row],[Customer_Info]],FIND(",",RawSalesTable6[[#This Row],[Customer_Info]])+1)))</f>
        <v>Corporate</v>
      </c>
      <c r="X441" s="8" t="str">
        <f>VLOOKUP(RawSalesTable6[[#This Row],[Product_ID_Clean]],ProductsTable[],2,FALSE)</f>
        <v>Water Bottle</v>
      </c>
      <c r="Y441" s="8" t="str">
        <f>VLOOKUP(RawSalesTable6[[#This Row],[Product_ID_Clean]],ProductsTable[],3,FALSE)</f>
        <v>Accessories</v>
      </c>
      <c r="Z441" s="8">
        <f>VLOOKUP(RawSalesTable6[[#This Row],[Product_ID_Clean]],ProductsTable[],5,FALSE)</f>
        <v>119.16</v>
      </c>
      <c r="AA441" s="8">
        <f>RawSalesTable6[[#This Row],[Unit_Price]]*RawSalesTable6[[#This Row],[Quantity]]</f>
        <v>269.99</v>
      </c>
      <c r="AB441" s="8">
        <f>RawSalesTable6[[#This Row],[Gross_Sales]]*RawSalesTable6[[#This Row],[Discount_Pct]]</f>
        <v>40.4985</v>
      </c>
      <c r="AC441" s="8">
        <f>RawSalesTable6[[#This Row],[Gross_Sales]]-RawSalesTable6[[#This Row],[Discount_Amount]]</f>
        <v>229.4915</v>
      </c>
      <c r="AD441" s="8">
        <f>RawSalesTable6[[#This Row],[Unit_Cost]]*RawSalesTable6[[#This Row],[Quantity]]</f>
        <v>119.16</v>
      </c>
      <c r="AE441" s="8">
        <f>RawSalesTable6[[#This Row],[Net_Sales]]-RawSalesTable6[[#This Row],[Total_Cost]]</f>
        <v>110.33150000000001</v>
      </c>
      <c r="AF441" s="9">
        <f>RawSalesTable6[[#This Row],[Profit]]/RawSalesTable6[[#This Row],[Net_Sales]]</f>
        <v>0.48076508280263103</v>
      </c>
      <c r="AG441" s="8">
        <f>YEAR(RawSalesTable6[[#This Row],[Order_Date]])</f>
        <v>2025</v>
      </c>
      <c r="AH441" s="8">
        <f>MONTH(RawSalesTable6[[#This Row],[Order_Date]])</f>
        <v>7</v>
      </c>
      <c r="AI441" s="8" t="str">
        <f>TEXT(RawSalesTable6[[#This Row],[Order_Date]],"mmmm")</f>
        <v>juillet</v>
      </c>
      <c r="AJ441" s="8" t="str">
        <f>IF(RawSalesTable6[[#This Row],[Month_Number]]&lt;=3,"Q1",IF(RawSalesTable6[[#This Row],[Month_Number]]&lt;=6,"Q2",IF(RawSalesTable6[[#This Row],[Month_Number]]&lt;=9,"Q3","Q4")))</f>
        <v>Q3</v>
      </c>
      <c r="AK441" s="8" t="str">
        <f>VLOOKUP(RawSalesTable6[[#This Row],[Customer_ID_Clean]],CustomersTable[],4,FALSE)</f>
        <v>Quebec</v>
      </c>
      <c r="AL441" s="8">
        <f>IF(RawSalesTable6[[#This Row],[Return_Status]]="Yes",1,0)</f>
        <v>0</v>
      </c>
    </row>
    <row r="442" spans="1:38">
      <c r="A442" t="s">
        <v>870</v>
      </c>
      <c r="B442" s="3">
        <v>45956</v>
      </c>
      <c r="C442" t="s">
        <v>239</v>
      </c>
      <c r="D442" t="s">
        <v>271</v>
      </c>
      <c r="E442" t="s">
        <v>240</v>
      </c>
      <c r="F442" t="s">
        <v>87</v>
      </c>
      <c r="G442" t="s">
        <v>183</v>
      </c>
      <c r="H442" t="s">
        <v>89</v>
      </c>
      <c r="I442">
        <v>3</v>
      </c>
      <c r="J442" s="2">
        <v>236.23</v>
      </c>
      <c r="K442" s="4">
        <v>0</v>
      </c>
      <c r="L442" t="s">
        <v>106</v>
      </c>
      <c r="M442">
        <v>3</v>
      </c>
      <c r="N442" t="s">
        <v>91</v>
      </c>
      <c r="O442" t="str">
        <f>SUBSTITUTE(PROPER(TRIM(RawSalesTable6[[#This Row],[Channel_Raw]])),"Market Place","Marketplace")</f>
        <v>Online</v>
      </c>
      <c r="P442" t="str">
        <f>TRIM(RawSalesTable6[[#This Row],[Product_ID]])</f>
        <v>P1026</v>
      </c>
      <c r="Q442" t="str">
        <f>TRIM(RawSalesTable6[[#This Row],[Customer_ID]])</f>
        <v>C0089</v>
      </c>
      <c r="R442" s="8" t="str">
        <f>PROPER(TRIM(RawSalesTable6[[#This Row],[Store_Raw]]))</f>
        <v>Online Fulfillment</v>
      </c>
      <c r="S442" s="8" t="str">
        <f>IF(TRIM(RawSalesTable6[[#This Row],[Payment_Method_Raw]])="","Non renseigné",SUBSTITUTE(PROPER(TRIM(RawSalesTable6[[#This Row],[Payment_Method_Raw]])),"Cc","Credit Card"))</f>
        <v>Credit Card</v>
      </c>
      <c r="T442" s="8">
        <f>COUNTIF(A:A,RawSalesTable6[[#This Row],[Order_ID]])</f>
        <v>1</v>
      </c>
      <c r="U442" s="8" t="str">
        <f>TRIM(LEFT(RawSalesTable6[[#This Row],[Customer_Info]],FIND(",",RawSalesTable6[[#This Row],[Customer_Info]])-1))</f>
        <v>Lucas Martin</v>
      </c>
      <c r="V442" s="8" t="str">
        <f>TRIM(MID(RawSalesTable6[[#This Row],[Customer_Info]],FIND(",",RawSalesTable6[[#This Row],[Customer_Info]])+1,FIND(",",RawSalesTable6[[#This Row],[Customer_Info]],FIND(",",RawSalesTable6[[#This Row],[Customer_Info]])+1)-FIND(",",RawSalesTable6[[#This Row],[Customer_Info]])-1))</f>
        <v>Vancouver</v>
      </c>
      <c r="W442" s="8" t="str">
        <f>TRIM(RIGHT(RawSalesTable6[[#This Row],[Customer_Info]],LEN(RawSalesTable6[[#This Row],[Customer_Info]])-FIND(",",RawSalesTable6[[#This Row],[Customer_Info]],FIND(",",RawSalesTable6[[#This Row],[Customer_Info]])+1)))</f>
        <v>Consumer</v>
      </c>
      <c r="X442" s="8" t="str">
        <f>VLOOKUP(RawSalesTable6[[#This Row],[Product_ID_Clean]],ProductsTable[],2,FALSE)</f>
        <v>Resistance Bands</v>
      </c>
      <c r="Y442" s="8" t="str">
        <f>VLOOKUP(RawSalesTable6[[#This Row],[Product_ID_Clean]],ProductsTable[],3,FALSE)</f>
        <v>Fitness</v>
      </c>
      <c r="Z442" s="8">
        <f>VLOOKUP(RawSalesTable6[[#This Row],[Product_ID_Clean]],ProductsTable[],5,FALSE)</f>
        <v>139.19999999999999</v>
      </c>
      <c r="AA442" s="8">
        <f>RawSalesTable6[[#This Row],[Unit_Price]]*RawSalesTable6[[#This Row],[Quantity]]</f>
        <v>708.68999999999994</v>
      </c>
      <c r="AB442" s="8">
        <f>RawSalesTable6[[#This Row],[Gross_Sales]]*RawSalesTable6[[#This Row],[Discount_Pct]]</f>
        <v>0</v>
      </c>
      <c r="AC442" s="8">
        <f>RawSalesTable6[[#This Row],[Gross_Sales]]-RawSalesTable6[[#This Row],[Discount_Amount]]</f>
        <v>708.68999999999994</v>
      </c>
      <c r="AD442" s="8">
        <f>RawSalesTable6[[#This Row],[Unit_Cost]]*RawSalesTable6[[#This Row],[Quantity]]</f>
        <v>417.59999999999997</v>
      </c>
      <c r="AE442" s="8">
        <f>RawSalesTable6[[#This Row],[Net_Sales]]-RawSalesTable6[[#This Row],[Total_Cost]]</f>
        <v>291.08999999999997</v>
      </c>
      <c r="AF442" s="9">
        <f>RawSalesTable6[[#This Row],[Profit]]/RawSalesTable6[[#This Row],[Net_Sales]]</f>
        <v>0.41074376666807771</v>
      </c>
      <c r="AG442" s="8">
        <f>YEAR(RawSalesTable6[[#This Row],[Order_Date]])</f>
        <v>2025</v>
      </c>
      <c r="AH442" s="8">
        <f>MONTH(RawSalesTable6[[#This Row],[Order_Date]])</f>
        <v>10</v>
      </c>
      <c r="AI442" s="8" t="str">
        <f>TEXT(RawSalesTable6[[#This Row],[Order_Date]],"mmmm")</f>
        <v>octobre</v>
      </c>
      <c r="AJ442" s="8" t="str">
        <f>IF(RawSalesTable6[[#This Row],[Month_Number]]&lt;=3,"Q1",IF(RawSalesTable6[[#This Row],[Month_Number]]&lt;=6,"Q2",IF(RawSalesTable6[[#This Row],[Month_Number]]&lt;=9,"Q3","Q4")))</f>
        <v>Q4</v>
      </c>
      <c r="AK442" s="8" t="str">
        <f>VLOOKUP(RawSalesTable6[[#This Row],[Customer_ID_Clean]],CustomersTable[],4,FALSE)</f>
        <v>British Columbia</v>
      </c>
      <c r="AL442" s="8">
        <f>IF(RawSalesTable6[[#This Row],[Return_Status]]="Yes",1,0)</f>
        <v>0</v>
      </c>
    </row>
    <row r="443" spans="1:38">
      <c r="A443" t="s">
        <v>871</v>
      </c>
      <c r="B443" s="3">
        <v>45768</v>
      </c>
      <c r="C443" t="s">
        <v>466</v>
      </c>
      <c r="D443" t="s">
        <v>109</v>
      </c>
      <c r="E443" t="s">
        <v>467</v>
      </c>
      <c r="F443" t="s">
        <v>145</v>
      </c>
      <c r="G443" t="s">
        <v>171</v>
      </c>
      <c r="H443" t="s">
        <v>308</v>
      </c>
      <c r="I443">
        <v>2</v>
      </c>
      <c r="J443" s="2">
        <v>191.17</v>
      </c>
      <c r="K443" s="4">
        <v>0</v>
      </c>
      <c r="L443" t="s">
        <v>106</v>
      </c>
      <c r="M443">
        <v>9</v>
      </c>
      <c r="N443" t="s">
        <v>91</v>
      </c>
      <c r="O443" t="str">
        <f>SUBSTITUTE(PROPER(TRIM(RawSalesTable6[[#This Row],[Channel_Raw]])),"Market Place","Marketplace")</f>
        <v>Online</v>
      </c>
      <c r="P443" t="str">
        <f>TRIM(RawSalesTable6[[#This Row],[Product_ID]])</f>
        <v>P1032</v>
      </c>
      <c r="Q443" t="str">
        <f>TRIM(RawSalesTable6[[#This Row],[Customer_ID]])</f>
        <v>C0096</v>
      </c>
      <c r="R443" s="8" t="str">
        <f>PROPER(TRIM(RawSalesTable6[[#This Row],[Store_Raw]]))</f>
        <v>Calgary North</v>
      </c>
      <c r="S443" s="8" t="str">
        <f>IF(TRIM(RawSalesTable6[[#This Row],[Payment_Method_Raw]])="","Non renseigné",SUBSTITUTE(PROPER(TRIM(RawSalesTable6[[#This Row],[Payment_Method_Raw]])),"Cc","Credit Card"))</f>
        <v>Credit Card</v>
      </c>
      <c r="T443" s="8">
        <f>COUNTIF(A:A,RawSalesTable6[[#This Row],[Order_ID]])</f>
        <v>1</v>
      </c>
      <c r="U443" s="8" t="str">
        <f>TRIM(LEFT(RawSalesTable6[[#This Row],[Customer_Info]],FIND(",",RawSalesTable6[[#This Row],[Customer_Info]])-1))</f>
        <v>Ryan Roy</v>
      </c>
      <c r="V443" s="8" t="str">
        <f>TRIM(MID(RawSalesTable6[[#This Row],[Customer_Info]],FIND(",",RawSalesTable6[[#This Row],[Customer_Info]])+1,FIND(",",RawSalesTable6[[#This Row],[Customer_Info]],FIND(",",RawSalesTable6[[#This Row],[Customer_Info]])+1)-FIND(",",RawSalesTable6[[#This Row],[Customer_Info]])-1))</f>
        <v>Laval</v>
      </c>
      <c r="W443" s="8" t="str">
        <f>TRIM(RIGHT(RawSalesTable6[[#This Row],[Customer_Info]],LEN(RawSalesTable6[[#This Row],[Customer_Info]])-FIND(",",RawSalesTable6[[#This Row],[Customer_Info]],FIND(",",RawSalesTable6[[#This Row],[Customer_Info]])+1)))</f>
        <v>Corporate</v>
      </c>
      <c r="X443" s="8" t="str">
        <f>VLOOKUP(RawSalesTable6[[#This Row],[Product_ID_Clean]],ProductsTable[],2,FALSE)</f>
        <v>Gym Bag</v>
      </c>
      <c r="Y443" s="8" t="str">
        <f>VLOOKUP(RawSalesTable6[[#This Row],[Product_ID_Clean]],ProductsTable[],3,FALSE)</f>
        <v>Fitness</v>
      </c>
      <c r="Z443" s="8">
        <f>VLOOKUP(RawSalesTable6[[#This Row],[Product_ID_Clean]],ProductsTable[],5,FALSE)</f>
        <v>132.72</v>
      </c>
      <c r="AA443" s="8">
        <f>RawSalesTable6[[#This Row],[Unit_Price]]*RawSalesTable6[[#This Row],[Quantity]]</f>
        <v>382.34</v>
      </c>
      <c r="AB443" s="8">
        <f>RawSalesTable6[[#This Row],[Gross_Sales]]*RawSalesTable6[[#This Row],[Discount_Pct]]</f>
        <v>0</v>
      </c>
      <c r="AC443" s="8">
        <f>RawSalesTable6[[#This Row],[Gross_Sales]]-RawSalesTable6[[#This Row],[Discount_Amount]]</f>
        <v>382.34</v>
      </c>
      <c r="AD443" s="8">
        <f>RawSalesTable6[[#This Row],[Unit_Cost]]*RawSalesTable6[[#This Row],[Quantity]]</f>
        <v>265.44</v>
      </c>
      <c r="AE443" s="8">
        <f>RawSalesTable6[[#This Row],[Net_Sales]]-RawSalesTable6[[#This Row],[Total_Cost]]</f>
        <v>116.89999999999998</v>
      </c>
      <c r="AF443" s="9">
        <f>RawSalesTable6[[#This Row],[Profit]]/RawSalesTable6[[#This Row],[Net_Sales]]</f>
        <v>0.3057488099597217</v>
      </c>
      <c r="AG443" s="8">
        <f>YEAR(RawSalesTable6[[#This Row],[Order_Date]])</f>
        <v>2025</v>
      </c>
      <c r="AH443" s="8">
        <f>MONTH(RawSalesTable6[[#This Row],[Order_Date]])</f>
        <v>4</v>
      </c>
      <c r="AI443" s="8" t="str">
        <f>TEXT(RawSalesTable6[[#This Row],[Order_Date]],"mmmm")</f>
        <v>avril</v>
      </c>
      <c r="AJ443" s="8" t="str">
        <f>IF(RawSalesTable6[[#This Row],[Month_Number]]&lt;=3,"Q1",IF(RawSalesTable6[[#This Row],[Month_Number]]&lt;=6,"Q2",IF(RawSalesTable6[[#This Row],[Month_Number]]&lt;=9,"Q3","Q4")))</f>
        <v>Q2</v>
      </c>
      <c r="AK443" s="8" t="str">
        <f>VLOOKUP(RawSalesTable6[[#This Row],[Customer_ID_Clean]],CustomersTable[],4,FALSE)</f>
        <v>Quebec</v>
      </c>
      <c r="AL443" s="8">
        <f>IF(RawSalesTable6[[#This Row],[Return_Status]]="Yes",1,0)</f>
        <v>0</v>
      </c>
    </row>
    <row r="444" spans="1:38">
      <c r="A444" t="s">
        <v>872</v>
      </c>
      <c r="B444" s="3">
        <v>45813</v>
      </c>
      <c r="C444" t="s">
        <v>363</v>
      </c>
      <c r="D444" t="s">
        <v>346</v>
      </c>
      <c r="E444" t="s">
        <v>364</v>
      </c>
      <c r="F444" t="s">
        <v>87</v>
      </c>
      <c r="G444" t="s">
        <v>183</v>
      </c>
      <c r="H444" t="s">
        <v>89</v>
      </c>
      <c r="I444">
        <v>1</v>
      </c>
      <c r="J444" s="2">
        <v>259.19</v>
      </c>
      <c r="K444" s="4">
        <v>0.1</v>
      </c>
      <c r="L444" t="s">
        <v>106</v>
      </c>
      <c r="M444">
        <v>3</v>
      </c>
      <c r="N444" t="s">
        <v>91</v>
      </c>
      <c r="O444" t="str">
        <f>SUBSTITUTE(PROPER(TRIM(RawSalesTable6[[#This Row],[Channel_Raw]])),"Market Place","Marketplace")</f>
        <v>Online</v>
      </c>
      <c r="P444" t="str">
        <f>TRIM(RawSalesTable6[[#This Row],[Product_ID]])</f>
        <v>P1030</v>
      </c>
      <c r="Q444" t="str">
        <f>TRIM(RawSalesTable6[[#This Row],[Customer_ID]])</f>
        <v>C0025</v>
      </c>
      <c r="R444" s="8" t="str">
        <f>PROPER(TRIM(RawSalesTable6[[#This Row],[Store_Raw]]))</f>
        <v>Online Fulfillment</v>
      </c>
      <c r="S444" s="8" t="str">
        <f>IF(TRIM(RawSalesTable6[[#This Row],[Payment_Method_Raw]])="","Non renseigné",SUBSTITUTE(PROPER(TRIM(RawSalesTable6[[#This Row],[Payment_Method_Raw]])),"Cc","Credit Card"))</f>
        <v>Credit Card</v>
      </c>
      <c r="T444" s="8">
        <f>COUNTIF(A:A,RawSalesTable6[[#This Row],[Order_ID]])</f>
        <v>1</v>
      </c>
      <c r="U444" s="8" t="str">
        <f>TRIM(LEFT(RawSalesTable6[[#This Row],[Customer_Info]],FIND(",",RawSalesTable6[[#This Row],[Customer_Info]])-1))</f>
        <v>Emma Gagnon</v>
      </c>
      <c r="V444" s="8" t="str">
        <f>TRIM(MID(RawSalesTable6[[#This Row],[Customer_Info]],FIND(",",RawSalesTable6[[#This Row],[Customer_Info]])+1,FIND(",",RawSalesTable6[[#This Row],[Customer_Info]],FIND(",",RawSalesTable6[[#This Row],[Customer_Info]])+1)-FIND(",",RawSalesTable6[[#This Row],[Customer_Info]])-1))</f>
        <v>Surrey</v>
      </c>
      <c r="W444" s="8" t="str">
        <f>TRIM(RIGHT(RawSalesTable6[[#This Row],[Customer_Info]],LEN(RawSalesTable6[[#This Row],[Customer_Info]])-FIND(",",RawSalesTable6[[#This Row],[Customer_Info]],FIND(",",RawSalesTable6[[#This Row],[Customer_Info]])+1)))</f>
        <v>Corporate</v>
      </c>
      <c r="X444" s="8" t="str">
        <f>VLOOKUP(RawSalesTable6[[#This Row],[Product_ID_Clean]],ProductsTable[],2,FALSE)</f>
        <v>Pull-up Bar</v>
      </c>
      <c r="Y444" s="8" t="str">
        <f>VLOOKUP(RawSalesTable6[[#This Row],[Product_ID_Clean]],ProductsTable[],3,FALSE)</f>
        <v>Fitness</v>
      </c>
      <c r="Z444" s="8">
        <f>VLOOKUP(RawSalesTable6[[#This Row],[Product_ID_Clean]],ProductsTable[],5,FALSE)</f>
        <v>125.4</v>
      </c>
      <c r="AA444" s="8">
        <f>RawSalesTable6[[#This Row],[Unit_Price]]*RawSalesTable6[[#This Row],[Quantity]]</f>
        <v>259.19</v>
      </c>
      <c r="AB444" s="8">
        <f>RawSalesTable6[[#This Row],[Gross_Sales]]*RawSalesTable6[[#This Row],[Discount_Pct]]</f>
        <v>25.919</v>
      </c>
      <c r="AC444" s="8">
        <f>RawSalesTable6[[#This Row],[Gross_Sales]]-RawSalesTable6[[#This Row],[Discount_Amount]]</f>
        <v>233.27099999999999</v>
      </c>
      <c r="AD444" s="8">
        <f>RawSalesTable6[[#This Row],[Unit_Cost]]*RawSalesTable6[[#This Row],[Quantity]]</f>
        <v>125.4</v>
      </c>
      <c r="AE444" s="8">
        <f>RawSalesTable6[[#This Row],[Net_Sales]]-RawSalesTable6[[#This Row],[Total_Cost]]</f>
        <v>107.87099999999998</v>
      </c>
      <c r="AF444" s="9">
        <f>RawSalesTable6[[#This Row],[Profit]]/RawSalesTable6[[#This Row],[Net_Sales]]</f>
        <v>0.4624278200033437</v>
      </c>
      <c r="AG444" s="8">
        <f>YEAR(RawSalesTable6[[#This Row],[Order_Date]])</f>
        <v>2025</v>
      </c>
      <c r="AH444" s="8">
        <f>MONTH(RawSalesTable6[[#This Row],[Order_Date]])</f>
        <v>6</v>
      </c>
      <c r="AI444" s="8" t="str">
        <f>TEXT(RawSalesTable6[[#This Row],[Order_Date]],"mmmm")</f>
        <v>juin</v>
      </c>
      <c r="AJ444" s="8" t="str">
        <f>IF(RawSalesTable6[[#This Row],[Month_Number]]&lt;=3,"Q1",IF(RawSalesTable6[[#This Row],[Month_Number]]&lt;=6,"Q2",IF(RawSalesTable6[[#This Row],[Month_Number]]&lt;=9,"Q3","Q4")))</f>
        <v>Q2</v>
      </c>
      <c r="AK444" s="8" t="str">
        <f>VLOOKUP(RawSalesTable6[[#This Row],[Customer_ID_Clean]],CustomersTable[],4,FALSE)</f>
        <v>British Columbia</v>
      </c>
      <c r="AL444" s="8">
        <f>IF(RawSalesTable6[[#This Row],[Return_Status]]="Yes",1,0)</f>
        <v>0</v>
      </c>
    </row>
    <row r="445" spans="1:38">
      <c r="A445" t="s">
        <v>873</v>
      </c>
      <c r="B445" s="3">
        <v>45810</v>
      </c>
      <c r="C445" t="s">
        <v>494</v>
      </c>
      <c r="D445" t="s">
        <v>418</v>
      </c>
      <c r="E445" t="s">
        <v>495</v>
      </c>
      <c r="F445" t="s">
        <v>145</v>
      </c>
      <c r="G445" t="s">
        <v>183</v>
      </c>
      <c r="H445" t="s">
        <v>89</v>
      </c>
      <c r="I445">
        <v>1</v>
      </c>
      <c r="J445" s="2">
        <v>365.39</v>
      </c>
      <c r="K445" s="4">
        <v>0.15</v>
      </c>
      <c r="L445" t="s">
        <v>90</v>
      </c>
      <c r="M445">
        <v>8</v>
      </c>
      <c r="N445" t="s">
        <v>91</v>
      </c>
      <c r="O445" t="str">
        <f>SUBSTITUTE(PROPER(TRIM(RawSalesTable6[[#This Row],[Channel_Raw]])),"Market Place","Marketplace")</f>
        <v>Online</v>
      </c>
      <c r="P445" t="str">
        <f>TRIM(RawSalesTable6[[#This Row],[Product_ID]])</f>
        <v>P1028</v>
      </c>
      <c r="Q445" t="str">
        <f>TRIM(RawSalesTable6[[#This Row],[Customer_ID]])</f>
        <v>C0017</v>
      </c>
      <c r="R445" s="8" t="str">
        <f>PROPER(TRIM(RawSalesTable6[[#This Row],[Store_Raw]]))</f>
        <v>Calgary North</v>
      </c>
      <c r="S445" s="8" t="str">
        <f>IF(TRIM(RawSalesTable6[[#This Row],[Payment_Method_Raw]])="","Non renseigné",SUBSTITUTE(PROPER(TRIM(RawSalesTable6[[#This Row],[Payment_Method_Raw]])),"Cc","Credit Card"))</f>
        <v>Paypal</v>
      </c>
      <c r="T445" s="8">
        <f>COUNTIF(A:A,RawSalesTable6[[#This Row],[Order_ID]])</f>
        <v>1</v>
      </c>
      <c r="U445" s="8" t="str">
        <f>TRIM(LEFT(RawSalesTable6[[#This Row],[Customer_Info]],FIND(",",RawSalesTable6[[#This Row],[Customer_Info]])-1))</f>
        <v>Yasmine Khan</v>
      </c>
      <c r="V445" s="8" t="str">
        <f>TRIM(MID(RawSalesTable6[[#This Row],[Customer_Info]],FIND(",",RawSalesTable6[[#This Row],[Customer_Info]])+1,FIND(",",RawSalesTable6[[#This Row],[Customer_Info]],FIND(",",RawSalesTable6[[#This Row],[Customer_Info]])+1)-FIND(",",RawSalesTable6[[#This Row],[Customer_Info]])-1))</f>
        <v>Mississauga</v>
      </c>
      <c r="W445" s="8" t="str">
        <f>TRIM(RIGHT(RawSalesTable6[[#This Row],[Customer_Info]],LEN(RawSalesTable6[[#This Row],[Customer_Info]])-FIND(",",RawSalesTable6[[#This Row],[Customer_Info]],FIND(",",RawSalesTable6[[#This Row],[Customer_Info]])+1)))</f>
        <v>Corporate</v>
      </c>
      <c r="X445" s="8" t="str">
        <f>VLOOKUP(RawSalesTable6[[#This Row],[Product_ID_Clean]],ProductsTable[],2,FALSE)</f>
        <v>Foam Roller</v>
      </c>
      <c r="Y445" s="8" t="str">
        <f>VLOOKUP(RawSalesTable6[[#This Row],[Product_ID_Clean]],ProductsTable[],3,FALSE)</f>
        <v>Fitness</v>
      </c>
      <c r="Z445" s="8">
        <f>VLOOKUP(RawSalesTable6[[#This Row],[Product_ID_Clean]],ProductsTable[],5,FALSE)</f>
        <v>212.02</v>
      </c>
      <c r="AA445" s="8">
        <f>RawSalesTable6[[#This Row],[Unit_Price]]*RawSalesTable6[[#This Row],[Quantity]]</f>
        <v>365.39</v>
      </c>
      <c r="AB445" s="8">
        <f>RawSalesTable6[[#This Row],[Gross_Sales]]*RawSalesTable6[[#This Row],[Discount_Pct]]</f>
        <v>54.808499999999995</v>
      </c>
      <c r="AC445" s="8">
        <f>RawSalesTable6[[#This Row],[Gross_Sales]]-RawSalesTable6[[#This Row],[Discount_Amount]]</f>
        <v>310.58150000000001</v>
      </c>
      <c r="AD445" s="8">
        <f>RawSalesTable6[[#This Row],[Unit_Cost]]*RawSalesTable6[[#This Row],[Quantity]]</f>
        <v>212.02</v>
      </c>
      <c r="AE445" s="8">
        <f>RawSalesTable6[[#This Row],[Net_Sales]]-RawSalesTable6[[#This Row],[Total_Cost]]</f>
        <v>98.561499999999995</v>
      </c>
      <c r="AF445" s="9">
        <f>RawSalesTable6[[#This Row],[Profit]]/RawSalesTable6[[#This Row],[Net_Sales]]</f>
        <v>0.31734504469841246</v>
      </c>
      <c r="AG445" s="8">
        <f>YEAR(RawSalesTable6[[#This Row],[Order_Date]])</f>
        <v>2025</v>
      </c>
      <c r="AH445" s="8">
        <f>MONTH(RawSalesTable6[[#This Row],[Order_Date]])</f>
        <v>6</v>
      </c>
      <c r="AI445" s="8" t="str">
        <f>TEXT(RawSalesTable6[[#This Row],[Order_Date]],"mmmm")</f>
        <v>juin</v>
      </c>
      <c r="AJ445" s="8" t="str">
        <f>IF(RawSalesTable6[[#This Row],[Month_Number]]&lt;=3,"Q1",IF(RawSalesTable6[[#This Row],[Month_Number]]&lt;=6,"Q2",IF(RawSalesTable6[[#This Row],[Month_Number]]&lt;=9,"Q3","Q4")))</f>
        <v>Q2</v>
      </c>
      <c r="AK445" s="8" t="str">
        <f>VLOOKUP(RawSalesTable6[[#This Row],[Customer_ID_Clean]],CustomersTable[],4,FALSE)</f>
        <v>Ontario</v>
      </c>
      <c r="AL445" s="8">
        <f>IF(RawSalesTable6[[#This Row],[Return_Status]]="Yes",1,0)</f>
        <v>0</v>
      </c>
    </row>
    <row r="446" spans="1:38">
      <c r="A446" t="s">
        <v>874</v>
      </c>
      <c r="B446" s="3">
        <v>45939</v>
      </c>
      <c r="C446" t="s">
        <v>466</v>
      </c>
      <c r="D446" t="s">
        <v>244</v>
      </c>
      <c r="E446" t="s">
        <v>467</v>
      </c>
      <c r="F446" t="s">
        <v>116</v>
      </c>
      <c r="G446" t="s">
        <v>96</v>
      </c>
      <c r="H446" t="s">
        <v>97</v>
      </c>
      <c r="I446">
        <v>1</v>
      </c>
      <c r="J446" s="2">
        <v>245.43</v>
      </c>
      <c r="K446" s="4">
        <v>0.2</v>
      </c>
      <c r="L446" t="s">
        <v>90</v>
      </c>
      <c r="M446">
        <v>2</v>
      </c>
      <c r="N446" t="s">
        <v>147</v>
      </c>
      <c r="O446" t="str">
        <f>SUBSTITUTE(PROPER(TRIM(RawSalesTable6[[#This Row],[Channel_Raw]])),"Market Place","Marketplace")</f>
        <v>Retail Store</v>
      </c>
      <c r="P446" t="str">
        <f>TRIM(RawSalesTable6[[#This Row],[Product_ID]])</f>
        <v>P1005</v>
      </c>
      <c r="Q446" t="str">
        <f>TRIM(RawSalesTable6[[#This Row],[Customer_ID]])</f>
        <v>C0096</v>
      </c>
      <c r="R446" s="8" t="str">
        <f>PROPER(TRIM(RawSalesTable6[[#This Row],[Store_Raw]]))</f>
        <v>Toronto Downtown</v>
      </c>
      <c r="S446" s="8" t="str">
        <f>IF(TRIM(RawSalesTable6[[#This Row],[Payment_Method_Raw]])="","Non renseigné",SUBSTITUTE(PROPER(TRIM(RawSalesTable6[[#This Row],[Payment_Method_Raw]])),"Cc","Credit Card"))</f>
        <v>Paypal</v>
      </c>
      <c r="T446" s="8">
        <f>COUNTIF(A:A,RawSalesTable6[[#This Row],[Order_ID]])</f>
        <v>1</v>
      </c>
      <c r="U446" s="8" t="str">
        <f>TRIM(LEFT(RawSalesTable6[[#This Row],[Customer_Info]],FIND(",",RawSalesTable6[[#This Row],[Customer_Info]])-1))</f>
        <v>Ryan Roy</v>
      </c>
      <c r="V446" s="8" t="str">
        <f>TRIM(MID(RawSalesTable6[[#This Row],[Customer_Info]],FIND(",",RawSalesTable6[[#This Row],[Customer_Info]])+1,FIND(",",RawSalesTable6[[#This Row],[Customer_Info]],FIND(",",RawSalesTable6[[#This Row],[Customer_Info]])+1)-FIND(",",RawSalesTable6[[#This Row],[Customer_Info]])-1))</f>
        <v>Laval</v>
      </c>
      <c r="W446" s="8" t="str">
        <f>TRIM(RIGHT(RawSalesTable6[[#This Row],[Customer_Info]],LEN(RawSalesTable6[[#This Row],[Customer_Info]])-FIND(",",RawSalesTable6[[#This Row],[Customer_Info]],FIND(",",RawSalesTable6[[#This Row],[Customer_Info]])+1)))</f>
        <v>Corporate</v>
      </c>
      <c r="X446" s="8" t="str">
        <f>VLOOKUP(RawSalesTable6[[#This Row],[Product_ID_Clean]],ProductsTable[],2,FALSE)</f>
        <v>Portable SSD</v>
      </c>
      <c r="Y446" s="8" t="str">
        <f>VLOOKUP(RawSalesTable6[[#This Row],[Product_ID_Clean]],ProductsTable[],3,FALSE)</f>
        <v>Electronics</v>
      </c>
      <c r="Z446" s="8">
        <f>VLOOKUP(RawSalesTable6[[#This Row],[Product_ID_Clean]],ProductsTable[],5,FALSE)</f>
        <v>131.19</v>
      </c>
      <c r="AA446" s="8">
        <f>RawSalesTable6[[#This Row],[Unit_Price]]*RawSalesTable6[[#This Row],[Quantity]]</f>
        <v>245.43</v>
      </c>
      <c r="AB446" s="8">
        <f>RawSalesTable6[[#This Row],[Gross_Sales]]*RawSalesTable6[[#This Row],[Discount_Pct]]</f>
        <v>49.086000000000006</v>
      </c>
      <c r="AC446" s="8">
        <f>RawSalesTable6[[#This Row],[Gross_Sales]]-RawSalesTable6[[#This Row],[Discount_Amount]]</f>
        <v>196.34399999999999</v>
      </c>
      <c r="AD446" s="8">
        <f>RawSalesTable6[[#This Row],[Unit_Cost]]*RawSalesTable6[[#This Row],[Quantity]]</f>
        <v>131.19</v>
      </c>
      <c r="AE446" s="8">
        <f>RawSalesTable6[[#This Row],[Net_Sales]]-RawSalesTable6[[#This Row],[Total_Cost]]</f>
        <v>65.153999999999996</v>
      </c>
      <c r="AF446" s="9">
        <f>RawSalesTable6[[#This Row],[Profit]]/RawSalesTable6[[#This Row],[Net_Sales]]</f>
        <v>0.33183596137391513</v>
      </c>
      <c r="AG446" s="8">
        <f>YEAR(RawSalesTable6[[#This Row],[Order_Date]])</f>
        <v>2025</v>
      </c>
      <c r="AH446" s="8">
        <f>MONTH(RawSalesTable6[[#This Row],[Order_Date]])</f>
        <v>10</v>
      </c>
      <c r="AI446" s="8" t="str">
        <f>TEXT(RawSalesTable6[[#This Row],[Order_Date]],"mmmm")</f>
        <v>octobre</v>
      </c>
      <c r="AJ446" s="8" t="str">
        <f>IF(RawSalesTable6[[#This Row],[Month_Number]]&lt;=3,"Q1",IF(RawSalesTable6[[#This Row],[Month_Number]]&lt;=6,"Q2",IF(RawSalesTable6[[#This Row],[Month_Number]]&lt;=9,"Q3","Q4")))</f>
        <v>Q4</v>
      </c>
      <c r="AK446" s="8" t="str">
        <f>VLOOKUP(RawSalesTable6[[#This Row],[Customer_ID_Clean]],CustomersTable[],4,FALSE)</f>
        <v>Quebec</v>
      </c>
      <c r="AL446" s="8">
        <f>IF(RawSalesTable6[[#This Row],[Return_Status]]="Yes",1,0)</f>
        <v>1</v>
      </c>
    </row>
    <row r="447" spans="1:38">
      <c r="A447" t="s">
        <v>875</v>
      </c>
      <c r="B447" s="3">
        <v>45966</v>
      </c>
      <c r="C447" t="s">
        <v>371</v>
      </c>
      <c r="D447" t="s">
        <v>418</v>
      </c>
      <c r="E447" t="s">
        <v>372</v>
      </c>
      <c r="F447" t="s">
        <v>87</v>
      </c>
      <c r="G447" t="s">
        <v>104</v>
      </c>
      <c r="H447" t="s">
        <v>105</v>
      </c>
      <c r="I447">
        <v>3</v>
      </c>
      <c r="J447" s="2">
        <v>352.01</v>
      </c>
      <c r="K447" s="4">
        <v>0.1</v>
      </c>
      <c r="L447" t="s">
        <v>106</v>
      </c>
      <c r="M447">
        <v>3</v>
      </c>
      <c r="N447" t="s">
        <v>91</v>
      </c>
      <c r="O447" t="str">
        <f>SUBSTITUTE(PROPER(TRIM(RawSalesTable6[[#This Row],[Channel_Raw]])),"Market Place","Marketplace")</f>
        <v>Marketplace</v>
      </c>
      <c r="P447" t="str">
        <f>TRIM(RawSalesTable6[[#This Row],[Product_ID]])</f>
        <v>P1028</v>
      </c>
      <c r="Q447" t="str">
        <f>TRIM(RawSalesTable6[[#This Row],[Customer_ID]])</f>
        <v>C0049</v>
      </c>
      <c r="R447" s="8" t="str">
        <f>PROPER(TRIM(RawSalesTable6[[#This Row],[Store_Raw]]))</f>
        <v>Online Fulfillment</v>
      </c>
      <c r="S447" s="8" t="str">
        <f>IF(TRIM(RawSalesTable6[[#This Row],[Payment_Method_Raw]])="","Non renseigné",SUBSTITUTE(PROPER(TRIM(RawSalesTable6[[#This Row],[Payment_Method_Raw]])),"Cc","Credit Card"))</f>
        <v>Credit Card</v>
      </c>
      <c r="T447" s="8">
        <f>COUNTIF(A:A,RawSalesTable6[[#This Row],[Order_ID]])</f>
        <v>1</v>
      </c>
      <c r="U447" s="8" t="str">
        <f>TRIM(LEFT(RawSalesTable6[[#This Row],[Customer_Info]],FIND(",",RawSalesTable6[[#This Row],[Customer_Info]])-1))</f>
        <v>Olivia Scott</v>
      </c>
      <c r="V447" s="8" t="str">
        <f>TRIM(MID(RawSalesTable6[[#This Row],[Customer_Info]],FIND(",",RawSalesTable6[[#This Row],[Customer_Info]])+1,FIND(",",RawSalesTable6[[#This Row],[Customer_Info]],FIND(",",RawSalesTable6[[#This Row],[Customer_Info]])+1)-FIND(",",RawSalesTable6[[#This Row],[Customer_Info]])-1))</f>
        <v>Quebec City</v>
      </c>
      <c r="W447" s="8" t="str">
        <f>TRIM(RIGHT(RawSalesTable6[[#This Row],[Customer_Info]],LEN(RawSalesTable6[[#This Row],[Customer_Info]])-FIND(",",RawSalesTable6[[#This Row],[Customer_Info]],FIND(",",RawSalesTable6[[#This Row],[Customer_Info]])+1)))</f>
        <v>Consumer</v>
      </c>
      <c r="X447" s="8" t="str">
        <f>VLOOKUP(RawSalesTable6[[#This Row],[Product_ID_Clean]],ProductsTable[],2,FALSE)</f>
        <v>Foam Roller</v>
      </c>
      <c r="Y447" s="8" t="str">
        <f>VLOOKUP(RawSalesTable6[[#This Row],[Product_ID_Clean]],ProductsTable[],3,FALSE)</f>
        <v>Fitness</v>
      </c>
      <c r="Z447" s="8">
        <f>VLOOKUP(RawSalesTable6[[#This Row],[Product_ID_Clean]],ProductsTable[],5,FALSE)</f>
        <v>212.02</v>
      </c>
      <c r="AA447" s="8">
        <f>RawSalesTable6[[#This Row],[Unit_Price]]*RawSalesTable6[[#This Row],[Quantity]]</f>
        <v>1056.03</v>
      </c>
      <c r="AB447" s="8">
        <f>RawSalesTable6[[#This Row],[Gross_Sales]]*RawSalesTable6[[#This Row],[Discount_Pct]]</f>
        <v>105.60300000000001</v>
      </c>
      <c r="AC447" s="8">
        <f>RawSalesTable6[[#This Row],[Gross_Sales]]-RawSalesTable6[[#This Row],[Discount_Amount]]</f>
        <v>950.42699999999991</v>
      </c>
      <c r="AD447" s="8">
        <f>RawSalesTable6[[#This Row],[Unit_Cost]]*RawSalesTable6[[#This Row],[Quantity]]</f>
        <v>636.06000000000006</v>
      </c>
      <c r="AE447" s="8">
        <f>RawSalesTable6[[#This Row],[Net_Sales]]-RawSalesTable6[[#This Row],[Total_Cost]]</f>
        <v>314.36699999999985</v>
      </c>
      <c r="AF447" s="9">
        <f>RawSalesTable6[[#This Row],[Profit]]/RawSalesTable6[[#This Row],[Net_Sales]]</f>
        <v>0.33076396188239587</v>
      </c>
      <c r="AG447" s="8">
        <f>YEAR(RawSalesTable6[[#This Row],[Order_Date]])</f>
        <v>2025</v>
      </c>
      <c r="AH447" s="8">
        <f>MONTH(RawSalesTable6[[#This Row],[Order_Date]])</f>
        <v>11</v>
      </c>
      <c r="AI447" s="8" t="str">
        <f>TEXT(RawSalesTable6[[#This Row],[Order_Date]],"mmmm")</f>
        <v>novembre</v>
      </c>
      <c r="AJ447" s="8" t="str">
        <f>IF(RawSalesTable6[[#This Row],[Month_Number]]&lt;=3,"Q1",IF(RawSalesTable6[[#This Row],[Month_Number]]&lt;=6,"Q2",IF(RawSalesTable6[[#This Row],[Month_Number]]&lt;=9,"Q3","Q4")))</f>
        <v>Q4</v>
      </c>
      <c r="AK447" s="8" t="str">
        <f>VLOOKUP(RawSalesTable6[[#This Row],[Customer_ID_Clean]],CustomersTable[],4,FALSE)</f>
        <v>Quebec</v>
      </c>
      <c r="AL447" s="8">
        <f>IF(RawSalesTable6[[#This Row],[Return_Status]]="Yes",1,0)</f>
        <v>0</v>
      </c>
    </row>
    <row r="448" spans="1:38">
      <c r="A448" t="s">
        <v>876</v>
      </c>
      <c r="B448" s="3">
        <v>45832</v>
      </c>
      <c r="C448" t="s">
        <v>322</v>
      </c>
      <c r="D448" t="s">
        <v>143</v>
      </c>
      <c r="E448" t="s">
        <v>470</v>
      </c>
      <c r="F448" t="s">
        <v>145</v>
      </c>
      <c r="G448" t="s">
        <v>104</v>
      </c>
      <c r="H448" t="s">
        <v>105</v>
      </c>
      <c r="I448">
        <v>1</v>
      </c>
      <c r="J448" s="2">
        <v>259.24</v>
      </c>
      <c r="K448" s="4">
        <v>0.2</v>
      </c>
      <c r="L448" t="s">
        <v>106</v>
      </c>
      <c r="M448">
        <v>6</v>
      </c>
      <c r="N448" t="s">
        <v>91</v>
      </c>
      <c r="O448" t="str">
        <f>SUBSTITUTE(PROPER(TRIM(RawSalesTable6[[#This Row],[Channel_Raw]])),"Market Place","Marketplace")</f>
        <v>Marketplace</v>
      </c>
      <c r="P448" t="str">
        <f>TRIM(RawSalesTable6[[#This Row],[Product_ID]])</f>
        <v>P1038</v>
      </c>
      <c r="Q448" t="str">
        <f>TRIM(RawSalesTable6[[#This Row],[Customer_ID]])</f>
        <v>C0119</v>
      </c>
      <c r="R448" s="8" t="str">
        <f>PROPER(TRIM(RawSalesTable6[[#This Row],[Store_Raw]]))</f>
        <v>Calgary North</v>
      </c>
      <c r="S448" s="8" t="str">
        <f>IF(TRIM(RawSalesTable6[[#This Row],[Payment_Method_Raw]])="","Non renseigné",SUBSTITUTE(PROPER(TRIM(RawSalesTable6[[#This Row],[Payment_Method_Raw]])),"Cc","Credit Card"))</f>
        <v>Credit Card</v>
      </c>
      <c r="T448" s="8">
        <f>COUNTIF(A:A,RawSalesTable6[[#This Row],[Order_ID]])</f>
        <v>1</v>
      </c>
      <c r="U448" s="8" t="str">
        <f>TRIM(LEFT(RawSalesTable6[[#This Row],[Customer_Info]],FIND(",",RawSalesTable6[[#This Row],[Customer_Info]])-1))</f>
        <v>Liam Chen</v>
      </c>
      <c r="V448" s="8" t="str">
        <f>TRIM(MID(RawSalesTable6[[#This Row],[Customer_Info]],FIND(",",RawSalesTable6[[#This Row],[Customer_Info]])+1,FIND(",",RawSalesTable6[[#This Row],[Customer_Info]],FIND(",",RawSalesTable6[[#This Row],[Customer_Info]])+1)-FIND(",",RawSalesTable6[[#This Row],[Customer_Info]])-1))</f>
        <v>Winnipeg</v>
      </c>
      <c r="W448" s="8" t="str">
        <f>TRIM(RIGHT(RawSalesTable6[[#This Row],[Customer_Info]],LEN(RawSalesTable6[[#This Row],[Customer_Info]])-FIND(",",RawSalesTable6[[#This Row],[Customer_Info]],FIND(",",RawSalesTable6[[#This Row],[Customer_Info]])+1)))</f>
        <v>Consumer</v>
      </c>
      <c r="X448" s="8" t="str">
        <f>VLOOKUP(RawSalesTable6[[#This Row],[Product_ID_Clean]],ProductsTable[],2,FALSE)</f>
        <v>Water Bottle</v>
      </c>
      <c r="Y448" s="8" t="str">
        <f>VLOOKUP(RawSalesTable6[[#This Row],[Product_ID_Clean]],ProductsTable[],3,FALSE)</f>
        <v>Accessories</v>
      </c>
      <c r="Z448" s="8">
        <f>VLOOKUP(RawSalesTable6[[#This Row],[Product_ID_Clean]],ProductsTable[],5,FALSE)</f>
        <v>119.16</v>
      </c>
      <c r="AA448" s="8">
        <f>RawSalesTable6[[#This Row],[Unit_Price]]*RawSalesTable6[[#This Row],[Quantity]]</f>
        <v>259.24</v>
      </c>
      <c r="AB448" s="8">
        <f>RawSalesTable6[[#This Row],[Gross_Sales]]*RawSalesTable6[[#This Row],[Discount_Pct]]</f>
        <v>51.848000000000006</v>
      </c>
      <c r="AC448" s="8">
        <f>RawSalesTable6[[#This Row],[Gross_Sales]]-RawSalesTable6[[#This Row],[Discount_Amount]]</f>
        <v>207.392</v>
      </c>
      <c r="AD448" s="8">
        <f>RawSalesTable6[[#This Row],[Unit_Cost]]*RawSalesTable6[[#This Row],[Quantity]]</f>
        <v>119.16</v>
      </c>
      <c r="AE448" s="8">
        <f>RawSalesTable6[[#This Row],[Net_Sales]]-RawSalesTable6[[#This Row],[Total_Cost]]</f>
        <v>88.231999999999999</v>
      </c>
      <c r="AF448" s="9">
        <f>RawSalesTable6[[#This Row],[Profit]]/RawSalesTable6[[#This Row],[Net_Sales]]</f>
        <v>0.42543588952322176</v>
      </c>
      <c r="AG448" s="8">
        <f>YEAR(RawSalesTable6[[#This Row],[Order_Date]])</f>
        <v>2025</v>
      </c>
      <c r="AH448" s="8">
        <f>MONTH(RawSalesTable6[[#This Row],[Order_Date]])</f>
        <v>6</v>
      </c>
      <c r="AI448" s="8" t="str">
        <f>TEXT(RawSalesTable6[[#This Row],[Order_Date]],"mmmm")</f>
        <v>juin</v>
      </c>
      <c r="AJ448" s="8" t="str">
        <f>IF(RawSalesTable6[[#This Row],[Month_Number]]&lt;=3,"Q1",IF(RawSalesTable6[[#This Row],[Month_Number]]&lt;=6,"Q2",IF(RawSalesTable6[[#This Row],[Month_Number]]&lt;=9,"Q3","Q4")))</f>
        <v>Q2</v>
      </c>
      <c r="AK448" s="8" t="str">
        <f>VLOOKUP(RawSalesTable6[[#This Row],[Customer_ID_Clean]],CustomersTable[],4,FALSE)</f>
        <v>Manitoba</v>
      </c>
      <c r="AL448" s="8">
        <f>IF(RawSalesTable6[[#This Row],[Return_Status]]="Yes",1,0)</f>
        <v>0</v>
      </c>
    </row>
    <row r="449" spans="1:38">
      <c r="A449" t="s">
        <v>877</v>
      </c>
      <c r="B449" s="3">
        <v>45875</v>
      </c>
      <c r="C449" t="s">
        <v>151</v>
      </c>
      <c r="D449" t="s">
        <v>149</v>
      </c>
      <c r="E449" t="s">
        <v>827</v>
      </c>
      <c r="F449" t="s">
        <v>116</v>
      </c>
      <c r="G449" t="s">
        <v>122</v>
      </c>
      <c r="H449" t="s">
        <v>89</v>
      </c>
      <c r="I449">
        <v>1</v>
      </c>
      <c r="J449" s="2">
        <v>83.23</v>
      </c>
      <c r="K449" s="4">
        <v>0.05</v>
      </c>
      <c r="L449" t="s">
        <v>90</v>
      </c>
      <c r="M449">
        <v>6</v>
      </c>
      <c r="N449" t="s">
        <v>91</v>
      </c>
      <c r="O449" t="str">
        <f>SUBSTITUTE(PROPER(TRIM(RawSalesTable6[[#This Row],[Channel_Raw]])),"Market Place","Marketplace")</f>
        <v>Online</v>
      </c>
      <c r="P449" t="str">
        <f>TRIM(RawSalesTable6[[#This Row],[Product_ID]])</f>
        <v>P1011</v>
      </c>
      <c r="Q449" t="str">
        <f>TRIM(RawSalesTable6[[#This Row],[Customer_ID]])</f>
        <v>C0014</v>
      </c>
      <c r="R449" s="8" t="str">
        <f>PROPER(TRIM(RawSalesTable6[[#This Row],[Store_Raw]]))</f>
        <v>Toronto Downtown</v>
      </c>
      <c r="S449" s="8" t="str">
        <f>IF(TRIM(RawSalesTable6[[#This Row],[Payment_Method_Raw]])="","Non renseigné",SUBSTITUTE(PROPER(TRIM(RawSalesTable6[[#This Row],[Payment_Method_Raw]])),"Cc","Credit Card"))</f>
        <v>Paypal</v>
      </c>
      <c r="T449" s="8">
        <f>COUNTIF(A:A,RawSalesTable6[[#This Row],[Order_ID]])</f>
        <v>1</v>
      </c>
      <c r="U449" s="8" t="str">
        <f>TRIM(LEFT(RawSalesTable6[[#This Row],[Customer_Info]],FIND(",",RawSalesTable6[[#This Row],[Customer_Info]])-1))</f>
        <v>Zoe Scott</v>
      </c>
      <c r="V449" s="8" t="str">
        <f>TRIM(MID(RawSalesTable6[[#This Row],[Customer_Info]],FIND(",",RawSalesTable6[[#This Row],[Customer_Info]])+1,FIND(",",RawSalesTable6[[#This Row],[Customer_Info]],FIND(",",RawSalesTable6[[#This Row],[Customer_Info]])+1)-FIND(",",RawSalesTable6[[#This Row],[Customer_Info]])-1))</f>
        <v>Montreal</v>
      </c>
      <c r="W449" s="8" t="str">
        <f>TRIM(RIGHT(RawSalesTable6[[#This Row],[Customer_Info]],LEN(RawSalesTable6[[#This Row],[Customer_Info]])-FIND(",",RawSalesTable6[[#This Row],[Customer_Info]],FIND(",",RawSalesTable6[[#This Row],[Customer_Info]])+1)))</f>
        <v>Small Business</v>
      </c>
      <c r="X449" s="8" t="str">
        <f>VLOOKUP(RawSalesTable6[[#This Row],[Product_ID_Clean]],ProductsTable[],2,FALSE)</f>
        <v>Office Chair</v>
      </c>
      <c r="Y449" s="8" t="str">
        <f>VLOOKUP(RawSalesTable6[[#This Row],[Product_ID_Clean]],ProductsTable[],3,FALSE)</f>
        <v>Office</v>
      </c>
      <c r="Z449" s="8">
        <f>VLOOKUP(RawSalesTable6[[#This Row],[Product_ID_Clean]],ProductsTable[],5,FALSE)</f>
        <v>39.26</v>
      </c>
      <c r="AA449" s="8">
        <f>RawSalesTable6[[#This Row],[Unit_Price]]*RawSalesTable6[[#This Row],[Quantity]]</f>
        <v>83.23</v>
      </c>
      <c r="AB449" s="8">
        <f>RawSalesTable6[[#This Row],[Gross_Sales]]*RawSalesTable6[[#This Row],[Discount_Pct]]</f>
        <v>4.1615000000000002</v>
      </c>
      <c r="AC449" s="8">
        <f>RawSalesTable6[[#This Row],[Gross_Sales]]-RawSalesTable6[[#This Row],[Discount_Amount]]</f>
        <v>79.0685</v>
      </c>
      <c r="AD449" s="8">
        <f>RawSalesTable6[[#This Row],[Unit_Cost]]*RawSalesTable6[[#This Row],[Quantity]]</f>
        <v>39.26</v>
      </c>
      <c r="AE449" s="8">
        <f>RawSalesTable6[[#This Row],[Net_Sales]]-RawSalesTable6[[#This Row],[Total_Cost]]</f>
        <v>39.808500000000002</v>
      </c>
      <c r="AF449" s="9">
        <f>RawSalesTable6[[#This Row],[Profit]]/RawSalesTable6[[#This Row],[Net_Sales]]</f>
        <v>0.50346851148055172</v>
      </c>
      <c r="AG449" s="8">
        <f>YEAR(RawSalesTable6[[#This Row],[Order_Date]])</f>
        <v>2025</v>
      </c>
      <c r="AH449" s="8">
        <f>MONTH(RawSalesTable6[[#This Row],[Order_Date]])</f>
        <v>8</v>
      </c>
      <c r="AI449" s="8" t="str">
        <f>TEXT(RawSalesTable6[[#This Row],[Order_Date]],"mmmm")</f>
        <v>août</v>
      </c>
      <c r="AJ449" s="8" t="str">
        <f>IF(RawSalesTable6[[#This Row],[Month_Number]]&lt;=3,"Q1",IF(RawSalesTable6[[#This Row],[Month_Number]]&lt;=6,"Q2",IF(RawSalesTable6[[#This Row],[Month_Number]]&lt;=9,"Q3","Q4")))</f>
        <v>Q3</v>
      </c>
      <c r="AK449" s="8" t="str">
        <f>VLOOKUP(RawSalesTable6[[#This Row],[Customer_ID_Clean]],CustomersTable[],4,FALSE)</f>
        <v>Quebec</v>
      </c>
      <c r="AL449" s="8">
        <f>IF(RawSalesTable6[[#This Row],[Return_Status]]="Yes",1,0)</f>
        <v>0</v>
      </c>
    </row>
    <row r="450" spans="1:38">
      <c r="A450" t="s">
        <v>878</v>
      </c>
      <c r="B450" s="3">
        <v>45924</v>
      </c>
      <c r="C450" t="s">
        <v>142</v>
      </c>
      <c r="D450" t="s">
        <v>217</v>
      </c>
      <c r="E450" t="s">
        <v>144</v>
      </c>
      <c r="F450" t="s">
        <v>116</v>
      </c>
      <c r="G450" t="s">
        <v>171</v>
      </c>
      <c r="H450" t="s">
        <v>105</v>
      </c>
      <c r="I450">
        <v>4</v>
      </c>
      <c r="J450" s="2">
        <v>109.34</v>
      </c>
      <c r="K450" s="4">
        <v>0.2</v>
      </c>
      <c r="L450" t="s">
        <v>106</v>
      </c>
      <c r="M450">
        <v>7</v>
      </c>
      <c r="N450" t="s">
        <v>91</v>
      </c>
      <c r="O450" t="str">
        <f>SUBSTITUTE(PROPER(TRIM(RawSalesTable6[[#This Row],[Channel_Raw]])),"Market Place","Marketplace")</f>
        <v>Marketplace</v>
      </c>
      <c r="P450" t="str">
        <f>TRIM(RawSalesTable6[[#This Row],[Product_ID]])</f>
        <v>P1006</v>
      </c>
      <c r="Q450" t="str">
        <f>TRIM(RawSalesTable6[[#This Row],[Customer_ID]])</f>
        <v>C0002</v>
      </c>
      <c r="R450" s="8" t="str">
        <f>PROPER(TRIM(RawSalesTable6[[#This Row],[Store_Raw]]))</f>
        <v>Toronto Downtown</v>
      </c>
      <c r="S450" s="8" t="str">
        <f>IF(TRIM(RawSalesTable6[[#This Row],[Payment_Method_Raw]])="","Non renseigné",SUBSTITUTE(PROPER(TRIM(RawSalesTable6[[#This Row],[Payment_Method_Raw]])),"Cc","Credit Card"))</f>
        <v>Credit Card</v>
      </c>
      <c r="T450" s="8">
        <f>COUNTIF(A:A,RawSalesTable6[[#This Row],[Order_ID]])</f>
        <v>1</v>
      </c>
      <c r="U450" s="8" t="str">
        <f>TRIM(LEFT(RawSalesTable6[[#This Row],[Customer_Info]],FIND(",",RawSalesTable6[[#This Row],[Customer_Info]])-1))</f>
        <v>Ryan Johnson</v>
      </c>
      <c r="V450" s="8" t="str">
        <f>TRIM(MID(RawSalesTable6[[#This Row],[Customer_Info]],FIND(",",RawSalesTable6[[#This Row],[Customer_Info]])+1,FIND(",",RawSalesTable6[[#This Row],[Customer_Info]],FIND(",",RawSalesTable6[[#This Row],[Customer_Info]])+1)-FIND(",",RawSalesTable6[[#This Row],[Customer_Info]])-1))</f>
        <v>Montreal</v>
      </c>
      <c r="W450" s="8" t="str">
        <f>TRIM(RIGHT(RawSalesTable6[[#This Row],[Customer_Info]],LEN(RawSalesTable6[[#This Row],[Customer_Info]])-FIND(",",RawSalesTable6[[#This Row],[Customer_Info]],FIND(",",RawSalesTable6[[#This Row],[Customer_Info]])+1)))</f>
        <v>Small Business</v>
      </c>
      <c r="X450" s="8" t="str">
        <f>VLOOKUP(RawSalesTable6[[#This Row],[Product_ID_Clean]],ProductsTable[],2,FALSE)</f>
        <v>USB-C Hub</v>
      </c>
      <c r="Y450" s="8" t="str">
        <f>VLOOKUP(RawSalesTable6[[#This Row],[Product_ID_Clean]],ProductsTable[],3,FALSE)</f>
        <v>Electronics</v>
      </c>
      <c r="Z450" s="8">
        <f>VLOOKUP(RawSalesTable6[[#This Row],[Product_ID_Clean]],ProductsTable[],5,FALSE)</f>
        <v>72</v>
      </c>
      <c r="AA450" s="8">
        <f>RawSalesTable6[[#This Row],[Unit_Price]]*RawSalesTable6[[#This Row],[Quantity]]</f>
        <v>437.36</v>
      </c>
      <c r="AB450" s="8">
        <f>RawSalesTable6[[#This Row],[Gross_Sales]]*RawSalesTable6[[#This Row],[Discount_Pct]]</f>
        <v>87.472000000000008</v>
      </c>
      <c r="AC450" s="8">
        <f>RawSalesTable6[[#This Row],[Gross_Sales]]-RawSalesTable6[[#This Row],[Discount_Amount]]</f>
        <v>349.88800000000003</v>
      </c>
      <c r="AD450" s="8">
        <f>RawSalesTable6[[#This Row],[Unit_Cost]]*RawSalesTable6[[#This Row],[Quantity]]</f>
        <v>288</v>
      </c>
      <c r="AE450" s="8">
        <f>RawSalesTable6[[#This Row],[Net_Sales]]-RawSalesTable6[[#This Row],[Total_Cost]]</f>
        <v>61.888000000000034</v>
      </c>
      <c r="AF450" s="9">
        <f>RawSalesTable6[[#This Row],[Profit]]/RawSalesTable6[[#This Row],[Net_Sales]]</f>
        <v>0.1768794585695995</v>
      </c>
      <c r="AG450" s="8">
        <f>YEAR(RawSalesTable6[[#This Row],[Order_Date]])</f>
        <v>2025</v>
      </c>
      <c r="AH450" s="8">
        <f>MONTH(RawSalesTable6[[#This Row],[Order_Date]])</f>
        <v>9</v>
      </c>
      <c r="AI450" s="8" t="str">
        <f>TEXT(RawSalesTable6[[#This Row],[Order_Date]],"mmmm")</f>
        <v>septembre</v>
      </c>
      <c r="AJ450" s="8" t="str">
        <f>IF(RawSalesTable6[[#This Row],[Month_Number]]&lt;=3,"Q1",IF(RawSalesTable6[[#This Row],[Month_Number]]&lt;=6,"Q2",IF(RawSalesTable6[[#This Row],[Month_Number]]&lt;=9,"Q3","Q4")))</f>
        <v>Q3</v>
      </c>
      <c r="AK450" s="8" t="str">
        <f>VLOOKUP(RawSalesTable6[[#This Row],[Customer_ID_Clean]],CustomersTable[],4,FALSE)</f>
        <v>Quebec</v>
      </c>
      <c r="AL450" s="8">
        <f>IF(RawSalesTable6[[#This Row],[Return_Status]]="Yes",1,0)</f>
        <v>0</v>
      </c>
    </row>
    <row r="451" spans="1:38">
      <c r="A451" t="s">
        <v>879</v>
      </c>
      <c r="B451" s="3">
        <v>45961</v>
      </c>
      <c r="C451" t="s">
        <v>758</v>
      </c>
      <c r="D451" t="s">
        <v>252</v>
      </c>
      <c r="E451" t="s">
        <v>759</v>
      </c>
      <c r="F451" t="s">
        <v>145</v>
      </c>
      <c r="G451" t="s">
        <v>96</v>
      </c>
      <c r="H451" t="s">
        <v>89</v>
      </c>
      <c r="I451">
        <v>1</v>
      </c>
      <c r="J451" s="2">
        <v>263.44</v>
      </c>
      <c r="K451" s="4">
        <v>0</v>
      </c>
      <c r="M451">
        <v>2</v>
      </c>
      <c r="N451" t="s">
        <v>91</v>
      </c>
      <c r="O451" t="str">
        <f>SUBSTITUTE(PROPER(TRIM(RawSalesTable6[[#This Row],[Channel_Raw]])),"Market Place","Marketplace")</f>
        <v>Online</v>
      </c>
      <c r="P451" t="str">
        <f>TRIM(RawSalesTable6[[#This Row],[Product_ID]])</f>
        <v>P1019</v>
      </c>
      <c r="Q451" t="str">
        <f>TRIM(RawSalesTable6[[#This Row],[Customer_ID]])</f>
        <v>C0034</v>
      </c>
      <c r="R451" s="8" t="str">
        <f>PROPER(TRIM(RawSalesTable6[[#This Row],[Store_Raw]]))</f>
        <v>Calgary North</v>
      </c>
      <c r="S451" s="8" t="str">
        <f>IF(TRIM(RawSalesTable6[[#This Row],[Payment_Method_Raw]])="","Non renseigné",SUBSTITUTE(PROPER(TRIM(RawSalesTable6[[#This Row],[Payment_Method_Raw]])),"Cc","Credit Card"))</f>
        <v>Non renseigné</v>
      </c>
      <c r="T451" s="8">
        <f>COUNTIF(A:A,RawSalesTable6[[#This Row],[Order_ID]])</f>
        <v>1</v>
      </c>
      <c r="U451" s="8" t="str">
        <f>TRIM(LEFT(RawSalesTable6[[#This Row],[Customer_Info]],FIND(",",RawSalesTable6[[#This Row],[Customer_Info]])-1))</f>
        <v>Noah Tremblay</v>
      </c>
      <c r="V451" s="8" t="str">
        <f>TRIM(MID(RawSalesTable6[[#This Row],[Customer_Info]],FIND(",",RawSalesTable6[[#This Row],[Customer_Info]])+1,FIND(",",RawSalesTable6[[#This Row],[Customer_Info]],FIND(",",RawSalesTable6[[#This Row],[Customer_Info]])+1)-FIND(",",RawSalesTable6[[#This Row],[Customer_Info]])-1))</f>
        <v>Toronto</v>
      </c>
      <c r="W451" s="8" t="str">
        <f>TRIM(RIGHT(RawSalesTable6[[#This Row],[Customer_Info]],LEN(RawSalesTable6[[#This Row],[Customer_Info]])-FIND(",",RawSalesTable6[[#This Row],[Customer_Info]],FIND(",",RawSalesTable6[[#This Row],[Customer_Info]])+1)))</f>
        <v>Corporate</v>
      </c>
      <c r="X451" s="8" t="str">
        <f>VLOOKUP(RawSalesTable6[[#This Row],[Product_ID_Clean]],ProductsTable[],2,FALSE)</f>
        <v>Vacuum</v>
      </c>
      <c r="Y451" s="8" t="str">
        <f>VLOOKUP(RawSalesTable6[[#This Row],[Product_ID_Clean]],ProductsTable[],3,FALSE)</f>
        <v>Home</v>
      </c>
      <c r="Z451" s="8">
        <f>VLOOKUP(RawSalesTable6[[#This Row],[Product_ID_Clean]],ProductsTable[],5,FALSE)</f>
        <v>186.94</v>
      </c>
      <c r="AA451" s="8">
        <f>RawSalesTable6[[#This Row],[Unit_Price]]*RawSalesTable6[[#This Row],[Quantity]]</f>
        <v>263.44</v>
      </c>
      <c r="AB451" s="8">
        <f>RawSalesTable6[[#This Row],[Gross_Sales]]*RawSalesTable6[[#This Row],[Discount_Pct]]</f>
        <v>0</v>
      </c>
      <c r="AC451" s="8">
        <f>RawSalesTable6[[#This Row],[Gross_Sales]]-RawSalesTable6[[#This Row],[Discount_Amount]]</f>
        <v>263.44</v>
      </c>
      <c r="AD451" s="8">
        <f>RawSalesTable6[[#This Row],[Unit_Cost]]*RawSalesTable6[[#This Row],[Quantity]]</f>
        <v>186.94</v>
      </c>
      <c r="AE451" s="8">
        <f>RawSalesTable6[[#This Row],[Net_Sales]]-RawSalesTable6[[#This Row],[Total_Cost]]</f>
        <v>76.5</v>
      </c>
      <c r="AF451" s="9">
        <f>RawSalesTable6[[#This Row],[Profit]]/RawSalesTable6[[#This Row],[Net_Sales]]</f>
        <v>0.29038870331005162</v>
      </c>
      <c r="AG451" s="8">
        <f>YEAR(RawSalesTable6[[#This Row],[Order_Date]])</f>
        <v>2025</v>
      </c>
      <c r="AH451" s="8">
        <f>MONTH(RawSalesTable6[[#This Row],[Order_Date]])</f>
        <v>10</v>
      </c>
      <c r="AI451" s="8" t="str">
        <f>TEXT(RawSalesTable6[[#This Row],[Order_Date]],"mmmm")</f>
        <v>octobre</v>
      </c>
      <c r="AJ451" s="8" t="str">
        <f>IF(RawSalesTable6[[#This Row],[Month_Number]]&lt;=3,"Q1",IF(RawSalesTable6[[#This Row],[Month_Number]]&lt;=6,"Q2",IF(RawSalesTable6[[#This Row],[Month_Number]]&lt;=9,"Q3","Q4")))</f>
        <v>Q4</v>
      </c>
      <c r="AK451" s="8" t="str">
        <f>VLOOKUP(RawSalesTable6[[#This Row],[Customer_ID_Clean]],CustomersTable[],4,FALSE)</f>
        <v>Ontario</v>
      </c>
      <c r="AL451" s="8">
        <f>IF(RawSalesTable6[[#This Row],[Return_Status]]="Yes",1,0)</f>
        <v>0</v>
      </c>
    </row>
    <row r="452" spans="1:38">
      <c r="A452" t="s">
        <v>880</v>
      </c>
      <c r="B452" s="3">
        <v>45664</v>
      </c>
      <c r="C452" t="s">
        <v>647</v>
      </c>
      <c r="D452" t="s">
        <v>217</v>
      </c>
      <c r="E452" t="s">
        <v>648</v>
      </c>
      <c r="F452" t="s">
        <v>87</v>
      </c>
      <c r="G452" t="s">
        <v>171</v>
      </c>
      <c r="H452" t="s">
        <v>97</v>
      </c>
      <c r="I452">
        <v>1</v>
      </c>
      <c r="J452" s="2">
        <v>102.79</v>
      </c>
      <c r="K452" s="4">
        <v>0.05</v>
      </c>
      <c r="L452" t="s">
        <v>106</v>
      </c>
      <c r="M452">
        <v>1</v>
      </c>
      <c r="N452" t="s">
        <v>91</v>
      </c>
      <c r="O452" t="str">
        <f>SUBSTITUTE(PROPER(TRIM(RawSalesTable6[[#This Row],[Channel_Raw]])),"Market Place","Marketplace")</f>
        <v>Retail Store</v>
      </c>
      <c r="P452" t="str">
        <f>TRIM(RawSalesTable6[[#This Row],[Product_ID]])</f>
        <v>P1006</v>
      </c>
      <c r="Q452" t="str">
        <f>TRIM(RawSalesTable6[[#This Row],[Customer_ID]])</f>
        <v>C0050</v>
      </c>
      <c r="R452" s="8" t="str">
        <f>PROPER(TRIM(RawSalesTable6[[#This Row],[Store_Raw]]))</f>
        <v>Online Fulfillment</v>
      </c>
      <c r="S452" s="8" t="str">
        <f>IF(TRIM(RawSalesTable6[[#This Row],[Payment_Method_Raw]])="","Non renseigné",SUBSTITUTE(PROPER(TRIM(RawSalesTable6[[#This Row],[Payment_Method_Raw]])),"Cc","Credit Card"))</f>
        <v>Credit Card</v>
      </c>
      <c r="T452" s="8">
        <f>COUNTIF(A:A,RawSalesTable6[[#This Row],[Order_ID]])</f>
        <v>1</v>
      </c>
      <c r="U452" s="8" t="str">
        <f>TRIM(LEFT(RawSalesTable6[[#This Row],[Customer_Info]],FIND(",",RawSalesTable6[[#This Row],[Customer_Info]])-1))</f>
        <v>Sarah Singh</v>
      </c>
      <c r="V452" s="8" t="str">
        <f>TRIM(MID(RawSalesTable6[[#This Row],[Customer_Info]],FIND(",",RawSalesTable6[[#This Row],[Customer_Info]])+1,FIND(",",RawSalesTable6[[#This Row],[Customer_Info]],FIND(",",RawSalesTable6[[#This Row],[Customer_Info]])+1)-FIND(",",RawSalesTable6[[#This Row],[Customer_Info]])-1))</f>
        <v>Mississauga</v>
      </c>
      <c r="W452" s="8" t="str">
        <f>TRIM(RIGHT(RawSalesTable6[[#This Row],[Customer_Info]],LEN(RawSalesTable6[[#This Row],[Customer_Info]])-FIND(",",RawSalesTable6[[#This Row],[Customer_Info]],FIND(",",RawSalesTable6[[#This Row],[Customer_Info]])+1)))</f>
        <v>Consumer</v>
      </c>
      <c r="X452" s="8" t="str">
        <f>VLOOKUP(RawSalesTable6[[#This Row],[Product_ID_Clean]],ProductsTable[],2,FALSE)</f>
        <v>USB-C Hub</v>
      </c>
      <c r="Y452" s="8" t="str">
        <f>VLOOKUP(RawSalesTable6[[#This Row],[Product_ID_Clean]],ProductsTable[],3,FALSE)</f>
        <v>Electronics</v>
      </c>
      <c r="Z452" s="8">
        <f>VLOOKUP(RawSalesTable6[[#This Row],[Product_ID_Clean]],ProductsTable[],5,FALSE)</f>
        <v>72</v>
      </c>
      <c r="AA452" s="8">
        <f>RawSalesTable6[[#This Row],[Unit_Price]]*RawSalesTable6[[#This Row],[Quantity]]</f>
        <v>102.79</v>
      </c>
      <c r="AB452" s="8">
        <f>RawSalesTable6[[#This Row],[Gross_Sales]]*RawSalesTable6[[#This Row],[Discount_Pct]]</f>
        <v>5.1395000000000008</v>
      </c>
      <c r="AC452" s="8">
        <f>RawSalesTable6[[#This Row],[Gross_Sales]]-RawSalesTable6[[#This Row],[Discount_Amount]]</f>
        <v>97.650500000000008</v>
      </c>
      <c r="AD452" s="8">
        <f>RawSalesTable6[[#This Row],[Unit_Cost]]*RawSalesTable6[[#This Row],[Quantity]]</f>
        <v>72</v>
      </c>
      <c r="AE452" s="8">
        <f>RawSalesTable6[[#This Row],[Net_Sales]]-RawSalesTable6[[#This Row],[Total_Cost]]</f>
        <v>25.650500000000008</v>
      </c>
      <c r="AF452" s="9">
        <f>RawSalesTable6[[#This Row],[Profit]]/RawSalesTable6[[#This Row],[Net_Sales]]</f>
        <v>0.26267658639740715</v>
      </c>
      <c r="AG452" s="8">
        <f>YEAR(RawSalesTable6[[#This Row],[Order_Date]])</f>
        <v>2025</v>
      </c>
      <c r="AH452" s="8">
        <f>MONTH(RawSalesTable6[[#This Row],[Order_Date]])</f>
        <v>1</v>
      </c>
      <c r="AI452" s="8" t="str">
        <f>TEXT(RawSalesTable6[[#This Row],[Order_Date]],"mmmm")</f>
        <v>janvier</v>
      </c>
      <c r="AJ452" s="8" t="str">
        <f>IF(RawSalesTable6[[#This Row],[Month_Number]]&lt;=3,"Q1",IF(RawSalesTable6[[#This Row],[Month_Number]]&lt;=6,"Q2",IF(RawSalesTable6[[#This Row],[Month_Number]]&lt;=9,"Q3","Q4")))</f>
        <v>Q1</v>
      </c>
      <c r="AK452" s="8" t="str">
        <f>VLOOKUP(RawSalesTable6[[#This Row],[Customer_ID_Clean]],CustomersTable[],4,FALSE)</f>
        <v>Ontario</v>
      </c>
      <c r="AL452" s="8">
        <f>IF(RawSalesTable6[[#This Row],[Return_Status]]="Yes",1,0)</f>
        <v>0</v>
      </c>
    </row>
    <row r="453" spans="1:38">
      <c r="A453" t="s">
        <v>881</v>
      </c>
      <c r="B453" s="3">
        <v>45683</v>
      </c>
      <c r="C453" t="s">
        <v>438</v>
      </c>
      <c r="D453" t="s">
        <v>133</v>
      </c>
      <c r="E453" t="s">
        <v>882</v>
      </c>
      <c r="F453" t="s">
        <v>145</v>
      </c>
      <c r="G453" t="s">
        <v>88</v>
      </c>
      <c r="H453" t="s">
        <v>97</v>
      </c>
      <c r="I453">
        <v>1</v>
      </c>
      <c r="J453" s="2">
        <v>334.66</v>
      </c>
      <c r="K453" s="4">
        <v>0.2</v>
      </c>
      <c r="L453" t="s">
        <v>90</v>
      </c>
      <c r="M453">
        <v>2</v>
      </c>
      <c r="N453" t="s">
        <v>91</v>
      </c>
      <c r="O453" t="str">
        <f>SUBSTITUTE(PROPER(TRIM(RawSalesTable6[[#This Row],[Channel_Raw]])),"Market Place","Marketplace")</f>
        <v>Retail Store</v>
      </c>
      <c r="P453" t="str">
        <f>TRIM(RawSalesTable6[[#This Row],[Product_ID]])</f>
        <v>P1039</v>
      </c>
      <c r="Q453" t="str">
        <f>TRIM(RawSalesTable6[[#This Row],[Customer_ID]])</f>
        <v>C0028</v>
      </c>
      <c r="R453" s="8" t="str">
        <f>PROPER(TRIM(RawSalesTable6[[#This Row],[Store_Raw]]))</f>
        <v>Calgary North</v>
      </c>
      <c r="S453" s="8" t="str">
        <f>IF(TRIM(RawSalesTable6[[#This Row],[Payment_Method_Raw]])="","Non renseigné",SUBSTITUTE(PROPER(TRIM(RawSalesTable6[[#This Row],[Payment_Method_Raw]])),"Cc","Credit Card"))</f>
        <v>Paypal</v>
      </c>
      <c r="T453" s="8">
        <f>COUNTIF(A:A,RawSalesTable6[[#This Row],[Order_ID]])</f>
        <v>1</v>
      </c>
      <c r="U453" s="8" t="str">
        <f>TRIM(LEFT(RawSalesTable6[[#This Row],[Customer_Info]],FIND(",",RawSalesTable6[[#This Row],[Customer_Info]])-1))</f>
        <v>Mia Clark</v>
      </c>
      <c r="V453" s="8" t="str">
        <f>TRIM(MID(RawSalesTable6[[#This Row],[Customer_Info]],FIND(",",RawSalesTable6[[#This Row],[Customer_Info]])+1,FIND(",",RawSalesTable6[[#This Row],[Customer_Info]],FIND(",",RawSalesTable6[[#This Row],[Customer_Info]])+1)-FIND(",",RawSalesTable6[[#This Row],[Customer_Info]])-1))</f>
        <v>Victoria</v>
      </c>
      <c r="W453" s="8" t="str">
        <f>TRIM(RIGHT(RawSalesTable6[[#This Row],[Customer_Info]],LEN(RawSalesTable6[[#This Row],[Customer_Info]])-FIND(",",RawSalesTable6[[#This Row],[Customer_Info]],FIND(",",RawSalesTable6[[#This Row],[Customer_Info]])+1)))</f>
        <v>Consumer</v>
      </c>
      <c r="X453" s="8" t="str">
        <f>VLOOKUP(RawSalesTable6[[#This Row],[Product_ID_Clean]],ProductsTable[],2,FALSE)</f>
        <v>Travel Adapter</v>
      </c>
      <c r="Y453" s="8" t="str">
        <f>VLOOKUP(RawSalesTable6[[#This Row],[Product_ID_Clean]],ProductsTable[],3,FALSE)</f>
        <v>Accessories</v>
      </c>
      <c r="Z453" s="8">
        <f>VLOOKUP(RawSalesTable6[[#This Row],[Product_ID_Clean]],ProductsTable[],5,FALSE)</f>
        <v>229.86</v>
      </c>
      <c r="AA453" s="8">
        <f>RawSalesTable6[[#This Row],[Unit_Price]]*RawSalesTable6[[#This Row],[Quantity]]</f>
        <v>334.66</v>
      </c>
      <c r="AB453" s="8">
        <f>RawSalesTable6[[#This Row],[Gross_Sales]]*RawSalesTable6[[#This Row],[Discount_Pct]]</f>
        <v>66.932000000000002</v>
      </c>
      <c r="AC453" s="8">
        <f>RawSalesTable6[[#This Row],[Gross_Sales]]-RawSalesTable6[[#This Row],[Discount_Amount]]</f>
        <v>267.72800000000001</v>
      </c>
      <c r="AD453" s="8">
        <f>RawSalesTable6[[#This Row],[Unit_Cost]]*RawSalesTable6[[#This Row],[Quantity]]</f>
        <v>229.86</v>
      </c>
      <c r="AE453" s="8">
        <f>RawSalesTable6[[#This Row],[Net_Sales]]-RawSalesTable6[[#This Row],[Total_Cost]]</f>
        <v>37.867999999999995</v>
      </c>
      <c r="AF453" s="9">
        <f>RawSalesTable6[[#This Row],[Profit]]/RawSalesTable6[[#This Row],[Net_Sales]]</f>
        <v>0.1414420605988167</v>
      </c>
      <c r="AG453" s="8">
        <f>YEAR(RawSalesTable6[[#This Row],[Order_Date]])</f>
        <v>2025</v>
      </c>
      <c r="AH453" s="8">
        <f>MONTH(RawSalesTable6[[#This Row],[Order_Date]])</f>
        <v>1</v>
      </c>
      <c r="AI453" s="8" t="str">
        <f>TEXT(RawSalesTable6[[#This Row],[Order_Date]],"mmmm")</f>
        <v>janvier</v>
      </c>
      <c r="AJ453" s="8" t="str">
        <f>IF(RawSalesTable6[[#This Row],[Month_Number]]&lt;=3,"Q1",IF(RawSalesTable6[[#This Row],[Month_Number]]&lt;=6,"Q2",IF(RawSalesTable6[[#This Row],[Month_Number]]&lt;=9,"Q3","Q4")))</f>
        <v>Q1</v>
      </c>
      <c r="AK453" s="8" t="str">
        <f>VLOOKUP(RawSalesTable6[[#This Row],[Customer_ID_Clean]],CustomersTable[],4,FALSE)</f>
        <v>British Columbia</v>
      </c>
      <c r="AL453" s="8">
        <f>IF(RawSalesTable6[[#This Row],[Return_Status]]="Yes",1,0)</f>
        <v>0</v>
      </c>
    </row>
    <row r="454" spans="1:38">
      <c r="A454" t="s">
        <v>883</v>
      </c>
      <c r="B454" s="3">
        <v>46007</v>
      </c>
      <c r="C454" t="s">
        <v>286</v>
      </c>
      <c r="D454" t="s">
        <v>114</v>
      </c>
      <c r="E454" t="s">
        <v>287</v>
      </c>
      <c r="F454" t="s">
        <v>103</v>
      </c>
      <c r="G454" t="s">
        <v>88</v>
      </c>
      <c r="H454" t="s">
        <v>97</v>
      </c>
      <c r="I454">
        <v>2</v>
      </c>
      <c r="J454" s="2">
        <v>142.21</v>
      </c>
      <c r="K454" s="4">
        <v>0.05</v>
      </c>
      <c r="L454" t="s">
        <v>106</v>
      </c>
      <c r="M454">
        <v>2</v>
      </c>
      <c r="N454" t="s">
        <v>91</v>
      </c>
      <c r="O454" t="str">
        <f>SUBSTITUTE(PROPER(TRIM(RawSalesTable6[[#This Row],[Channel_Raw]])),"Market Place","Marketplace")</f>
        <v>Retail Store</v>
      </c>
      <c r="P454" t="str">
        <f>TRIM(RawSalesTable6[[#This Row],[Product_ID]])</f>
        <v>P1034</v>
      </c>
      <c r="Q454" t="str">
        <f>TRIM(RawSalesTable6[[#This Row],[Customer_ID]])</f>
        <v>C0098</v>
      </c>
      <c r="R454" s="8" t="str">
        <f>PROPER(TRIM(RawSalesTable6[[#This Row],[Store_Raw]]))</f>
        <v>Vancouver West</v>
      </c>
      <c r="S454" s="8" t="str">
        <f>IF(TRIM(RawSalesTable6[[#This Row],[Payment_Method_Raw]])="","Non renseigné",SUBSTITUTE(PROPER(TRIM(RawSalesTable6[[#This Row],[Payment_Method_Raw]])),"Cc","Credit Card"))</f>
        <v>Credit Card</v>
      </c>
      <c r="T454" s="8">
        <f>COUNTIF(A:A,RawSalesTable6[[#This Row],[Order_ID]])</f>
        <v>1</v>
      </c>
      <c r="U454" s="8" t="str">
        <f>TRIM(LEFT(RawSalesTable6[[#This Row],[Customer_Info]],FIND(",",RawSalesTable6[[#This Row],[Customer_Info]])-1))</f>
        <v>Nora Young</v>
      </c>
      <c r="V454" s="8" t="str">
        <f>TRIM(MID(RawSalesTable6[[#This Row],[Customer_Info]],FIND(",",RawSalesTable6[[#This Row],[Customer_Info]])+1,FIND(",",RawSalesTable6[[#This Row],[Customer_Info]],FIND(",",RawSalesTable6[[#This Row],[Customer_Info]])+1)-FIND(",",RawSalesTable6[[#This Row],[Customer_Info]])-1))</f>
        <v>Winnipeg</v>
      </c>
      <c r="W454" s="8" t="str">
        <f>TRIM(RIGHT(RawSalesTable6[[#This Row],[Customer_Info]],LEN(RawSalesTable6[[#This Row],[Customer_Info]])-FIND(",",RawSalesTable6[[#This Row],[Customer_Info]],FIND(",",RawSalesTable6[[#This Row],[Customer_Info]])+1)))</f>
        <v>Consumer</v>
      </c>
      <c r="X454" s="8" t="str">
        <f>VLOOKUP(RawSalesTable6[[#This Row],[Product_ID_Clean]],ProductsTable[],2,FALSE)</f>
        <v>Laptop Sleeve</v>
      </c>
      <c r="Y454" s="8" t="str">
        <f>VLOOKUP(RawSalesTable6[[#This Row],[Product_ID_Clean]],ProductsTable[],3,FALSE)</f>
        <v>Accessories</v>
      </c>
      <c r="Z454" s="8">
        <f>VLOOKUP(RawSalesTable6[[#This Row],[Product_ID_Clean]],ProductsTable[],5,FALSE)</f>
        <v>78.95</v>
      </c>
      <c r="AA454" s="8">
        <f>RawSalesTable6[[#This Row],[Unit_Price]]*RawSalesTable6[[#This Row],[Quantity]]</f>
        <v>284.42</v>
      </c>
      <c r="AB454" s="8">
        <f>RawSalesTable6[[#This Row],[Gross_Sales]]*RawSalesTable6[[#This Row],[Discount_Pct]]</f>
        <v>14.221000000000002</v>
      </c>
      <c r="AC454" s="8">
        <f>RawSalesTable6[[#This Row],[Gross_Sales]]-RawSalesTable6[[#This Row],[Discount_Amount]]</f>
        <v>270.19900000000001</v>
      </c>
      <c r="AD454" s="8">
        <f>RawSalesTable6[[#This Row],[Unit_Cost]]*RawSalesTable6[[#This Row],[Quantity]]</f>
        <v>157.9</v>
      </c>
      <c r="AE454" s="8">
        <f>RawSalesTable6[[#This Row],[Net_Sales]]-RawSalesTable6[[#This Row],[Total_Cost]]</f>
        <v>112.29900000000001</v>
      </c>
      <c r="AF454" s="9">
        <f>RawSalesTable6[[#This Row],[Profit]]/RawSalesTable6[[#This Row],[Net_Sales]]</f>
        <v>0.41561589791227949</v>
      </c>
      <c r="AG454" s="8">
        <f>YEAR(RawSalesTable6[[#This Row],[Order_Date]])</f>
        <v>2025</v>
      </c>
      <c r="AH454" s="8">
        <f>MONTH(RawSalesTable6[[#This Row],[Order_Date]])</f>
        <v>12</v>
      </c>
      <c r="AI454" s="8" t="str">
        <f>TEXT(RawSalesTable6[[#This Row],[Order_Date]],"mmmm")</f>
        <v>décembre</v>
      </c>
      <c r="AJ454" s="8" t="str">
        <f>IF(RawSalesTable6[[#This Row],[Month_Number]]&lt;=3,"Q1",IF(RawSalesTable6[[#This Row],[Month_Number]]&lt;=6,"Q2",IF(RawSalesTable6[[#This Row],[Month_Number]]&lt;=9,"Q3","Q4")))</f>
        <v>Q4</v>
      </c>
      <c r="AK454" s="8" t="str">
        <f>VLOOKUP(RawSalesTable6[[#This Row],[Customer_ID_Clean]],CustomersTable[],4,FALSE)</f>
        <v>Manitoba</v>
      </c>
      <c r="AL454" s="8">
        <f>IF(RawSalesTable6[[#This Row],[Return_Status]]="Yes",1,0)</f>
        <v>0</v>
      </c>
    </row>
    <row r="455" spans="1:38">
      <c r="A455" t="s">
        <v>884</v>
      </c>
      <c r="B455" s="3">
        <v>45797</v>
      </c>
      <c r="C455" t="s">
        <v>124</v>
      </c>
      <c r="D455" t="s">
        <v>194</v>
      </c>
      <c r="E455" t="s">
        <v>126</v>
      </c>
      <c r="F455" t="s">
        <v>103</v>
      </c>
      <c r="G455" t="s">
        <v>171</v>
      </c>
      <c r="H455" t="s">
        <v>97</v>
      </c>
      <c r="I455">
        <v>1</v>
      </c>
      <c r="J455" s="2">
        <v>203.87</v>
      </c>
      <c r="K455" s="4">
        <v>0</v>
      </c>
      <c r="L455" t="s">
        <v>521</v>
      </c>
      <c r="M455">
        <v>2</v>
      </c>
      <c r="N455" t="s">
        <v>91</v>
      </c>
      <c r="O455" t="str">
        <f>SUBSTITUTE(PROPER(TRIM(RawSalesTable6[[#This Row],[Channel_Raw]])),"Market Place","Marketplace")</f>
        <v>Retail Store</v>
      </c>
      <c r="P455" t="str">
        <f>TRIM(RawSalesTable6[[#This Row],[Product_ID]])</f>
        <v>P1029</v>
      </c>
      <c r="Q455" t="str">
        <f>TRIM(RawSalesTable6[[#This Row],[Customer_ID]])</f>
        <v>C0021</v>
      </c>
      <c r="R455" s="8" t="str">
        <f>PROPER(TRIM(RawSalesTable6[[#This Row],[Store_Raw]]))</f>
        <v>Vancouver West</v>
      </c>
      <c r="S455" s="8" t="str">
        <f>IF(TRIM(RawSalesTable6[[#This Row],[Payment_Method_Raw]])="","Non renseigné",SUBSTITUTE(PROPER(TRIM(RawSalesTable6[[#This Row],[Payment_Method_Raw]])),"Cc","Credit Card"))</f>
        <v>Debit Card</v>
      </c>
      <c r="T455" s="8">
        <f>COUNTIF(A:A,RawSalesTable6[[#This Row],[Order_ID]])</f>
        <v>1</v>
      </c>
      <c r="U455" s="8" t="str">
        <f>TRIM(LEFT(RawSalesTable6[[#This Row],[Customer_Info]],FIND(",",RawSalesTable6[[#This Row],[Customer_Info]])-1))</f>
        <v>Nora King</v>
      </c>
      <c r="V455" s="8" t="str">
        <f>TRIM(MID(RawSalesTable6[[#This Row],[Customer_Info]],FIND(",",RawSalesTable6[[#This Row],[Customer_Info]])+1,FIND(",",RawSalesTable6[[#This Row],[Customer_Info]],FIND(",",RawSalesTable6[[#This Row],[Customer_Info]])+1)-FIND(",",RawSalesTable6[[#This Row],[Customer_Info]])-1))</f>
        <v>Halifax</v>
      </c>
      <c r="W455" s="8" t="str">
        <f>TRIM(RIGHT(RawSalesTable6[[#This Row],[Customer_Info]],LEN(RawSalesTable6[[#This Row],[Customer_Info]])-FIND(",",RawSalesTable6[[#This Row],[Customer_Info]],FIND(",",RawSalesTable6[[#This Row],[Customer_Info]])+1)))</f>
        <v>Corporate</v>
      </c>
      <c r="X455" s="8" t="str">
        <f>VLOOKUP(RawSalesTable6[[#This Row],[Product_ID_Clean]],ProductsTable[],2,FALSE)</f>
        <v>Jump Rope</v>
      </c>
      <c r="Y455" s="8" t="str">
        <f>VLOOKUP(RawSalesTable6[[#This Row],[Product_ID_Clean]],ProductsTable[],3,FALSE)</f>
        <v>Fitness</v>
      </c>
      <c r="Z455" s="8">
        <f>VLOOKUP(RawSalesTable6[[#This Row],[Product_ID_Clean]],ProductsTable[],5,FALSE)</f>
        <v>101</v>
      </c>
      <c r="AA455" s="8">
        <f>RawSalesTable6[[#This Row],[Unit_Price]]*RawSalesTable6[[#This Row],[Quantity]]</f>
        <v>203.87</v>
      </c>
      <c r="AB455" s="8">
        <f>RawSalesTable6[[#This Row],[Gross_Sales]]*RawSalesTable6[[#This Row],[Discount_Pct]]</f>
        <v>0</v>
      </c>
      <c r="AC455" s="8">
        <f>RawSalesTable6[[#This Row],[Gross_Sales]]-RawSalesTable6[[#This Row],[Discount_Amount]]</f>
        <v>203.87</v>
      </c>
      <c r="AD455" s="8">
        <f>RawSalesTable6[[#This Row],[Unit_Cost]]*RawSalesTable6[[#This Row],[Quantity]]</f>
        <v>101</v>
      </c>
      <c r="AE455" s="8">
        <f>RawSalesTable6[[#This Row],[Net_Sales]]-RawSalesTable6[[#This Row],[Total_Cost]]</f>
        <v>102.87</v>
      </c>
      <c r="AF455" s="9">
        <f>RawSalesTable6[[#This Row],[Profit]]/RawSalesTable6[[#This Row],[Net_Sales]]</f>
        <v>0.50458625594741746</v>
      </c>
      <c r="AG455" s="8">
        <f>YEAR(RawSalesTable6[[#This Row],[Order_Date]])</f>
        <v>2025</v>
      </c>
      <c r="AH455" s="8">
        <f>MONTH(RawSalesTable6[[#This Row],[Order_Date]])</f>
        <v>5</v>
      </c>
      <c r="AI455" s="8" t="str">
        <f>TEXT(RawSalesTable6[[#This Row],[Order_Date]],"mmmm")</f>
        <v>mai</v>
      </c>
      <c r="AJ455" s="8" t="str">
        <f>IF(RawSalesTable6[[#This Row],[Month_Number]]&lt;=3,"Q1",IF(RawSalesTable6[[#This Row],[Month_Number]]&lt;=6,"Q2",IF(RawSalesTable6[[#This Row],[Month_Number]]&lt;=9,"Q3","Q4")))</f>
        <v>Q2</v>
      </c>
      <c r="AK455" s="8" t="str">
        <f>VLOOKUP(RawSalesTable6[[#This Row],[Customer_ID_Clean]],CustomersTable[],4,FALSE)</f>
        <v>Nova Scotia</v>
      </c>
      <c r="AL455" s="8">
        <f>IF(RawSalesTable6[[#This Row],[Return_Status]]="Yes",1,0)</f>
        <v>0</v>
      </c>
    </row>
    <row r="456" spans="1:38">
      <c r="A456" t="s">
        <v>885</v>
      </c>
      <c r="B456" s="3">
        <v>45993</v>
      </c>
      <c r="C456" t="s">
        <v>610</v>
      </c>
      <c r="D456" t="s">
        <v>360</v>
      </c>
      <c r="E456" t="s">
        <v>611</v>
      </c>
      <c r="F456" t="s">
        <v>87</v>
      </c>
      <c r="G456" t="s">
        <v>117</v>
      </c>
      <c r="H456" t="s">
        <v>89</v>
      </c>
      <c r="I456">
        <v>4</v>
      </c>
      <c r="J456" s="2">
        <v>66.59</v>
      </c>
      <c r="K456" s="4">
        <v>0.15</v>
      </c>
      <c r="L456" t="s">
        <v>90</v>
      </c>
      <c r="M456">
        <v>4</v>
      </c>
      <c r="N456" t="s">
        <v>91</v>
      </c>
      <c r="O456" t="str">
        <f>SUBSTITUTE(PROPER(TRIM(RawSalesTable6[[#This Row],[Channel_Raw]])),"Market Place","Marketplace")</f>
        <v>Online</v>
      </c>
      <c r="P456" t="str">
        <f>TRIM(RawSalesTable6[[#This Row],[Product_ID]])</f>
        <v>P1020</v>
      </c>
      <c r="Q456" t="str">
        <f>TRIM(RawSalesTable6[[#This Row],[Customer_ID]])</f>
        <v>C0051</v>
      </c>
      <c r="R456" s="8" t="str">
        <f>PROPER(TRIM(RawSalesTable6[[#This Row],[Store_Raw]]))</f>
        <v>Online Fulfillment</v>
      </c>
      <c r="S456" s="8" t="str">
        <f>IF(TRIM(RawSalesTable6[[#This Row],[Payment_Method_Raw]])="","Non renseigné",SUBSTITUTE(PROPER(TRIM(RawSalesTable6[[#This Row],[Payment_Method_Raw]])),"Cc","Credit Card"))</f>
        <v>Paypal</v>
      </c>
      <c r="T456" s="8">
        <f>COUNTIF(A:A,RawSalesTable6[[#This Row],[Order_ID]])</f>
        <v>1</v>
      </c>
      <c r="U456" s="8" t="str">
        <f>TRIM(LEFT(RawSalesTable6[[#This Row],[Customer_Info]],FIND(",",RawSalesTable6[[#This Row],[Customer_Info]])-1))</f>
        <v>Daniel Brown</v>
      </c>
      <c r="V456" s="8" t="str">
        <f>TRIM(MID(RawSalesTable6[[#This Row],[Customer_Info]],FIND(",",RawSalesTable6[[#This Row],[Customer_Info]])+1,FIND(",",RawSalesTable6[[#This Row],[Customer_Info]],FIND(",",RawSalesTable6[[#This Row],[Customer_Info]])+1)-FIND(",",RawSalesTable6[[#This Row],[Customer_Info]])-1))</f>
        <v>Vancouver</v>
      </c>
      <c r="W456" s="8" t="str">
        <f>TRIM(RIGHT(RawSalesTable6[[#This Row],[Customer_Info]],LEN(RawSalesTable6[[#This Row],[Customer_Info]])-FIND(",",RawSalesTable6[[#This Row],[Customer_Info]],FIND(",",RawSalesTable6[[#This Row],[Customer_Info]])+1)))</f>
        <v>Small Business</v>
      </c>
      <c r="X456" s="8" t="str">
        <f>VLOOKUP(RawSalesTable6[[#This Row],[Product_ID_Clean]],ProductsTable[],2,FALSE)</f>
        <v>Blender</v>
      </c>
      <c r="Y456" s="8" t="str">
        <f>VLOOKUP(RawSalesTable6[[#This Row],[Product_ID_Clean]],ProductsTable[],3,FALSE)</f>
        <v>Home</v>
      </c>
      <c r="Z456" s="8">
        <f>VLOOKUP(RawSalesTable6[[#This Row],[Product_ID_Clean]],ProductsTable[],5,FALSE)</f>
        <v>37.46</v>
      </c>
      <c r="AA456" s="8">
        <f>RawSalesTable6[[#This Row],[Unit_Price]]*RawSalesTable6[[#This Row],[Quantity]]</f>
        <v>266.36</v>
      </c>
      <c r="AB456" s="8">
        <f>RawSalesTable6[[#This Row],[Gross_Sales]]*RawSalesTable6[[#This Row],[Discount_Pct]]</f>
        <v>39.954000000000001</v>
      </c>
      <c r="AC456" s="8">
        <f>RawSalesTable6[[#This Row],[Gross_Sales]]-RawSalesTable6[[#This Row],[Discount_Amount]]</f>
        <v>226.40600000000001</v>
      </c>
      <c r="AD456" s="8">
        <f>RawSalesTable6[[#This Row],[Unit_Cost]]*RawSalesTable6[[#This Row],[Quantity]]</f>
        <v>149.84</v>
      </c>
      <c r="AE456" s="8">
        <f>RawSalesTable6[[#This Row],[Net_Sales]]-RawSalesTable6[[#This Row],[Total_Cost]]</f>
        <v>76.566000000000003</v>
      </c>
      <c r="AF456" s="9">
        <f>RawSalesTable6[[#This Row],[Profit]]/RawSalesTable6[[#This Row],[Net_Sales]]</f>
        <v>0.33818008356668994</v>
      </c>
      <c r="AG456" s="8">
        <f>YEAR(RawSalesTable6[[#This Row],[Order_Date]])</f>
        <v>2025</v>
      </c>
      <c r="AH456" s="8">
        <f>MONTH(RawSalesTable6[[#This Row],[Order_Date]])</f>
        <v>12</v>
      </c>
      <c r="AI456" s="8" t="str">
        <f>TEXT(RawSalesTable6[[#This Row],[Order_Date]],"mmmm")</f>
        <v>décembre</v>
      </c>
      <c r="AJ456" s="8" t="str">
        <f>IF(RawSalesTable6[[#This Row],[Month_Number]]&lt;=3,"Q1",IF(RawSalesTable6[[#This Row],[Month_Number]]&lt;=6,"Q2",IF(RawSalesTable6[[#This Row],[Month_Number]]&lt;=9,"Q3","Q4")))</f>
        <v>Q4</v>
      </c>
      <c r="AK456" s="8" t="str">
        <f>VLOOKUP(RawSalesTable6[[#This Row],[Customer_ID_Clean]],CustomersTable[],4,FALSE)</f>
        <v>British Columbia</v>
      </c>
      <c r="AL456" s="8">
        <f>IF(RawSalesTable6[[#This Row],[Return_Status]]="Yes",1,0)</f>
        <v>0</v>
      </c>
    </row>
    <row r="457" spans="1:38">
      <c r="A457" t="s">
        <v>886</v>
      </c>
      <c r="B457" s="3">
        <v>45852</v>
      </c>
      <c r="C457" t="s">
        <v>330</v>
      </c>
      <c r="D457" t="s">
        <v>226</v>
      </c>
      <c r="E457" t="s">
        <v>424</v>
      </c>
      <c r="F457" t="s">
        <v>87</v>
      </c>
      <c r="G457" t="s">
        <v>171</v>
      </c>
      <c r="H457" t="s">
        <v>97</v>
      </c>
      <c r="I457">
        <v>2</v>
      </c>
      <c r="J457" s="2">
        <v>210.56</v>
      </c>
      <c r="K457" s="4">
        <v>0.05</v>
      </c>
      <c r="L457" t="s">
        <v>106</v>
      </c>
      <c r="M457">
        <v>2</v>
      </c>
      <c r="N457" t="s">
        <v>91</v>
      </c>
      <c r="O457" t="str">
        <f>SUBSTITUTE(PROPER(TRIM(RawSalesTable6[[#This Row],[Channel_Raw]])),"Market Place","Marketplace")</f>
        <v>Retail Store</v>
      </c>
      <c r="P457" t="str">
        <f>TRIM(RawSalesTable6[[#This Row],[Product_ID]])</f>
        <v>P1010</v>
      </c>
      <c r="Q457" t="str">
        <f>TRIM(RawSalesTable6[[#This Row],[Customer_ID]])</f>
        <v>C0108</v>
      </c>
      <c r="R457" s="8" t="str">
        <f>PROPER(TRIM(RawSalesTable6[[#This Row],[Store_Raw]]))</f>
        <v>Online Fulfillment</v>
      </c>
      <c r="S457" s="8" t="str">
        <f>IF(TRIM(RawSalesTable6[[#This Row],[Payment_Method_Raw]])="","Non renseigné",SUBSTITUTE(PROPER(TRIM(RawSalesTable6[[#This Row],[Payment_Method_Raw]])),"Cc","Credit Card"))</f>
        <v>Credit Card</v>
      </c>
      <c r="T457" s="8">
        <f>COUNTIF(A:A,RawSalesTable6[[#This Row],[Order_ID]])</f>
        <v>1</v>
      </c>
      <c r="U457" s="8" t="str">
        <f>TRIM(LEFT(RawSalesTable6[[#This Row],[Customer_Info]],FIND(",",RawSalesTable6[[#This Row],[Customer_Info]])-1))</f>
        <v>Noah Lee</v>
      </c>
      <c r="V457" s="8" t="str">
        <f>TRIM(MID(RawSalesTable6[[#This Row],[Customer_Info]],FIND(",",RawSalesTable6[[#This Row],[Customer_Info]])+1,FIND(",",RawSalesTable6[[#This Row],[Customer_Info]],FIND(",",RawSalesTable6[[#This Row],[Customer_Info]])+1)-FIND(",",RawSalesTable6[[#This Row],[Customer_Info]])-1))</f>
        <v>Surrey</v>
      </c>
      <c r="W457" s="8" t="str">
        <f>TRIM(RIGHT(RawSalesTable6[[#This Row],[Customer_Info]],LEN(RawSalesTable6[[#This Row],[Customer_Info]])-FIND(",",RawSalesTable6[[#This Row],[Customer_Info]],FIND(",",RawSalesTable6[[#This Row],[Customer_Info]])+1)))</f>
        <v>Consumer</v>
      </c>
      <c r="X457" s="8" t="str">
        <f>VLOOKUP(RawSalesTable6[[#This Row],[Product_ID_Clean]],ProductsTable[],2,FALSE)</f>
        <v>Desk Lamp</v>
      </c>
      <c r="Y457" s="8" t="str">
        <f>VLOOKUP(RawSalesTable6[[#This Row],[Product_ID_Clean]],ProductsTable[],3,FALSE)</f>
        <v>Office</v>
      </c>
      <c r="Z457" s="8">
        <f>VLOOKUP(RawSalesTable6[[#This Row],[Product_ID_Clean]],ProductsTable[],5,FALSE)</f>
        <v>127.21</v>
      </c>
      <c r="AA457" s="8">
        <f>RawSalesTable6[[#This Row],[Unit_Price]]*RawSalesTable6[[#This Row],[Quantity]]</f>
        <v>421.12</v>
      </c>
      <c r="AB457" s="8">
        <f>RawSalesTable6[[#This Row],[Gross_Sales]]*RawSalesTable6[[#This Row],[Discount_Pct]]</f>
        <v>21.056000000000001</v>
      </c>
      <c r="AC457" s="8">
        <f>RawSalesTable6[[#This Row],[Gross_Sales]]-RawSalesTable6[[#This Row],[Discount_Amount]]</f>
        <v>400.06400000000002</v>
      </c>
      <c r="AD457" s="8">
        <f>RawSalesTable6[[#This Row],[Unit_Cost]]*RawSalesTable6[[#This Row],[Quantity]]</f>
        <v>254.42</v>
      </c>
      <c r="AE457" s="8">
        <f>RawSalesTable6[[#This Row],[Net_Sales]]-RawSalesTable6[[#This Row],[Total_Cost]]</f>
        <v>145.64400000000003</v>
      </c>
      <c r="AF457" s="9">
        <f>RawSalesTable6[[#This Row],[Profit]]/RawSalesTable6[[#This Row],[Net_Sales]]</f>
        <v>0.36405175171972493</v>
      </c>
      <c r="AG457" s="8">
        <f>YEAR(RawSalesTable6[[#This Row],[Order_Date]])</f>
        <v>2025</v>
      </c>
      <c r="AH457" s="8">
        <f>MONTH(RawSalesTable6[[#This Row],[Order_Date]])</f>
        <v>7</v>
      </c>
      <c r="AI457" s="8" t="str">
        <f>TEXT(RawSalesTable6[[#This Row],[Order_Date]],"mmmm")</f>
        <v>juillet</v>
      </c>
      <c r="AJ457" s="8" t="str">
        <f>IF(RawSalesTable6[[#This Row],[Month_Number]]&lt;=3,"Q1",IF(RawSalesTable6[[#This Row],[Month_Number]]&lt;=6,"Q2",IF(RawSalesTable6[[#This Row],[Month_Number]]&lt;=9,"Q3","Q4")))</f>
        <v>Q3</v>
      </c>
      <c r="AK457" s="8" t="str">
        <f>VLOOKUP(RawSalesTable6[[#This Row],[Customer_ID_Clean]],CustomersTable[],4,FALSE)</f>
        <v>British Columbia</v>
      </c>
      <c r="AL457" s="8">
        <f>IF(RawSalesTable6[[#This Row],[Return_Status]]="Yes",1,0)</f>
        <v>0</v>
      </c>
    </row>
    <row r="458" spans="1:38">
      <c r="A458" t="s">
        <v>887</v>
      </c>
      <c r="B458" s="3">
        <v>46019</v>
      </c>
      <c r="C458" t="s">
        <v>173</v>
      </c>
      <c r="D458" t="s">
        <v>323</v>
      </c>
      <c r="E458" t="s">
        <v>175</v>
      </c>
      <c r="F458" t="s">
        <v>87</v>
      </c>
      <c r="G458" t="s">
        <v>183</v>
      </c>
      <c r="H458" t="s">
        <v>97</v>
      </c>
      <c r="I458">
        <v>2</v>
      </c>
      <c r="J458" s="2">
        <v>350.32</v>
      </c>
      <c r="K458" s="4">
        <v>0.2</v>
      </c>
      <c r="L458" t="s">
        <v>106</v>
      </c>
      <c r="M458">
        <v>2</v>
      </c>
      <c r="N458" t="s">
        <v>91</v>
      </c>
      <c r="O458" t="str">
        <f>SUBSTITUTE(PROPER(TRIM(RawSalesTable6[[#This Row],[Channel_Raw]])),"Market Place","Marketplace")</f>
        <v>Retail Store</v>
      </c>
      <c r="P458" t="str">
        <f>TRIM(RawSalesTable6[[#This Row],[Product_ID]])</f>
        <v>P1023</v>
      </c>
      <c r="Q458" t="str">
        <f>TRIM(RawSalesTable6[[#This Row],[Customer_ID]])</f>
        <v>C0077</v>
      </c>
      <c r="R458" s="8" t="str">
        <f>PROPER(TRIM(RawSalesTable6[[#This Row],[Store_Raw]]))</f>
        <v>Online Fulfillment</v>
      </c>
      <c r="S458" s="8" t="str">
        <f>IF(TRIM(RawSalesTable6[[#This Row],[Payment_Method_Raw]])="","Non renseigné",SUBSTITUTE(PROPER(TRIM(RawSalesTable6[[#This Row],[Payment_Method_Raw]])),"Cc","Credit Card"))</f>
        <v>Credit Card</v>
      </c>
      <c r="T458" s="8">
        <f>COUNTIF(A:A,RawSalesTable6[[#This Row],[Order_ID]])</f>
        <v>1</v>
      </c>
      <c r="U458" s="8" t="str">
        <f>TRIM(LEFT(RawSalesTable6[[#This Row],[Customer_Info]],FIND(",",RawSalesTable6[[#This Row],[Customer_Info]])-1))</f>
        <v>Amine Taylor</v>
      </c>
      <c r="V458" s="8" t="str">
        <f>TRIM(MID(RawSalesTable6[[#This Row],[Customer_Info]],FIND(",",RawSalesTable6[[#This Row],[Customer_Info]])+1,FIND(",",RawSalesTable6[[#This Row],[Customer_Info]],FIND(",",RawSalesTable6[[#This Row],[Customer_Info]])+1)-FIND(",",RawSalesTable6[[#This Row],[Customer_Info]])-1))</f>
        <v>Surrey</v>
      </c>
      <c r="W458" s="8" t="str">
        <f>TRIM(RIGHT(RawSalesTable6[[#This Row],[Customer_Info]],LEN(RawSalesTable6[[#This Row],[Customer_Info]])-FIND(",",RawSalesTable6[[#This Row],[Customer_Info]],FIND(",",RawSalesTable6[[#This Row],[Customer_Info]])+1)))</f>
        <v>Small Business</v>
      </c>
      <c r="X458" s="8" t="str">
        <f>VLOOKUP(RawSalesTable6[[#This Row],[Product_ID_Clean]],ProductsTable[],2,FALSE)</f>
        <v>Toaster</v>
      </c>
      <c r="Y458" s="8" t="str">
        <f>VLOOKUP(RawSalesTable6[[#This Row],[Product_ID_Clean]],ProductsTable[],3,FALSE)</f>
        <v>Home</v>
      </c>
      <c r="Z458" s="8">
        <f>VLOOKUP(RawSalesTable6[[#This Row],[Product_ID_Clean]],ProductsTable[],5,FALSE)</f>
        <v>152.88</v>
      </c>
      <c r="AA458" s="8">
        <f>RawSalesTable6[[#This Row],[Unit_Price]]*RawSalesTable6[[#This Row],[Quantity]]</f>
        <v>700.64</v>
      </c>
      <c r="AB458" s="8">
        <f>RawSalesTable6[[#This Row],[Gross_Sales]]*RawSalesTable6[[#This Row],[Discount_Pct]]</f>
        <v>140.12800000000001</v>
      </c>
      <c r="AC458" s="8">
        <f>RawSalesTable6[[#This Row],[Gross_Sales]]-RawSalesTable6[[#This Row],[Discount_Amount]]</f>
        <v>560.51199999999994</v>
      </c>
      <c r="AD458" s="8">
        <f>RawSalesTable6[[#This Row],[Unit_Cost]]*RawSalesTable6[[#This Row],[Quantity]]</f>
        <v>305.76</v>
      </c>
      <c r="AE458" s="8">
        <f>RawSalesTable6[[#This Row],[Net_Sales]]-RawSalesTable6[[#This Row],[Total_Cost]]</f>
        <v>254.75199999999995</v>
      </c>
      <c r="AF458" s="9">
        <f>RawSalesTable6[[#This Row],[Profit]]/RawSalesTable6[[#This Row],[Net_Sales]]</f>
        <v>0.45449874400548068</v>
      </c>
      <c r="AG458" s="8">
        <f>YEAR(RawSalesTable6[[#This Row],[Order_Date]])</f>
        <v>2025</v>
      </c>
      <c r="AH458" s="8">
        <f>MONTH(RawSalesTable6[[#This Row],[Order_Date]])</f>
        <v>12</v>
      </c>
      <c r="AI458" s="8" t="str">
        <f>TEXT(RawSalesTable6[[#This Row],[Order_Date]],"mmmm")</f>
        <v>décembre</v>
      </c>
      <c r="AJ458" s="8" t="str">
        <f>IF(RawSalesTable6[[#This Row],[Month_Number]]&lt;=3,"Q1",IF(RawSalesTable6[[#This Row],[Month_Number]]&lt;=6,"Q2",IF(RawSalesTable6[[#This Row],[Month_Number]]&lt;=9,"Q3","Q4")))</f>
        <v>Q4</v>
      </c>
      <c r="AK458" s="8" t="str">
        <f>VLOOKUP(RawSalesTable6[[#This Row],[Customer_ID_Clean]],CustomersTable[],4,FALSE)</f>
        <v>British Columbia</v>
      </c>
      <c r="AL458" s="8">
        <f>IF(RawSalesTable6[[#This Row],[Return_Status]]="Yes",1,0)</f>
        <v>0</v>
      </c>
    </row>
    <row r="459" spans="1:38">
      <c r="A459" t="s">
        <v>888</v>
      </c>
      <c r="B459" s="3">
        <v>45908</v>
      </c>
      <c r="C459" t="s">
        <v>265</v>
      </c>
      <c r="D459" t="s">
        <v>346</v>
      </c>
      <c r="E459" t="s">
        <v>266</v>
      </c>
      <c r="F459" t="s">
        <v>87</v>
      </c>
      <c r="G459" t="s">
        <v>122</v>
      </c>
      <c r="H459" t="s">
        <v>97</v>
      </c>
      <c r="I459">
        <v>3</v>
      </c>
      <c r="J459" s="2">
        <v>252.66</v>
      </c>
      <c r="K459" s="4">
        <v>0.25</v>
      </c>
      <c r="L459" t="s">
        <v>98</v>
      </c>
      <c r="M459">
        <v>2</v>
      </c>
      <c r="N459" t="s">
        <v>91</v>
      </c>
      <c r="O459" t="str">
        <f>SUBSTITUTE(PROPER(TRIM(RawSalesTable6[[#This Row],[Channel_Raw]])),"Market Place","Marketplace")</f>
        <v>Retail Store</v>
      </c>
      <c r="P459" t="str">
        <f>TRIM(RawSalesTable6[[#This Row],[Product_ID]])</f>
        <v>P1030</v>
      </c>
      <c r="Q459" t="str">
        <f>TRIM(RawSalesTable6[[#This Row],[Customer_ID]])</f>
        <v>C0020</v>
      </c>
      <c r="R459" s="8" t="str">
        <f>PROPER(TRIM(RawSalesTable6[[#This Row],[Store_Raw]]))</f>
        <v>Online Fulfillment</v>
      </c>
      <c r="S459" s="8" t="str">
        <f>IF(TRIM(RawSalesTable6[[#This Row],[Payment_Method_Raw]])="","Non renseigné",SUBSTITUTE(PROPER(TRIM(RawSalesTable6[[#This Row],[Payment_Method_Raw]])),"Cc","Credit Card"))</f>
        <v>Debit Card</v>
      </c>
      <c r="T459" s="8">
        <f>COUNTIF(A:A,RawSalesTable6[[#This Row],[Order_ID]])</f>
        <v>1</v>
      </c>
      <c r="U459" s="8" t="str">
        <f>TRIM(LEFT(RawSalesTable6[[#This Row],[Customer_Info]],FIND(",",RawSalesTable6[[#This Row],[Customer_Info]])-1))</f>
        <v>Nora Khan</v>
      </c>
      <c r="V459" s="8" t="str">
        <f>TRIM(MID(RawSalesTable6[[#This Row],[Customer_Info]],FIND(",",RawSalesTable6[[#This Row],[Customer_Info]])+1,FIND(",",RawSalesTable6[[#This Row],[Customer_Info]],FIND(",",RawSalesTable6[[#This Row],[Customer_Info]])+1)-FIND(",",RawSalesTable6[[#This Row],[Customer_Info]])-1))</f>
        <v>Mississauga</v>
      </c>
      <c r="W459" s="8" t="str">
        <f>TRIM(RIGHT(RawSalesTable6[[#This Row],[Customer_Info]],LEN(RawSalesTable6[[#This Row],[Customer_Info]])-FIND(",",RawSalesTable6[[#This Row],[Customer_Info]],FIND(",",RawSalesTable6[[#This Row],[Customer_Info]])+1)))</f>
        <v>Consumer</v>
      </c>
      <c r="X459" s="8" t="str">
        <f>VLOOKUP(RawSalesTable6[[#This Row],[Product_ID_Clean]],ProductsTable[],2,FALSE)</f>
        <v>Pull-up Bar</v>
      </c>
      <c r="Y459" s="8" t="str">
        <f>VLOOKUP(RawSalesTable6[[#This Row],[Product_ID_Clean]],ProductsTable[],3,FALSE)</f>
        <v>Fitness</v>
      </c>
      <c r="Z459" s="8">
        <f>VLOOKUP(RawSalesTable6[[#This Row],[Product_ID_Clean]],ProductsTable[],5,FALSE)</f>
        <v>125.4</v>
      </c>
      <c r="AA459" s="8">
        <f>RawSalesTable6[[#This Row],[Unit_Price]]*RawSalesTable6[[#This Row],[Quantity]]</f>
        <v>757.98</v>
      </c>
      <c r="AB459" s="8">
        <f>RawSalesTable6[[#This Row],[Gross_Sales]]*RawSalesTable6[[#This Row],[Discount_Pct]]</f>
        <v>189.495</v>
      </c>
      <c r="AC459" s="8">
        <f>RawSalesTable6[[#This Row],[Gross_Sales]]-RawSalesTable6[[#This Row],[Discount_Amount]]</f>
        <v>568.48500000000001</v>
      </c>
      <c r="AD459" s="8">
        <f>RawSalesTable6[[#This Row],[Unit_Cost]]*RawSalesTable6[[#This Row],[Quantity]]</f>
        <v>376.20000000000005</v>
      </c>
      <c r="AE459" s="8">
        <f>RawSalesTable6[[#This Row],[Net_Sales]]-RawSalesTable6[[#This Row],[Total_Cost]]</f>
        <v>192.28499999999997</v>
      </c>
      <c r="AF459" s="9">
        <f>RawSalesTable6[[#This Row],[Profit]]/RawSalesTable6[[#This Row],[Net_Sales]]</f>
        <v>0.3382411145412807</v>
      </c>
      <c r="AG459" s="8">
        <f>YEAR(RawSalesTable6[[#This Row],[Order_Date]])</f>
        <v>2025</v>
      </c>
      <c r="AH459" s="8">
        <f>MONTH(RawSalesTable6[[#This Row],[Order_Date]])</f>
        <v>9</v>
      </c>
      <c r="AI459" s="8" t="str">
        <f>TEXT(RawSalesTable6[[#This Row],[Order_Date]],"mmmm")</f>
        <v>septembre</v>
      </c>
      <c r="AJ459" s="8" t="str">
        <f>IF(RawSalesTable6[[#This Row],[Month_Number]]&lt;=3,"Q1",IF(RawSalesTable6[[#This Row],[Month_Number]]&lt;=6,"Q2",IF(RawSalesTable6[[#This Row],[Month_Number]]&lt;=9,"Q3","Q4")))</f>
        <v>Q3</v>
      </c>
      <c r="AK459" s="8" t="str">
        <f>VLOOKUP(RawSalesTable6[[#This Row],[Customer_ID_Clean]],CustomersTable[],4,FALSE)</f>
        <v>Ontario</v>
      </c>
      <c r="AL459" s="8">
        <f>IF(RawSalesTable6[[#This Row],[Return_Status]]="Yes",1,0)</f>
        <v>0</v>
      </c>
    </row>
    <row r="460" spans="1:38">
      <c r="A460" t="s">
        <v>889</v>
      </c>
      <c r="B460" s="3">
        <v>45908</v>
      </c>
      <c r="C460" t="s">
        <v>536</v>
      </c>
      <c r="D460" t="s">
        <v>271</v>
      </c>
      <c r="E460" t="s">
        <v>431</v>
      </c>
      <c r="F460" t="s">
        <v>111</v>
      </c>
      <c r="G460" t="s">
        <v>171</v>
      </c>
      <c r="H460" t="s">
        <v>105</v>
      </c>
      <c r="I460">
        <v>2</v>
      </c>
      <c r="J460" s="2">
        <v>235.33</v>
      </c>
      <c r="K460" s="4">
        <v>0.05</v>
      </c>
      <c r="L460" t="s">
        <v>98</v>
      </c>
      <c r="M460">
        <v>2</v>
      </c>
      <c r="N460" t="s">
        <v>91</v>
      </c>
      <c r="O460" t="str">
        <f>SUBSTITUTE(PROPER(TRIM(RawSalesTable6[[#This Row],[Channel_Raw]])),"Market Place","Marketplace")</f>
        <v>Marketplace</v>
      </c>
      <c r="P460" t="str">
        <f>TRIM(RawSalesTable6[[#This Row],[Product_ID]])</f>
        <v>P1026</v>
      </c>
      <c r="Q460" t="str">
        <f>TRIM(RawSalesTable6[[#This Row],[Customer_ID]])</f>
        <v>C0039</v>
      </c>
      <c r="R460" s="8" t="str">
        <f>PROPER(TRIM(RawSalesTable6[[#This Row],[Store_Raw]]))</f>
        <v>Montreal Central</v>
      </c>
      <c r="S460" s="8" t="str">
        <f>IF(TRIM(RawSalesTable6[[#This Row],[Payment_Method_Raw]])="","Non renseigné",SUBSTITUTE(PROPER(TRIM(RawSalesTable6[[#This Row],[Payment_Method_Raw]])),"Cc","Credit Card"))</f>
        <v>Debit Card</v>
      </c>
      <c r="T460" s="8">
        <f>COUNTIF(A:A,RawSalesTable6[[#This Row],[Order_ID]])</f>
        <v>1</v>
      </c>
      <c r="U460" s="8" t="str">
        <f>TRIM(LEFT(RawSalesTable6[[#This Row],[Customer_Info]],FIND(",",RawSalesTable6[[#This Row],[Customer_Info]])-1))</f>
        <v>Sarah Wilson</v>
      </c>
      <c r="V460" s="8" t="str">
        <f>TRIM(MID(RawSalesTable6[[#This Row],[Customer_Info]],FIND(",",RawSalesTable6[[#This Row],[Customer_Info]])+1,FIND(",",RawSalesTable6[[#This Row],[Customer_Info]],FIND(",",RawSalesTable6[[#This Row],[Customer_Info]])+1)-FIND(",",RawSalesTable6[[#This Row],[Customer_Info]])-1))</f>
        <v>Halifax</v>
      </c>
      <c r="W460" s="8" t="str">
        <f>TRIM(RIGHT(RawSalesTable6[[#This Row],[Customer_Info]],LEN(RawSalesTable6[[#This Row],[Customer_Info]])-FIND(",",RawSalesTable6[[#This Row],[Customer_Info]],FIND(",",RawSalesTable6[[#This Row],[Customer_Info]])+1)))</f>
        <v>Consumer</v>
      </c>
      <c r="X460" s="8" t="str">
        <f>VLOOKUP(RawSalesTable6[[#This Row],[Product_ID_Clean]],ProductsTable[],2,FALSE)</f>
        <v>Resistance Bands</v>
      </c>
      <c r="Y460" s="8" t="str">
        <f>VLOOKUP(RawSalesTable6[[#This Row],[Product_ID_Clean]],ProductsTable[],3,FALSE)</f>
        <v>Fitness</v>
      </c>
      <c r="Z460" s="8">
        <f>VLOOKUP(RawSalesTable6[[#This Row],[Product_ID_Clean]],ProductsTable[],5,FALSE)</f>
        <v>139.19999999999999</v>
      </c>
      <c r="AA460" s="8">
        <f>RawSalesTable6[[#This Row],[Unit_Price]]*RawSalesTable6[[#This Row],[Quantity]]</f>
        <v>470.66</v>
      </c>
      <c r="AB460" s="8">
        <f>RawSalesTable6[[#This Row],[Gross_Sales]]*RawSalesTable6[[#This Row],[Discount_Pct]]</f>
        <v>23.533000000000001</v>
      </c>
      <c r="AC460" s="8">
        <f>RawSalesTable6[[#This Row],[Gross_Sales]]-RawSalesTable6[[#This Row],[Discount_Amount]]</f>
        <v>447.12700000000001</v>
      </c>
      <c r="AD460" s="8">
        <f>RawSalesTable6[[#This Row],[Unit_Cost]]*RawSalesTable6[[#This Row],[Quantity]]</f>
        <v>278.39999999999998</v>
      </c>
      <c r="AE460" s="8">
        <f>RawSalesTable6[[#This Row],[Net_Sales]]-RawSalesTable6[[#This Row],[Total_Cost]]</f>
        <v>168.72700000000003</v>
      </c>
      <c r="AF460" s="9">
        <f>RawSalesTable6[[#This Row],[Profit]]/RawSalesTable6[[#This Row],[Net_Sales]]</f>
        <v>0.37735811078284254</v>
      </c>
      <c r="AG460" s="8">
        <f>YEAR(RawSalesTable6[[#This Row],[Order_Date]])</f>
        <v>2025</v>
      </c>
      <c r="AH460" s="8">
        <f>MONTH(RawSalesTable6[[#This Row],[Order_Date]])</f>
        <v>9</v>
      </c>
      <c r="AI460" s="8" t="str">
        <f>TEXT(RawSalesTable6[[#This Row],[Order_Date]],"mmmm")</f>
        <v>septembre</v>
      </c>
      <c r="AJ460" s="8" t="str">
        <f>IF(RawSalesTable6[[#This Row],[Month_Number]]&lt;=3,"Q1",IF(RawSalesTable6[[#This Row],[Month_Number]]&lt;=6,"Q2",IF(RawSalesTable6[[#This Row],[Month_Number]]&lt;=9,"Q3","Q4")))</f>
        <v>Q3</v>
      </c>
      <c r="AK460" s="8" t="str">
        <f>VLOOKUP(RawSalesTable6[[#This Row],[Customer_ID_Clean]],CustomersTable[],4,FALSE)</f>
        <v>Nova Scotia</v>
      </c>
      <c r="AL460" s="8">
        <f>IF(RawSalesTable6[[#This Row],[Return_Status]]="Yes",1,0)</f>
        <v>0</v>
      </c>
    </row>
    <row r="461" spans="1:38">
      <c r="A461" t="s">
        <v>890</v>
      </c>
      <c r="B461" s="3">
        <v>45734</v>
      </c>
      <c r="C461" t="s">
        <v>406</v>
      </c>
      <c r="D461" t="s">
        <v>157</v>
      </c>
      <c r="E461" t="s">
        <v>407</v>
      </c>
      <c r="F461" t="s">
        <v>116</v>
      </c>
      <c r="G461" t="s">
        <v>104</v>
      </c>
      <c r="H461" t="s">
        <v>233</v>
      </c>
      <c r="I461">
        <v>3</v>
      </c>
      <c r="J461" s="2">
        <v>277.63</v>
      </c>
      <c r="K461" s="4">
        <v>0.1</v>
      </c>
      <c r="L461" t="s">
        <v>90</v>
      </c>
      <c r="M461">
        <v>3</v>
      </c>
      <c r="N461" t="s">
        <v>91</v>
      </c>
      <c r="O461" t="str">
        <f>SUBSTITUTE(PROPER(TRIM(RawSalesTable6[[#This Row],[Channel_Raw]])),"Market Place","Marketplace")</f>
        <v>Retail Store</v>
      </c>
      <c r="P461" t="str">
        <f>TRIM(RawSalesTable6[[#This Row],[Product_ID]])</f>
        <v>P1009</v>
      </c>
      <c r="Q461" t="str">
        <f>TRIM(RawSalesTable6[[#This Row],[Customer_ID]])</f>
        <v>C0038</v>
      </c>
      <c r="R461" s="8" t="str">
        <f>PROPER(TRIM(RawSalesTable6[[#This Row],[Store_Raw]]))</f>
        <v>Toronto Downtown</v>
      </c>
      <c r="S461" s="8" t="str">
        <f>IF(TRIM(RawSalesTable6[[#This Row],[Payment_Method_Raw]])="","Non renseigné",SUBSTITUTE(PROPER(TRIM(RawSalesTable6[[#This Row],[Payment_Method_Raw]])),"Cc","Credit Card"))</f>
        <v>Paypal</v>
      </c>
      <c r="T461" s="8">
        <f>COUNTIF(A:A,RawSalesTable6[[#This Row],[Order_ID]])</f>
        <v>1</v>
      </c>
      <c r="U461" s="8" t="str">
        <f>TRIM(LEFT(RawSalesTable6[[#This Row],[Customer_Info]],FIND(",",RawSalesTable6[[#This Row],[Customer_Info]])-1))</f>
        <v>Noah Brown</v>
      </c>
      <c r="V461" s="8" t="str">
        <f>TRIM(MID(RawSalesTable6[[#This Row],[Customer_Info]],FIND(",",RawSalesTable6[[#This Row],[Customer_Info]])+1,FIND(",",RawSalesTable6[[#This Row],[Customer_Info]],FIND(",",RawSalesTable6[[#This Row],[Customer_Info]])+1)-FIND(",",RawSalesTable6[[#This Row],[Customer_Info]])-1))</f>
        <v>Montreal</v>
      </c>
      <c r="W461" s="8" t="str">
        <f>TRIM(RIGHT(RawSalesTable6[[#This Row],[Customer_Info]],LEN(RawSalesTable6[[#This Row],[Customer_Info]])-FIND(",",RawSalesTable6[[#This Row],[Customer_Info]],FIND(",",RawSalesTable6[[#This Row],[Customer_Info]])+1)))</f>
        <v>Consumer</v>
      </c>
      <c r="X461" s="8" t="str">
        <f>VLOOKUP(RawSalesTable6[[#This Row],[Product_ID_Clean]],ProductsTable[],2,FALSE)</f>
        <v>Notebook</v>
      </c>
      <c r="Y461" s="8" t="str">
        <f>VLOOKUP(RawSalesTable6[[#This Row],[Product_ID_Clean]],ProductsTable[],3,FALSE)</f>
        <v>Office</v>
      </c>
      <c r="Z461" s="8">
        <f>VLOOKUP(RawSalesTable6[[#This Row],[Product_ID_Clean]],ProductsTable[],5,FALSE)</f>
        <v>176.13</v>
      </c>
      <c r="AA461" s="8">
        <f>RawSalesTable6[[#This Row],[Unit_Price]]*RawSalesTable6[[#This Row],[Quantity]]</f>
        <v>832.89</v>
      </c>
      <c r="AB461" s="8">
        <f>RawSalesTable6[[#This Row],[Gross_Sales]]*RawSalesTable6[[#This Row],[Discount_Pct]]</f>
        <v>83.289000000000001</v>
      </c>
      <c r="AC461" s="8">
        <f>RawSalesTable6[[#This Row],[Gross_Sales]]-RawSalesTable6[[#This Row],[Discount_Amount]]</f>
        <v>749.601</v>
      </c>
      <c r="AD461" s="8">
        <f>RawSalesTable6[[#This Row],[Unit_Cost]]*RawSalesTable6[[#This Row],[Quantity]]</f>
        <v>528.39</v>
      </c>
      <c r="AE461" s="8">
        <f>RawSalesTable6[[#This Row],[Net_Sales]]-RawSalesTable6[[#This Row],[Total_Cost]]</f>
        <v>221.21100000000001</v>
      </c>
      <c r="AF461" s="9">
        <f>RawSalesTable6[[#This Row],[Profit]]/RawSalesTable6[[#This Row],[Net_Sales]]</f>
        <v>0.29510499585779637</v>
      </c>
      <c r="AG461" s="8">
        <f>YEAR(RawSalesTable6[[#This Row],[Order_Date]])</f>
        <v>2025</v>
      </c>
      <c r="AH461" s="8">
        <f>MONTH(RawSalesTable6[[#This Row],[Order_Date]])</f>
        <v>3</v>
      </c>
      <c r="AI461" s="8" t="str">
        <f>TEXT(RawSalesTable6[[#This Row],[Order_Date]],"mmmm")</f>
        <v>mars</v>
      </c>
      <c r="AJ461" s="8" t="str">
        <f>IF(RawSalesTable6[[#This Row],[Month_Number]]&lt;=3,"Q1",IF(RawSalesTable6[[#This Row],[Month_Number]]&lt;=6,"Q2",IF(RawSalesTable6[[#This Row],[Month_Number]]&lt;=9,"Q3","Q4")))</f>
        <v>Q1</v>
      </c>
      <c r="AK461" s="8" t="str">
        <f>VLOOKUP(RawSalesTable6[[#This Row],[Customer_ID_Clean]],CustomersTable[],4,FALSE)</f>
        <v>Quebec</v>
      </c>
      <c r="AL461" s="8">
        <f>IF(RawSalesTable6[[#This Row],[Return_Status]]="Yes",1,0)</f>
        <v>0</v>
      </c>
    </row>
    <row r="462" spans="1:38">
      <c r="A462" t="s">
        <v>891</v>
      </c>
      <c r="B462" s="3">
        <v>45984</v>
      </c>
      <c r="C462" t="s">
        <v>613</v>
      </c>
      <c r="D462" t="s">
        <v>277</v>
      </c>
      <c r="E462" t="s">
        <v>710</v>
      </c>
      <c r="F462" t="s">
        <v>111</v>
      </c>
      <c r="G462" t="s">
        <v>104</v>
      </c>
      <c r="H462" t="s">
        <v>97</v>
      </c>
      <c r="I462">
        <v>1</v>
      </c>
      <c r="J462" s="2">
        <v>392.21</v>
      </c>
      <c r="K462" s="4">
        <v>0</v>
      </c>
      <c r="L462" t="s">
        <v>106</v>
      </c>
      <c r="M462">
        <v>1</v>
      </c>
      <c r="N462" t="s">
        <v>91</v>
      </c>
      <c r="O462" t="str">
        <f>SUBSTITUTE(PROPER(TRIM(RawSalesTable6[[#This Row],[Channel_Raw]])),"Market Place","Marketplace")</f>
        <v>Retail Store</v>
      </c>
      <c r="P462" t="str">
        <f>TRIM(RawSalesTable6[[#This Row],[Product_ID]])</f>
        <v>P1001</v>
      </c>
      <c r="Q462" t="str">
        <f>TRIM(RawSalesTable6[[#This Row],[Customer_ID]])</f>
        <v>C0060</v>
      </c>
      <c r="R462" s="8" t="str">
        <f>PROPER(TRIM(RawSalesTable6[[#This Row],[Store_Raw]]))</f>
        <v>Montreal Central</v>
      </c>
      <c r="S462" s="8" t="str">
        <f>IF(TRIM(RawSalesTable6[[#This Row],[Payment_Method_Raw]])="","Non renseigné",SUBSTITUTE(PROPER(TRIM(RawSalesTable6[[#This Row],[Payment_Method_Raw]])),"Cc","Credit Card"))</f>
        <v>Credit Card</v>
      </c>
      <c r="T462" s="8">
        <f>COUNTIF(A:A,RawSalesTable6[[#This Row],[Order_ID]])</f>
        <v>1</v>
      </c>
      <c r="U462" s="8" t="str">
        <f>TRIM(LEFT(RawSalesTable6[[#This Row],[Customer_Info]],FIND(",",RawSalesTable6[[#This Row],[Customer_Info]])-1))</f>
        <v>Sarah Wilson</v>
      </c>
      <c r="V462" s="8" t="str">
        <f>TRIM(MID(RawSalesTable6[[#This Row],[Customer_Info]],FIND(",",RawSalesTable6[[#This Row],[Customer_Info]])+1,FIND(",",RawSalesTable6[[#This Row],[Customer_Info]],FIND(",",RawSalesTable6[[#This Row],[Customer_Info]])+1)-FIND(",",RawSalesTable6[[#This Row],[Customer_Info]])-1))</f>
        <v>Quebec City</v>
      </c>
      <c r="W462" s="8" t="str">
        <f>TRIM(RIGHT(RawSalesTable6[[#This Row],[Customer_Info]],LEN(RawSalesTable6[[#This Row],[Customer_Info]])-FIND(",",RawSalesTable6[[#This Row],[Customer_Info]],FIND(",",RawSalesTable6[[#This Row],[Customer_Info]])+1)))</f>
        <v>Corporate</v>
      </c>
      <c r="X462" s="8" t="str">
        <f>VLOOKUP(RawSalesTable6[[#This Row],[Product_ID_Clean]],ProductsTable[],2,FALSE)</f>
        <v>Headphones</v>
      </c>
      <c r="Y462" s="8" t="str">
        <f>VLOOKUP(RawSalesTable6[[#This Row],[Product_ID_Clean]],ProductsTable[],3,FALSE)</f>
        <v>Electronics</v>
      </c>
      <c r="Z462" s="8">
        <f>VLOOKUP(RawSalesTable6[[#This Row],[Product_ID_Clean]],ProductsTable[],5,FALSE)</f>
        <v>254.6</v>
      </c>
      <c r="AA462" s="8">
        <f>RawSalesTable6[[#This Row],[Unit_Price]]*RawSalesTable6[[#This Row],[Quantity]]</f>
        <v>392.21</v>
      </c>
      <c r="AB462" s="8">
        <f>RawSalesTable6[[#This Row],[Gross_Sales]]*RawSalesTable6[[#This Row],[Discount_Pct]]</f>
        <v>0</v>
      </c>
      <c r="AC462" s="8">
        <f>RawSalesTable6[[#This Row],[Gross_Sales]]-RawSalesTable6[[#This Row],[Discount_Amount]]</f>
        <v>392.21</v>
      </c>
      <c r="AD462" s="8">
        <f>RawSalesTable6[[#This Row],[Unit_Cost]]*RawSalesTable6[[#This Row],[Quantity]]</f>
        <v>254.6</v>
      </c>
      <c r="AE462" s="8">
        <f>RawSalesTable6[[#This Row],[Net_Sales]]-RawSalesTable6[[#This Row],[Total_Cost]]</f>
        <v>137.60999999999999</v>
      </c>
      <c r="AF462" s="9">
        <f>RawSalesTable6[[#This Row],[Profit]]/RawSalesTable6[[#This Row],[Net_Sales]]</f>
        <v>0.35085795874658982</v>
      </c>
      <c r="AG462" s="8">
        <f>YEAR(RawSalesTable6[[#This Row],[Order_Date]])</f>
        <v>2025</v>
      </c>
      <c r="AH462" s="8">
        <f>MONTH(RawSalesTable6[[#This Row],[Order_Date]])</f>
        <v>11</v>
      </c>
      <c r="AI462" s="8" t="str">
        <f>TEXT(RawSalesTable6[[#This Row],[Order_Date]],"mmmm")</f>
        <v>novembre</v>
      </c>
      <c r="AJ462" s="8" t="str">
        <f>IF(RawSalesTable6[[#This Row],[Month_Number]]&lt;=3,"Q1",IF(RawSalesTable6[[#This Row],[Month_Number]]&lt;=6,"Q2",IF(RawSalesTable6[[#This Row],[Month_Number]]&lt;=9,"Q3","Q4")))</f>
        <v>Q4</v>
      </c>
      <c r="AK462" s="8" t="str">
        <f>VLOOKUP(RawSalesTable6[[#This Row],[Customer_ID_Clean]],CustomersTable[],4,FALSE)</f>
        <v>Quebec</v>
      </c>
      <c r="AL462" s="8">
        <f>IF(RawSalesTable6[[#This Row],[Return_Status]]="Yes",1,0)</f>
        <v>0</v>
      </c>
    </row>
    <row r="463" spans="1:38">
      <c r="A463" t="s">
        <v>892</v>
      </c>
      <c r="B463" s="3">
        <v>45896</v>
      </c>
      <c r="C463" t="s">
        <v>359</v>
      </c>
      <c r="D463" t="s">
        <v>190</v>
      </c>
      <c r="E463" t="s">
        <v>361</v>
      </c>
      <c r="F463" t="s">
        <v>103</v>
      </c>
      <c r="G463" t="s">
        <v>96</v>
      </c>
      <c r="H463" t="s">
        <v>89</v>
      </c>
      <c r="I463">
        <v>1</v>
      </c>
      <c r="J463" s="2">
        <v>279.77</v>
      </c>
      <c r="K463" s="4">
        <v>0</v>
      </c>
      <c r="L463" t="s">
        <v>98</v>
      </c>
      <c r="M463">
        <v>4</v>
      </c>
      <c r="N463" t="s">
        <v>91</v>
      </c>
      <c r="O463" t="str">
        <f>SUBSTITUTE(PROPER(TRIM(RawSalesTable6[[#This Row],[Channel_Raw]])),"Market Place","Marketplace")</f>
        <v>Online</v>
      </c>
      <c r="P463" t="str">
        <f>TRIM(RawSalesTable6[[#This Row],[Product_ID]])</f>
        <v>P1004</v>
      </c>
      <c r="Q463" t="str">
        <f>TRIM(RawSalesTable6[[#This Row],[Customer_ID]])</f>
        <v>C0044</v>
      </c>
      <c r="R463" s="8" t="str">
        <f>PROPER(TRIM(RawSalesTable6[[#This Row],[Store_Raw]]))</f>
        <v>Vancouver West</v>
      </c>
      <c r="S463" s="8" t="str">
        <f>IF(TRIM(RawSalesTable6[[#This Row],[Payment_Method_Raw]])="","Non renseigné",SUBSTITUTE(PROPER(TRIM(RawSalesTable6[[#This Row],[Payment_Method_Raw]])),"Cc","Credit Card"))</f>
        <v>Debit Card</v>
      </c>
      <c r="T463" s="8">
        <f>COUNTIF(A:A,RawSalesTable6[[#This Row],[Order_ID]])</f>
        <v>1</v>
      </c>
      <c r="U463" s="8" t="str">
        <f>TRIM(LEFT(RawSalesTable6[[#This Row],[Customer_Info]],FIND(",",RawSalesTable6[[#This Row],[Customer_Info]])-1))</f>
        <v>Nora Young</v>
      </c>
      <c r="V463" s="8" t="str">
        <f>TRIM(MID(RawSalesTable6[[#This Row],[Customer_Info]],FIND(",",RawSalesTable6[[#This Row],[Customer_Info]])+1,FIND(",",RawSalesTable6[[#This Row],[Customer_Info]],FIND(",",RawSalesTable6[[#This Row],[Customer_Info]])+1)-FIND(",",RawSalesTable6[[#This Row],[Customer_Info]])-1))</f>
        <v>Vancouver</v>
      </c>
      <c r="W463" s="8" t="str">
        <f>TRIM(RIGHT(RawSalesTable6[[#This Row],[Customer_Info]],LEN(RawSalesTable6[[#This Row],[Customer_Info]])-FIND(",",RawSalesTable6[[#This Row],[Customer_Info]],FIND(",",RawSalesTable6[[#This Row],[Customer_Info]])+1)))</f>
        <v>Corporate</v>
      </c>
      <c r="X463" s="8" t="str">
        <f>VLOOKUP(RawSalesTable6[[#This Row],[Product_ID_Clean]],ProductsTable[],2,FALSE)</f>
        <v>Webcam</v>
      </c>
      <c r="Y463" s="8" t="str">
        <f>VLOOKUP(RawSalesTable6[[#This Row],[Product_ID_Clean]],ProductsTable[],3,FALSE)</f>
        <v>Electronics</v>
      </c>
      <c r="Z463" s="8">
        <f>VLOOKUP(RawSalesTable6[[#This Row],[Product_ID_Clean]],ProductsTable[],5,FALSE)</f>
        <v>154.72999999999999</v>
      </c>
      <c r="AA463" s="8">
        <f>RawSalesTable6[[#This Row],[Unit_Price]]*RawSalesTable6[[#This Row],[Quantity]]</f>
        <v>279.77</v>
      </c>
      <c r="AB463" s="8">
        <f>RawSalesTable6[[#This Row],[Gross_Sales]]*RawSalesTable6[[#This Row],[Discount_Pct]]</f>
        <v>0</v>
      </c>
      <c r="AC463" s="8">
        <f>RawSalesTable6[[#This Row],[Gross_Sales]]-RawSalesTable6[[#This Row],[Discount_Amount]]</f>
        <v>279.77</v>
      </c>
      <c r="AD463" s="8">
        <f>RawSalesTable6[[#This Row],[Unit_Cost]]*RawSalesTable6[[#This Row],[Quantity]]</f>
        <v>154.72999999999999</v>
      </c>
      <c r="AE463" s="8">
        <f>RawSalesTable6[[#This Row],[Net_Sales]]-RawSalesTable6[[#This Row],[Total_Cost]]</f>
        <v>125.03999999999999</v>
      </c>
      <c r="AF463" s="9">
        <f>RawSalesTable6[[#This Row],[Profit]]/RawSalesTable6[[#This Row],[Net_Sales]]</f>
        <v>0.44693855667155163</v>
      </c>
      <c r="AG463" s="8">
        <f>YEAR(RawSalesTable6[[#This Row],[Order_Date]])</f>
        <v>2025</v>
      </c>
      <c r="AH463" s="8">
        <f>MONTH(RawSalesTable6[[#This Row],[Order_Date]])</f>
        <v>8</v>
      </c>
      <c r="AI463" s="8" t="str">
        <f>TEXT(RawSalesTable6[[#This Row],[Order_Date]],"mmmm")</f>
        <v>août</v>
      </c>
      <c r="AJ463" s="8" t="str">
        <f>IF(RawSalesTable6[[#This Row],[Month_Number]]&lt;=3,"Q1",IF(RawSalesTable6[[#This Row],[Month_Number]]&lt;=6,"Q2",IF(RawSalesTable6[[#This Row],[Month_Number]]&lt;=9,"Q3","Q4")))</f>
        <v>Q3</v>
      </c>
      <c r="AK463" s="8" t="str">
        <f>VLOOKUP(RawSalesTable6[[#This Row],[Customer_ID_Clean]],CustomersTable[],4,FALSE)</f>
        <v>British Columbia</v>
      </c>
      <c r="AL463" s="8">
        <f>IF(RawSalesTable6[[#This Row],[Return_Status]]="Yes",1,0)</f>
        <v>0</v>
      </c>
    </row>
    <row r="464" spans="1:38">
      <c r="A464" t="s">
        <v>893</v>
      </c>
      <c r="B464" s="3">
        <v>45754</v>
      </c>
      <c r="C464" t="s">
        <v>225</v>
      </c>
      <c r="D464" t="s">
        <v>165</v>
      </c>
      <c r="E464" t="s">
        <v>227</v>
      </c>
      <c r="F464" t="s">
        <v>111</v>
      </c>
      <c r="G464" t="s">
        <v>104</v>
      </c>
      <c r="H464" t="s">
        <v>105</v>
      </c>
      <c r="I464">
        <v>1</v>
      </c>
      <c r="J464" s="2">
        <v>103.89</v>
      </c>
      <c r="K464" s="4">
        <v>0.25</v>
      </c>
      <c r="L464" t="s">
        <v>98</v>
      </c>
      <c r="M464">
        <v>8</v>
      </c>
      <c r="N464" t="s">
        <v>91</v>
      </c>
      <c r="O464" t="str">
        <f>SUBSTITUTE(PROPER(TRIM(RawSalesTable6[[#This Row],[Channel_Raw]])),"Market Place","Marketplace")</f>
        <v>Marketplace</v>
      </c>
      <c r="P464" t="str">
        <f>TRIM(RawSalesTable6[[#This Row],[Product_ID]])</f>
        <v>P1024</v>
      </c>
      <c r="Q464" t="str">
        <f>TRIM(RawSalesTable6[[#This Row],[Customer_ID]])</f>
        <v>C0110</v>
      </c>
      <c r="R464" s="8" t="str">
        <f>PROPER(TRIM(RawSalesTable6[[#This Row],[Store_Raw]]))</f>
        <v>Montreal Central</v>
      </c>
      <c r="S464" s="8" t="str">
        <f>IF(TRIM(RawSalesTable6[[#This Row],[Payment_Method_Raw]])="","Non renseigné",SUBSTITUTE(PROPER(TRIM(RawSalesTable6[[#This Row],[Payment_Method_Raw]])),"Cc","Credit Card"))</f>
        <v>Debit Card</v>
      </c>
      <c r="T464" s="8">
        <f>COUNTIF(A:A,RawSalesTable6[[#This Row],[Order_ID]])</f>
        <v>1</v>
      </c>
      <c r="U464" s="8" t="str">
        <f>TRIM(LEFT(RawSalesTable6[[#This Row],[Customer_Info]],FIND(",",RawSalesTable6[[#This Row],[Customer_Info]])-1))</f>
        <v>Sarah Smith</v>
      </c>
      <c r="V464" s="8" t="str">
        <f>TRIM(MID(RawSalesTable6[[#This Row],[Customer_Info]],FIND(",",RawSalesTable6[[#This Row],[Customer_Info]])+1,FIND(",",RawSalesTable6[[#This Row],[Customer_Info]],FIND(",",RawSalesTable6[[#This Row],[Customer_Info]])+1)-FIND(",",RawSalesTable6[[#This Row],[Customer_Info]])-1))</f>
        <v>Laval</v>
      </c>
      <c r="W464" s="8" t="str">
        <f>TRIM(RIGHT(RawSalesTable6[[#This Row],[Customer_Info]],LEN(RawSalesTable6[[#This Row],[Customer_Info]])-FIND(",",RawSalesTable6[[#This Row],[Customer_Info]],FIND(",",RawSalesTable6[[#This Row],[Customer_Info]])+1)))</f>
        <v>Consumer</v>
      </c>
      <c r="X464" s="8" t="str">
        <f>VLOOKUP(RawSalesTable6[[#This Row],[Product_ID_Clean]],ProductsTable[],2,FALSE)</f>
        <v>Food Scale</v>
      </c>
      <c r="Y464" s="8" t="str">
        <f>VLOOKUP(RawSalesTable6[[#This Row],[Product_ID_Clean]],ProductsTable[],3,FALSE)</f>
        <v>Home</v>
      </c>
      <c r="Z464" s="8">
        <f>VLOOKUP(RawSalesTable6[[#This Row],[Product_ID_Clean]],ProductsTable[],5,FALSE)</f>
        <v>46.07</v>
      </c>
      <c r="AA464" s="8">
        <f>RawSalesTable6[[#This Row],[Unit_Price]]*RawSalesTable6[[#This Row],[Quantity]]</f>
        <v>103.89</v>
      </c>
      <c r="AB464" s="8">
        <f>RawSalesTable6[[#This Row],[Gross_Sales]]*RawSalesTable6[[#This Row],[Discount_Pct]]</f>
        <v>25.9725</v>
      </c>
      <c r="AC464" s="8">
        <f>RawSalesTable6[[#This Row],[Gross_Sales]]-RawSalesTable6[[#This Row],[Discount_Amount]]</f>
        <v>77.917500000000004</v>
      </c>
      <c r="AD464" s="8">
        <f>RawSalesTable6[[#This Row],[Unit_Cost]]*RawSalesTable6[[#This Row],[Quantity]]</f>
        <v>46.07</v>
      </c>
      <c r="AE464" s="8">
        <f>RawSalesTable6[[#This Row],[Net_Sales]]-RawSalesTable6[[#This Row],[Total_Cost]]</f>
        <v>31.847500000000004</v>
      </c>
      <c r="AF464" s="9">
        <f>RawSalesTable6[[#This Row],[Profit]]/RawSalesTable6[[#This Row],[Net_Sales]]</f>
        <v>0.40873359643212376</v>
      </c>
      <c r="AG464" s="8">
        <f>YEAR(RawSalesTable6[[#This Row],[Order_Date]])</f>
        <v>2025</v>
      </c>
      <c r="AH464" s="8">
        <f>MONTH(RawSalesTable6[[#This Row],[Order_Date]])</f>
        <v>4</v>
      </c>
      <c r="AI464" s="8" t="str">
        <f>TEXT(RawSalesTable6[[#This Row],[Order_Date]],"mmmm")</f>
        <v>avril</v>
      </c>
      <c r="AJ464" s="8" t="str">
        <f>IF(RawSalesTable6[[#This Row],[Month_Number]]&lt;=3,"Q1",IF(RawSalesTable6[[#This Row],[Month_Number]]&lt;=6,"Q2",IF(RawSalesTable6[[#This Row],[Month_Number]]&lt;=9,"Q3","Q4")))</f>
        <v>Q2</v>
      </c>
      <c r="AK464" s="8" t="str">
        <f>VLOOKUP(RawSalesTable6[[#This Row],[Customer_ID_Clean]],CustomersTable[],4,FALSE)</f>
        <v>Quebec</v>
      </c>
      <c r="AL464" s="8">
        <f>IF(RawSalesTable6[[#This Row],[Return_Status]]="Yes",1,0)</f>
        <v>0</v>
      </c>
    </row>
    <row r="465" spans="1:38">
      <c r="A465" t="s">
        <v>894</v>
      </c>
      <c r="B465" s="3">
        <v>45781</v>
      </c>
      <c r="C465" t="s">
        <v>338</v>
      </c>
      <c r="D465" t="s">
        <v>143</v>
      </c>
      <c r="E465" t="s">
        <v>339</v>
      </c>
      <c r="F465" t="s">
        <v>111</v>
      </c>
      <c r="G465" t="s">
        <v>122</v>
      </c>
      <c r="H465" t="s">
        <v>97</v>
      </c>
      <c r="I465">
        <v>1</v>
      </c>
      <c r="J465" s="2">
        <v>273.39</v>
      </c>
      <c r="K465" s="4">
        <v>0.1</v>
      </c>
      <c r="L465" t="s">
        <v>90</v>
      </c>
      <c r="M465">
        <v>3</v>
      </c>
      <c r="N465" t="s">
        <v>91</v>
      </c>
      <c r="O465" t="str">
        <f>SUBSTITUTE(PROPER(TRIM(RawSalesTable6[[#This Row],[Channel_Raw]])),"Market Place","Marketplace")</f>
        <v>Retail Store</v>
      </c>
      <c r="P465" t="str">
        <f>TRIM(RawSalesTable6[[#This Row],[Product_ID]])</f>
        <v>P1038</v>
      </c>
      <c r="Q465" t="str">
        <f>TRIM(RawSalesTable6[[#This Row],[Customer_ID]])</f>
        <v>C0047</v>
      </c>
      <c r="R465" s="8" t="str">
        <f>PROPER(TRIM(RawSalesTable6[[#This Row],[Store_Raw]]))</f>
        <v>Montreal Central</v>
      </c>
      <c r="S465" s="8" t="str">
        <f>IF(TRIM(RawSalesTable6[[#This Row],[Payment_Method_Raw]])="","Non renseigné",SUBSTITUTE(PROPER(TRIM(RawSalesTable6[[#This Row],[Payment_Method_Raw]])),"Cc","Credit Card"))</f>
        <v>Paypal</v>
      </c>
      <c r="T465" s="8">
        <f>COUNTIF(A:A,RawSalesTable6[[#This Row],[Order_ID]])</f>
        <v>1</v>
      </c>
      <c r="U465" s="8" t="str">
        <f>TRIM(LEFT(RawSalesTable6[[#This Row],[Customer_Info]],FIND(",",RawSalesTable6[[#This Row],[Customer_Info]])-1))</f>
        <v>Amine King</v>
      </c>
      <c r="V465" s="8" t="str">
        <f>TRIM(MID(RawSalesTable6[[#This Row],[Customer_Info]],FIND(",",RawSalesTable6[[#This Row],[Customer_Info]])+1,FIND(",",RawSalesTable6[[#This Row],[Customer_Info]],FIND(",",RawSalesTable6[[#This Row],[Customer_Info]])+1)-FIND(",",RawSalesTable6[[#This Row],[Customer_Info]])-1))</f>
        <v>Victoria</v>
      </c>
      <c r="W465" s="8" t="str">
        <f>TRIM(RIGHT(RawSalesTable6[[#This Row],[Customer_Info]],LEN(RawSalesTable6[[#This Row],[Customer_Info]])-FIND(",",RawSalesTable6[[#This Row],[Customer_Info]],FIND(",",RawSalesTable6[[#This Row],[Customer_Info]])+1)))</f>
        <v>Consumer</v>
      </c>
      <c r="X465" s="8" t="str">
        <f>VLOOKUP(RawSalesTable6[[#This Row],[Product_ID_Clean]],ProductsTable[],2,FALSE)</f>
        <v>Water Bottle</v>
      </c>
      <c r="Y465" s="8" t="str">
        <f>VLOOKUP(RawSalesTable6[[#This Row],[Product_ID_Clean]],ProductsTable[],3,FALSE)</f>
        <v>Accessories</v>
      </c>
      <c r="Z465" s="8">
        <f>VLOOKUP(RawSalesTable6[[#This Row],[Product_ID_Clean]],ProductsTable[],5,FALSE)</f>
        <v>119.16</v>
      </c>
      <c r="AA465" s="8">
        <f>RawSalesTable6[[#This Row],[Unit_Price]]*RawSalesTable6[[#This Row],[Quantity]]</f>
        <v>273.39</v>
      </c>
      <c r="AB465" s="8">
        <f>RawSalesTable6[[#This Row],[Gross_Sales]]*RawSalesTable6[[#This Row],[Discount_Pct]]</f>
        <v>27.338999999999999</v>
      </c>
      <c r="AC465" s="8">
        <f>RawSalesTable6[[#This Row],[Gross_Sales]]-RawSalesTable6[[#This Row],[Discount_Amount]]</f>
        <v>246.05099999999999</v>
      </c>
      <c r="AD465" s="8">
        <f>RawSalesTable6[[#This Row],[Unit_Cost]]*RawSalesTable6[[#This Row],[Quantity]]</f>
        <v>119.16</v>
      </c>
      <c r="AE465" s="8">
        <f>RawSalesTable6[[#This Row],[Net_Sales]]-RawSalesTable6[[#This Row],[Total_Cost]]</f>
        <v>126.89099999999999</v>
      </c>
      <c r="AF465" s="9">
        <f>RawSalesTable6[[#This Row],[Profit]]/RawSalesTable6[[#This Row],[Net_Sales]]</f>
        <v>0.51571015765024319</v>
      </c>
      <c r="AG465" s="8">
        <f>YEAR(RawSalesTable6[[#This Row],[Order_Date]])</f>
        <v>2025</v>
      </c>
      <c r="AH465" s="8">
        <f>MONTH(RawSalesTable6[[#This Row],[Order_Date]])</f>
        <v>5</v>
      </c>
      <c r="AI465" s="8" t="str">
        <f>TEXT(RawSalesTable6[[#This Row],[Order_Date]],"mmmm")</f>
        <v>mai</v>
      </c>
      <c r="AJ465" s="8" t="str">
        <f>IF(RawSalesTable6[[#This Row],[Month_Number]]&lt;=3,"Q1",IF(RawSalesTable6[[#This Row],[Month_Number]]&lt;=6,"Q2",IF(RawSalesTable6[[#This Row],[Month_Number]]&lt;=9,"Q3","Q4")))</f>
        <v>Q2</v>
      </c>
      <c r="AK465" s="8" t="str">
        <f>VLOOKUP(RawSalesTable6[[#This Row],[Customer_ID_Clean]],CustomersTable[],4,FALSE)</f>
        <v>British Columbia</v>
      </c>
      <c r="AL465" s="8">
        <f>IF(RawSalesTable6[[#This Row],[Return_Status]]="Yes",1,0)</f>
        <v>0</v>
      </c>
    </row>
    <row r="466" spans="1:38">
      <c r="A466" t="s">
        <v>895</v>
      </c>
      <c r="B466" s="3">
        <v>45912</v>
      </c>
      <c r="C466" t="s">
        <v>316</v>
      </c>
      <c r="D466" t="s">
        <v>85</v>
      </c>
      <c r="E466" t="s">
        <v>317</v>
      </c>
      <c r="F466" t="s">
        <v>103</v>
      </c>
      <c r="G466" t="s">
        <v>96</v>
      </c>
      <c r="H466" t="s">
        <v>105</v>
      </c>
      <c r="I466">
        <v>1</v>
      </c>
      <c r="J466" s="2">
        <v>295.25</v>
      </c>
      <c r="K466" s="4">
        <v>0.1</v>
      </c>
      <c r="L466" t="s">
        <v>154</v>
      </c>
      <c r="M466">
        <v>5</v>
      </c>
      <c r="N466" t="s">
        <v>91</v>
      </c>
      <c r="O466" t="str">
        <f>SUBSTITUTE(PROPER(TRIM(RawSalesTable6[[#This Row],[Channel_Raw]])),"Market Place","Marketplace")</f>
        <v>Marketplace</v>
      </c>
      <c r="P466" t="str">
        <f>TRIM(RawSalesTable6[[#This Row],[Product_ID]])</f>
        <v>P1025</v>
      </c>
      <c r="Q466" t="str">
        <f>TRIM(RawSalesTable6[[#This Row],[Customer_ID]])</f>
        <v>C0075</v>
      </c>
      <c r="R466" s="8" t="str">
        <f>PROPER(TRIM(RawSalesTable6[[#This Row],[Store_Raw]]))</f>
        <v>Vancouver West</v>
      </c>
      <c r="S466" s="8" t="str">
        <f>IF(TRIM(RawSalesTable6[[#This Row],[Payment_Method_Raw]])="","Non renseigné",SUBSTITUTE(PROPER(TRIM(RawSalesTable6[[#This Row],[Payment_Method_Raw]])),"Cc","Credit Card"))</f>
        <v>Gift Card</v>
      </c>
      <c r="T466" s="8">
        <f>COUNTIF(A:A,RawSalesTable6[[#This Row],[Order_ID]])</f>
        <v>1</v>
      </c>
      <c r="U466" s="8" t="str">
        <f>TRIM(LEFT(RawSalesTable6[[#This Row],[Customer_Info]],FIND(",",RawSalesTable6[[#This Row],[Customer_Info]])-1))</f>
        <v>Amelia Wilson</v>
      </c>
      <c r="V466" s="8" t="str">
        <f>TRIM(MID(RawSalesTable6[[#This Row],[Customer_Info]],FIND(",",RawSalesTable6[[#This Row],[Customer_Info]])+1,FIND(",",RawSalesTable6[[#This Row],[Customer_Info]],FIND(",",RawSalesTable6[[#This Row],[Customer_Info]])+1)-FIND(",",RawSalesTable6[[#This Row],[Customer_Info]])-1))</f>
        <v>Vancouver</v>
      </c>
      <c r="W466" s="8" t="str">
        <f>TRIM(RIGHT(RawSalesTable6[[#This Row],[Customer_Info]],LEN(RawSalesTable6[[#This Row],[Customer_Info]])-FIND(",",RawSalesTable6[[#This Row],[Customer_Info]],FIND(",",RawSalesTable6[[#This Row],[Customer_Info]])+1)))</f>
        <v>Consumer</v>
      </c>
      <c r="X466" s="8" t="str">
        <f>VLOOKUP(RawSalesTable6[[#This Row],[Product_ID_Clean]],ProductsTable[],2,FALSE)</f>
        <v>Yoga Mat</v>
      </c>
      <c r="Y466" s="8" t="str">
        <f>VLOOKUP(RawSalesTable6[[#This Row],[Product_ID_Clean]],ProductsTable[],3,FALSE)</f>
        <v>Fitness</v>
      </c>
      <c r="Z466" s="8">
        <f>VLOOKUP(RawSalesTable6[[#This Row],[Product_ID_Clean]],ProductsTable[],5,FALSE)</f>
        <v>197.33</v>
      </c>
      <c r="AA466" s="8">
        <f>RawSalesTable6[[#This Row],[Unit_Price]]*RawSalesTable6[[#This Row],[Quantity]]</f>
        <v>295.25</v>
      </c>
      <c r="AB466" s="8">
        <f>RawSalesTable6[[#This Row],[Gross_Sales]]*RawSalesTable6[[#This Row],[Discount_Pct]]</f>
        <v>29.525000000000002</v>
      </c>
      <c r="AC466" s="8">
        <f>RawSalesTable6[[#This Row],[Gross_Sales]]-RawSalesTable6[[#This Row],[Discount_Amount]]</f>
        <v>265.72500000000002</v>
      </c>
      <c r="AD466" s="8">
        <f>RawSalesTable6[[#This Row],[Unit_Cost]]*RawSalesTable6[[#This Row],[Quantity]]</f>
        <v>197.33</v>
      </c>
      <c r="AE466" s="8">
        <f>RawSalesTable6[[#This Row],[Net_Sales]]-RawSalesTable6[[#This Row],[Total_Cost]]</f>
        <v>68.39500000000001</v>
      </c>
      <c r="AF466" s="9">
        <f>RawSalesTable6[[#This Row],[Profit]]/RawSalesTable6[[#This Row],[Net_Sales]]</f>
        <v>0.25739015899896511</v>
      </c>
      <c r="AG466" s="8">
        <f>YEAR(RawSalesTable6[[#This Row],[Order_Date]])</f>
        <v>2025</v>
      </c>
      <c r="AH466" s="8">
        <f>MONTH(RawSalesTable6[[#This Row],[Order_Date]])</f>
        <v>9</v>
      </c>
      <c r="AI466" s="8" t="str">
        <f>TEXT(RawSalesTable6[[#This Row],[Order_Date]],"mmmm")</f>
        <v>septembre</v>
      </c>
      <c r="AJ466" s="8" t="str">
        <f>IF(RawSalesTable6[[#This Row],[Month_Number]]&lt;=3,"Q1",IF(RawSalesTable6[[#This Row],[Month_Number]]&lt;=6,"Q2",IF(RawSalesTable6[[#This Row],[Month_Number]]&lt;=9,"Q3","Q4")))</f>
        <v>Q3</v>
      </c>
      <c r="AK466" s="8" t="str">
        <f>VLOOKUP(RawSalesTable6[[#This Row],[Customer_ID_Clean]],CustomersTable[],4,FALSE)</f>
        <v>British Columbia</v>
      </c>
      <c r="AL466" s="8">
        <f>IF(RawSalesTable6[[#This Row],[Return_Status]]="Yes",1,0)</f>
        <v>0</v>
      </c>
    </row>
    <row r="467" spans="1:38">
      <c r="A467" t="s">
        <v>896</v>
      </c>
      <c r="B467" s="3">
        <v>45685</v>
      </c>
      <c r="C467" t="s">
        <v>516</v>
      </c>
      <c r="D467" t="s">
        <v>255</v>
      </c>
      <c r="E467" t="s">
        <v>517</v>
      </c>
      <c r="F467" t="s">
        <v>87</v>
      </c>
      <c r="G467" t="s">
        <v>130</v>
      </c>
      <c r="H467" t="s">
        <v>105</v>
      </c>
      <c r="I467">
        <v>1</v>
      </c>
      <c r="J467" s="2">
        <v>252.23</v>
      </c>
      <c r="K467" s="4">
        <v>0</v>
      </c>
      <c r="L467" t="s">
        <v>98</v>
      </c>
      <c r="M467">
        <v>2</v>
      </c>
      <c r="N467" t="s">
        <v>91</v>
      </c>
      <c r="O467" t="str">
        <f>SUBSTITUTE(PROPER(TRIM(RawSalesTable6[[#This Row],[Channel_Raw]])),"Market Place","Marketplace")</f>
        <v>Marketplace</v>
      </c>
      <c r="P467" t="str">
        <f>TRIM(RawSalesTable6[[#This Row],[Product_ID]])</f>
        <v>P1014</v>
      </c>
      <c r="Q467" t="str">
        <f>TRIM(RawSalesTable6[[#This Row],[Customer_ID]])</f>
        <v>C0120</v>
      </c>
      <c r="R467" s="8" t="str">
        <f>PROPER(TRIM(RawSalesTable6[[#This Row],[Store_Raw]]))</f>
        <v>Online Fulfillment</v>
      </c>
      <c r="S467" s="8" t="str">
        <f>IF(TRIM(RawSalesTable6[[#This Row],[Payment_Method_Raw]])="","Non renseigné",SUBSTITUTE(PROPER(TRIM(RawSalesTable6[[#This Row],[Payment_Method_Raw]])),"Cc","Credit Card"))</f>
        <v>Debit Card</v>
      </c>
      <c r="T467" s="8">
        <f>COUNTIF(A:A,RawSalesTable6[[#This Row],[Order_ID]])</f>
        <v>1</v>
      </c>
      <c r="U467" s="8" t="str">
        <f>TRIM(LEFT(RawSalesTable6[[#This Row],[Customer_Info]],FIND(",",RawSalesTable6[[#This Row],[Customer_Info]])-1))</f>
        <v>Ethan King</v>
      </c>
      <c r="V467" s="8" t="str">
        <f>TRIM(MID(RawSalesTable6[[#This Row],[Customer_Info]],FIND(",",RawSalesTable6[[#This Row],[Customer_Info]])+1,FIND(",",RawSalesTable6[[#This Row],[Customer_Info]],FIND(",",RawSalesTable6[[#This Row],[Customer_Info]])+1)-FIND(",",RawSalesTable6[[#This Row],[Customer_Info]])-1))</f>
        <v>Mississauga</v>
      </c>
      <c r="W467" s="8" t="str">
        <f>TRIM(RIGHT(RawSalesTable6[[#This Row],[Customer_Info]],LEN(RawSalesTable6[[#This Row],[Customer_Info]])-FIND(",",RawSalesTable6[[#This Row],[Customer_Info]],FIND(",",RawSalesTable6[[#This Row],[Customer_Info]])+1)))</f>
        <v>Small Business</v>
      </c>
      <c r="X467" s="8" t="str">
        <f>VLOOKUP(RawSalesTable6[[#This Row],[Product_ID_Clean]],ProductsTable[],2,FALSE)</f>
        <v>Document Shredder</v>
      </c>
      <c r="Y467" s="8" t="str">
        <f>VLOOKUP(RawSalesTable6[[#This Row],[Product_ID_Clean]],ProductsTable[],3,FALSE)</f>
        <v>Office</v>
      </c>
      <c r="Z467" s="8">
        <f>VLOOKUP(RawSalesTable6[[#This Row],[Product_ID_Clean]],ProductsTable[],5,FALSE)</f>
        <v>117.65</v>
      </c>
      <c r="AA467" s="8">
        <f>RawSalesTable6[[#This Row],[Unit_Price]]*RawSalesTable6[[#This Row],[Quantity]]</f>
        <v>252.23</v>
      </c>
      <c r="AB467" s="8">
        <f>RawSalesTable6[[#This Row],[Gross_Sales]]*RawSalesTable6[[#This Row],[Discount_Pct]]</f>
        <v>0</v>
      </c>
      <c r="AC467" s="8">
        <f>RawSalesTable6[[#This Row],[Gross_Sales]]-RawSalesTable6[[#This Row],[Discount_Amount]]</f>
        <v>252.23</v>
      </c>
      <c r="AD467" s="8">
        <f>RawSalesTable6[[#This Row],[Unit_Cost]]*RawSalesTable6[[#This Row],[Quantity]]</f>
        <v>117.65</v>
      </c>
      <c r="AE467" s="8">
        <f>RawSalesTable6[[#This Row],[Net_Sales]]-RawSalesTable6[[#This Row],[Total_Cost]]</f>
        <v>134.57999999999998</v>
      </c>
      <c r="AF467" s="9">
        <f>RawSalesTable6[[#This Row],[Profit]]/RawSalesTable6[[#This Row],[Net_Sales]]</f>
        <v>0.53356063909923479</v>
      </c>
      <c r="AG467" s="8">
        <f>YEAR(RawSalesTable6[[#This Row],[Order_Date]])</f>
        <v>2025</v>
      </c>
      <c r="AH467" s="8">
        <f>MONTH(RawSalesTable6[[#This Row],[Order_Date]])</f>
        <v>1</v>
      </c>
      <c r="AI467" s="8" t="str">
        <f>TEXT(RawSalesTable6[[#This Row],[Order_Date]],"mmmm")</f>
        <v>janvier</v>
      </c>
      <c r="AJ467" s="8" t="str">
        <f>IF(RawSalesTable6[[#This Row],[Month_Number]]&lt;=3,"Q1",IF(RawSalesTable6[[#This Row],[Month_Number]]&lt;=6,"Q2",IF(RawSalesTable6[[#This Row],[Month_Number]]&lt;=9,"Q3","Q4")))</f>
        <v>Q1</v>
      </c>
      <c r="AK467" s="8" t="str">
        <f>VLOOKUP(RawSalesTable6[[#This Row],[Customer_ID_Clean]],CustomersTable[],4,FALSE)</f>
        <v>Ontario</v>
      </c>
      <c r="AL467" s="8">
        <f>IF(RawSalesTable6[[#This Row],[Return_Status]]="Yes",1,0)</f>
        <v>0</v>
      </c>
    </row>
    <row r="468" spans="1:38">
      <c r="A468" t="s">
        <v>897</v>
      </c>
      <c r="B468" s="3">
        <v>45906</v>
      </c>
      <c r="C468" t="s">
        <v>359</v>
      </c>
      <c r="D468" t="s">
        <v>114</v>
      </c>
      <c r="E468" t="s">
        <v>361</v>
      </c>
      <c r="F468" t="s">
        <v>103</v>
      </c>
      <c r="G468" t="s">
        <v>171</v>
      </c>
      <c r="H468" t="s">
        <v>105</v>
      </c>
      <c r="I468">
        <v>3</v>
      </c>
      <c r="J468" s="2">
        <v>145.91999999999999</v>
      </c>
      <c r="K468" s="4">
        <v>0</v>
      </c>
      <c r="L468" t="s">
        <v>504</v>
      </c>
      <c r="M468">
        <v>7</v>
      </c>
      <c r="N468" t="s">
        <v>91</v>
      </c>
      <c r="O468" t="str">
        <f>SUBSTITUTE(PROPER(TRIM(RawSalesTable6[[#This Row],[Channel_Raw]])),"Market Place","Marketplace")</f>
        <v>Marketplace</v>
      </c>
      <c r="P468" t="str">
        <f>TRIM(RawSalesTable6[[#This Row],[Product_ID]])</f>
        <v>P1034</v>
      </c>
      <c r="Q468" t="str">
        <f>TRIM(RawSalesTable6[[#This Row],[Customer_ID]])</f>
        <v>C0044</v>
      </c>
      <c r="R468" s="8" t="str">
        <f>PROPER(TRIM(RawSalesTable6[[#This Row],[Store_Raw]]))</f>
        <v>Vancouver West</v>
      </c>
      <c r="S468" s="8" t="str">
        <f>IF(TRIM(RawSalesTable6[[#This Row],[Payment_Method_Raw]])="","Non renseigné",SUBSTITUTE(PROPER(TRIM(RawSalesTable6[[#This Row],[Payment_Method_Raw]])),"Cc","Credit Card"))</f>
        <v>Debit Card</v>
      </c>
      <c r="T468" s="8">
        <f>COUNTIF(A:A,RawSalesTable6[[#This Row],[Order_ID]])</f>
        <v>1</v>
      </c>
      <c r="U468" s="8" t="str">
        <f>TRIM(LEFT(RawSalesTable6[[#This Row],[Customer_Info]],FIND(",",RawSalesTable6[[#This Row],[Customer_Info]])-1))</f>
        <v>Nora Young</v>
      </c>
      <c r="V468" s="8" t="str">
        <f>TRIM(MID(RawSalesTable6[[#This Row],[Customer_Info]],FIND(",",RawSalesTable6[[#This Row],[Customer_Info]])+1,FIND(",",RawSalesTable6[[#This Row],[Customer_Info]],FIND(",",RawSalesTable6[[#This Row],[Customer_Info]])+1)-FIND(",",RawSalesTable6[[#This Row],[Customer_Info]])-1))</f>
        <v>Vancouver</v>
      </c>
      <c r="W468" s="8" t="str">
        <f>TRIM(RIGHT(RawSalesTable6[[#This Row],[Customer_Info]],LEN(RawSalesTable6[[#This Row],[Customer_Info]])-FIND(",",RawSalesTable6[[#This Row],[Customer_Info]],FIND(",",RawSalesTable6[[#This Row],[Customer_Info]])+1)))</f>
        <v>Corporate</v>
      </c>
      <c r="X468" s="8" t="str">
        <f>VLOOKUP(RawSalesTable6[[#This Row],[Product_ID_Clean]],ProductsTable[],2,FALSE)</f>
        <v>Laptop Sleeve</v>
      </c>
      <c r="Y468" s="8" t="str">
        <f>VLOOKUP(RawSalesTable6[[#This Row],[Product_ID_Clean]],ProductsTable[],3,FALSE)</f>
        <v>Accessories</v>
      </c>
      <c r="Z468" s="8">
        <f>VLOOKUP(RawSalesTable6[[#This Row],[Product_ID_Clean]],ProductsTable[],5,FALSE)</f>
        <v>78.95</v>
      </c>
      <c r="AA468" s="8">
        <f>RawSalesTable6[[#This Row],[Unit_Price]]*RawSalesTable6[[#This Row],[Quantity]]</f>
        <v>437.76</v>
      </c>
      <c r="AB468" s="8">
        <f>RawSalesTable6[[#This Row],[Gross_Sales]]*RawSalesTable6[[#This Row],[Discount_Pct]]</f>
        <v>0</v>
      </c>
      <c r="AC468" s="8">
        <f>RawSalesTable6[[#This Row],[Gross_Sales]]-RawSalesTable6[[#This Row],[Discount_Amount]]</f>
        <v>437.76</v>
      </c>
      <c r="AD468" s="8">
        <f>RawSalesTable6[[#This Row],[Unit_Cost]]*RawSalesTable6[[#This Row],[Quantity]]</f>
        <v>236.85000000000002</v>
      </c>
      <c r="AE468" s="8">
        <f>RawSalesTable6[[#This Row],[Net_Sales]]-RawSalesTable6[[#This Row],[Total_Cost]]</f>
        <v>200.90999999999997</v>
      </c>
      <c r="AF468" s="9">
        <f>RawSalesTable6[[#This Row],[Profit]]/RawSalesTable6[[#This Row],[Net_Sales]]</f>
        <v>0.45895010964912275</v>
      </c>
      <c r="AG468" s="8">
        <f>YEAR(RawSalesTable6[[#This Row],[Order_Date]])</f>
        <v>2025</v>
      </c>
      <c r="AH468" s="8">
        <f>MONTH(RawSalesTable6[[#This Row],[Order_Date]])</f>
        <v>9</v>
      </c>
      <c r="AI468" s="8" t="str">
        <f>TEXT(RawSalesTable6[[#This Row],[Order_Date]],"mmmm")</f>
        <v>septembre</v>
      </c>
      <c r="AJ468" s="8" t="str">
        <f>IF(RawSalesTable6[[#This Row],[Month_Number]]&lt;=3,"Q1",IF(RawSalesTable6[[#This Row],[Month_Number]]&lt;=6,"Q2",IF(RawSalesTable6[[#This Row],[Month_Number]]&lt;=9,"Q3","Q4")))</f>
        <v>Q3</v>
      </c>
      <c r="AK468" s="8" t="str">
        <f>VLOOKUP(RawSalesTable6[[#This Row],[Customer_ID_Clean]],CustomersTable[],4,FALSE)</f>
        <v>British Columbia</v>
      </c>
      <c r="AL468" s="8">
        <f>IF(RawSalesTable6[[#This Row],[Return_Status]]="Yes",1,0)</f>
        <v>0</v>
      </c>
    </row>
    <row r="469" spans="1:38">
      <c r="A469" t="s">
        <v>898</v>
      </c>
      <c r="B469" s="3">
        <v>45837</v>
      </c>
      <c r="C469" t="s">
        <v>466</v>
      </c>
      <c r="D469" t="s">
        <v>101</v>
      </c>
      <c r="E469" t="s">
        <v>467</v>
      </c>
      <c r="F469" t="s">
        <v>111</v>
      </c>
      <c r="G469" t="s">
        <v>117</v>
      </c>
      <c r="H469" t="s">
        <v>89</v>
      </c>
      <c r="I469">
        <v>3</v>
      </c>
      <c r="J469" s="2">
        <v>314.99</v>
      </c>
      <c r="K469" s="4">
        <v>0.15</v>
      </c>
      <c r="L469" t="s">
        <v>98</v>
      </c>
      <c r="M469">
        <v>9</v>
      </c>
      <c r="N469" t="s">
        <v>91</v>
      </c>
      <c r="O469" t="str">
        <f>SUBSTITUTE(PROPER(TRIM(RawSalesTable6[[#This Row],[Channel_Raw]])),"Market Place","Marketplace")</f>
        <v>Online</v>
      </c>
      <c r="P469" t="str">
        <f>TRIM(RawSalesTable6[[#This Row],[Product_ID]])</f>
        <v>P1021</v>
      </c>
      <c r="Q469" t="str">
        <f>TRIM(RawSalesTable6[[#This Row],[Customer_ID]])</f>
        <v>C0096</v>
      </c>
      <c r="R469" s="8" t="str">
        <f>PROPER(TRIM(RawSalesTable6[[#This Row],[Store_Raw]]))</f>
        <v>Montreal Central</v>
      </c>
      <c r="S469" s="8" t="str">
        <f>IF(TRIM(RawSalesTable6[[#This Row],[Payment_Method_Raw]])="","Non renseigné",SUBSTITUTE(PROPER(TRIM(RawSalesTable6[[#This Row],[Payment_Method_Raw]])),"Cc","Credit Card"))</f>
        <v>Debit Card</v>
      </c>
      <c r="T469" s="8">
        <f>COUNTIF(A:A,RawSalesTable6[[#This Row],[Order_ID]])</f>
        <v>1</v>
      </c>
      <c r="U469" s="8" t="str">
        <f>TRIM(LEFT(RawSalesTable6[[#This Row],[Customer_Info]],FIND(",",RawSalesTable6[[#This Row],[Customer_Info]])-1))</f>
        <v>Ryan Roy</v>
      </c>
      <c r="V469" s="8" t="str">
        <f>TRIM(MID(RawSalesTable6[[#This Row],[Customer_Info]],FIND(",",RawSalesTable6[[#This Row],[Customer_Info]])+1,FIND(",",RawSalesTable6[[#This Row],[Customer_Info]],FIND(",",RawSalesTable6[[#This Row],[Customer_Info]])+1)-FIND(",",RawSalesTable6[[#This Row],[Customer_Info]])-1))</f>
        <v>Laval</v>
      </c>
      <c r="W469" s="8" t="str">
        <f>TRIM(RIGHT(RawSalesTable6[[#This Row],[Customer_Info]],LEN(RawSalesTable6[[#This Row],[Customer_Info]])-FIND(",",RawSalesTable6[[#This Row],[Customer_Info]],FIND(",",RawSalesTable6[[#This Row],[Customer_Info]])+1)))</f>
        <v>Corporate</v>
      </c>
      <c r="X469" s="8" t="str">
        <f>VLOOKUP(RawSalesTable6[[#This Row],[Product_ID_Clean]],ProductsTable[],2,FALSE)</f>
        <v>Kettle</v>
      </c>
      <c r="Y469" s="8" t="str">
        <f>VLOOKUP(RawSalesTable6[[#This Row],[Product_ID_Clean]],ProductsTable[],3,FALSE)</f>
        <v>Home</v>
      </c>
      <c r="Z469" s="8">
        <f>VLOOKUP(RawSalesTable6[[#This Row],[Product_ID_Clean]],ProductsTable[],5,FALSE)</f>
        <v>139.86000000000001</v>
      </c>
      <c r="AA469" s="8">
        <f>RawSalesTable6[[#This Row],[Unit_Price]]*RawSalesTable6[[#This Row],[Quantity]]</f>
        <v>944.97</v>
      </c>
      <c r="AB469" s="8">
        <f>RawSalesTable6[[#This Row],[Gross_Sales]]*RawSalesTable6[[#This Row],[Discount_Pct]]</f>
        <v>141.74549999999999</v>
      </c>
      <c r="AC469" s="8">
        <f>RawSalesTable6[[#This Row],[Gross_Sales]]-RawSalesTable6[[#This Row],[Discount_Amount]]</f>
        <v>803.22450000000003</v>
      </c>
      <c r="AD469" s="8">
        <f>RawSalesTable6[[#This Row],[Unit_Cost]]*RawSalesTable6[[#This Row],[Quantity]]</f>
        <v>419.58000000000004</v>
      </c>
      <c r="AE469" s="8">
        <f>RawSalesTable6[[#This Row],[Net_Sales]]-RawSalesTable6[[#This Row],[Total_Cost]]</f>
        <v>383.64449999999999</v>
      </c>
      <c r="AF469" s="9">
        <f>RawSalesTable6[[#This Row],[Profit]]/RawSalesTable6[[#This Row],[Net_Sales]]</f>
        <v>0.47763047566402667</v>
      </c>
      <c r="AG469" s="8">
        <f>YEAR(RawSalesTable6[[#This Row],[Order_Date]])</f>
        <v>2025</v>
      </c>
      <c r="AH469" s="8">
        <f>MONTH(RawSalesTable6[[#This Row],[Order_Date]])</f>
        <v>6</v>
      </c>
      <c r="AI469" s="8" t="str">
        <f>TEXT(RawSalesTable6[[#This Row],[Order_Date]],"mmmm")</f>
        <v>juin</v>
      </c>
      <c r="AJ469" s="8" t="str">
        <f>IF(RawSalesTable6[[#This Row],[Month_Number]]&lt;=3,"Q1",IF(RawSalesTable6[[#This Row],[Month_Number]]&lt;=6,"Q2",IF(RawSalesTable6[[#This Row],[Month_Number]]&lt;=9,"Q3","Q4")))</f>
        <v>Q2</v>
      </c>
      <c r="AK469" s="8" t="str">
        <f>VLOOKUP(RawSalesTable6[[#This Row],[Customer_ID_Clean]],CustomersTable[],4,FALSE)</f>
        <v>Quebec</v>
      </c>
      <c r="AL469" s="8">
        <f>IF(RawSalesTable6[[#This Row],[Return_Status]]="Yes",1,0)</f>
        <v>0</v>
      </c>
    </row>
    <row r="470" spans="1:38">
      <c r="A470" t="s">
        <v>899</v>
      </c>
      <c r="B470" s="3">
        <v>45707</v>
      </c>
      <c r="C470" t="s">
        <v>491</v>
      </c>
      <c r="D470" t="s">
        <v>277</v>
      </c>
      <c r="E470" t="s">
        <v>492</v>
      </c>
      <c r="F470" t="s">
        <v>145</v>
      </c>
      <c r="G470" t="s">
        <v>104</v>
      </c>
      <c r="H470" t="s">
        <v>97</v>
      </c>
      <c r="I470">
        <v>1</v>
      </c>
      <c r="J470" s="2">
        <v>380.08</v>
      </c>
      <c r="K470" s="4">
        <v>0</v>
      </c>
      <c r="L470" t="s">
        <v>90</v>
      </c>
      <c r="M470">
        <v>4</v>
      </c>
      <c r="N470" t="s">
        <v>91</v>
      </c>
      <c r="O470" t="str">
        <f>SUBSTITUTE(PROPER(TRIM(RawSalesTable6[[#This Row],[Channel_Raw]])),"Market Place","Marketplace")</f>
        <v>Retail Store</v>
      </c>
      <c r="P470" t="str">
        <f>TRIM(RawSalesTable6[[#This Row],[Product_ID]])</f>
        <v>P1001</v>
      </c>
      <c r="Q470" t="str">
        <f>TRIM(RawSalesTable6[[#This Row],[Customer_ID]])</f>
        <v>C0045</v>
      </c>
      <c r="R470" s="8" t="str">
        <f>PROPER(TRIM(RawSalesTable6[[#This Row],[Store_Raw]]))</f>
        <v>Calgary North</v>
      </c>
      <c r="S470" s="8" t="str">
        <f>IF(TRIM(RawSalesTable6[[#This Row],[Payment_Method_Raw]])="","Non renseigné",SUBSTITUTE(PROPER(TRIM(RawSalesTable6[[#This Row],[Payment_Method_Raw]])),"Cc","Credit Card"))</f>
        <v>Paypal</v>
      </c>
      <c r="T470" s="8">
        <f>COUNTIF(A:A,RawSalesTable6[[#This Row],[Order_ID]])</f>
        <v>1</v>
      </c>
      <c r="U470" s="8" t="str">
        <f>TRIM(LEFT(RawSalesTable6[[#This Row],[Customer_Info]],FIND(",",RawSalesTable6[[#This Row],[Customer_Info]])-1))</f>
        <v>Lucas Chen</v>
      </c>
      <c r="V470" s="8" t="str">
        <f>TRIM(MID(RawSalesTable6[[#This Row],[Customer_Info]],FIND(",",RawSalesTable6[[#This Row],[Customer_Info]])+1,FIND(",",RawSalesTable6[[#This Row],[Customer_Info]],FIND(",",RawSalesTable6[[#This Row],[Customer_Info]])+1)-FIND(",",RawSalesTable6[[#This Row],[Customer_Info]])-1))</f>
        <v>Ottawa</v>
      </c>
      <c r="W470" s="8" t="str">
        <f>TRIM(RIGHT(RawSalesTable6[[#This Row],[Customer_Info]],LEN(RawSalesTable6[[#This Row],[Customer_Info]])-FIND(",",RawSalesTable6[[#This Row],[Customer_Info]],FIND(",",RawSalesTable6[[#This Row],[Customer_Info]])+1)))</f>
        <v>Corporate</v>
      </c>
      <c r="X470" s="8" t="str">
        <f>VLOOKUP(RawSalesTable6[[#This Row],[Product_ID_Clean]],ProductsTable[],2,FALSE)</f>
        <v>Headphones</v>
      </c>
      <c r="Y470" s="8" t="str">
        <f>VLOOKUP(RawSalesTable6[[#This Row],[Product_ID_Clean]],ProductsTable[],3,FALSE)</f>
        <v>Electronics</v>
      </c>
      <c r="Z470" s="8">
        <f>VLOOKUP(RawSalesTable6[[#This Row],[Product_ID_Clean]],ProductsTable[],5,FALSE)</f>
        <v>254.6</v>
      </c>
      <c r="AA470" s="8">
        <f>RawSalesTable6[[#This Row],[Unit_Price]]*RawSalesTable6[[#This Row],[Quantity]]</f>
        <v>380.08</v>
      </c>
      <c r="AB470" s="8">
        <f>RawSalesTable6[[#This Row],[Gross_Sales]]*RawSalesTable6[[#This Row],[Discount_Pct]]</f>
        <v>0</v>
      </c>
      <c r="AC470" s="8">
        <f>RawSalesTable6[[#This Row],[Gross_Sales]]-RawSalesTable6[[#This Row],[Discount_Amount]]</f>
        <v>380.08</v>
      </c>
      <c r="AD470" s="8">
        <f>RawSalesTable6[[#This Row],[Unit_Cost]]*RawSalesTable6[[#This Row],[Quantity]]</f>
        <v>254.6</v>
      </c>
      <c r="AE470" s="8">
        <f>RawSalesTable6[[#This Row],[Net_Sales]]-RawSalesTable6[[#This Row],[Total_Cost]]</f>
        <v>125.47999999999999</v>
      </c>
      <c r="AF470" s="9">
        <f>RawSalesTable6[[#This Row],[Profit]]/RawSalesTable6[[#This Row],[Net_Sales]]</f>
        <v>0.33014102294253839</v>
      </c>
      <c r="AG470" s="8">
        <f>YEAR(RawSalesTable6[[#This Row],[Order_Date]])</f>
        <v>2025</v>
      </c>
      <c r="AH470" s="8">
        <f>MONTH(RawSalesTable6[[#This Row],[Order_Date]])</f>
        <v>2</v>
      </c>
      <c r="AI470" s="8" t="str">
        <f>TEXT(RawSalesTable6[[#This Row],[Order_Date]],"mmmm")</f>
        <v>février</v>
      </c>
      <c r="AJ470" s="8" t="str">
        <f>IF(RawSalesTable6[[#This Row],[Month_Number]]&lt;=3,"Q1",IF(RawSalesTable6[[#This Row],[Month_Number]]&lt;=6,"Q2",IF(RawSalesTable6[[#This Row],[Month_Number]]&lt;=9,"Q3","Q4")))</f>
        <v>Q1</v>
      </c>
      <c r="AK470" s="8" t="str">
        <f>VLOOKUP(RawSalesTable6[[#This Row],[Customer_ID_Clean]],CustomersTable[],4,FALSE)</f>
        <v>Ontario</v>
      </c>
      <c r="AL470" s="8">
        <f>IF(RawSalesTable6[[#This Row],[Return_Status]]="Yes",1,0)</f>
        <v>0</v>
      </c>
    </row>
    <row r="471" spans="1:38">
      <c r="A471" t="s">
        <v>900</v>
      </c>
      <c r="B471" s="3">
        <v>45785</v>
      </c>
      <c r="C471" t="s">
        <v>100</v>
      </c>
      <c r="D471" t="s">
        <v>101</v>
      </c>
      <c r="E471" t="s">
        <v>102</v>
      </c>
      <c r="F471" t="s">
        <v>145</v>
      </c>
      <c r="G471" t="s">
        <v>104</v>
      </c>
      <c r="H471" t="s">
        <v>89</v>
      </c>
      <c r="I471">
        <v>4</v>
      </c>
      <c r="J471" s="2">
        <v>310.64999999999998</v>
      </c>
      <c r="K471" s="4">
        <v>0.1</v>
      </c>
      <c r="L471" t="s">
        <v>98</v>
      </c>
      <c r="M471">
        <v>1</v>
      </c>
      <c r="N471" t="s">
        <v>91</v>
      </c>
      <c r="O471" t="str">
        <f>SUBSTITUTE(PROPER(TRIM(RawSalesTable6[[#This Row],[Channel_Raw]])),"Market Place","Marketplace")</f>
        <v>Online</v>
      </c>
      <c r="P471" t="str">
        <f>TRIM(RawSalesTable6[[#This Row],[Product_ID]])</f>
        <v>P1021</v>
      </c>
      <c r="Q471" t="str">
        <f>TRIM(RawSalesTable6[[#This Row],[Customer_ID]])</f>
        <v>C0003</v>
      </c>
      <c r="R471" s="8" t="str">
        <f>PROPER(TRIM(RawSalesTable6[[#This Row],[Store_Raw]]))</f>
        <v>Calgary North</v>
      </c>
      <c r="S471" s="8" t="str">
        <f>IF(TRIM(RawSalesTable6[[#This Row],[Payment_Method_Raw]])="","Non renseigné",SUBSTITUTE(PROPER(TRIM(RawSalesTable6[[#This Row],[Payment_Method_Raw]])),"Cc","Credit Card"))</f>
        <v>Debit Card</v>
      </c>
      <c r="T471" s="8">
        <f>COUNTIF(A:A,RawSalesTable6[[#This Row],[Order_ID]])</f>
        <v>1</v>
      </c>
      <c r="U471" s="8" t="str">
        <f>TRIM(LEFT(RawSalesTable6[[#This Row],[Customer_Info]],FIND(",",RawSalesTable6[[#This Row],[Customer_Info]])-1))</f>
        <v>Amelia Young</v>
      </c>
      <c r="V471" s="8" t="str">
        <f>TRIM(MID(RawSalesTable6[[#This Row],[Customer_Info]],FIND(",",RawSalesTable6[[#This Row],[Customer_Info]])+1,FIND(",",RawSalesTable6[[#This Row],[Customer_Info]],FIND(",",RawSalesTable6[[#This Row],[Customer_Info]])+1)-FIND(",",RawSalesTable6[[#This Row],[Customer_Info]])-1))</f>
        <v>Ottawa</v>
      </c>
      <c r="W471" s="8" t="str">
        <f>TRIM(RIGHT(RawSalesTable6[[#This Row],[Customer_Info]],LEN(RawSalesTable6[[#This Row],[Customer_Info]])-FIND(",",RawSalesTable6[[#This Row],[Customer_Info]],FIND(",",RawSalesTable6[[#This Row],[Customer_Info]])+1)))</f>
        <v>Corporate</v>
      </c>
      <c r="X471" s="8" t="str">
        <f>VLOOKUP(RawSalesTable6[[#This Row],[Product_ID_Clean]],ProductsTable[],2,FALSE)</f>
        <v>Kettle</v>
      </c>
      <c r="Y471" s="8" t="str">
        <f>VLOOKUP(RawSalesTable6[[#This Row],[Product_ID_Clean]],ProductsTable[],3,FALSE)</f>
        <v>Home</v>
      </c>
      <c r="Z471" s="8">
        <f>VLOOKUP(RawSalesTable6[[#This Row],[Product_ID_Clean]],ProductsTable[],5,FALSE)</f>
        <v>139.86000000000001</v>
      </c>
      <c r="AA471" s="8">
        <f>RawSalesTable6[[#This Row],[Unit_Price]]*RawSalesTable6[[#This Row],[Quantity]]</f>
        <v>1242.5999999999999</v>
      </c>
      <c r="AB471" s="8">
        <f>RawSalesTable6[[#This Row],[Gross_Sales]]*RawSalesTable6[[#This Row],[Discount_Pct]]</f>
        <v>124.25999999999999</v>
      </c>
      <c r="AC471" s="8">
        <f>RawSalesTable6[[#This Row],[Gross_Sales]]-RawSalesTable6[[#This Row],[Discount_Amount]]</f>
        <v>1118.3399999999999</v>
      </c>
      <c r="AD471" s="8">
        <f>RawSalesTable6[[#This Row],[Unit_Cost]]*RawSalesTable6[[#This Row],[Quantity]]</f>
        <v>559.44000000000005</v>
      </c>
      <c r="AE471" s="8">
        <f>RawSalesTable6[[#This Row],[Net_Sales]]-RawSalesTable6[[#This Row],[Total_Cost]]</f>
        <v>558.89999999999986</v>
      </c>
      <c r="AF471" s="9">
        <f>RawSalesTable6[[#This Row],[Profit]]/RawSalesTable6[[#This Row],[Net_Sales]]</f>
        <v>0.49975857073877344</v>
      </c>
      <c r="AG471" s="8">
        <f>YEAR(RawSalesTable6[[#This Row],[Order_Date]])</f>
        <v>2025</v>
      </c>
      <c r="AH471" s="8">
        <f>MONTH(RawSalesTable6[[#This Row],[Order_Date]])</f>
        <v>5</v>
      </c>
      <c r="AI471" s="8" t="str">
        <f>TEXT(RawSalesTable6[[#This Row],[Order_Date]],"mmmm")</f>
        <v>mai</v>
      </c>
      <c r="AJ471" s="8" t="str">
        <f>IF(RawSalesTable6[[#This Row],[Month_Number]]&lt;=3,"Q1",IF(RawSalesTable6[[#This Row],[Month_Number]]&lt;=6,"Q2",IF(RawSalesTable6[[#This Row],[Month_Number]]&lt;=9,"Q3","Q4")))</f>
        <v>Q2</v>
      </c>
      <c r="AK471" s="8" t="str">
        <f>VLOOKUP(RawSalesTable6[[#This Row],[Customer_ID_Clean]],CustomersTable[],4,FALSE)</f>
        <v>Ontario</v>
      </c>
      <c r="AL471" s="8">
        <f>IF(RawSalesTable6[[#This Row],[Return_Status]]="Yes",1,0)</f>
        <v>0</v>
      </c>
    </row>
    <row r="472" spans="1:38">
      <c r="A472" t="s">
        <v>901</v>
      </c>
      <c r="B472" s="3">
        <v>45806</v>
      </c>
      <c r="C472" t="s">
        <v>366</v>
      </c>
      <c r="D472" t="s">
        <v>249</v>
      </c>
      <c r="E472" t="s">
        <v>367</v>
      </c>
      <c r="F472" t="s">
        <v>87</v>
      </c>
      <c r="G472" t="s">
        <v>122</v>
      </c>
      <c r="H472" t="s">
        <v>97</v>
      </c>
      <c r="I472">
        <v>2</v>
      </c>
      <c r="J472" s="2">
        <v>440.76</v>
      </c>
      <c r="K472" s="4">
        <v>0.2</v>
      </c>
      <c r="L472" t="s">
        <v>106</v>
      </c>
      <c r="M472">
        <v>2</v>
      </c>
      <c r="N472" t="s">
        <v>91</v>
      </c>
      <c r="O472" t="str">
        <f>SUBSTITUTE(PROPER(TRIM(RawSalesTable6[[#This Row],[Channel_Raw]])),"Market Place","Marketplace")</f>
        <v>Retail Store</v>
      </c>
      <c r="P472" t="str">
        <f>TRIM(RawSalesTable6[[#This Row],[Product_ID]])</f>
        <v>P1022</v>
      </c>
      <c r="Q472" t="str">
        <f>TRIM(RawSalesTable6[[#This Row],[Customer_ID]])</f>
        <v>C0117</v>
      </c>
      <c r="R472" s="8" t="str">
        <f>PROPER(TRIM(RawSalesTable6[[#This Row],[Store_Raw]]))</f>
        <v>Online Fulfillment</v>
      </c>
      <c r="S472" s="8" t="str">
        <f>IF(TRIM(RawSalesTable6[[#This Row],[Payment_Method_Raw]])="","Non renseigné",SUBSTITUTE(PROPER(TRIM(RawSalesTable6[[#This Row],[Payment_Method_Raw]])),"Cc","Credit Card"))</f>
        <v>Credit Card</v>
      </c>
      <c r="T472" s="8">
        <f>COUNTIF(A:A,RawSalesTable6[[#This Row],[Order_ID]])</f>
        <v>1</v>
      </c>
      <c r="U472" s="8" t="str">
        <f>TRIM(LEFT(RawSalesTable6[[#This Row],[Customer_Info]],FIND(",",RawSalesTable6[[#This Row],[Customer_Info]])-1))</f>
        <v>Ethan Hall</v>
      </c>
      <c r="V472" s="8" t="str">
        <f>TRIM(MID(RawSalesTable6[[#This Row],[Customer_Info]],FIND(",",RawSalesTable6[[#This Row],[Customer_Info]])+1,FIND(",",RawSalesTable6[[#This Row],[Customer_Info]],FIND(",",RawSalesTable6[[#This Row],[Customer_Info]])+1)-FIND(",",RawSalesTable6[[#This Row],[Customer_Info]])-1))</f>
        <v>Vancouver</v>
      </c>
      <c r="W472" s="8" t="str">
        <f>TRIM(RIGHT(RawSalesTable6[[#This Row],[Customer_Info]],LEN(RawSalesTable6[[#This Row],[Customer_Info]])-FIND(",",RawSalesTable6[[#This Row],[Customer_Info]],FIND(",",RawSalesTable6[[#This Row],[Customer_Info]])+1)))</f>
        <v>Consumer</v>
      </c>
      <c r="X472" s="8" t="str">
        <f>VLOOKUP(RawSalesTable6[[#This Row],[Product_ID_Clean]],ProductsTable[],2,FALSE)</f>
        <v>Humidifier</v>
      </c>
      <c r="Y472" s="8" t="str">
        <f>VLOOKUP(RawSalesTable6[[#This Row],[Product_ID_Clean]],ProductsTable[],3,FALSE)</f>
        <v>Home</v>
      </c>
      <c r="Z472" s="8">
        <f>VLOOKUP(RawSalesTable6[[#This Row],[Product_ID_Clean]],ProductsTable[],5,FALSE)</f>
        <v>239.67</v>
      </c>
      <c r="AA472" s="8">
        <f>RawSalesTable6[[#This Row],[Unit_Price]]*RawSalesTable6[[#This Row],[Quantity]]</f>
        <v>881.52</v>
      </c>
      <c r="AB472" s="8">
        <f>RawSalesTable6[[#This Row],[Gross_Sales]]*RawSalesTable6[[#This Row],[Discount_Pct]]</f>
        <v>176.304</v>
      </c>
      <c r="AC472" s="8">
        <f>RawSalesTable6[[#This Row],[Gross_Sales]]-RawSalesTable6[[#This Row],[Discount_Amount]]</f>
        <v>705.21600000000001</v>
      </c>
      <c r="AD472" s="8">
        <f>RawSalesTable6[[#This Row],[Unit_Cost]]*RawSalesTable6[[#This Row],[Quantity]]</f>
        <v>479.34</v>
      </c>
      <c r="AE472" s="8">
        <f>RawSalesTable6[[#This Row],[Net_Sales]]-RawSalesTable6[[#This Row],[Total_Cost]]</f>
        <v>225.87600000000003</v>
      </c>
      <c r="AF472" s="9">
        <f>RawSalesTable6[[#This Row],[Profit]]/RawSalesTable6[[#This Row],[Net_Sales]]</f>
        <v>0.32029335692894095</v>
      </c>
      <c r="AG472" s="8">
        <f>YEAR(RawSalesTable6[[#This Row],[Order_Date]])</f>
        <v>2025</v>
      </c>
      <c r="AH472" s="8">
        <f>MONTH(RawSalesTable6[[#This Row],[Order_Date]])</f>
        <v>5</v>
      </c>
      <c r="AI472" s="8" t="str">
        <f>TEXT(RawSalesTable6[[#This Row],[Order_Date]],"mmmm")</f>
        <v>mai</v>
      </c>
      <c r="AJ472" s="8" t="str">
        <f>IF(RawSalesTable6[[#This Row],[Month_Number]]&lt;=3,"Q1",IF(RawSalesTable6[[#This Row],[Month_Number]]&lt;=6,"Q2",IF(RawSalesTable6[[#This Row],[Month_Number]]&lt;=9,"Q3","Q4")))</f>
        <v>Q2</v>
      </c>
      <c r="AK472" s="8" t="str">
        <f>VLOOKUP(RawSalesTable6[[#This Row],[Customer_ID_Clean]],CustomersTable[],4,FALSE)</f>
        <v>British Columbia</v>
      </c>
      <c r="AL472" s="8">
        <f>IF(RawSalesTable6[[#This Row],[Return_Status]]="Yes",1,0)</f>
        <v>0</v>
      </c>
    </row>
    <row r="473" spans="1:38">
      <c r="A473" t="s">
        <v>902</v>
      </c>
      <c r="B473" s="3">
        <v>45978</v>
      </c>
      <c r="C473" t="s">
        <v>335</v>
      </c>
      <c r="D473" t="s">
        <v>152</v>
      </c>
      <c r="E473" t="s">
        <v>336</v>
      </c>
      <c r="F473" t="s">
        <v>87</v>
      </c>
      <c r="G473" t="s">
        <v>122</v>
      </c>
      <c r="H473" t="s">
        <v>105</v>
      </c>
      <c r="I473">
        <v>1</v>
      </c>
      <c r="J473" s="2">
        <v>133.57</v>
      </c>
      <c r="K473" s="4">
        <v>0.15</v>
      </c>
      <c r="L473" t="s">
        <v>154</v>
      </c>
      <c r="M473">
        <v>9</v>
      </c>
      <c r="N473" t="s">
        <v>91</v>
      </c>
      <c r="O473" t="str">
        <f>SUBSTITUTE(PROPER(TRIM(RawSalesTable6[[#This Row],[Channel_Raw]])),"Market Place","Marketplace")</f>
        <v>Marketplace</v>
      </c>
      <c r="P473" t="str">
        <f>TRIM(RawSalesTable6[[#This Row],[Product_ID]])</f>
        <v>P1008</v>
      </c>
      <c r="Q473" t="str">
        <f>TRIM(RawSalesTable6[[#This Row],[Customer_ID]])</f>
        <v>C0037</v>
      </c>
      <c r="R473" s="8" t="str">
        <f>PROPER(TRIM(RawSalesTable6[[#This Row],[Store_Raw]]))</f>
        <v>Online Fulfillment</v>
      </c>
      <c r="S473" s="8" t="str">
        <f>IF(TRIM(RawSalesTable6[[#This Row],[Payment_Method_Raw]])="","Non renseigné",SUBSTITUTE(PROPER(TRIM(RawSalesTable6[[#This Row],[Payment_Method_Raw]])),"Cc","Credit Card"))</f>
        <v>Gift Card</v>
      </c>
      <c r="T473" s="8">
        <f>COUNTIF(A:A,RawSalesTable6[[#This Row],[Order_ID]])</f>
        <v>1</v>
      </c>
      <c r="U473" s="8" t="str">
        <f>TRIM(LEFT(RawSalesTable6[[#This Row],[Customer_Info]],FIND(",",RawSalesTable6[[#This Row],[Customer_Info]])-1))</f>
        <v>Lucas Scott</v>
      </c>
      <c r="V473" s="8" t="str">
        <f>TRIM(MID(RawSalesTable6[[#This Row],[Customer_Info]],FIND(",",RawSalesTable6[[#This Row],[Customer_Info]])+1,FIND(",",RawSalesTable6[[#This Row],[Customer_Info]],FIND(",",RawSalesTable6[[#This Row],[Customer_Info]])+1)-FIND(",",RawSalesTable6[[#This Row],[Customer_Info]])-1))</f>
        <v>Victoria</v>
      </c>
      <c r="W473" s="8" t="str">
        <f>TRIM(RIGHT(RawSalesTable6[[#This Row],[Customer_Info]],LEN(RawSalesTable6[[#This Row],[Customer_Info]])-FIND(",",RawSalesTable6[[#This Row],[Customer_Info]],FIND(",",RawSalesTable6[[#This Row],[Customer_Info]])+1)))</f>
        <v>Small Business</v>
      </c>
      <c r="X473" s="8" t="str">
        <f>VLOOKUP(RawSalesTable6[[#This Row],[Product_ID_Clean]],ProductsTable[],2,FALSE)</f>
        <v>Smart Speaker</v>
      </c>
      <c r="Y473" s="8" t="str">
        <f>VLOOKUP(RawSalesTable6[[#This Row],[Product_ID_Clean]],ProductsTable[],3,FALSE)</f>
        <v>Electronics</v>
      </c>
      <c r="Z473" s="8">
        <f>VLOOKUP(RawSalesTable6[[#This Row],[Product_ID_Clean]],ProductsTable[],5,FALSE)</f>
        <v>69</v>
      </c>
      <c r="AA473" s="8">
        <f>RawSalesTable6[[#This Row],[Unit_Price]]*RawSalesTable6[[#This Row],[Quantity]]</f>
        <v>133.57</v>
      </c>
      <c r="AB473" s="8">
        <f>RawSalesTable6[[#This Row],[Gross_Sales]]*RawSalesTable6[[#This Row],[Discount_Pct]]</f>
        <v>20.035499999999999</v>
      </c>
      <c r="AC473" s="8">
        <f>RawSalesTable6[[#This Row],[Gross_Sales]]-RawSalesTable6[[#This Row],[Discount_Amount]]</f>
        <v>113.53449999999999</v>
      </c>
      <c r="AD473" s="8">
        <f>RawSalesTable6[[#This Row],[Unit_Cost]]*RawSalesTable6[[#This Row],[Quantity]]</f>
        <v>69</v>
      </c>
      <c r="AE473" s="8">
        <f>RawSalesTable6[[#This Row],[Net_Sales]]-RawSalesTable6[[#This Row],[Total_Cost]]</f>
        <v>44.534499999999994</v>
      </c>
      <c r="AF473" s="9">
        <f>RawSalesTable6[[#This Row],[Profit]]/RawSalesTable6[[#This Row],[Net_Sales]]</f>
        <v>0.39225521757703602</v>
      </c>
      <c r="AG473" s="8">
        <f>YEAR(RawSalesTable6[[#This Row],[Order_Date]])</f>
        <v>2025</v>
      </c>
      <c r="AH473" s="8">
        <f>MONTH(RawSalesTable6[[#This Row],[Order_Date]])</f>
        <v>11</v>
      </c>
      <c r="AI473" s="8" t="str">
        <f>TEXT(RawSalesTable6[[#This Row],[Order_Date]],"mmmm")</f>
        <v>novembre</v>
      </c>
      <c r="AJ473" s="8" t="str">
        <f>IF(RawSalesTable6[[#This Row],[Month_Number]]&lt;=3,"Q1",IF(RawSalesTable6[[#This Row],[Month_Number]]&lt;=6,"Q2",IF(RawSalesTable6[[#This Row],[Month_Number]]&lt;=9,"Q3","Q4")))</f>
        <v>Q4</v>
      </c>
      <c r="AK473" s="8" t="str">
        <f>VLOOKUP(RawSalesTable6[[#This Row],[Customer_ID_Clean]],CustomersTable[],4,FALSE)</f>
        <v>British Columbia</v>
      </c>
      <c r="AL473" s="8">
        <f>IF(RawSalesTable6[[#This Row],[Return_Status]]="Yes",1,0)</f>
        <v>0</v>
      </c>
    </row>
    <row r="474" spans="1:38">
      <c r="A474" t="s">
        <v>903</v>
      </c>
      <c r="B474" s="3">
        <v>45693</v>
      </c>
      <c r="C474" t="s">
        <v>448</v>
      </c>
      <c r="D474" t="s">
        <v>360</v>
      </c>
      <c r="E474" t="s">
        <v>790</v>
      </c>
      <c r="F474" t="s">
        <v>111</v>
      </c>
      <c r="G474" t="s">
        <v>117</v>
      </c>
      <c r="H474" t="s">
        <v>97</v>
      </c>
      <c r="I474">
        <v>1</v>
      </c>
      <c r="J474" s="2">
        <v>68.52</v>
      </c>
      <c r="K474" s="4">
        <v>0.1</v>
      </c>
      <c r="L474" t="s">
        <v>106</v>
      </c>
      <c r="M474">
        <v>1</v>
      </c>
      <c r="N474" t="s">
        <v>91</v>
      </c>
      <c r="O474" t="str">
        <f>SUBSTITUTE(PROPER(TRIM(RawSalesTable6[[#This Row],[Channel_Raw]])),"Market Place","Marketplace")</f>
        <v>Retail Store</v>
      </c>
      <c r="P474" t="str">
        <f>TRIM(RawSalesTable6[[#This Row],[Product_ID]])</f>
        <v>P1020</v>
      </c>
      <c r="Q474" t="str">
        <f>TRIM(RawSalesTable6[[#This Row],[Customer_ID]])</f>
        <v>C0074</v>
      </c>
      <c r="R474" s="8" t="str">
        <f>PROPER(TRIM(RawSalesTable6[[#This Row],[Store_Raw]]))</f>
        <v>Montreal Central</v>
      </c>
      <c r="S474" s="8" t="str">
        <f>IF(TRIM(RawSalesTable6[[#This Row],[Payment_Method_Raw]])="","Non renseigné",SUBSTITUTE(PROPER(TRIM(RawSalesTable6[[#This Row],[Payment_Method_Raw]])),"Cc","Credit Card"))</f>
        <v>Credit Card</v>
      </c>
      <c r="T474" s="8">
        <f>COUNTIF(A:A,RawSalesTable6[[#This Row],[Order_ID]])</f>
        <v>1</v>
      </c>
      <c r="U474" s="8" t="str">
        <f>TRIM(LEFT(RawSalesTable6[[#This Row],[Customer_Info]],FIND(",",RawSalesTable6[[#This Row],[Customer_Info]])-1))</f>
        <v>Sophia Chen</v>
      </c>
      <c r="V474" s="8" t="str">
        <f>TRIM(MID(RawSalesTable6[[#This Row],[Customer_Info]],FIND(",",RawSalesTable6[[#This Row],[Customer_Info]])+1,FIND(",",RawSalesTable6[[#This Row],[Customer_Info]],FIND(",",RawSalesTable6[[#This Row],[Customer_Info]])+1)-FIND(",",RawSalesTable6[[#This Row],[Customer_Info]])-1))</f>
        <v>Vancouver</v>
      </c>
      <c r="W474" s="8" t="str">
        <f>TRIM(RIGHT(RawSalesTable6[[#This Row],[Customer_Info]],LEN(RawSalesTable6[[#This Row],[Customer_Info]])-FIND(",",RawSalesTable6[[#This Row],[Customer_Info]],FIND(",",RawSalesTable6[[#This Row],[Customer_Info]])+1)))</f>
        <v>Corporate</v>
      </c>
      <c r="X474" s="8" t="str">
        <f>VLOOKUP(RawSalesTable6[[#This Row],[Product_ID_Clean]],ProductsTable[],2,FALSE)</f>
        <v>Blender</v>
      </c>
      <c r="Y474" s="8" t="str">
        <f>VLOOKUP(RawSalesTable6[[#This Row],[Product_ID_Clean]],ProductsTable[],3,FALSE)</f>
        <v>Home</v>
      </c>
      <c r="Z474" s="8">
        <f>VLOOKUP(RawSalesTable6[[#This Row],[Product_ID_Clean]],ProductsTable[],5,FALSE)</f>
        <v>37.46</v>
      </c>
      <c r="AA474" s="8">
        <f>RawSalesTable6[[#This Row],[Unit_Price]]*RawSalesTable6[[#This Row],[Quantity]]</f>
        <v>68.52</v>
      </c>
      <c r="AB474" s="8">
        <f>RawSalesTable6[[#This Row],[Gross_Sales]]*RawSalesTable6[[#This Row],[Discount_Pct]]</f>
        <v>6.8520000000000003</v>
      </c>
      <c r="AC474" s="8">
        <f>RawSalesTable6[[#This Row],[Gross_Sales]]-RawSalesTable6[[#This Row],[Discount_Amount]]</f>
        <v>61.667999999999992</v>
      </c>
      <c r="AD474" s="8">
        <f>RawSalesTable6[[#This Row],[Unit_Cost]]*RawSalesTable6[[#This Row],[Quantity]]</f>
        <v>37.46</v>
      </c>
      <c r="AE474" s="8">
        <f>RawSalesTable6[[#This Row],[Net_Sales]]-RawSalesTable6[[#This Row],[Total_Cost]]</f>
        <v>24.207999999999991</v>
      </c>
      <c r="AF474" s="9">
        <f>RawSalesTable6[[#This Row],[Profit]]/RawSalesTable6[[#This Row],[Net_Sales]]</f>
        <v>0.3925536745151455</v>
      </c>
      <c r="AG474" s="8">
        <f>YEAR(RawSalesTable6[[#This Row],[Order_Date]])</f>
        <v>2025</v>
      </c>
      <c r="AH474" s="8">
        <f>MONTH(RawSalesTable6[[#This Row],[Order_Date]])</f>
        <v>2</v>
      </c>
      <c r="AI474" s="8" t="str">
        <f>TEXT(RawSalesTable6[[#This Row],[Order_Date]],"mmmm")</f>
        <v>février</v>
      </c>
      <c r="AJ474" s="8" t="str">
        <f>IF(RawSalesTable6[[#This Row],[Month_Number]]&lt;=3,"Q1",IF(RawSalesTable6[[#This Row],[Month_Number]]&lt;=6,"Q2",IF(RawSalesTable6[[#This Row],[Month_Number]]&lt;=9,"Q3","Q4")))</f>
        <v>Q1</v>
      </c>
      <c r="AK474" s="8" t="str">
        <f>VLOOKUP(RawSalesTable6[[#This Row],[Customer_ID_Clean]],CustomersTable[],4,FALSE)</f>
        <v>British Columbia</v>
      </c>
      <c r="AL474" s="8">
        <f>IF(RawSalesTable6[[#This Row],[Return_Status]]="Yes",1,0)</f>
        <v>0</v>
      </c>
    </row>
    <row r="475" spans="1:38">
      <c r="A475" t="s">
        <v>904</v>
      </c>
      <c r="B475" s="3">
        <v>45812</v>
      </c>
      <c r="C475" t="s">
        <v>169</v>
      </c>
      <c r="D475" t="s">
        <v>85</v>
      </c>
      <c r="E475" t="s">
        <v>170</v>
      </c>
      <c r="F475" t="s">
        <v>116</v>
      </c>
      <c r="G475" t="s">
        <v>130</v>
      </c>
      <c r="H475" t="s">
        <v>105</v>
      </c>
      <c r="I475">
        <v>1</v>
      </c>
      <c r="J475" s="2">
        <v>294.06</v>
      </c>
      <c r="K475" s="4">
        <v>0.15</v>
      </c>
      <c r="L475" t="s">
        <v>106</v>
      </c>
      <c r="M475">
        <v>8</v>
      </c>
      <c r="N475" t="s">
        <v>91</v>
      </c>
      <c r="O475" t="str">
        <f>SUBSTITUTE(PROPER(TRIM(RawSalesTable6[[#This Row],[Channel_Raw]])),"Market Place","Marketplace")</f>
        <v>Marketplace</v>
      </c>
      <c r="P475" t="str">
        <f>TRIM(RawSalesTable6[[#This Row],[Product_ID]])</f>
        <v>P1025</v>
      </c>
      <c r="Q475" t="str">
        <f>TRIM(RawSalesTable6[[#This Row],[Customer_ID]])</f>
        <v>C0064</v>
      </c>
      <c r="R475" s="8" t="str">
        <f>PROPER(TRIM(RawSalesTable6[[#This Row],[Store_Raw]]))</f>
        <v>Toronto Downtown</v>
      </c>
      <c r="S475" s="8" t="str">
        <f>IF(TRIM(RawSalesTable6[[#This Row],[Payment_Method_Raw]])="","Non renseigné",SUBSTITUTE(PROPER(TRIM(RawSalesTable6[[#This Row],[Payment_Method_Raw]])),"Cc","Credit Card"))</f>
        <v>Credit Card</v>
      </c>
      <c r="T475" s="8">
        <f>COUNTIF(A:A,RawSalesTable6[[#This Row],[Order_ID]])</f>
        <v>1</v>
      </c>
      <c r="U475" s="8" t="str">
        <f>TRIM(LEFT(RawSalesTable6[[#This Row],[Customer_Info]],FIND(",",RawSalesTable6[[#This Row],[Customer_Info]])-1))</f>
        <v>Amine Khan</v>
      </c>
      <c r="V475" s="8" t="str">
        <f>TRIM(MID(RawSalesTable6[[#This Row],[Customer_Info]],FIND(",",RawSalesTable6[[#This Row],[Customer_Info]])+1,FIND(",",RawSalesTable6[[#This Row],[Customer_Info]],FIND(",",RawSalesTable6[[#This Row],[Customer_Info]])+1)-FIND(",",RawSalesTable6[[#This Row],[Customer_Info]])-1))</f>
        <v>Edmonton</v>
      </c>
      <c r="W475" s="8" t="str">
        <f>TRIM(RIGHT(RawSalesTable6[[#This Row],[Customer_Info]],LEN(RawSalesTable6[[#This Row],[Customer_Info]])-FIND(",",RawSalesTable6[[#This Row],[Customer_Info]],FIND(",",RawSalesTable6[[#This Row],[Customer_Info]])+1)))</f>
        <v>Consumer</v>
      </c>
      <c r="X475" s="8" t="str">
        <f>VLOOKUP(RawSalesTable6[[#This Row],[Product_ID_Clean]],ProductsTable[],2,FALSE)</f>
        <v>Yoga Mat</v>
      </c>
      <c r="Y475" s="8" t="str">
        <f>VLOOKUP(RawSalesTable6[[#This Row],[Product_ID_Clean]],ProductsTable[],3,FALSE)</f>
        <v>Fitness</v>
      </c>
      <c r="Z475" s="8">
        <f>VLOOKUP(RawSalesTable6[[#This Row],[Product_ID_Clean]],ProductsTable[],5,FALSE)</f>
        <v>197.33</v>
      </c>
      <c r="AA475" s="8">
        <f>RawSalesTable6[[#This Row],[Unit_Price]]*RawSalesTable6[[#This Row],[Quantity]]</f>
        <v>294.06</v>
      </c>
      <c r="AB475" s="8">
        <f>RawSalesTable6[[#This Row],[Gross_Sales]]*RawSalesTable6[[#This Row],[Discount_Pct]]</f>
        <v>44.109000000000002</v>
      </c>
      <c r="AC475" s="8">
        <f>RawSalesTable6[[#This Row],[Gross_Sales]]-RawSalesTable6[[#This Row],[Discount_Amount]]</f>
        <v>249.95099999999999</v>
      </c>
      <c r="AD475" s="8">
        <f>RawSalesTable6[[#This Row],[Unit_Cost]]*RawSalesTable6[[#This Row],[Quantity]]</f>
        <v>197.33</v>
      </c>
      <c r="AE475" s="8">
        <f>RawSalesTable6[[#This Row],[Net_Sales]]-RawSalesTable6[[#This Row],[Total_Cost]]</f>
        <v>52.620999999999981</v>
      </c>
      <c r="AF475" s="9">
        <f>RawSalesTable6[[#This Row],[Profit]]/RawSalesTable6[[#This Row],[Net_Sales]]</f>
        <v>0.21052526295153842</v>
      </c>
      <c r="AG475" s="8">
        <f>YEAR(RawSalesTable6[[#This Row],[Order_Date]])</f>
        <v>2025</v>
      </c>
      <c r="AH475" s="8">
        <f>MONTH(RawSalesTable6[[#This Row],[Order_Date]])</f>
        <v>6</v>
      </c>
      <c r="AI475" s="8" t="str">
        <f>TEXT(RawSalesTable6[[#This Row],[Order_Date]],"mmmm")</f>
        <v>juin</v>
      </c>
      <c r="AJ475" s="8" t="str">
        <f>IF(RawSalesTable6[[#This Row],[Month_Number]]&lt;=3,"Q1",IF(RawSalesTable6[[#This Row],[Month_Number]]&lt;=6,"Q2",IF(RawSalesTable6[[#This Row],[Month_Number]]&lt;=9,"Q3","Q4")))</f>
        <v>Q2</v>
      </c>
      <c r="AK475" s="8" t="str">
        <f>VLOOKUP(RawSalesTable6[[#This Row],[Customer_ID_Clean]],CustomersTable[],4,FALSE)</f>
        <v>Alberta</v>
      </c>
      <c r="AL475" s="8">
        <f>IF(RawSalesTable6[[#This Row],[Return_Status]]="Yes",1,0)</f>
        <v>0</v>
      </c>
    </row>
    <row r="476" spans="1:38">
      <c r="A476" t="s">
        <v>905</v>
      </c>
      <c r="B476" s="3">
        <v>45896</v>
      </c>
      <c r="C476" t="s">
        <v>551</v>
      </c>
      <c r="D476" t="s">
        <v>217</v>
      </c>
      <c r="E476" t="s">
        <v>552</v>
      </c>
      <c r="F476" t="s">
        <v>116</v>
      </c>
      <c r="G476" t="s">
        <v>117</v>
      </c>
      <c r="H476" t="s">
        <v>89</v>
      </c>
      <c r="I476">
        <v>3</v>
      </c>
      <c r="J476" s="2">
        <v>111.3</v>
      </c>
      <c r="K476" s="4">
        <v>0.2</v>
      </c>
      <c r="L476" t="s">
        <v>98</v>
      </c>
      <c r="M476">
        <v>4</v>
      </c>
      <c r="N476" t="s">
        <v>91</v>
      </c>
      <c r="O476" t="str">
        <f>SUBSTITUTE(PROPER(TRIM(RawSalesTable6[[#This Row],[Channel_Raw]])),"Market Place","Marketplace")</f>
        <v>Online</v>
      </c>
      <c r="P476" t="str">
        <f>TRIM(RawSalesTable6[[#This Row],[Product_ID]])</f>
        <v>P1006</v>
      </c>
      <c r="Q476" t="str">
        <f>TRIM(RawSalesTable6[[#This Row],[Customer_ID]])</f>
        <v>C0094</v>
      </c>
      <c r="R476" s="8" t="str">
        <f>PROPER(TRIM(RawSalesTable6[[#This Row],[Store_Raw]]))</f>
        <v>Toronto Downtown</v>
      </c>
      <c r="S476" s="8" t="str">
        <f>IF(TRIM(RawSalesTable6[[#This Row],[Payment_Method_Raw]])="","Non renseigné",SUBSTITUTE(PROPER(TRIM(RawSalesTable6[[#This Row],[Payment_Method_Raw]])),"Cc","Credit Card"))</f>
        <v>Debit Card</v>
      </c>
      <c r="T476" s="8">
        <f>COUNTIF(A:A,RawSalesTable6[[#This Row],[Order_ID]])</f>
        <v>1</v>
      </c>
      <c r="U476" s="8" t="str">
        <f>TRIM(LEFT(RawSalesTable6[[#This Row],[Customer_Info]],FIND(",",RawSalesTable6[[#This Row],[Customer_Info]])-1))</f>
        <v>Mia Singh</v>
      </c>
      <c r="V476" s="8" t="str">
        <f>TRIM(MID(RawSalesTable6[[#This Row],[Customer_Info]],FIND(",",RawSalesTable6[[#This Row],[Customer_Info]])+1,FIND(",",RawSalesTable6[[#This Row],[Customer_Info]],FIND(",",RawSalesTable6[[#This Row],[Customer_Info]])+1)-FIND(",",RawSalesTable6[[#This Row],[Customer_Info]])-1))</f>
        <v>Quebec City</v>
      </c>
      <c r="W476" s="8" t="str">
        <f>TRIM(RIGHT(RawSalesTable6[[#This Row],[Customer_Info]],LEN(RawSalesTable6[[#This Row],[Customer_Info]])-FIND(",",RawSalesTable6[[#This Row],[Customer_Info]],FIND(",",RawSalesTable6[[#This Row],[Customer_Info]])+1)))</f>
        <v>Consumer</v>
      </c>
      <c r="X476" s="8" t="str">
        <f>VLOOKUP(RawSalesTable6[[#This Row],[Product_ID_Clean]],ProductsTable[],2,FALSE)</f>
        <v>USB-C Hub</v>
      </c>
      <c r="Y476" s="8" t="str">
        <f>VLOOKUP(RawSalesTable6[[#This Row],[Product_ID_Clean]],ProductsTable[],3,FALSE)</f>
        <v>Electronics</v>
      </c>
      <c r="Z476" s="8">
        <f>VLOOKUP(RawSalesTable6[[#This Row],[Product_ID_Clean]],ProductsTable[],5,FALSE)</f>
        <v>72</v>
      </c>
      <c r="AA476" s="8">
        <f>RawSalesTable6[[#This Row],[Unit_Price]]*RawSalesTable6[[#This Row],[Quantity]]</f>
        <v>333.9</v>
      </c>
      <c r="AB476" s="8">
        <f>RawSalesTable6[[#This Row],[Gross_Sales]]*RawSalesTable6[[#This Row],[Discount_Pct]]</f>
        <v>66.78</v>
      </c>
      <c r="AC476" s="8">
        <f>RawSalesTable6[[#This Row],[Gross_Sales]]-RawSalesTable6[[#This Row],[Discount_Amount]]</f>
        <v>267.12</v>
      </c>
      <c r="AD476" s="8">
        <f>RawSalesTable6[[#This Row],[Unit_Cost]]*RawSalesTable6[[#This Row],[Quantity]]</f>
        <v>216</v>
      </c>
      <c r="AE476" s="8">
        <f>RawSalesTable6[[#This Row],[Net_Sales]]-RawSalesTable6[[#This Row],[Total_Cost]]</f>
        <v>51.120000000000005</v>
      </c>
      <c r="AF476" s="9">
        <f>RawSalesTable6[[#This Row],[Profit]]/RawSalesTable6[[#This Row],[Net_Sales]]</f>
        <v>0.19137466307277629</v>
      </c>
      <c r="AG476" s="8">
        <f>YEAR(RawSalesTable6[[#This Row],[Order_Date]])</f>
        <v>2025</v>
      </c>
      <c r="AH476" s="8">
        <f>MONTH(RawSalesTable6[[#This Row],[Order_Date]])</f>
        <v>8</v>
      </c>
      <c r="AI476" s="8" t="str">
        <f>TEXT(RawSalesTable6[[#This Row],[Order_Date]],"mmmm")</f>
        <v>août</v>
      </c>
      <c r="AJ476" s="8" t="str">
        <f>IF(RawSalesTable6[[#This Row],[Month_Number]]&lt;=3,"Q1",IF(RawSalesTable6[[#This Row],[Month_Number]]&lt;=6,"Q2",IF(RawSalesTable6[[#This Row],[Month_Number]]&lt;=9,"Q3","Q4")))</f>
        <v>Q3</v>
      </c>
      <c r="AK476" s="8" t="str">
        <f>VLOOKUP(RawSalesTable6[[#This Row],[Customer_ID_Clean]],CustomersTable[],4,FALSE)</f>
        <v>Quebec</v>
      </c>
      <c r="AL476" s="8">
        <f>IF(RawSalesTable6[[#This Row],[Return_Status]]="Yes",1,0)</f>
        <v>0</v>
      </c>
    </row>
    <row r="477" spans="1:38">
      <c r="A477" t="s">
        <v>906</v>
      </c>
      <c r="B477" s="3">
        <v>45974</v>
      </c>
      <c r="C477" t="s">
        <v>213</v>
      </c>
      <c r="D477" t="s">
        <v>249</v>
      </c>
      <c r="E477" t="s">
        <v>907</v>
      </c>
      <c r="F477" t="s">
        <v>103</v>
      </c>
      <c r="G477" t="s">
        <v>122</v>
      </c>
      <c r="H477" t="s">
        <v>246</v>
      </c>
      <c r="I477">
        <v>2</v>
      </c>
      <c r="J477" s="2">
        <v>401.68</v>
      </c>
      <c r="K477" s="4">
        <v>0.1</v>
      </c>
      <c r="L477" t="s">
        <v>98</v>
      </c>
      <c r="M477">
        <v>3</v>
      </c>
      <c r="N477" t="s">
        <v>91</v>
      </c>
      <c r="O477" t="str">
        <f>SUBSTITUTE(PROPER(TRIM(RawSalesTable6[[#This Row],[Channel_Raw]])),"Market Place","Marketplace")</f>
        <v>Retail Store</v>
      </c>
      <c r="P477" t="str">
        <f>TRIM(RawSalesTable6[[#This Row],[Product_ID]])</f>
        <v>P1022</v>
      </c>
      <c r="Q477" t="str">
        <f>TRIM(RawSalesTable6[[#This Row],[Customer_ID]])</f>
        <v>C0001</v>
      </c>
      <c r="R477" s="8" t="str">
        <f>PROPER(TRIM(RawSalesTable6[[#This Row],[Store_Raw]]))</f>
        <v>Vancouver West</v>
      </c>
      <c r="S477" s="8" t="str">
        <f>IF(TRIM(RawSalesTable6[[#This Row],[Payment_Method_Raw]])="","Non renseigné",SUBSTITUTE(PROPER(TRIM(RawSalesTable6[[#This Row],[Payment_Method_Raw]])),"Cc","Credit Card"))</f>
        <v>Debit Card</v>
      </c>
      <c r="T477" s="8">
        <f>COUNTIF(A:A,RawSalesTable6[[#This Row],[Order_ID]])</f>
        <v>1</v>
      </c>
      <c r="U477" s="8" t="str">
        <f>TRIM(LEFT(RawSalesTable6[[#This Row],[Customer_Info]],FIND(",",RawSalesTable6[[#This Row],[Customer_Info]])-1))</f>
        <v>Ethan Roy</v>
      </c>
      <c r="V477" s="8" t="str">
        <f>TRIM(MID(RawSalesTable6[[#This Row],[Customer_Info]],FIND(",",RawSalesTable6[[#This Row],[Customer_Info]])+1,FIND(",",RawSalesTable6[[#This Row],[Customer_Info]],FIND(",",RawSalesTable6[[#This Row],[Customer_Info]])+1)-FIND(",",RawSalesTable6[[#This Row],[Customer_Info]])-1))</f>
        <v>Halifax</v>
      </c>
      <c r="W477" s="8" t="str">
        <f>TRIM(RIGHT(RawSalesTable6[[#This Row],[Customer_Info]],LEN(RawSalesTable6[[#This Row],[Customer_Info]])-FIND(",",RawSalesTable6[[#This Row],[Customer_Info]],FIND(",",RawSalesTable6[[#This Row],[Customer_Info]])+1)))</f>
        <v>Consumer</v>
      </c>
      <c r="X477" s="8" t="str">
        <f>VLOOKUP(RawSalesTable6[[#This Row],[Product_ID_Clean]],ProductsTable[],2,FALSE)</f>
        <v>Humidifier</v>
      </c>
      <c r="Y477" s="8" t="str">
        <f>VLOOKUP(RawSalesTable6[[#This Row],[Product_ID_Clean]],ProductsTable[],3,FALSE)</f>
        <v>Home</v>
      </c>
      <c r="Z477" s="8">
        <f>VLOOKUP(RawSalesTable6[[#This Row],[Product_ID_Clean]],ProductsTable[],5,FALSE)</f>
        <v>239.67</v>
      </c>
      <c r="AA477" s="8">
        <f>RawSalesTable6[[#This Row],[Unit_Price]]*RawSalesTable6[[#This Row],[Quantity]]</f>
        <v>803.36</v>
      </c>
      <c r="AB477" s="8">
        <f>RawSalesTable6[[#This Row],[Gross_Sales]]*RawSalesTable6[[#This Row],[Discount_Pct]]</f>
        <v>80.336000000000013</v>
      </c>
      <c r="AC477" s="8">
        <f>RawSalesTable6[[#This Row],[Gross_Sales]]-RawSalesTable6[[#This Row],[Discount_Amount]]</f>
        <v>723.024</v>
      </c>
      <c r="AD477" s="8">
        <f>RawSalesTable6[[#This Row],[Unit_Cost]]*RawSalesTable6[[#This Row],[Quantity]]</f>
        <v>479.34</v>
      </c>
      <c r="AE477" s="8">
        <f>RawSalesTable6[[#This Row],[Net_Sales]]-RawSalesTable6[[#This Row],[Total_Cost]]</f>
        <v>243.68400000000003</v>
      </c>
      <c r="AF477" s="9">
        <f>RawSalesTable6[[#This Row],[Profit]]/RawSalesTable6[[#This Row],[Net_Sales]]</f>
        <v>0.3370344552877913</v>
      </c>
      <c r="AG477" s="8">
        <f>YEAR(RawSalesTable6[[#This Row],[Order_Date]])</f>
        <v>2025</v>
      </c>
      <c r="AH477" s="8">
        <f>MONTH(RawSalesTable6[[#This Row],[Order_Date]])</f>
        <v>11</v>
      </c>
      <c r="AI477" s="8" t="str">
        <f>TEXT(RawSalesTable6[[#This Row],[Order_Date]],"mmmm")</f>
        <v>novembre</v>
      </c>
      <c r="AJ477" s="8" t="str">
        <f>IF(RawSalesTable6[[#This Row],[Month_Number]]&lt;=3,"Q1",IF(RawSalesTable6[[#This Row],[Month_Number]]&lt;=6,"Q2",IF(RawSalesTable6[[#This Row],[Month_Number]]&lt;=9,"Q3","Q4")))</f>
        <v>Q4</v>
      </c>
      <c r="AK477" s="8" t="str">
        <f>VLOOKUP(RawSalesTable6[[#This Row],[Customer_ID_Clean]],CustomersTable[],4,FALSE)</f>
        <v>Nova Scotia</v>
      </c>
      <c r="AL477" s="8">
        <f>IF(RawSalesTable6[[#This Row],[Return_Status]]="Yes",1,0)</f>
        <v>0</v>
      </c>
    </row>
    <row r="478" spans="1:38">
      <c r="A478" t="s">
        <v>908</v>
      </c>
      <c r="B478" s="3">
        <v>45773</v>
      </c>
      <c r="C478" t="s">
        <v>230</v>
      </c>
      <c r="D478" t="s">
        <v>738</v>
      </c>
      <c r="E478" t="s">
        <v>909</v>
      </c>
      <c r="F478" t="s">
        <v>87</v>
      </c>
      <c r="G478" t="s">
        <v>88</v>
      </c>
      <c r="H478" t="s">
        <v>89</v>
      </c>
      <c r="I478">
        <v>3</v>
      </c>
      <c r="J478" s="2">
        <v>329.79</v>
      </c>
      <c r="K478" s="4">
        <v>0.1</v>
      </c>
      <c r="L478" t="s">
        <v>90</v>
      </c>
      <c r="M478">
        <v>3</v>
      </c>
      <c r="N478" t="s">
        <v>91</v>
      </c>
      <c r="O478" t="str">
        <f>SUBSTITUTE(PROPER(TRIM(RawSalesTable6[[#This Row],[Channel_Raw]])),"Market Place","Marketplace")</f>
        <v>Online</v>
      </c>
      <c r="P478" t="str">
        <f>TRIM(RawSalesTable6[[#This Row],[Product_ID]])</f>
        <v>P1016</v>
      </c>
      <c r="Q478" t="str">
        <f>TRIM(RawSalesTable6[[#This Row],[Customer_ID]])</f>
        <v>C0063</v>
      </c>
      <c r="R478" s="8" t="str">
        <f>PROPER(TRIM(RawSalesTable6[[#This Row],[Store_Raw]]))</f>
        <v>Online Fulfillment</v>
      </c>
      <c r="S478" s="8" t="str">
        <f>IF(TRIM(RawSalesTable6[[#This Row],[Payment_Method_Raw]])="","Non renseigné",SUBSTITUTE(PROPER(TRIM(RawSalesTable6[[#This Row],[Payment_Method_Raw]])),"Cc","Credit Card"))</f>
        <v>Paypal</v>
      </c>
      <c r="T478" s="8">
        <f>COUNTIF(A:A,RawSalesTable6[[#This Row],[Order_ID]])</f>
        <v>1</v>
      </c>
      <c r="U478" s="8" t="str">
        <f>TRIM(LEFT(RawSalesTable6[[#This Row],[Customer_Info]],FIND(",",RawSalesTable6[[#This Row],[Customer_Info]])-1))</f>
        <v>Adam Singh</v>
      </c>
      <c r="V478" s="8" t="str">
        <f>TRIM(MID(RawSalesTable6[[#This Row],[Customer_Info]],FIND(",",RawSalesTable6[[#This Row],[Customer_Info]])+1,FIND(",",RawSalesTable6[[#This Row],[Customer_Info]],FIND(",",RawSalesTable6[[#This Row],[Customer_Info]])+1)-FIND(",",RawSalesTable6[[#This Row],[Customer_Info]])-1))</f>
        <v>Laval</v>
      </c>
      <c r="W478" s="8" t="str">
        <f>TRIM(RIGHT(RawSalesTable6[[#This Row],[Customer_Info]],LEN(RawSalesTable6[[#This Row],[Customer_Info]])-FIND(",",RawSalesTable6[[#This Row],[Customer_Info]],FIND(",",RawSalesTable6[[#This Row],[Customer_Info]])+1)))</f>
        <v>Small Business</v>
      </c>
      <c r="X478" s="8" t="str">
        <f>VLOOKUP(RawSalesTable6[[#This Row],[Product_ID_Clean]],ProductsTable[],2,FALSE)</f>
        <v>Printer</v>
      </c>
      <c r="Y478" s="8" t="str">
        <f>VLOOKUP(RawSalesTable6[[#This Row],[Product_ID_Clean]],ProductsTable[],3,FALSE)</f>
        <v>Office</v>
      </c>
      <c r="Z478" s="8">
        <f>VLOOKUP(RawSalesTable6[[#This Row],[Product_ID_Clean]],ProductsTable[],5,FALSE)</f>
        <v>156.75</v>
      </c>
      <c r="AA478" s="8">
        <f>RawSalesTable6[[#This Row],[Unit_Price]]*RawSalesTable6[[#This Row],[Quantity]]</f>
        <v>989.37000000000012</v>
      </c>
      <c r="AB478" s="8">
        <f>RawSalesTable6[[#This Row],[Gross_Sales]]*RawSalesTable6[[#This Row],[Discount_Pct]]</f>
        <v>98.937000000000012</v>
      </c>
      <c r="AC478" s="8">
        <f>RawSalesTable6[[#This Row],[Gross_Sales]]-RawSalesTable6[[#This Row],[Discount_Amount]]</f>
        <v>890.43300000000011</v>
      </c>
      <c r="AD478" s="8">
        <f>RawSalesTable6[[#This Row],[Unit_Cost]]*RawSalesTable6[[#This Row],[Quantity]]</f>
        <v>470.25</v>
      </c>
      <c r="AE478" s="8">
        <f>RawSalesTable6[[#This Row],[Net_Sales]]-RawSalesTable6[[#This Row],[Total_Cost]]</f>
        <v>420.18300000000011</v>
      </c>
      <c r="AF478" s="9">
        <f>RawSalesTable6[[#This Row],[Profit]]/RawSalesTable6[[#This Row],[Net_Sales]]</f>
        <v>0.47188614977207727</v>
      </c>
      <c r="AG478" s="8">
        <f>YEAR(RawSalesTable6[[#This Row],[Order_Date]])</f>
        <v>2025</v>
      </c>
      <c r="AH478" s="8">
        <f>MONTH(RawSalesTable6[[#This Row],[Order_Date]])</f>
        <v>4</v>
      </c>
      <c r="AI478" s="8" t="str">
        <f>TEXT(RawSalesTable6[[#This Row],[Order_Date]],"mmmm")</f>
        <v>avril</v>
      </c>
      <c r="AJ478" s="8" t="str">
        <f>IF(RawSalesTable6[[#This Row],[Month_Number]]&lt;=3,"Q1",IF(RawSalesTable6[[#This Row],[Month_Number]]&lt;=6,"Q2",IF(RawSalesTable6[[#This Row],[Month_Number]]&lt;=9,"Q3","Q4")))</f>
        <v>Q2</v>
      </c>
      <c r="AK478" s="8" t="str">
        <f>VLOOKUP(RawSalesTable6[[#This Row],[Customer_ID_Clean]],CustomersTable[],4,FALSE)</f>
        <v>Quebec</v>
      </c>
      <c r="AL478" s="8">
        <f>IF(RawSalesTable6[[#This Row],[Return_Status]]="Yes",1,0)</f>
        <v>0</v>
      </c>
    </row>
    <row r="479" spans="1:38">
      <c r="A479" t="s">
        <v>910</v>
      </c>
      <c r="B479" s="3">
        <v>45837</v>
      </c>
      <c r="C479" t="s">
        <v>177</v>
      </c>
      <c r="D479" t="s">
        <v>109</v>
      </c>
      <c r="E479" t="s">
        <v>178</v>
      </c>
      <c r="F479" t="s">
        <v>87</v>
      </c>
      <c r="G479" t="s">
        <v>171</v>
      </c>
      <c r="H479" t="s">
        <v>89</v>
      </c>
      <c r="I479">
        <v>1</v>
      </c>
      <c r="J479" s="2">
        <v>202.81</v>
      </c>
      <c r="K479" s="4">
        <v>0.15</v>
      </c>
      <c r="L479" t="s">
        <v>106</v>
      </c>
      <c r="M479">
        <v>9</v>
      </c>
      <c r="N479" t="s">
        <v>91</v>
      </c>
      <c r="O479" t="str">
        <f>SUBSTITUTE(PROPER(TRIM(RawSalesTable6[[#This Row],[Channel_Raw]])),"Market Place","Marketplace")</f>
        <v>Online</v>
      </c>
      <c r="P479" t="str">
        <f>TRIM(RawSalesTable6[[#This Row],[Product_ID]])</f>
        <v>P1032</v>
      </c>
      <c r="Q479" t="str">
        <f>TRIM(RawSalesTable6[[#This Row],[Customer_ID]])</f>
        <v>C0041</v>
      </c>
      <c r="R479" s="8" t="str">
        <f>PROPER(TRIM(RawSalesTable6[[#This Row],[Store_Raw]]))</f>
        <v>Online Fulfillment</v>
      </c>
      <c r="S479" s="8" t="str">
        <f>IF(TRIM(RawSalesTable6[[#This Row],[Payment_Method_Raw]])="","Non renseigné",SUBSTITUTE(PROPER(TRIM(RawSalesTable6[[#This Row],[Payment_Method_Raw]])),"Cc","Credit Card"))</f>
        <v>Credit Card</v>
      </c>
      <c r="T479" s="8">
        <f>COUNTIF(A:A,RawSalesTable6[[#This Row],[Order_ID]])</f>
        <v>1</v>
      </c>
      <c r="U479" s="8" t="str">
        <f>TRIM(LEFT(RawSalesTable6[[#This Row],[Customer_Info]],FIND(",",RawSalesTable6[[#This Row],[Customer_Info]])-1))</f>
        <v>Amine Chen</v>
      </c>
      <c r="V479" s="8" t="str">
        <f>TRIM(MID(RawSalesTable6[[#This Row],[Customer_Info]],FIND(",",RawSalesTable6[[#This Row],[Customer_Info]])+1,FIND(",",RawSalesTable6[[#This Row],[Customer_Info]],FIND(",",RawSalesTable6[[#This Row],[Customer_Info]])+1)-FIND(",",RawSalesTable6[[#This Row],[Customer_Info]])-1))</f>
        <v>Halifax</v>
      </c>
      <c r="W479" s="8" t="str">
        <f>TRIM(RIGHT(RawSalesTable6[[#This Row],[Customer_Info]],LEN(RawSalesTable6[[#This Row],[Customer_Info]])-FIND(",",RawSalesTable6[[#This Row],[Customer_Info]],FIND(",",RawSalesTable6[[#This Row],[Customer_Info]])+1)))</f>
        <v>Small Business</v>
      </c>
      <c r="X479" s="8" t="str">
        <f>VLOOKUP(RawSalesTable6[[#This Row],[Product_ID_Clean]],ProductsTable[],2,FALSE)</f>
        <v>Gym Bag</v>
      </c>
      <c r="Y479" s="8" t="str">
        <f>VLOOKUP(RawSalesTable6[[#This Row],[Product_ID_Clean]],ProductsTable[],3,FALSE)</f>
        <v>Fitness</v>
      </c>
      <c r="Z479" s="8">
        <f>VLOOKUP(RawSalesTable6[[#This Row],[Product_ID_Clean]],ProductsTable[],5,FALSE)</f>
        <v>132.72</v>
      </c>
      <c r="AA479" s="8">
        <f>RawSalesTable6[[#This Row],[Unit_Price]]*RawSalesTable6[[#This Row],[Quantity]]</f>
        <v>202.81</v>
      </c>
      <c r="AB479" s="8">
        <f>RawSalesTable6[[#This Row],[Gross_Sales]]*RawSalesTable6[[#This Row],[Discount_Pct]]</f>
        <v>30.421499999999998</v>
      </c>
      <c r="AC479" s="8">
        <f>RawSalesTable6[[#This Row],[Gross_Sales]]-RawSalesTable6[[#This Row],[Discount_Amount]]</f>
        <v>172.38849999999999</v>
      </c>
      <c r="AD479" s="8">
        <f>RawSalesTable6[[#This Row],[Unit_Cost]]*RawSalesTable6[[#This Row],[Quantity]]</f>
        <v>132.72</v>
      </c>
      <c r="AE479" s="8">
        <f>RawSalesTable6[[#This Row],[Net_Sales]]-RawSalesTable6[[#This Row],[Total_Cost]]</f>
        <v>39.668499999999995</v>
      </c>
      <c r="AF479" s="9">
        <f>RawSalesTable6[[#This Row],[Profit]]/RawSalesTable6[[#This Row],[Net_Sales]]</f>
        <v>0.23011105729210474</v>
      </c>
      <c r="AG479" s="8">
        <f>YEAR(RawSalesTable6[[#This Row],[Order_Date]])</f>
        <v>2025</v>
      </c>
      <c r="AH479" s="8">
        <f>MONTH(RawSalesTable6[[#This Row],[Order_Date]])</f>
        <v>6</v>
      </c>
      <c r="AI479" s="8" t="str">
        <f>TEXT(RawSalesTable6[[#This Row],[Order_Date]],"mmmm")</f>
        <v>juin</v>
      </c>
      <c r="AJ479" s="8" t="str">
        <f>IF(RawSalesTable6[[#This Row],[Month_Number]]&lt;=3,"Q1",IF(RawSalesTable6[[#This Row],[Month_Number]]&lt;=6,"Q2",IF(RawSalesTable6[[#This Row],[Month_Number]]&lt;=9,"Q3","Q4")))</f>
        <v>Q2</v>
      </c>
      <c r="AK479" s="8" t="str">
        <f>VLOOKUP(RawSalesTable6[[#This Row],[Customer_ID_Clean]],CustomersTable[],4,FALSE)</f>
        <v>Nova Scotia</v>
      </c>
      <c r="AL479" s="8">
        <f>IF(RawSalesTable6[[#This Row],[Return_Status]]="Yes",1,0)</f>
        <v>0</v>
      </c>
    </row>
    <row r="480" spans="1:38">
      <c r="A480" t="s">
        <v>911</v>
      </c>
      <c r="B480" s="3">
        <v>45956</v>
      </c>
      <c r="C480" t="s">
        <v>283</v>
      </c>
      <c r="D480" t="s">
        <v>152</v>
      </c>
      <c r="E480" t="s">
        <v>284</v>
      </c>
      <c r="F480" t="s">
        <v>187</v>
      </c>
      <c r="G480" t="s">
        <v>130</v>
      </c>
      <c r="H480" t="s">
        <v>89</v>
      </c>
      <c r="I480">
        <v>2</v>
      </c>
      <c r="J480" s="2">
        <v>128.86000000000001</v>
      </c>
      <c r="K480" s="4">
        <v>0</v>
      </c>
      <c r="L480" t="s">
        <v>441</v>
      </c>
      <c r="M480">
        <v>6</v>
      </c>
      <c r="N480" t="s">
        <v>147</v>
      </c>
      <c r="O480" t="str">
        <f>SUBSTITUTE(PROPER(TRIM(RawSalesTable6[[#This Row],[Channel_Raw]])),"Market Place","Marketplace")</f>
        <v>Online</v>
      </c>
      <c r="P480" t="str">
        <f>TRIM(RawSalesTable6[[#This Row],[Product_ID]])</f>
        <v>P1008</v>
      </c>
      <c r="Q480" t="str">
        <f>TRIM(RawSalesTable6[[#This Row],[Customer_ID]])</f>
        <v>C0033</v>
      </c>
      <c r="R480" s="8" t="str">
        <f>PROPER(TRIM(RawSalesTable6[[#This Row],[Store_Raw]]))</f>
        <v>Vancouver West</v>
      </c>
      <c r="S480" s="8" t="str">
        <f>IF(TRIM(RawSalesTable6[[#This Row],[Payment_Method_Raw]])="","Non renseigné",SUBSTITUTE(PROPER(TRIM(RawSalesTable6[[#This Row],[Payment_Method_Raw]])),"Cc","Credit Card"))</f>
        <v>Credit Card</v>
      </c>
      <c r="T480" s="8">
        <f>COUNTIF(A:A,RawSalesTable6[[#This Row],[Order_ID]])</f>
        <v>1</v>
      </c>
      <c r="U480" s="8" t="str">
        <f>TRIM(LEFT(RawSalesTable6[[#This Row],[Customer_Info]],FIND(",",RawSalesTable6[[#This Row],[Customer_Info]])-1))</f>
        <v>Maya Hall</v>
      </c>
      <c r="V480" s="8" t="str">
        <f>TRIM(MID(RawSalesTable6[[#This Row],[Customer_Info]],FIND(",",RawSalesTable6[[#This Row],[Customer_Info]])+1,FIND(",",RawSalesTable6[[#This Row],[Customer_Info]],FIND(",",RawSalesTable6[[#This Row],[Customer_Info]])+1)-FIND(",",RawSalesTable6[[#This Row],[Customer_Info]])-1))</f>
        <v>Winnipeg</v>
      </c>
      <c r="W480" s="8" t="str">
        <f>TRIM(RIGHT(RawSalesTable6[[#This Row],[Customer_Info]],LEN(RawSalesTable6[[#This Row],[Customer_Info]])-FIND(",",RawSalesTable6[[#This Row],[Customer_Info]],FIND(",",RawSalesTable6[[#This Row],[Customer_Info]])+1)))</f>
        <v>Consumer</v>
      </c>
      <c r="X480" s="8" t="str">
        <f>VLOOKUP(RawSalesTable6[[#This Row],[Product_ID_Clean]],ProductsTable[],2,FALSE)</f>
        <v>Smart Speaker</v>
      </c>
      <c r="Y480" s="8" t="str">
        <f>VLOOKUP(RawSalesTable6[[#This Row],[Product_ID_Clean]],ProductsTable[],3,FALSE)</f>
        <v>Electronics</v>
      </c>
      <c r="Z480" s="8">
        <f>VLOOKUP(RawSalesTable6[[#This Row],[Product_ID_Clean]],ProductsTable[],5,FALSE)</f>
        <v>69</v>
      </c>
      <c r="AA480" s="8">
        <f>RawSalesTable6[[#This Row],[Unit_Price]]*RawSalesTable6[[#This Row],[Quantity]]</f>
        <v>257.72000000000003</v>
      </c>
      <c r="AB480" s="8">
        <f>RawSalesTable6[[#This Row],[Gross_Sales]]*RawSalesTable6[[#This Row],[Discount_Pct]]</f>
        <v>0</v>
      </c>
      <c r="AC480" s="8">
        <f>RawSalesTable6[[#This Row],[Gross_Sales]]-RawSalesTable6[[#This Row],[Discount_Amount]]</f>
        <v>257.72000000000003</v>
      </c>
      <c r="AD480" s="8">
        <f>RawSalesTable6[[#This Row],[Unit_Cost]]*RawSalesTable6[[#This Row],[Quantity]]</f>
        <v>138</v>
      </c>
      <c r="AE480" s="8">
        <f>RawSalesTable6[[#This Row],[Net_Sales]]-RawSalesTable6[[#This Row],[Total_Cost]]</f>
        <v>119.72000000000003</v>
      </c>
      <c r="AF480" s="9">
        <f>RawSalesTable6[[#This Row],[Profit]]/RawSalesTable6[[#This Row],[Net_Sales]]</f>
        <v>0.46453515443116566</v>
      </c>
      <c r="AG480" s="8">
        <f>YEAR(RawSalesTable6[[#This Row],[Order_Date]])</f>
        <v>2025</v>
      </c>
      <c r="AH480" s="8">
        <f>MONTH(RawSalesTable6[[#This Row],[Order_Date]])</f>
        <v>10</v>
      </c>
      <c r="AI480" s="8" t="str">
        <f>TEXT(RawSalesTable6[[#This Row],[Order_Date]],"mmmm")</f>
        <v>octobre</v>
      </c>
      <c r="AJ480" s="8" t="str">
        <f>IF(RawSalesTable6[[#This Row],[Month_Number]]&lt;=3,"Q1",IF(RawSalesTable6[[#This Row],[Month_Number]]&lt;=6,"Q2",IF(RawSalesTable6[[#This Row],[Month_Number]]&lt;=9,"Q3","Q4")))</f>
        <v>Q4</v>
      </c>
      <c r="AK480" s="8" t="str">
        <f>VLOOKUP(RawSalesTable6[[#This Row],[Customer_ID_Clean]],CustomersTable[],4,FALSE)</f>
        <v>Manitoba</v>
      </c>
      <c r="AL480" s="8">
        <f>IF(RawSalesTable6[[#This Row],[Return_Status]]="Yes",1,0)</f>
        <v>1</v>
      </c>
    </row>
    <row r="481" spans="1:38">
      <c r="A481" t="s">
        <v>912</v>
      </c>
      <c r="B481" s="3">
        <v>45735</v>
      </c>
      <c r="C481" t="s">
        <v>290</v>
      </c>
      <c r="D481" t="s">
        <v>271</v>
      </c>
      <c r="E481" t="s">
        <v>732</v>
      </c>
      <c r="F481" t="s">
        <v>103</v>
      </c>
      <c r="G481" t="s">
        <v>171</v>
      </c>
      <c r="H481" t="s">
        <v>89</v>
      </c>
      <c r="I481">
        <v>2</v>
      </c>
      <c r="J481" s="2">
        <v>223.1</v>
      </c>
      <c r="K481" s="4">
        <v>0.25</v>
      </c>
      <c r="L481" t="s">
        <v>106</v>
      </c>
      <c r="M481">
        <v>8</v>
      </c>
      <c r="N481" t="s">
        <v>91</v>
      </c>
      <c r="O481" t="str">
        <f>SUBSTITUTE(PROPER(TRIM(RawSalesTable6[[#This Row],[Channel_Raw]])),"Market Place","Marketplace")</f>
        <v>Online</v>
      </c>
      <c r="P481" t="str">
        <f>TRIM(RawSalesTable6[[#This Row],[Product_ID]])</f>
        <v>P1026</v>
      </c>
      <c r="Q481" t="str">
        <f>TRIM(RawSalesTable6[[#This Row],[Customer_ID]])</f>
        <v>C0116</v>
      </c>
      <c r="R481" s="8" t="str">
        <f>PROPER(TRIM(RawSalesTable6[[#This Row],[Store_Raw]]))</f>
        <v>Vancouver West</v>
      </c>
      <c r="S481" s="8" t="str">
        <f>IF(TRIM(RawSalesTable6[[#This Row],[Payment_Method_Raw]])="","Non renseigné",SUBSTITUTE(PROPER(TRIM(RawSalesTable6[[#This Row],[Payment_Method_Raw]])),"Cc","Credit Card"))</f>
        <v>Credit Card</v>
      </c>
      <c r="T481" s="8">
        <f>COUNTIF(A:A,RawSalesTable6[[#This Row],[Order_ID]])</f>
        <v>1</v>
      </c>
      <c r="U481" s="8" t="str">
        <f>TRIM(LEFT(RawSalesTable6[[#This Row],[Customer_Info]],FIND(",",RawSalesTable6[[#This Row],[Customer_Info]])-1))</f>
        <v>Lucas Brown</v>
      </c>
      <c r="V481" s="8" t="str">
        <f>TRIM(MID(RawSalesTable6[[#This Row],[Customer_Info]],FIND(",",RawSalesTable6[[#This Row],[Customer_Info]])+1,FIND(",",RawSalesTable6[[#This Row],[Customer_Info]],FIND(",",RawSalesTable6[[#This Row],[Customer_Info]])+1)-FIND(",",RawSalesTable6[[#This Row],[Customer_Info]])-1))</f>
        <v>Mississauga</v>
      </c>
      <c r="W481" s="8" t="str">
        <f>TRIM(RIGHT(RawSalesTable6[[#This Row],[Customer_Info]],LEN(RawSalesTable6[[#This Row],[Customer_Info]])-FIND(",",RawSalesTable6[[#This Row],[Customer_Info]],FIND(",",RawSalesTable6[[#This Row],[Customer_Info]])+1)))</f>
        <v>Corporate</v>
      </c>
      <c r="X481" s="8" t="str">
        <f>VLOOKUP(RawSalesTable6[[#This Row],[Product_ID_Clean]],ProductsTable[],2,FALSE)</f>
        <v>Resistance Bands</v>
      </c>
      <c r="Y481" s="8" t="str">
        <f>VLOOKUP(RawSalesTable6[[#This Row],[Product_ID_Clean]],ProductsTable[],3,FALSE)</f>
        <v>Fitness</v>
      </c>
      <c r="Z481" s="8">
        <f>VLOOKUP(RawSalesTable6[[#This Row],[Product_ID_Clean]],ProductsTable[],5,FALSE)</f>
        <v>139.19999999999999</v>
      </c>
      <c r="AA481" s="8">
        <f>RawSalesTable6[[#This Row],[Unit_Price]]*RawSalesTable6[[#This Row],[Quantity]]</f>
        <v>446.2</v>
      </c>
      <c r="AB481" s="8">
        <f>RawSalesTable6[[#This Row],[Gross_Sales]]*RawSalesTable6[[#This Row],[Discount_Pct]]</f>
        <v>111.55</v>
      </c>
      <c r="AC481" s="8">
        <f>RawSalesTable6[[#This Row],[Gross_Sales]]-RawSalesTable6[[#This Row],[Discount_Amount]]</f>
        <v>334.65</v>
      </c>
      <c r="AD481" s="8">
        <f>RawSalesTable6[[#This Row],[Unit_Cost]]*RawSalesTable6[[#This Row],[Quantity]]</f>
        <v>278.39999999999998</v>
      </c>
      <c r="AE481" s="8">
        <f>RawSalesTable6[[#This Row],[Net_Sales]]-RawSalesTable6[[#This Row],[Total_Cost]]</f>
        <v>56.25</v>
      </c>
      <c r="AF481" s="9">
        <f>RawSalesTable6[[#This Row],[Profit]]/RawSalesTable6[[#This Row],[Net_Sales]]</f>
        <v>0.16808606006275215</v>
      </c>
      <c r="AG481" s="8">
        <f>YEAR(RawSalesTable6[[#This Row],[Order_Date]])</f>
        <v>2025</v>
      </c>
      <c r="AH481" s="8">
        <f>MONTH(RawSalesTable6[[#This Row],[Order_Date]])</f>
        <v>3</v>
      </c>
      <c r="AI481" s="8" t="str">
        <f>TEXT(RawSalesTable6[[#This Row],[Order_Date]],"mmmm")</f>
        <v>mars</v>
      </c>
      <c r="AJ481" s="8" t="str">
        <f>IF(RawSalesTable6[[#This Row],[Month_Number]]&lt;=3,"Q1",IF(RawSalesTable6[[#This Row],[Month_Number]]&lt;=6,"Q2",IF(RawSalesTable6[[#This Row],[Month_Number]]&lt;=9,"Q3","Q4")))</f>
        <v>Q1</v>
      </c>
      <c r="AK481" s="8" t="str">
        <f>VLOOKUP(RawSalesTable6[[#This Row],[Customer_ID_Clean]],CustomersTable[],4,FALSE)</f>
        <v>Ontario</v>
      </c>
      <c r="AL481" s="8">
        <f>IF(RawSalesTable6[[#This Row],[Return_Status]]="Yes",1,0)</f>
        <v>0</v>
      </c>
    </row>
    <row r="482" spans="1:38">
      <c r="A482" t="s">
        <v>913</v>
      </c>
      <c r="B482" s="3">
        <v>45768</v>
      </c>
      <c r="C482" t="s">
        <v>548</v>
      </c>
      <c r="D482" t="s">
        <v>261</v>
      </c>
      <c r="E482" t="s">
        <v>585</v>
      </c>
      <c r="F482" t="s">
        <v>116</v>
      </c>
      <c r="G482" t="s">
        <v>130</v>
      </c>
      <c r="H482" t="s">
        <v>246</v>
      </c>
      <c r="I482">
        <v>2</v>
      </c>
      <c r="J482" s="2">
        <v>254.63</v>
      </c>
      <c r="K482" s="4">
        <v>0.1</v>
      </c>
      <c r="L482" t="s">
        <v>90</v>
      </c>
      <c r="M482">
        <v>2</v>
      </c>
      <c r="N482" t="s">
        <v>91</v>
      </c>
      <c r="O482" t="str">
        <f>SUBSTITUTE(PROPER(TRIM(RawSalesTable6[[#This Row],[Channel_Raw]])),"Market Place","Marketplace")</f>
        <v>Retail Store</v>
      </c>
      <c r="P482" t="str">
        <f>TRIM(RawSalesTable6[[#This Row],[Product_ID]])</f>
        <v>P1031</v>
      </c>
      <c r="Q482" t="str">
        <f>TRIM(RawSalesTable6[[#This Row],[Customer_ID]])</f>
        <v>C0099</v>
      </c>
      <c r="R482" s="8" t="str">
        <f>PROPER(TRIM(RawSalesTable6[[#This Row],[Store_Raw]]))</f>
        <v>Toronto Downtown</v>
      </c>
      <c r="S482" s="8" t="str">
        <f>IF(TRIM(RawSalesTable6[[#This Row],[Payment_Method_Raw]])="","Non renseigné",SUBSTITUTE(PROPER(TRIM(RawSalesTable6[[#This Row],[Payment_Method_Raw]])),"Cc","Credit Card"))</f>
        <v>Paypal</v>
      </c>
      <c r="T482" s="8">
        <f>COUNTIF(A:A,RawSalesTable6[[#This Row],[Order_ID]])</f>
        <v>1</v>
      </c>
      <c r="U482" s="8" t="str">
        <f>TRIM(LEFT(RawSalesTable6[[#This Row],[Customer_Info]],FIND(",",RawSalesTable6[[#This Row],[Customer_Info]])-1))</f>
        <v>Amine Gagnon</v>
      </c>
      <c r="V482" s="8" t="str">
        <f>TRIM(MID(RawSalesTable6[[#This Row],[Customer_Info]],FIND(",",RawSalesTable6[[#This Row],[Customer_Info]])+1,FIND(",",RawSalesTable6[[#This Row],[Customer_Info]],FIND(",",RawSalesTable6[[#This Row],[Customer_Info]])+1)-FIND(",",RawSalesTable6[[#This Row],[Customer_Info]])-1))</f>
        <v>Laval</v>
      </c>
      <c r="W482" s="8" t="str">
        <f>TRIM(RIGHT(RawSalesTable6[[#This Row],[Customer_Info]],LEN(RawSalesTable6[[#This Row],[Customer_Info]])-FIND(",",RawSalesTable6[[#This Row],[Customer_Info]],FIND(",",RawSalesTable6[[#This Row],[Customer_Info]])+1)))</f>
        <v>Small Business</v>
      </c>
      <c r="X482" s="8" t="str">
        <f>VLOOKUP(RawSalesTable6[[#This Row],[Product_ID_Clean]],ProductsTable[],2,FALSE)</f>
        <v>Dumbbell Set</v>
      </c>
      <c r="Y482" s="8" t="str">
        <f>VLOOKUP(RawSalesTable6[[#This Row],[Product_ID_Clean]],ProductsTable[],3,FALSE)</f>
        <v>Fitness</v>
      </c>
      <c r="Z482" s="8">
        <f>VLOOKUP(RawSalesTable6[[#This Row],[Product_ID_Clean]],ProductsTable[],5,FALSE)</f>
        <v>131.72999999999999</v>
      </c>
      <c r="AA482" s="8">
        <f>RawSalesTable6[[#This Row],[Unit_Price]]*RawSalesTable6[[#This Row],[Quantity]]</f>
        <v>509.26</v>
      </c>
      <c r="AB482" s="8">
        <f>RawSalesTable6[[#This Row],[Gross_Sales]]*RawSalesTable6[[#This Row],[Discount_Pct]]</f>
        <v>50.926000000000002</v>
      </c>
      <c r="AC482" s="8">
        <f>RawSalesTable6[[#This Row],[Gross_Sales]]-RawSalesTable6[[#This Row],[Discount_Amount]]</f>
        <v>458.334</v>
      </c>
      <c r="AD482" s="8">
        <f>RawSalesTable6[[#This Row],[Unit_Cost]]*RawSalesTable6[[#This Row],[Quantity]]</f>
        <v>263.45999999999998</v>
      </c>
      <c r="AE482" s="8">
        <f>RawSalesTable6[[#This Row],[Net_Sales]]-RawSalesTable6[[#This Row],[Total_Cost]]</f>
        <v>194.87400000000002</v>
      </c>
      <c r="AF482" s="9">
        <f>RawSalesTable6[[#This Row],[Profit]]/RawSalesTable6[[#This Row],[Net_Sales]]</f>
        <v>0.42517901792142854</v>
      </c>
      <c r="AG482" s="8">
        <f>YEAR(RawSalesTable6[[#This Row],[Order_Date]])</f>
        <v>2025</v>
      </c>
      <c r="AH482" s="8">
        <f>MONTH(RawSalesTable6[[#This Row],[Order_Date]])</f>
        <v>4</v>
      </c>
      <c r="AI482" s="8" t="str">
        <f>TEXT(RawSalesTable6[[#This Row],[Order_Date]],"mmmm")</f>
        <v>avril</v>
      </c>
      <c r="AJ482" s="8" t="str">
        <f>IF(RawSalesTable6[[#This Row],[Month_Number]]&lt;=3,"Q1",IF(RawSalesTable6[[#This Row],[Month_Number]]&lt;=6,"Q2",IF(RawSalesTable6[[#This Row],[Month_Number]]&lt;=9,"Q3","Q4")))</f>
        <v>Q2</v>
      </c>
      <c r="AK482" s="8" t="str">
        <f>VLOOKUP(RawSalesTable6[[#This Row],[Customer_ID_Clean]],CustomersTable[],4,FALSE)</f>
        <v>Quebec</v>
      </c>
      <c r="AL482" s="8">
        <f>IF(RawSalesTable6[[#This Row],[Return_Status]]="Yes",1,0)</f>
        <v>0</v>
      </c>
    </row>
    <row r="483" spans="1:38">
      <c r="A483" t="s">
        <v>914</v>
      </c>
      <c r="B483" s="3">
        <v>45801</v>
      </c>
      <c r="C483" t="s">
        <v>151</v>
      </c>
      <c r="D483" t="s">
        <v>277</v>
      </c>
      <c r="E483" t="s">
        <v>153</v>
      </c>
      <c r="F483" t="s">
        <v>103</v>
      </c>
      <c r="G483" t="s">
        <v>117</v>
      </c>
      <c r="H483" t="s">
        <v>89</v>
      </c>
      <c r="I483">
        <v>2</v>
      </c>
      <c r="J483" s="2">
        <v>375.55</v>
      </c>
      <c r="K483" s="4">
        <v>0.05</v>
      </c>
      <c r="L483" t="s">
        <v>106</v>
      </c>
      <c r="M483">
        <v>8</v>
      </c>
      <c r="N483" t="s">
        <v>91</v>
      </c>
      <c r="O483" t="str">
        <f>SUBSTITUTE(PROPER(TRIM(RawSalesTable6[[#This Row],[Channel_Raw]])),"Market Place","Marketplace")</f>
        <v>Online</v>
      </c>
      <c r="P483" t="str">
        <f>TRIM(RawSalesTable6[[#This Row],[Product_ID]])</f>
        <v>P1001</v>
      </c>
      <c r="Q483" t="str">
        <f>TRIM(RawSalesTable6[[#This Row],[Customer_ID]])</f>
        <v>C0014</v>
      </c>
      <c r="R483" s="8" t="str">
        <f>PROPER(TRIM(RawSalesTable6[[#This Row],[Store_Raw]]))</f>
        <v>Vancouver West</v>
      </c>
      <c r="S483" s="8" t="str">
        <f>IF(TRIM(RawSalesTable6[[#This Row],[Payment_Method_Raw]])="","Non renseigné",SUBSTITUTE(PROPER(TRIM(RawSalesTable6[[#This Row],[Payment_Method_Raw]])),"Cc","Credit Card"))</f>
        <v>Credit Card</v>
      </c>
      <c r="T483" s="8">
        <f>COUNTIF(A:A,RawSalesTable6[[#This Row],[Order_ID]])</f>
        <v>1</v>
      </c>
      <c r="U483" s="8" t="str">
        <f>TRIM(LEFT(RawSalesTable6[[#This Row],[Customer_Info]],FIND(",",RawSalesTable6[[#This Row],[Customer_Info]])-1))</f>
        <v>Zoe Scott</v>
      </c>
      <c r="V483" s="8" t="str">
        <f>TRIM(MID(RawSalesTable6[[#This Row],[Customer_Info]],FIND(",",RawSalesTable6[[#This Row],[Customer_Info]])+1,FIND(",",RawSalesTable6[[#This Row],[Customer_Info]],FIND(",",RawSalesTable6[[#This Row],[Customer_Info]])+1)-FIND(",",RawSalesTable6[[#This Row],[Customer_Info]])-1))</f>
        <v>Montreal</v>
      </c>
      <c r="W483" s="8" t="str">
        <f>TRIM(RIGHT(RawSalesTable6[[#This Row],[Customer_Info]],LEN(RawSalesTable6[[#This Row],[Customer_Info]])-FIND(",",RawSalesTable6[[#This Row],[Customer_Info]],FIND(",",RawSalesTable6[[#This Row],[Customer_Info]])+1)))</f>
        <v>Small Business</v>
      </c>
      <c r="X483" s="8" t="str">
        <f>VLOOKUP(RawSalesTable6[[#This Row],[Product_ID_Clean]],ProductsTable[],2,FALSE)</f>
        <v>Headphones</v>
      </c>
      <c r="Y483" s="8" t="str">
        <f>VLOOKUP(RawSalesTable6[[#This Row],[Product_ID_Clean]],ProductsTable[],3,FALSE)</f>
        <v>Electronics</v>
      </c>
      <c r="Z483" s="8">
        <f>VLOOKUP(RawSalesTable6[[#This Row],[Product_ID_Clean]],ProductsTable[],5,FALSE)</f>
        <v>254.6</v>
      </c>
      <c r="AA483" s="8">
        <f>RawSalesTable6[[#This Row],[Unit_Price]]*RawSalesTable6[[#This Row],[Quantity]]</f>
        <v>751.1</v>
      </c>
      <c r="AB483" s="8">
        <f>RawSalesTable6[[#This Row],[Gross_Sales]]*RawSalesTable6[[#This Row],[Discount_Pct]]</f>
        <v>37.555</v>
      </c>
      <c r="AC483" s="8">
        <f>RawSalesTable6[[#This Row],[Gross_Sales]]-RawSalesTable6[[#This Row],[Discount_Amount]]</f>
        <v>713.54500000000007</v>
      </c>
      <c r="AD483" s="8">
        <f>RawSalesTable6[[#This Row],[Unit_Cost]]*RawSalesTable6[[#This Row],[Quantity]]</f>
        <v>509.2</v>
      </c>
      <c r="AE483" s="8">
        <f>RawSalesTable6[[#This Row],[Net_Sales]]-RawSalesTable6[[#This Row],[Total_Cost]]</f>
        <v>204.34500000000008</v>
      </c>
      <c r="AF483" s="9">
        <f>RawSalesTable6[[#This Row],[Profit]]/RawSalesTable6[[#This Row],[Net_Sales]]</f>
        <v>0.28637997603514853</v>
      </c>
      <c r="AG483" s="8">
        <f>YEAR(RawSalesTable6[[#This Row],[Order_Date]])</f>
        <v>2025</v>
      </c>
      <c r="AH483" s="8">
        <f>MONTH(RawSalesTable6[[#This Row],[Order_Date]])</f>
        <v>5</v>
      </c>
      <c r="AI483" s="8" t="str">
        <f>TEXT(RawSalesTable6[[#This Row],[Order_Date]],"mmmm")</f>
        <v>mai</v>
      </c>
      <c r="AJ483" s="8" t="str">
        <f>IF(RawSalesTable6[[#This Row],[Month_Number]]&lt;=3,"Q1",IF(RawSalesTable6[[#This Row],[Month_Number]]&lt;=6,"Q2",IF(RawSalesTable6[[#This Row],[Month_Number]]&lt;=9,"Q3","Q4")))</f>
        <v>Q2</v>
      </c>
      <c r="AK483" s="8" t="str">
        <f>VLOOKUP(RawSalesTable6[[#This Row],[Customer_ID_Clean]],CustomersTable[],4,FALSE)</f>
        <v>Quebec</v>
      </c>
      <c r="AL483" s="8">
        <f>IF(RawSalesTable6[[#This Row],[Return_Status]]="Yes",1,0)</f>
        <v>0</v>
      </c>
    </row>
    <row r="484" spans="1:38">
      <c r="A484" t="s">
        <v>915</v>
      </c>
      <c r="B484" s="3">
        <v>45847</v>
      </c>
      <c r="C484" t="s">
        <v>273</v>
      </c>
      <c r="D484" t="s">
        <v>194</v>
      </c>
      <c r="E484" t="s">
        <v>274</v>
      </c>
      <c r="F484" t="s">
        <v>111</v>
      </c>
      <c r="G484" t="s">
        <v>130</v>
      </c>
      <c r="H484" t="s">
        <v>97</v>
      </c>
      <c r="I484">
        <v>2</v>
      </c>
      <c r="J484" s="2">
        <v>190.66</v>
      </c>
      <c r="K484" s="4">
        <v>0</v>
      </c>
      <c r="L484" t="s">
        <v>106</v>
      </c>
      <c r="M484">
        <v>3</v>
      </c>
      <c r="N484" t="s">
        <v>91</v>
      </c>
      <c r="O484" t="str">
        <f>SUBSTITUTE(PROPER(TRIM(RawSalesTable6[[#This Row],[Channel_Raw]])),"Market Place","Marketplace")</f>
        <v>Retail Store</v>
      </c>
      <c r="P484" t="str">
        <f>TRIM(RawSalesTable6[[#This Row],[Product_ID]])</f>
        <v>P1029</v>
      </c>
      <c r="Q484" t="str">
        <f>TRIM(RawSalesTable6[[#This Row],[Customer_ID]])</f>
        <v>C0066</v>
      </c>
      <c r="R484" s="8" t="str">
        <f>PROPER(TRIM(RawSalesTable6[[#This Row],[Store_Raw]]))</f>
        <v>Montreal Central</v>
      </c>
      <c r="S484" s="8" t="str">
        <f>IF(TRIM(RawSalesTable6[[#This Row],[Payment_Method_Raw]])="","Non renseigné",SUBSTITUTE(PROPER(TRIM(RawSalesTable6[[#This Row],[Payment_Method_Raw]])),"Cc","Credit Card"))</f>
        <v>Credit Card</v>
      </c>
      <c r="T484" s="8">
        <f>COUNTIF(A:A,RawSalesTable6[[#This Row],[Order_ID]])</f>
        <v>1</v>
      </c>
      <c r="U484" s="8" t="str">
        <f>TRIM(LEFT(RawSalesTable6[[#This Row],[Customer_Info]],FIND(",",RawSalesTable6[[#This Row],[Customer_Info]])-1))</f>
        <v>Noah Clark</v>
      </c>
      <c r="V484" s="8" t="str">
        <f>TRIM(MID(RawSalesTable6[[#This Row],[Customer_Info]],FIND(",",RawSalesTable6[[#This Row],[Customer_Info]])+1,FIND(",",RawSalesTable6[[#This Row],[Customer_Info]],FIND(",",RawSalesTable6[[#This Row],[Customer_Info]])+1)-FIND(",",RawSalesTable6[[#This Row],[Customer_Info]])-1))</f>
        <v>Laval</v>
      </c>
      <c r="W484" s="8" t="str">
        <f>TRIM(RIGHT(RawSalesTable6[[#This Row],[Customer_Info]],LEN(RawSalesTable6[[#This Row],[Customer_Info]])-FIND(",",RawSalesTable6[[#This Row],[Customer_Info]],FIND(",",RawSalesTable6[[#This Row],[Customer_Info]])+1)))</f>
        <v>Consumer</v>
      </c>
      <c r="X484" s="8" t="str">
        <f>VLOOKUP(RawSalesTable6[[#This Row],[Product_ID_Clean]],ProductsTable[],2,FALSE)</f>
        <v>Jump Rope</v>
      </c>
      <c r="Y484" s="8" t="str">
        <f>VLOOKUP(RawSalesTable6[[#This Row],[Product_ID_Clean]],ProductsTable[],3,FALSE)</f>
        <v>Fitness</v>
      </c>
      <c r="Z484" s="8">
        <f>VLOOKUP(RawSalesTable6[[#This Row],[Product_ID_Clean]],ProductsTable[],5,FALSE)</f>
        <v>101</v>
      </c>
      <c r="AA484" s="8">
        <f>RawSalesTable6[[#This Row],[Unit_Price]]*RawSalesTable6[[#This Row],[Quantity]]</f>
        <v>381.32</v>
      </c>
      <c r="AB484" s="8">
        <f>RawSalesTable6[[#This Row],[Gross_Sales]]*RawSalesTable6[[#This Row],[Discount_Pct]]</f>
        <v>0</v>
      </c>
      <c r="AC484" s="8">
        <f>RawSalesTable6[[#This Row],[Gross_Sales]]-RawSalesTable6[[#This Row],[Discount_Amount]]</f>
        <v>381.32</v>
      </c>
      <c r="AD484" s="8">
        <f>RawSalesTable6[[#This Row],[Unit_Cost]]*RawSalesTable6[[#This Row],[Quantity]]</f>
        <v>202</v>
      </c>
      <c r="AE484" s="8">
        <f>RawSalesTable6[[#This Row],[Net_Sales]]-RawSalesTable6[[#This Row],[Total_Cost]]</f>
        <v>179.32</v>
      </c>
      <c r="AF484" s="9">
        <f>RawSalesTable6[[#This Row],[Profit]]/RawSalesTable6[[#This Row],[Net_Sales]]</f>
        <v>0.47026119794398402</v>
      </c>
      <c r="AG484" s="8">
        <f>YEAR(RawSalesTable6[[#This Row],[Order_Date]])</f>
        <v>2025</v>
      </c>
      <c r="AH484" s="8">
        <f>MONTH(RawSalesTable6[[#This Row],[Order_Date]])</f>
        <v>7</v>
      </c>
      <c r="AI484" s="8" t="str">
        <f>TEXT(RawSalesTable6[[#This Row],[Order_Date]],"mmmm")</f>
        <v>juillet</v>
      </c>
      <c r="AJ484" s="8" t="str">
        <f>IF(RawSalesTable6[[#This Row],[Month_Number]]&lt;=3,"Q1",IF(RawSalesTable6[[#This Row],[Month_Number]]&lt;=6,"Q2",IF(RawSalesTable6[[#This Row],[Month_Number]]&lt;=9,"Q3","Q4")))</f>
        <v>Q3</v>
      </c>
      <c r="AK484" s="8" t="str">
        <f>VLOOKUP(RawSalesTable6[[#This Row],[Customer_ID_Clean]],CustomersTable[],4,FALSE)</f>
        <v>Quebec</v>
      </c>
      <c r="AL484" s="8">
        <f>IF(RawSalesTable6[[#This Row],[Return_Status]]="Yes",1,0)</f>
        <v>0</v>
      </c>
    </row>
    <row r="485" spans="1:38">
      <c r="A485" t="s">
        <v>916</v>
      </c>
      <c r="B485" s="3">
        <v>45785</v>
      </c>
      <c r="C485" t="s">
        <v>169</v>
      </c>
      <c r="D485" t="s">
        <v>255</v>
      </c>
      <c r="E485" t="s">
        <v>170</v>
      </c>
      <c r="F485" t="s">
        <v>145</v>
      </c>
      <c r="G485" t="s">
        <v>117</v>
      </c>
      <c r="H485" t="s">
        <v>167</v>
      </c>
      <c r="I485">
        <v>1</v>
      </c>
      <c r="J485" s="2">
        <v>229.48</v>
      </c>
      <c r="K485" s="4">
        <v>0.1</v>
      </c>
      <c r="L485" t="s">
        <v>154</v>
      </c>
      <c r="M485">
        <v>3</v>
      </c>
      <c r="N485" t="s">
        <v>91</v>
      </c>
      <c r="O485" t="str">
        <f>SUBSTITUTE(PROPER(TRIM(RawSalesTable6[[#This Row],[Channel_Raw]])),"Market Place","Marketplace")</f>
        <v>Marketplace</v>
      </c>
      <c r="P485" t="str">
        <f>TRIM(RawSalesTable6[[#This Row],[Product_ID]])</f>
        <v>P1014</v>
      </c>
      <c r="Q485" t="str">
        <f>TRIM(RawSalesTable6[[#This Row],[Customer_ID]])</f>
        <v>C0064</v>
      </c>
      <c r="R485" s="8" t="str">
        <f>PROPER(TRIM(RawSalesTable6[[#This Row],[Store_Raw]]))</f>
        <v>Calgary North</v>
      </c>
      <c r="S485" s="8" t="str">
        <f>IF(TRIM(RawSalesTable6[[#This Row],[Payment_Method_Raw]])="","Non renseigné",SUBSTITUTE(PROPER(TRIM(RawSalesTable6[[#This Row],[Payment_Method_Raw]])),"Cc","Credit Card"))</f>
        <v>Gift Card</v>
      </c>
      <c r="T485" s="8">
        <f>COUNTIF(A:A,RawSalesTable6[[#This Row],[Order_ID]])</f>
        <v>1</v>
      </c>
      <c r="U485" s="8" t="str">
        <f>TRIM(LEFT(RawSalesTable6[[#This Row],[Customer_Info]],FIND(",",RawSalesTable6[[#This Row],[Customer_Info]])-1))</f>
        <v>Amine Khan</v>
      </c>
      <c r="V485" s="8" t="str">
        <f>TRIM(MID(RawSalesTable6[[#This Row],[Customer_Info]],FIND(",",RawSalesTable6[[#This Row],[Customer_Info]])+1,FIND(",",RawSalesTable6[[#This Row],[Customer_Info]],FIND(",",RawSalesTable6[[#This Row],[Customer_Info]])+1)-FIND(",",RawSalesTable6[[#This Row],[Customer_Info]])-1))</f>
        <v>Edmonton</v>
      </c>
      <c r="W485" s="8" t="str">
        <f>TRIM(RIGHT(RawSalesTable6[[#This Row],[Customer_Info]],LEN(RawSalesTable6[[#This Row],[Customer_Info]])-FIND(",",RawSalesTable6[[#This Row],[Customer_Info]],FIND(",",RawSalesTable6[[#This Row],[Customer_Info]])+1)))</f>
        <v>Consumer</v>
      </c>
      <c r="X485" s="8" t="str">
        <f>VLOOKUP(RawSalesTable6[[#This Row],[Product_ID_Clean]],ProductsTable[],2,FALSE)</f>
        <v>Document Shredder</v>
      </c>
      <c r="Y485" s="8" t="str">
        <f>VLOOKUP(RawSalesTable6[[#This Row],[Product_ID_Clean]],ProductsTable[],3,FALSE)</f>
        <v>Office</v>
      </c>
      <c r="Z485" s="8">
        <f>VLOOKUP(RawSalesTable6[[#This Row],[Product_ID_Clean]],ProductsTable[],5,FALSE)</f>
        <v>117.65</v>
      </c>
      <c r="AA485" s="8">
        <f>RawSalesTable6[[#This Row],[Unit_Price]]*RawSalesTable6[[#This Row],[Quantity]]</f>
        <v>229.48</v>
      </c>
      <c r="AB485" s="8">
        <f>RawSalesTable6[[#This Row],[Gross_Sales]]*RawSalesTable6[[#This Row],[Discount_Pct]]</f>
        <v>22.948</v>
      </c>
      <c r="AC485" s="8">
        <f>RawSalesTable6[[#This Row],[Gross_Sales]]-RawSalesTable6[[#This Row],[Discount_Amount]]</f>
        <v>206.53199999999998</v>
      </c>
      <c r="AD485" s="8">
        <f>RawSalesTable6[[#This Row],[Unit_Cost]]*RawSalesTable6[[#This Row],[Quantity]]</f>
        <v>117.65</v>
      </c>
      <c r="AE485" s="8">
        <f>RawSalesTable6[[#This Row],[Net_Sales]]-RawSalesTable6[[#This Row],[Total_Cost]]</f>
        <v>88.881999999999977</v>
      </c>
      <c r="AF485" s="9">
        <f>RawSalesTable6[[#This Row],[Profit]]/RawSalesTable6[[#This Row],[Net_Sales]]</f>
        <v>0.43035461817054976</v>
      </c>
      <c r="AG485" s="8">
        <f>YEAR(RawSalesTable6[[#This Row],[Order_Date]])</f>
        <v>2025</v>
      </c>
      <c r="AH485" s="8">
        <f>MONTH(RawSalesTable6[[#This Row],[Order_Date]])</f>
        <v>5</v>
      </c>
      <c r="AI485" s="8" t="str">
        <f>TEXT(RawSalesTable6[[#This Row],[Order_Date]],"mmmm")</f>
        <v>mai</v>
      </c>
      <c r="AJ485" s="8" t="str">
        <f>IF(RawSalesTable6[[#This Row],[Month_Number]]&lt;=3,"Q1",IF(RawSalesTable6[[#This Row],[Month_Number]]&lt;=6,"Q2",IF(RawSalesTable6[[#This Row],[Month_Number]]&lt;=9,"Q3","Q4")))</f>
        <v>Q2</v>
      </c>
      <c r="AK485" s="8" t="str">
        <f>VLOOKUP(RawSalesTable6[[#This Row],[Customer_ID_Clean]],CustomersTable[],4,FALSE)</f>
        <v>Alberta</v>
      </c>
      <c r="AL485" s="8">
        <f>IF(RawSalesTable6[[#This Row],[Return_Status]]="Yes",1,0)</f>
        <v>0</v>
      </c>
    </row>
    <row r="486" spans="1:38">
      <c r="A486" t="s">
        <v>917</v>
      </c>
      <c r="B486" s="3">
        <v>45708</v>
      </c>
      <c r="C486" t="s">
        <v>349</v>
      </c>
      <c r="D486" t="s">
        <v>271</v>
      </c>
      <c r="E486" t="s">
        <v>350</v>
      </c>
      <c r="F486" t="s">
        <v>87</v>
      </c>
      <c r="G486" t="s">
        <v>183</v>
      </c>
      <c r="H486" t="s">
        <v>97</v>
      </c>
      <c r="I486">
        <v>1</v>
      </c>
      <c r="J486" s="2">
        <v>231.28</v>
      </c>
      <c r="K486" s="4">
        <v>0</v>
      </c>
      <c r="L486" t="s">
        <v>90</v>
      </c>
      <c r="M486">
        <v>2</v>
      </c>
      <c r="N486" t="s">
        <v>147</v>
      </c>
      <c r="O486" t="str">
        <f>SUBSTITUTE(PROPER(TRIM(RawSalesTable6[[#This Row],[Channel_Raw]])),"Market Place","Marketplace")</f>
        <v>Retail Store</v>
      </c>
      <c r="P486" t="str">
        <f>TRIM(RawSalesTable6[[#This Row],[Product_ID]])</f>
        <v>P1026</v>
      </c>
      <c r="Q486" t="str">
        <f>TRIM(RawSalesTable6[[#This Row],[Customer_ID]])</f>
        <v>C0088</v>
      </c>
      <c r="R486" s="8" t="str">
        <f>PROPER(TRIM(RawSalesTable6[[#This Row],[Store_Raw]]))</f>
        <v>Online Fulfillment</v>
      </c>
      <c r="S486" s="8" t="str">
        <f>IF(TRIM(RawSalesTable6[[#This Row],[Payment_Method_Raw]])="","Non renseigné",SUBSTITUTE(PROPER(TRIM(RawSalesTable6[[#This Row],[Payment_Method_Raw]])),"Cc","Credit Card"))</f>
        <v>Paypal</v>
      </c>
      <c r="T486" s="8">
        <f>COUNTIF(A:A,RawSalesTable6[[#This Row],[Order_ID]])</f>
        <v>1</v>
      </c>
      <c r="U486" s="8" t="str">
        <f>TRIM(LEFT(RawSalesTable6[[#This Row],[Customer_Info]],FIND(",",RawSalesTable6[[#This Row],[Customer_Info]])-1))</f>
        <v>Olivia Bennett</v>
      </c>
      <c r="V486" s="8" t="str">
        <f>TRIM(MID(RawSalesTable6[[#This Row],[Customer_Info]],FIND(",",RawSalesTable6[[#This Row],[Customer_Info]])+1,FIND(",",RawSalesTable6[[#This Row],[Customer_Info]],FIND(",",RawSalesTable6[[#This Row],[Customer_Info]])+1)-FIND(",",RawSalesTable6[[#This Row],[Customer_Info]])-1))</f>
        <v>Vancouver</v>
      </c>
      <c r="W486" s="8" t="str">
        <f>TRIM(RIGHT(RawSalesTable6[[#This Row],[Customer_Info]],LEN(RawSalesTable6[[#This Row],[Customer_Info]])-FIND(",",RawSalesTable6[[#This Row],[Customer_Info]],FIND(",",RawSalesTable6[[#This Row],[Customer_Info]])+1)))</f>
        <v>Small Business</v>
      </c>
      <c r="X486" s="8" t="str">
        <f>VLOOKUP(RawSalesTable6[[#This Row],[Product_ID_Clean]],ProductsTable[],2,FALSE)</f>
        <v>Resistance Bands</v>
      </c>
      <c r="Y486" s="8" t="str">
        <f>VLOOKUP(RawSalesTable6[[#This Row],[Product_ID_Clean]],ProductsTable[],3,FALSE)</f>
        <v>Fitness</v>
      </c>
      <c r="Z486" s="8">
        <f>VLOOKUP(RawSalesTable6[[#This Row],[Product_ID_Clean]],ProductsTable[],5,FALSE)</f>
        <v>139.19999999999999</v>
      </c>
      <c r="AA486" s="8">
        <f>RawSalesTable6[[#This Row],[Unit_Price]]*RawSalesTable6[[#This Row],[Quantity]]</f>
        <v>231.28</v>
      </c>
      <c r="AB486" s="8">
        <f>RawSalesTable6[[#This Row],[Gross_Sales]]*RawSalesTable6[[#This Row],[Discount_Pct]]</f>
        <v>0</v>
      </c>
      <c r="AC486" s="8">
        <f>RawSalesTable6[[#This Row],[Gross_Sales]]-RawSalesTable6[[#This Row],[Discount_Amount]]</f>
        <v>231.28</v>
      </c>
      <c r="AD486" s="8">
        <f>RawSalesTable6[[#This Row],[Unit_Cost]]*RawSalesTable6[[#This Row],[Quantity]]</f>
        <v>139.19999999999999</v>
      </c>
      <c r="AE486" s="8">
        <f>RawSalesTable6[[#This Row],[Net_Sales]]-RawSalesTable6[[#This Row],[Total_Cost]]</f>
        <v>92.080000000000013</v>
      </c>
      <c r="AF486" s="9">
        <f>RawSalesTable6[[#This Row],[Profit]]/RawSalesTable6[[#This Row],[Net_Sales]]</f>
        <v>0.39813213420961613</v>
      </c>
      <c r="AG486" s="8">
        <f>YEAR(RawSalesTable6[[#This Row],[Order_Date]])</f>
        <v>2025</v>
      </c>
      <c r="AH486" s="8">
        <f>MONTH(RawSalesTable6[[#This Row],[Order_Date]])</f>
        <v>2</v>
      </c>
      <c r="AI486" s="8" t="str">
        <f>TEXT(RawSalesTable6[[#This Row],[Order_Date]],"mmmm")</f>
        <v>février</v>
      </c>
      <c r="AJ486" s="8" t="str">
        <f>IF(RawSalesTable6[[#This Row],[Month_Number]]&lt;=3,"Q1",IF(RawSalesTable6[[#This Row],[Month_Number]]&lt;=6,"Q2",IF(RawSalesTable6[[#This Row],[Month_Number]]&lt;=9,"Q3","Q4")))</f>
        <v>Q1</v>
      </c>
      <c r="AK486" s="8" t="str">
        <f>VLOOKUP(RawSalesTable6[[#This Row],[Customer_ID_Clean]],CustomersTable[],4,FALSE)</f>
        <v>British Columbia</v>
      </c>
      <c r="AL486" s="8">
        <f>IF(RawSalesTable6[[#This Row],[Return_Status]]="Yes",1,0)</f>
        <v>1</v>
      </c>
    </row>
    <row r="487" spans="1:38">
      <c r="A487" t="s">
        <v>918</v>
      </c>
      <c r="B487" s="3">
        <v>45841</v>
      </c>
      <c r="C487" t="s">
        <v>500</v>
      </c>
      <c r="D487" t="s">
        <v>503</v>
      </c>
      <c r="E487" t="s">
        <v>501</v>
      </c>
      <c r="F487" t="s">
        <v>87</v>
      </c>
      <c r="G487" t="s">
        <v>96</v>
      </c>
      <c r="H487" t="s">
        <v>89</v>
      </c>
      <c r="I487">
        <v>2</v>
      </c>
      <c r="J487" s="2">
        <v>121.51</v>
      </c>
      <c r="K487" s="4">
        <v>0.1</v>
      </c>
      <c r="M487">
        <v>7</v>
      </c>
      <c r="N487" t="s">
        <v>91</v>
      </c>
      <c r="O487" t="str">
        <f>SUBSTITUTE(PROPER(TRIM(RawSalesTable6[[#This Row],[Channel_Raw]])),"Market Place","Marketplace")</f>
        <v>Online</v>
      </c>
      <c r="P487" t="str">
        <f>TRIM(RawSalesTable6[[#This Row],[Product_ID]])</f>
        <v>P1013</v>
      </c>
      <c r="Q487" t="str">
        <f>TRIM(RawSalesTable6[[#This Row],[Customer_ID]])</f>
        <v>C0059</v>
      </c>
      <c r="R487" s="8" t="str">
        <f>PROPER(TRIM(RawSalesTable6[[#This Row],[Store_Raw]]))</f>
        <v>Online Fulfillment</v>
      </c>
      <c r="S487" s="8" t="str">
        <f>IF(TRIM(RawSalesTable6[[#This Row],[Payment_Method_Raw]])="","Non renseigné",SUBSTITUTE(PROPER(TRIM(RawSalesTable6[[#This Row],[Payment_Method_Raw]])),"Cc","Credit Card"))</f>
        <v>Non renseigné</v>
      </c>
      <c r="T487" s="8">
        <f>COUNTIF(A:A,RawSalesTable6[[#This Row],[Order_ID]])</f>
        <v>1</v>
      </c>
      <c r="U487" s="8" t="str">
        <f>TRIM(LEFT(RawSalesTable6[[#This Row],[Customer_Info]],FIND(",",RawSalesTable6[[#This Row],[Customer_Info]])-1))</f>
        <v>Lucas Chen</v>
      </c>
      <c r="V487" s="8" t="str">
        <f>TRIM(MID(RawSalesTable6[[#This Row],[Customer_Info]],FIND(",",RawSalesTable6[[#This Row],[Customer_Info]])+1,FIND(",",RawSalesTable6[[#This Row],[Customer_Info]],FIND(",",RawSalesTable6[[#This Row],[Customer_Info]])+1)-FIND(",",RawSalesTable6[[#This Row],[Customer_Info]])-1))</f>
        <v>Vancouver</v>
      </c>
      <c r="W487" s="8" t="str">
        <f>TRIM(RIGHT(RawSalesTable6[[#This Row],[Customer_Info]],LEN(RawSalesTable6[[#This Row],[Customer_Info]])-FIND(",",RawSalesTable6[[#This Row],[Customer_Info]],FIND(",",RawSalesTable6[[#This Row],[Customer_Info]])+1)))</f>
        <v>Corporate</v>
      </c>
      <c r="X487" s="8" t="str">
        <f>VLOOKUP(RawSalesTable6[[#This Row],[Product_ID_Clean]],ProductsTable[],2,FALSE)</f>
        <v>Whiteboard</v>
      </c>
      <c r="Y487" s="8" t="str">
        <f>VLOOKUP(RawSalesTable6[[#This Row],[Product_ID_Clean]],ProductsTable[],3,FALSE)</f>
        <v>Office</v>
      </c>
      <c r="Z487" s="8">
        <f>VLOOKUP(RawSalesTable6[[#This Row],[Product_ID_Clean]],ProductsTable[],5,FALSE)</f>
        <v>85.73</v>
      </c>
      <c r="AA487" s="8">
        <f>RawSalesTable6[[#This Row],[Unit_Price]]*RawSalesTable6[[#This Row],[Quantity]]</f>
        <v>243.02</v>
      </c>
      <c r="AB487" s="8">
        <f>RawSalesTable6[[#This Row],[Gross_Sales]]*RawSalesTable6[[#This Row],[Discount_Pct]]</f>
        <v>24.302000000000003</v>
      </c>
      <c r="AC487" s="8">
        <f>RawSalesTable6[[#This Row],[Gross_Sales]]-RawSalesTable6[[#This Row],[Discount_Amount]]</f>
        <v>218.71800000000002</v>
      </c>
      <c r="AD487" s="8">
        <f>RawSalesTable6[[#This Row],[Unit_Cost]]*RawSalesTable6[[#This Row],[Quantity]]</f>
        <v>171.46</v>
      </c>
      <c r="AE487" s="8">
        <f>RawSalesTable6[[#This Row],[Net_Sales]]-RawSalesTable6[[#This Row],[Total_Cost]]</f>
        <v>47.25800000000001</v>
      </c>
      <c r="AF487" s="9">
        <f>RawSalesTable6[[#This Row],[Profit]]/RawSalesTable6[[#This Row],[Net_Sales]]</f>
        <v>0.21606817911648793</v>
      </c>
      <c r="AG487" s="8">
        <f>YEAR(RawSalesTable6[[#This Row],[Order_Date]])</f>
        <v>2025</v>
      </c>
      <c r="AH487" s="8">
        <f>MONTH(RawSalesTable6[[#This Row],[Order_Date]])</f>
        <v>7</v>
      </c>
      <c r="AI487" s="8" t="str">
        <f>TEXT(RawSalesTable6[[#This Row],[Order_Date]],"mmmm")</f>
        <v>juillet</v>
      </c>
      <c r="AJ487" s="8" t="str">
        <f>IF(RawSalesTable6[[#This Row],[Month_Number]]&lt;=3,"Q1",IF(RawSalesTable6[[#This Row],[Month_Number]]&lt;=6,"Q2",IF(RawSalesTable6[[#This Row],[Month_Number]]&lt;=9,"Q3","Q4")))</f>
        <v>Q3</v>
      </c>
      <c r="AK487" s="8" t="str">
        <f>VLOOKUP(RawSalesTable6[[#This Row],[Customer_ID_Clean]],CustomersTable[],4,FALSE)</f>
        <v>British Columbia</v>
      </c>
      <c r="AL487" s="8">
        <f>IF(RawSalesTable6[[#This Row],[Return_Status]]="Yes",1,0)</f>
        <v>0</v>
      </c>
    </row>
    <row r="488" spans="1:38">
      <c r="A488" t="s">
        <v>919</v>
      </c>
      <c r="B488" s="3">
        <v>45800</v>
      </c>
      <c r="C488" t="s">
        <v>661</v>
      </c>
      <c r="D488" t="s">
        <v>157</v>
      </c>
      <c r="E488" t="s">
        <v>662</v>
      </c>
      <c r="F488" t="s">
        <v>103</v>
      </c>
      <c r="G488" t="s">
        <v>171</v>
      </c>
      <c r="H488" t="s">
        <v>89</v>
      </c>
      <c r="I488">
        <v>1</v>
      </c>
      <c r="J488" s="2">
        <v>296.25</v>
      </c>
      <c r="K488" s="4">
        <v>0.2</v>
      </c>
      <c r="L488" t="s">
        <v>106</v>
      </c>
      <c r="M488">
        <v>3</v>
      </c>
      <c r="N488" t="s">
        <v>91</v>
      </c>
      <c r="O488" t="str">
        <f>SUBSTITUTE(PROPER(TRIM(RawSalesTable6[[#This Row],[Channel_Raw]])),"Market Place","Marketplace")</f>
        <v>Online</v>
      </c>
      <c r="P488" t="str">
        <f>TRIM(RawSalesTable6[[#This Row],[Product_ID]])</f>
        <v>P1009</v>
      </c>
      <c r="Q488" t="str">
        <f>TRIM(RawSalesTable6[[#This Row],[Customer_ID]])</f>
        <v>C0111</v>
      </c>
      <c r="R488" s="8" t="str">
        <f>PROPER(TRIM(RawSalesTable6[[#This Row],[Store_Raw]]))</f>
        <v>Vancouver West</v>
      </c>
      <c r="S488" s="8" t="str">
        <f>IF(TRIM(RawSalesTable6[[#This Row],[Payment_Method_Raw]])="","Non renseigné",SUBSTITUTE(PROPER(TRIM(RawSalesTable6[[#This Row],[Payment_Method_Raw]])),"Cc","Credit Card"))</f>
        <v>Credit Card</v>
      </c>
      <c r="T488" s="8">
        <f>COUNTIF(A:A,RawSalesTable6[[#This Row],[Order_ID]])</f>
        <v>1</v>
      </c>
      <c r="U488" s="8" t="str">
        <f>TRIM(LEFT(RawSalesTable6[[#This Row],[Customer_Info]],FIND(",",RawSalesTable6[[#This Row],[Customer_Info]])-1))</f>
        <v>Noah Khan</v>
      </c>
      <c r="V488" s="8" t="str">
        <f>TRIM(MID(RawSalesTable6[[#This Row],[Customer_Info]],FIND(",",RawSalesTable6[[#This Row],[Customer_Info]])+1,FIND(",",RawSalesTable6[[#This Row],[Customer_Info]],FIND(",",RawSalesTable6[[#This Row],[Customer_Info]])+1)-FIND(",",RawSalesTable6[[#This Row],[Customer_Info]])-1))</f>
        <v>Halifax</v>
      </c>
      <c r="W488" s="8" t="str">
        <f>TRIM(RIGHT(RawSalesTable6[[#This Row],[Customer_Info]],LEN(RawSalesTable6[[#This Row],[Customer_Info]])-FIND(",",RawSalesTable6[[#This Row],[Customer_Info]],FIND(",",RawSalesTable6[[#This Row],[Customer_Info]])+1)))</f>
        <v>Consumer</v>
      </c>
      <c r="X488" s="8" t="str">
        <f>VLOOKUP(RawSalesTable6[[#This Row],[Product_ID_Clean]],ProductsTable[],2,FALSE)</f>
        <v>Notebook</v>
      </c>
      <c r="Y488" s="8" t="str">
        <f>VLOOKUP(RawSalesTable6[[#This Row],[Product_ID_Clean]],ProductsTable[],3,FALSE)</f>
        <v>Office</v>
      </c>
      <c r="Z488" s="8">
        <f>VLOOKUP(RawSalesTable6[[#This Row],[Product_ID_Clean]],ProductsTable[],5,FALSE)</f>
        <v>176.13</v>
      </c>
      <c r="AA488" s="8">
        <f>RawSalesTable6[[#This Row],[Unit_Price]]*RawSalesTable6[[#This Row],[Quantity]]</f>
        <v>296.25</v>
      </c>
      <c r="AB488" s="8">
        <f>RawSalesTable6[[#This Row],[Gross_Sales]]*RawSalesTable6[[#This Row],[Discount_Pct]]</f>
        <v>59.25</v>
      </c>
      <c r="AC488" s="8">
        <f>RawSalesTable6[[#This Row],[Gross_Sales]]-RawSalesTable6[[#This Row],[Discount_Amount]]</f>
        <v>237</v>
      </c>
      <c r="AD488" s="8">
        <f>RawSalesTable6[[#This Row],[Unit_Cost]]*RawSalesTable6[[#This Row],[Quantity]]</f>
        <v>176.13</v>
      </c>
      <c r="AE488" s="8">
        <f>RawSalesTable6[[#This Row],[Net_Sales]]-RawSalesTable6[[#This Row],[Total_Cost]]</f>
        <v>60.870000000000005</v>
      </c>
      <c r="AF488" s="9">
        <f>RawSalesTable6[[#This Row],[Profit]]/RawSalesTable6[[#This Row],[Net_Sales]]</f>
        <v>0.25683544303797468</v>
      </c>
      <c r="AG488" s="8">
        <f>YEAR(RawSalesTable6[[#This Row],[Order_Date]])</f>
        <v>2025</v>
      </c>
      <c r="AH488" s="8">
        <f>MONTH(RawSalesTable6[[#This Row],[Order_Date]])</f>
        <v>5</v>
      </c>
      <c r="AI488" s="8" t="str">
        <f>TEXT(RawSalesTable6[[#This Row],[Order_Date]],"mmmm")</f>
        <v>mai</v>
      </c>
      <c r="AJ488" s="8" t="str">
        <f>IF(RawSalesTable6[[#This Row],[Month_Number]]&lt;=3,"Q1",IF(RawSalesTable6[[#This Row],[Month_Number]]&lt;=6,"Q2",IF(RawSalesTable6[[#This Row],[Month_Number]]&lt;=9,"Q3","Q4")))</f>
        <v>Q2</v>
      </c>
      <c r="AK488" s="8" t="str">
        <f>VLOOKUP(RawSalesTable6[[#This Row],[Customer_ID_Clean]],CustomersTable[],4,FALSE)</f>
        <v>Nova Scotia</v>
      </c>
      <c r="AL488" s="8">
        <f>IF(RawSalesTable6[[#This Row],[Return_Status]]="Yes",1,0)</f>
        <v>0</v>
      </c>
    </row>
    <row r="489" spans="1:38">
      <c r="A489" t="s">
        <v>920</v>
      </c>
      <c r="B489" s="3">
        <v>45872</v>
      </c>
      <c r="C489" t="s">
        <v>491</v>
      </c>
      <c r="D489" t="s">
        <v>346</v>
      </c>
      <c r="E489" t="s">
        <v>492</v>
      </c>
      <c r="F489" t="s">
        <v>145</v>
      </c>
      <c r="G489" t="s">
        <v>88</v>
      </c>
      <c r="H489" t="s">
        <v>89</v>
      </c>
      <c r="I489">
        <v>2</v>
      </c>
      <c r="J489" s="2">
        <v>238.38</v>
      </c>
      <c r="K489" s="4">
        <v>0.15</v>
      </c>
      <c r="L489" t="s">
        <v>90</v>
      </c>
      <c r="M489">
        <v>6</v>
      </c>
      <c r="N489" t="s">
        <v>91</v>
      </c>
      <c r="O489" t="str">
        <f>SUBSTITUTE(PROPER(TRIM(RawSalesTable6[[#This Row],[Channel_Raw]])),"Market Place","Marketplace")</f>
        <v>Online</v>
      </c>
      <c r="P489" t="str">
        <f>TRIM(RawSalesTable6[[#This Row],[Product_ID]])</f>
        <v>P1030</v>
      </c>
      <c r="Q489" t="str">
        <f>TRIM(RawSalesTable6[[#This Row],[Customer_ID]])</f>
        <v>C0045</v>
      </c>
      <c r="R489" s="8" t="str">
        <f>PROPER(TRIM(RawSalesTable6[[#This Row],[Store_Raw]]))</f>
        <v>Calgary North</v>
      </c>
      <c r="S489" s="8" t="str">
        <f>IF(TRIM(RawSalesTable6[[#This Row],[Payment_Method_Raw]])="","Non renseigné",SUBSTITUTE(PROPER(TRIM(RawSalesTable6[[#This Row],[Payment_Method_Raw]])),"Cc","Credit Card"))</f>
        <v>Paypal</v>
      </c>
      <c r="T489" s="8">
        <f>COUNTIF(A:A,RawSalesTable6[[#This Row],[Order_ID]])</f>
        <v>1</v>
      </c>
      <c r="U489" s="8" t="str">
        <f>TRIM(LEFT(RawSalesTable6[[#This Row],[Customer_Info]],FIND(",",RawSalesTable6[[#This Row],[Customer_Info]])-1))</f>
        <v>Lucas Chen</v>
      </c>
      <c r="V489" s="8" t="str">
        <f>TRIM(MID(RawSalesTable6[[#This Row],[Customer_Info]],FIND(",",RawSalesTable6[[#This Row],[Customer_Info]])+1,FIND(",",RawSalesTable6[[#This Row],[Customer_Info]],FIND(",",RawSalesTable6[[#This Row],[Customer_Info]])+1)-FIND(",",RawSalesTable6[[#This Row],[Customer_Info]])-1))</f>
        <v>Ottawa</v>
      </c>
      <c r="W489" s="8" t="str">
        <f>TRIM(RIGHT(RawSalesTable6[[#This Row],[Customer_Info]],LEN(RawSalesTable6[[#This Row],[Customer_Info]])-FIND(",",RawSalesTable6[[#This Row],[Customer_Info]],FIND(",",RawSalesTable6[[#This Row],[Customer_Info]])+1)))</f>
        <v>Corporate</v>
      </c>
      <c r="X489" s="8" t="str">
        <f>VLOOKUP(RawSalesTable6[[#This Row],[Product_ID_Clean]],ProductsTable[],2,FALSE)</f>
        <v>Pull-up Bar</v>
      </c>
      <c r="Y489" s="8" t="str">
        <f>VLOOKUP(RawSalesTable6[[#This Row],[Product_ID_Clean]],ProductsTable[],3,FALSE)</f>
        <v>Fitness</v>
      </c>
      <c r="Z489" s="8">
        <f>VLOOKUP(RawSalesTable6[[#This Row],[Product_ID_Clean]],ProductsTable[],5,FALSE)</f>
        <v>125.4</v>
      </c>
      <c r="AA489" s="8">
        <f>RawSalesTable6[[#This Row],[Unit_Price]]*RawSalesTable6[[#This Row],[Quantity]]</f>
        <v>476.76</v>
      </c>
      <c r="AB489" s="8">
        <f>RawSalesTable6[[#This Row],[Gross_Sales]]*RawSalesTable6[[#This Row],[Discount_Pct]]</f>
        <v>71.513999999999996</v>
      </c>
      <c r="AC489" s="8">
        <f>RawSalesTable6[[#This Row],[Gross_Sales]]-RawSalesTable6[[#This Row],[Discount_Amount]]</f>
        <v>405.24599999999998</v>
      </c>
      <c r="AD489" s="8">
        <f>RawSalesTable6[[#This Row],[Unit_Cost]]*RawSalesTable6[[#This Row],[Quantity]]</f>
        <v>250.8</v>
      </c>
      <c r="AE489" s="8">
        <f>RawSalesTable6[[#This Row],[Net_Sales]]-RawSalesTable6[[#This Row],[Total_Cost]]</f>
        <v>154.44599999999997</v>
      </c>
      <c r="AF489" s="9">
        <f>RawSalesTable6[[#This Row],[Profit]]/RawSalesTable6[[#This Row],[Net_Sales]]</f>
        <v>0.38111665506877296</v>
      </c>
      <c r="AG489" s="8">
        <f>YEAR(RawSalesTable6[[#This Row],[Order_Date]])</f>
        <v>2025</v>
      </c>
      <c r="AH489" s="8">
        <f>MONTH(RawSalesTable6[[#This Row],[Order_Date]])</f>
        <v>8</v>
      </c>
      <c r="AI489" s="8" t="str">
        <f>TEXT(RawSalesTable6[[#This Row],[Order_Date]],"mmmm")</f>
        <v>août</v>
      </c>
      <c r="AJ489" s="8" t="str">
        <f>IF(RawSalesTable6[[#This Row],[Month_Number]]&lt;=3,"Q1",IF(RawSalesTable6[[#This Row],[Month_Number]]&lt;=6,"Q2",IF(RawSalesTable6[[#This Row],[Month_Number]]&lt;=9,"Q3","Q4")))</f>
        <v>Q3</v>
      </c>
      <c r="AK489" s="8" t="str">
        <f>VLOOKUP(RawSalesTable6[[#This Row],[Customer_ID_Clean]],CustomersTable[],4,FALSE)</f>
        <v>Ontario</v>
      </c>
      <c r="AL489" s="8">
        <f>IF(RawSalesTable6[[#This Row],[Return_Status]]="Yes",1,0)</f>
        <v>0</v>
      </c>
    </row>
    <row r="490" spans="1:38">
      <c r="A490" t="s">
        <v>921</v>
      </c>
      <c r="B490" s="3">
        <v>45849</v>
      </c>
      <c r="C490" t="s">
        <v>389</v>
      </c>
      <c r="D490" t="s">
        <v>85</v>
      </c>
      <c r="E490" t="s">
        <v>390</v>
      </c>
      <c r="F490" t="s">
        <v>145</v>
      </c>
      <c r="G490" t="s">
        <v>117</v>
      </c>
      <c r="H490" t="s">
        <v>105</v>
      </c>
      <c r="I490">
        <v>1</v>
      </c>
      <c r="J490" s="2">
        <v>295.45</v>
      </c>
      <c r="K490" s="4">
        <v>0.2</v>
      </c>
      <c r="L490" t="s">
        <v>98</v>
      </c>
      <c r="M490">
        <v>6</v>
      </c>
      <c r="N490" t="s">
        <v>91</v>
      </c>
      <c r="O490" t="str">
        <f>SUBSTITUTE(PROPER(TRIM(RawSalesTable6[[#This Row],[Channel_Raw]])),"Market Place","Marketplace")</f>
        <v>Marketplace</v>
      </c>
      <c r="P490" t="str">
        <f>TRIM(RawSalesTable6[[#This Row],[Product_ID]])</f>
        <v>P1025</v>
      </c>
      <c r="Q490" t="str">
        <f>TRIM(RawSalesTable6[[#This Row],[Customer_ID]])</f>
        <v>C0103</v>
      </c>
      <c r="R490" s="8" t="str">
        <f>PROPER(TRIM(RawSalesTable6[[#This Row],[Store_Raw]]))</f>
        <v>Calgary North</v>
      </c>
      <c r="S490" s="8" t="str">
        <f>IF(TRIM(RawSalesTable6[[#This Row],[Payment_Method_Raw]])="","Non renseigné",SUBSTITUTE(PROPER(TRIM(RawSalesTable6[[#This Row],[Payment_Method_Raw]])),"Cc","Credit Card"))</f>
        <v>Debit Card</v>
      </c>
      <c r="T490" s="8">
        <f>COUNTIF(A:A,RawSalesTable6[[#This Row],[Order_ID]])</f>
        <v>1</v>
      </c>
      <c r="U490" s="8" t="str">
        <f>TRIM(LEFT(RawSalesTable6[[#This Row],[Customer_Info]],FIND(",",RawSalesTable6[[#This Row],[Customer_Info]])-1))</f>
        <v>Zoe Singh</v>
      </c>
      <c r="V490" s="8" t="str">
        <f>TRIM(MID(RawSalesTable6[[#This Row],[Customer_Info]],FIND(",",RawSalesTable6[[#This Row],[Customer_Info]])+1,FIND(",",RawSalesTable6[[#This Row],[Customer_Info]],FIND(",",RawSalesTable6[[#This Row],[Customer_Info]])+1)-FIND(",",RawSalesTable6[[#This Row],[Customer_Info]])-1))</f>
        <v>Saskatoon</v>
      </c>
      <c r="W490" s="8" t="str">
        <f>TRIM(RIGHT(RawSalesTable6[[#This Row],[Customer_Info]],LEN(RawSalesTable6[[#This Row],[Customer_Info]])-FIND(",",RawSalesTable6[[#This Row],[Customer_Info]],FIND(",",RawSalesTable6[[#This Row],[Customer_Info]])+1)))</f>
        <v>Corporate</v>
      </c>
      <c r="X490" s="8" t="str">
        <f>VLOOKUP(RawSalesTable6[[#This Row],[Product_ID_Clean]],ProductsTable[],2,FALSE)</f>
        <v>Yoga Mat</v>
      </c>
      <c r="Y490" s="8" t="str">
        <f>VLOOKUP(RawSalesTable6[[#This Row],[Product_ID_Clean]],ProductsTable[],3,FALSE)</f>
        <v>Fitness</v>
      </c>
      <c r="Z490" s="8">
        <f>VLOOKUP(RawSalesTable6[[#This Row],[Product_ID_Clean]],ProductsTable[],5,FALSE)</f>
        <v>197.33</v>
      </c>
      <c r="AA490" s="8">
        <f>RawSalesTable6[[#This Row],[Unit_Price]]*RawSalesTable6[[#This Row],[Quantity]]</f>
        <v>295.45</v>
      </c>
      <c r="AB490" s="8">
        <f>RawSalesTable6[[#This Row],[Gross_Sales]]*RawSalesTable6[[#This Row],[Discount_Pct]]</f>
        <v>59.09</v>
      </c>
      <c r="AC490" s="8">
        <f>RawSalesTable6[[#This Row],[Gross_Sales]]-RawSalesTable6[[#This Row],[Discount_Amount]]</f>
        <v>236.35999999999999</v>
      </c>
      <c r="AD490" s="8">
        <f>RawSalesTable6[[#This Row],[Unit_Cost]]*RawSalesTable6[[#This Row],[Quantity]]</f>
        <v>197.33</v>
      </c>
      <c r="AE490" s="8">
        <f>RawSalesTable6[[#This Row],[Net_Sales]]-RawSalesTable6[[#This Row],[Total_Cost]]</f>
        <v>39.029999999999973</v>
      </c>
      <c r="AF490" s="9">
        <f>RawSalesTable6[[#This Row],[Profit]]/RawSalesTable6[[#This Row],[Net_Sales]]</f>
        <v>0.16512946353020805</v>
      </c>
      <c r="AG490" s="8">
        <f>YEAR(RawSalesTable6[[#This Row],[Order_Date]])</f>
        <v>2025</v>
      </c>
      <c r="AH490" s="8">
        <f>MONTH(RawSalesTable6[[#This Row],[Order_Date]])</f>
        <v>7</v>
      </c>
      <c r="AI490" s="8" t="str">
        <f>TEXT(RawSalesTable6[[#This Row],[Order_Date]],"mmmm")</f>
        <v>juillet</v>
      </c>
      <c r="AJ490" s="8" t="str">
        <f>IF(RawSalesTable6[[#This Row],[Month_Number]]&lt;=3,"Q1",IF(RawSalesTable6[[#This Row],[Month_Number]]&lt;=6,"Q2",IF(RawSalesTable6[[#This Row],[Month_Number]]&lt;=9,"Q3","Q4")))</f>
        <v>Q3</v>
      </c>
      <c r="AK490" s="8" t="str">
        <f>VLOOKUP(RawSalesTable6[[#This Row],[Customer_ID_Clean]],CustomersTable[],4,FALSE)</f>
        <v>Saskatchewan</v>
      </c>
      <c r="AL490" s="8">
        <f>IF(RawSalesTable6[[#This Row],[Return_Status]]="Yes",1,0)</f>
        <v>0</v>
      </c>
    </row>
    <row r="491" spans="1:38">
      <c r="A491" t="s">
        <v>922</v>
      </c>
      <c r="B491" s="3">
        <v>45849</v>
      </c>
      <c r="C491" t="s">
        <v>809</v>
      </c>
      <c r="D491" t="s">
        <v>249</v>
      </c>
      <c r="E491" t="s">
        <v>810</v>
      </c>
      <c r="F491" t="s">
        <v>111</v>
      </c>
      <c r="G491" t="s">
        <v>130</v>
      </c>
      <c r="H491" t="s">
        <v>97</v>
      </c>
      <c r="I491">
        <v>1</v>
      </c>
      <c r="J491" s="2">
        <v>420.77</v>
      </c>
      <c r="K491" s="4">
        <v>0.05</v>
      </c>
      <c r="M491">
        <v>1</v>
      </c>
      <c r="N491" t="s">
        <v>91</v>
      </c>
      <c r="O491" t="str">
        <f>SUBSTITUTE(PROPER(TRIM(RawSalesTable6[[#This Row],[Channel_Raw]])),"Market Place","Marketplace")</f>
        <v>Retail Store</v>
      </c>
      <c r="P491" t="str">
        <f>TRIM(RawSalesTable6[[#This Row],[Product_ID]])</f>
        <v>P1022</v>
      </c>
      <c r="Q491" t="str">
        <f>TRIM(RawSalesTable6[[#This Row],[Customer_ID]])</f>
        <v>C0046</v>
      </c>
      <c r="R491" s="8" t="str">
        <f>PROPER(TRIM(RawSalesTable6[[#This Row],[Store_Raw]]))</f>
        <v>Montreal Central</v>
      </c>
      <c r="S491" s="8" t="str">
        <f>IF(TRIM(RawSalesTable6[[#This Row],[Payment_Method_Raw]])="","Non renseigné",SUBSTITUTE(PROPER(TRIM(RawSalesTable6[[#This Row],[Payment_Method_Raw]])),"Cc","Credit Card"))</f>
        <v>Non renseigné</v>
      </c>
      <c r="T491" s="8">
        <f>COUNTIF(A:A,RawSalesTable6[[#This Row],[Order_ID]])</f>
        <v>1</v>
      </c>
      <c r="U491" s="8" t="str">
        <f>TRIM(LEFT(RawSalesTable6[[#This Row],[Customer_Info]],FIND(",",RawSalesTable6[[#This Row],[Customer_Info]])-1))</f>
        <v>Amelia Bennett</v>
      </c>
      <c r="V491" s="8" t="str">
        <f>TRIM(MID(RawSalesTable6[[#This Row],[Customer_Info]],FIND(",",RawSalesTable6[[#This Row],[Customer_Info]])+1,FIND(",",RawSalesTable6[[#This Row],[Customer_Info]],FIND(",",RawSalesTable6[[#This Row],[Customer_Info]])+1)-FIND(",",RawSalesTable6[[#This Row],[Customer_Info]])-1))</f>
        <v>Laval</v>
      </c>
      <c r="W491" s="8" t="str">
        <f>TRIM(RIGHT(RawSalesTable6[[#This Row],[Customer_Info]],LEN(RawSalesTable6[[#This Row],[Customer_Info]])-FIND(",",RawSalesTable6[[#This Row],[Customer_Info]],FIND(",",RawSalesTable6[[#This Row],[Customer_Info]])+1)))</f>
        <v>Consumer</v>
      </c>
      <c r="X491" s="8" t="str">
        <f>VLOOKUP(RawSalesTable6[[#This Row],[Product_ID_Clean]],ProductsTable[],2,FALSE)</f>
        <v>Humidifier</v>
      </c>
      <c r="Y491" s="8" t="str">
        <f>VLOOKUP(RawSalesTable6[[#This Row],[Product_ID_Clean]],ProductsTable[],3,FALSE)</f>
        <v>Home</v>
      </c>
      <c r="Z491" s="8">
        <f>VLOOKUP(RawSalesTable6[[#This Row],[Product_ID_Clean]],ProductsTable[],5,FALSE)</f>
        <v>239.67</v>
      </c>
      <c r="AA491" s="8">
        <f>RawSalesTable6[[#This Row],[Unit_Price]]*RawSalesTable6[[#This Row],[Quantity]]</f>
        <v>420.77</v>
      </c>
      <c r="AB491" s="8">
        <f>RawSalesTable6[[#This Row],[Gross_Sales]]*RawSalesTable6[[#This Row],[Discount_Pct]]</f>
        <v>21.038499999999999</v>
      </c>
      <c r="AC491" s="8">
        <f>RawSalesTable6[[#This Row],[Gross_Sales]]-RawSalesTable6[[#This Row],[Discount_Amount]]</f>
        <v>399.73149999999998</v>
      </c>
      <c r="AD491" s="8">
        <f>RawSalesTable6[[#This Row],[Unit_Cost]]*RawSalesTable6[[#This Row],[Quantity]]</f>
        <v>239.67</v>
      </c>
      <c r="AE491" s="8">
        <f>RawSalesTable6[[#This Row],[Net_Sales]]-RawSalesTable6[[#This Row],[Total_Cost]]</f>
        <v>160.0615</v>
      </c>
      <c r="AF491" s="9">
        <f>RawSalesTable6[[#This Row],[Profit]]/RawSalesTable6[[#This Row],[Net_Sales]]</f>
        <v>0.40042253362569624</v>
      </c>
      <c r="AG491" s="8">
        <f>YEAR(RawSalesTable6[[#This Row],[Order_Date]])</f>
        <v>2025</v>
      </c>
      <c r="AH491" s="8">
        <f>MONTH(RawSalesTable6[[#This Row],[Order_Date]])</f>
        <v>7</v>
      </c>
      <c r="AI491" s="8" t="str">
        <f>TEXT(RawSalesTable6[[#This Row],[Order_Date]],"mmmm")</f>
        <v>juillet</v>
      </c>
      <c r="AJ491" s="8" t="str">
        <f>IF(RawSalesTable6[[#This Row],[Month_Number]]&lt;=3,"Q1",IF(RawSalesTable6[[#This Row],[Month_Number]]&lt;=6,"Q2",IF(RawSalesTable6[[#This Row],[Month_Number]]&lt;=9,"Q3","Q4")))</f>
        <v>Q3</v>
      </c>
      <c r="AK491" s="8" t="str">
        <f>VLOOKUP(RawSalesTable6[[#This Row],[Customer_ID_Clean]],CustomersTable[],4,FALSE)</f>
        <v>Quebec</v>
      </c>
      <c r="AL491" s="8">
        <f>IF(RawSalesTable6[[#This Row],[Return_Status]]="Yes",1,0)</f>
        <v>0</v>
      </c>
    </row>
    <row r="492" spans="1:38">
      <c r="A492" t="s">
        <v>923</v>
      </c>
      <c r="B492" s="3">
        <v>45691</v>
      </c>
      <c r="C492" t="s">
        <v>531</v>
      </c>
      <c r="D492" t="s">
        <v>469</v>
      </c>
      <c r="E492" t="s">
        <v>532</v>
      </c>
      <c r="F492" t="s">
        <v>116</v>
      </c>
      <c r="G492" t="s">
        <v>117</v>
      </c>
      <c r="H492" t="s">
        <v>97</v>
      </c>
      <c r="I492">
        <v>2</v>
      </c>
      <c r="J492" s="2">
        <v>88.09</v>
      </c>
      <c r="K492" s="4">
        <v>0</v>
      </c>
      <c r="L492" t="s">
        <v>106</v>
      </c>
      <c r="M492">
        <v>1</v>
      </c>
      <c r="N492" t="s">
        <v>91</v>
      </c>
      <c r="O492" t="str">
        <f>SUBSTITUTE(PROPER(TRIM(RawSalesTable6[[#This Row],[Channel_Raw]])),"Market Place","Marketplace")</f>
        <v>Retail Store</v>
      </c>
      <c r="P492" t="str">
        <f>TRIM(RawSalesTable6[[#This Row],[Product_ID]])</f>
        <v>P1035</v>
      </c>
      <c r="Q492" t="str">
        <f>TRIM(RawSalesTable6[[#This Row],[Customer_ID]])</f>
        <v>C0042</v>
      </c>
      <c r="R492" s="8" t="str">
        <f>PROPER(TRIM(RawSalesTable6[[#This Row],[Store_Raw]]))</f>
        <v>Toronto Downtown</v>
      </c>
      <c r="S492" s="8" t="str">
        <f>IF(TRIM(RawSalesTable6[[#This Row],[Payment_Method_Raw]])="","Non renseigné",SUBSTITUTE(PROPER(TRIM(RawSalesTable6[[#This Row],[Payment_Method_Raw]])),"Cc","Credit Card"))</f>
        <v>Credit Card</v>
      </c>
      <c r="T492" s="8">
        <f>COUNTIF(A:A,RawSalesTable6[[#This Row],[Order_ID]])</f>
        <v>1</v>
      </c>
      <c r="U492" s="8" t="str">
        <f>TRIM(LEFT(RawSalesTable6[[#This Row],[Customer_Info]],FIND(",",RawSalesTable6[[#This Row],[Customer_Info]])-1))</f>
        <v>Emma King</v>
      </c>
      <c r="V492" s="8" t="str">
        <f>TRIM(MID(RawSalesTable6[[#This Row],[Customer_Info]],FIND(",",RawSalesTable6[[#This Row],[Customer_Info]])+1,FIND(",",RawSalesTable6[[#This Row],[Customer_Info]],FIND(",",RawSalesTable6[[#This Row],[Customer_Info]])+1)-FIND(",",RawSalesTable6[[#This Row],[Customer_Info]])-1))</f>
        <v>Quebec City</v>
      </c>
      <c r="W492" s="8" t="str">
        <f>TRIM(RIGHT(RawSalesTable6[[#This Row],[Customer_Info]],LEN(RawSalesTable6[[#This Row],[Customer_Info]])-FIND(",",RawSalesTable6[[#This Row],[Customer_Info]],FIND(",",RawSalesTable6[[#This Row],[Customer_Info]])+1)))</f>
        <v>Consumer</v>
      </c>
      <c r="X492" s="8" t="str">
        <f>VLOOKUP(RawSalesTable6[[#This Row],[Product_ID_Clean]],ProductsTable[],2,FALSE)</f>
        <v>Phone Stand</v>
      </c>
      <c r="Y492" s="8" t="str">
        <f>VLOOKUP(RawSalesTable6[[#This Row],[Product_ID_Clean]],ProductsTable[],3,FALSE)</f>
        <v>Accessories</v>
      </c>
      <c r="Z492" s="8">
        <f>VLOOKUP(RawSalesTable6[[#This Row],[Product_ID_Clean]],ProductsTable[],5,FALSE)</f>
        <v>59.85</v>
      </c>
      <c r="AA492" s="8">
        <f>RawSalesTable6[[#This Row],[Unit_Price]]*RawSalesTable6[[#This Row],[Quantity]]</f>
        <v>176.18</v>
      </c>
      <c r="AB492" s="8">
        <f>RawSalesTable6[[#This Row],[Gross_Sales]]*RawSalesTable6[[#This Row],[Discount_Pct]]</f>
        <v>0</v>
      </c>
      <c r="AC492" s="8">
        <f>RawSalesTable6[[#This Row],[Gross_Sales]]-RawSalesTable6[[#This Row],[Discount_Amount]]</f>
        <v>176.18</v>
      </c>
      <c r="AD492" s="8">
        <f>RawSalesTable6[[#This Row],[Unit_Cost]]*RawSalesTable6[[#This Row],[Quantity]]</f>
        <v>119.7</v>
      </c>
      <c r="AE492" s="8">
        <f>RawSalesTable6[[#This Row],[Net_Sales]]-RawSalesTable6[[#This Row],[Total_Cost]]</f>
        <v>56.480000000000004</v>
      </c>
      <c r="AF492" s="9">
        <f>RawSalesTable6[[#This Row],[Profit]]/RawSalesTable6[[#This Row],[Net_Sales]]</f>
        <v>0.32058122374843911</v>
      </c>
      <c r="AG492" s="8">
        <f>YEAR(RawSalesTable6[[#This Row],[Order_Date]])</f>
        <v>2025</v>
      </c>
      <c r="AH492" s="8">
        <f>MONTH(RawSalesTable6[[#This Row],[Order_Date]])</f>
        <v>2</v>
      </c>
      <c r="AI492" s="8" t="str">
        <f>TEXT(RawSalesTable6[[#This Row],[Order_Date]],"mmmm")</f>
        <v>février</v>
      </c>
      <c r="AJ492" s="8" t="str">
        <f>IF(RawSalesTable6[[#This Row],[Month_Number]]&lt;=3,"Q1",IF(RawSalesTable6[[#This Row],[Month_Number]]&lt;=6,"Q2",IF(RawSalesTable6[[#This Row],[Month_Number]]&lt;=9,"Q3","Q4")))</f>
        <v>Q1</v>
      </c>
      <c r="AK492" s="8" t="str">
        <f>VLOOKUP(RawSalesTable6[[#This Row],[Customer_ID_Clean]],CustomersTable[],4,FALSE)</f>
        <v>Quebec</v>
      </c>
      <c r="AL492" s="8">
        <f>IF(RawSalesTable6[[#This Row],[Return_Status]]="Yes",1,0)</f>
        <v>0</v>
      </c>
    </row>
    <row r="493" spans="1:38">
      <c r="A493" t="s">
        <v>924</v>
      </c>
      <c r="B493" s="3">
        <v>45896</v>
      </c>
      <c r="C493" t="s">
        <v>248</v>
      </c>
      <c r="D493" t="s">
        <v>190</v>
      </c>
      <c r="E493" t="s">
        <v>250</v>
      </c>
      <c r="F493" t="s">
        <v>145</v>
      </c>
      <c r="G493" t="s">
        <v>117</v>
      </c>
      <c r="H493" t="s">
        <v>89</v>
      </c>
      <c r="I493">
        <v>3</v>
      </c>
      <c r="J493" s="2">
        <v>274.23</v>
      </c>
      <c r="K493" s="4">
        <v>0</v>
      </c>
      <c r="L493" t="s">
        <v>90</v>
      </c>
      <c r="M493">
        <v>6</v>
      </c>
      <c r="N493" t="s">
        <v>147</v>
      </c>
      <c r="O493" t="str">
        <f>SUBSTITUTE(PROPER(TRIM(RawSalesTable6[[#This Row],[Channel_Raw]])),"Market Place","Marketplace")</f>
        <v>Online</v>
      </c>
      <c r="P493" t="str">
        <f>TRIM(RawSalesTable6[[#This Row],[Product_ID]])</f>
        <v>P1004</v>
      </c>
      <c r="Q493" t="str">
        <f>TRIM(RawSalesTable6[[#This Row],[Customer_ID]])</f>
        <v>C0012</v>
      </c>
      <c r="R493" s="8" t="str">
        <f>PROPER(TRIM(RawSalesTable6[[#This Row],[Store_Raw]]))</f>
        <v>Calgary North</v>
      </c>
      <c r="S493" s="8" t="str">
        <f>IF(TRIM(RawSalesTable6[[#This Row],[Payment_Method_Raw]])="","Non renseigné",SUBSTITUTE(PROPER(TRIM(RawSalesTable6[[#This Row],[Payment_Method_Raw]])),"Cc","Credit Card"))</f>
        <v>Paypal</v>
      </c>
      <c r="T493" s="8">
        <f>COUNTIF(A:A,RawSalesTable6[[#This Row],[Order_ID]])</f>
        <v>1</v>
      </c>
      <c r="U493" s="8" t="str">
        <f>TRIM(LEFT(RawSalesTable6[[#This Row],[Customer_Info]],FIND(",",RawSalesTable6[[#This Row],[Customer_Info]])-1))</f>
        <v>Daniel Taylor</v>
      </c>
      <c r="V493" s="8" t="str">
        <f>TRIM(MID(RawSalesTable6[[#This Row],[Customer_Info]],FIND(",",RawSalesTable6[[#This Row],[Customer_Info]])+1,FIND(",",RawSalesTable6[[#This Row],[Customer_Info]],FIND(",",RawSalesTable6[[#This Row],[Customer_Info]])+1)-FIND(",",RawSalesTable6[[#This Row],[Customer_Info]])-1))</f>
        <v>Victoria</v>
      </c>
      <c r="W493" s="8" t="str">
        <f>TRIM(RIGHT(RawSalesTable6[[#This Row],[Customer_Info]],LEN(RawSalesTable6[[#This Row],[Customer_Info]])-FIND(",",RawSalesTable6[[#This Row],[Customer_Info]],FIND(",",RawSalesTable6[[#This Row],[Customer_Info]])+1)))</f>
        <v>Corporate</v>
      </c>
      <c r="X493" s="8" t="str">
        <f>VLOOKUP(RawSalesTable6[[#This Row],[Product_ID_Clean]],ProductsTable[],2,FALSE)</f>
        <v>Webcam</v>
      </c>
      <c r="Y493" s="8" t="str">
        <f>VLOOKUP(RawSalesTable6[[#This Row],[Product_ID_Clean]],ProductsTable[],3,FALSE)</f>
        <v>Electronics</v>
      </c>
      <c r="Z493" s="8">
        <f>VLOOKUP(RawSalesTable6[[#This Row],[Product_ID_Clean]],ProductsTable[],5,FALSE)</f>
        <v>154.72999999999999</v>
      </c>
      <c r="AA493" s="8">
        <f>RawSalesTable6[[#This Row],[Unit_Price]]*RawSalesTable6[[#This Row],[Quantity]]</f>
        <v>822.69</v>
      </c>
      <c r="AB493" s="8">
        <f>RawSalesTable6[[#This Row],[Gross_Sales]]*RawSalesTable6[[#This Row],[Discount_Pct]]</f>
        <v>0</v>
      </c>
      <c r="AC493" s="8">
        <f>RawSalesTable6[[#This Row],[Gross_Sales]]-RawSalesTable6[[#This Row],[Discount_Amount]]</f>
        <v>822.69</v>
      </c>
      <c r="AD493" s="8">
        <f>RawSalesTable6[[#This Row],[Unit_Cost]]*RawSalesTable6[[#This Row],[Quantity]]</f>
        <v>464.18999999999994</v>
      </c>
      <c r="AE493" s="8">
        <f>RawSalesTable6[[#This Row],[Net_Sales]]-RawSalesTable6[[#This Row],[Total_Cost]]</f>
        <v>358.50000000000011</v>
      </c>
      <c r="AF493" s="9">
        <f>RawSalesTable6[[#This Row],[Profit]]/RawSalesTable6[[#This Row],[Net_Sales]]</f>
        <v>0.43576559822047195</v>
      </c>
      <c r="AG493" s="8">
        <f>YEAR(RawSalesTable6[[#This Row],[Order_Date]])</f>
        <v>2025</v>
      </c>
      <c r="AH493" s="8">
        <f>MONTH(RawSalesTable6[[#This Row],[Order_Date]])</f>
        <v>8</v>
      </c>
      <c r="AI493" s="8" t="str">
        <f>TEXT(RawSalesTable6[[#This Row],[Order_Date]],"mmmm")</f>
        <v>août</v>
      </c>
      <c r="AJ493" s="8" t="str">
        <f>IF(RawSalesTable6[[#This Row],[Month_Number]]&lt;=3,"Q1",IF(RawSalesTable6[[#This Row],[Month_Number]]&lt;=6,"Q2",IF(RawSalesTable6[[#This Row],[Month_Number]]&lt;=9,"Q3","Q4")))</f>
        <v>Q3</v>
      </c>
      <c r="AK493" s="8" t="str">
        <f>VLOOKUP(RawSalesTable6[[#This Row],[Customer_ID_Clean]],CustomersTable[],4,FALSE)</f>
        <v>British Columbia</v>
      </c>
      <c r="AL493" s="8">
        <f>IF(RawSalesTable6[[#This Row],[Return_Status]]="Yes",1,0)</f>
        <v>1</v>
      </c>
    </row>
    <row r="494" spans="1:38">
      <c r="A494" t="s">
        <v>925</v>
      </c>
      <c r="B494" s="3">
        <v>45704</v>
      </c>
      <c r="C494" t="s">
        <v>463</v>
      </c>
      <c r="D494" t="s">
        <v>181</v>
      </c>
      <c r="E494" t="s">
        <v>464</v>
      </c>
      <c r="F494" t="s">
        <v>116</v>
      </c>
      <c r="G494" t="s">
        <v>122</v>
      </c>
      <c r="H494" t="s">
        <v>97</v>
      </c>
      <c r="I494">
        <v>1</v>
      </c>
      <c r="J494" s="2">
        <v>360.8</v>
      </c>
      <c r="K494" s="4">
        <v>0</v>
      </c>
      <c r="L494" t="s">
        <v>106</v>
      </c>
      <c r="M494">
        <v>2</v>
      </c>
      <c r="N494" t="s">
        <v>91</v>
      </c>
      <c r="O494" t="str">
        <f>SUBSTITUTE(PROPER(TRIM(RawSalesTable6[[#This Row],[Channel_Raw]])),"Market Place","Marketplace")</f>
        <v>Retail Store</v>
      </c>
      <c r="P494" t="str">
        <f>TRIM(RawSalesTable6[[#This Row],[Product_ID]])</f>
        <v>P1007</v>
      </c>
      <c r="Q494" t="str">
        <f>TRIM(RawSalesTable6[[#This Row],[Customer_ID]])</f>
        <v>C0030</v>
      </c>
      <c r="R494" s="8" t="str">
        <f>PROPER(TRIM(RawSalesTable6[[#This Row],[Store_Raw]]))</f>
        <v>Toronto Downtown</v>
      </c>
      <c r="S494" s="8" t="str">
        <f>IF(TRIM(RawSalesTable6[[#This Row],[Payment_Method_Raw]])="","Non renseigné",SUBSTITUTE(PROPER(TRIM(RawSalesTable6[[#This Row],[Payment_Method_Raw]])),"Cc","Credit Card"))</f>
        <v>Credit Card</v>
      </c>
      <c r="T494" s="8">
        <f>COUNTIF(A:A,RawSalesTable6[[#This Row],[Order_ID]])</f>
        <v>1</v>
      </c>
      <c r="U494" s="8" t="str">
        <f>TRIM(LEFT(RawSalesTable6[[#This Row],[Customer_Info]],FIND(",",RawSalesTable6[[#This Row],[Customer_Info]])-1))</f>
        <v>Emma Lee</v>
      </c>
      <c r="V494" s="8" t="str">
        <f>TRIM(MID(RawSalesTable6[[#This Row],[Customer_Info]],FIND(",",RawSalesTable6[[#This Row],[Customer_Info]])+1,FIND(",",RawSalesTable6[[#This Row],[Customer_Info]],FIND(",",RawSalesTable6[[#This Row],[Customer_Info]])+1)-FIND(",",RawSalesTable6[[#This Row],[Customer_Info]])-1))</f>
        <v>Calgary</v>
      </c>
      <c r="W494" s="8" t="str">
        <f>TRIM(RIGHT(RawSalesTable6[[#This Row],[Customer_Info]],LEN(RawSalesTable6[[#This Row],[Customer_Info]])-FIND(",",RawSalesTable6[[#This Row],[Customer_Info]],FIND(",",RawSalesTable6[[#This Row],[Customer_Info]])+1)))</f>
        <v>Corporate</v>
      </c>
      <c r="X494" s="8" t="str">
        <f>VLOOKUP(RawSalesTable6[[#This Row],[Product_ID_Clean]],ProductsTable[],2,FALSE)</f>
        <v>Monitor</v>
      </c>
      <c r="Y494" s="8" t="str">
        <f>VLOOKUP(RawSalesTable6[[#This Row],[Product_ID_Clean]],ProductsTable[],3,FALSE)</f>
        <v>Electronics</v>
      </c>
      <c r="Z494" s="8">
        <f>VLOOKUP(RawSalesTable6[[#This Row],[Product_ID_Clean]],ProductsTable[],5,FALSE)</f>
        <v>224.47</v>
      </c>
      <c r="AA494" s="8">
        <f>RawSalesTable6[[#This Row],[Unit_Price]]*RawSalesTable6[[#This Row],[Quantity]]</f>
        <v>360.8</v>
      </c>
      <c r="AB494" s="8">
        <f>RawSalesTable6[[#This Row],[Gross_Sales]]*RawSalesTable6[[#This Row],[Discount_Pct]]</f>
        <v>0</v>
      </c>
      <c r="AC494" s="8">
        <f>RawSalesTable6[[#This Row],[Gross_Sales]]-RawSalesTable6[[#This Row],[Discount_Amount]]</f>
        <v>360.8</v>
      </c>
      <c r="AD494" s="8">
        <f>RawSalesTable6[[#This Row],[Unit_Cost]]*RawSalesTable6[[#This Row],[Quantity]]</f>
        <v>224.47</v>
      </c>
      <c r="AE494" s="8">
        <f>RawSalesTable6[[#This Row],[Net_Sales]]-RawSalesTable6[[#This Row],[Total_Cost]]</f>
        <v>136.33000000000001</v>
      </c>
      <c r="AF494" s="9">
        <f>RawSalesTable6[[#This Row],[Profit]]/RawSalesTable6[[#This Row],[Net_Sales]]</f>
        <v>0.37785476718403549</v>
      </c>
      <c r="AG494" s="8">
        <f>YEAR(RawSalesTable6[[#This Row],[Order_Date]])</f>
        <v>2025</v>
      </c>
      <c r="AH494" s="8">
        <f>MONTH(RawSalesTable6[[#This Row],[Order_Date]])</f>
        <v>2</v>
      </c>
      <c r="AI494" s="8" t="str">
        <f>TEXT(RawSalesTable6[[#This Row],[Order_Date]],"mmmm")</f>
        <v>février</v>
      </c>
      <c r="AJ494" s="8" t="str">
        <f>IF(RawSalesTable6[[#This Row],[Month_Number]]&lt;=3,"Q1",IF(RawSalesTable6[[#This Row],[Month_Number]]&lt;=6,"Q2",IF(RawSalesTable6[[#This Row],[Month_Number]]&lt;=9,"Q3","Q4")))</f>
        <v>Q1</v>
      </c>
      <c r="AK494" s="8" t="str">
        <f>VLOOKUP(RawSalesTable6[[#This Row],[Customer_ID_Clean]],CustomersTable[],4,FALSE)</f>
        <v>Alberta</v>
      </c>
      <c r="AL494" s="8">
        <f>IF(RawSalesTable6[[#This Row],[Return_Status]]="Yes",1,0)</f>
        <v>0</v>
      </c>
    </row>
    <row r="495" spans="1:38">
      <c r="A495" t="s">
        <v>926</v>
      </c>
      <c r="B495" s="3">
        <v>45819</v>
      </c>
      <c r="C495" t="s">
        <v>500</v>
      </c>
      <c r="D495" t="s">
        <v>323</v>
      </c>
      <c r="E495" t="s">
        <v>501</v>
      </c>
      <c r="F495" t="s">
        <v>116</v>
      </c>
      <c r="G495" t="s">
        <v>130</v>
      </c>
      <c r="H495" t="s">
        <v>233</v>
      </c>
      <c r="I495">
        <v>1</v>
      </c>
      <c r="J495" s="2">
        <v>345.91</v>
      </c>
      <c r="K495" s="4">
        <v>0.2</v>
      </c>
      <c r="L495" t="s">
        <v>106</v>
      </c>
      <c r="M495">
        <v>1</v>
      </c>
      <c r="N495" t="s">
        <v>91</v>
      </c>
      <c r="O495" t="str">
        <f>SUBSTITUTE(PROPER(TRIM(RawSalesTable6[[#This Row],[Channel_Raw]])),"Market Place","Marketplace")</f>
        <v>Retail Store</v>
      </c>
      <c r="P495" t="str">
        <f>TRIM(RawSalesTable6[[#This Row],[Product_ID]])</f>
        <v>P1023</v>
      </c>
      <c r="Q495" t="str">
        <f>TRIM(RawSalesTable6[[#This Row],[Customer_ID]])</f>
        <v>C0059</v>
      </c>
      <c r="R495" s="8" t="str">
        <f>PROPER(TRIM(RawSalesTable6[[#This Row],[Store_Raw]]))</f>
        <v>Toronto Downtown</v>
      </c>
      <c r="S495" s="8" t="str">
        <f>IF(TRIM(RawSalesTable6[[#This Row],[Payment_Method_Raw]])="","Non renseigné",SUBSTITUTE(PROPER(TRIM(RawSalesTable6[[#This Row],[Payment_Method_Raw]])),"Cc","Credit Card"))</f>
        <v>Credit Card</v>
      </c>
      <c r="T495" s="8">
        <f>COUNTIF(A:A,RawSalesTable6[[#This Row],[Order_ID]])</f>
        <v>1</v>
      </c>
      <c r="U495" s="8" t="str">
        <f>TRIM(LEFT(RawSalesTable6[[#This Row],[Customer_Info]],FIND(",",RawSalesTable6[[#This Row],[Customer_Info]])-1))</f>
        <v>Lucas Chen</v>
      </c>
      <c r="V495" s="8" t="str">
        <f>TRIM(MID(RawSalesTable6[[#This Row],[Customer_Info]],FIND(",",RawSalesTable6[[#This Row],[Customer_Info]])+1,FIND(",",RawSalesTable6[[#This Row],[Customer_Info]],FIND(",",RawSalesTable6[[#This Row],[Customer_Info]])+1)-FIND(",",RawSalesTable6[[#This Row],[Customer_Info]])-1))</f>
        <v>Vancouver</v>
      </c>
      <c r="W495" s="8" t="str">
        <f>TRIM(RIGHT(RawSalesTable6[[#This Row],[Customer_Info]],LEN(RawSalesTable6[[#This Row],[Customer_Info]])-FIND(",",RawSalesTable6[[#This Row],[Customer_Info]],FIND(",",RawSalesTable6[[#This Row],[Customer_Info]])+1)))</f>
        <v>Corporate</v>
      </c>
      <c r="X495" s="8" t="str">
        <f>VLOOKUP(RawSalesTable6[[#This Row],[Product_ID_Clean]],ProductsTable[],2,FALSE)</f>
        <v>Toaster</v>
      </c>
      <c r="Y495" s="8" t="str">
        <f>VLOOKUP(RawSalesTable6[[#This Row],[Product_ID_Clean]],ProductsTable[],3,FALSE)</f>
        <v>Home</v>
      </c>
      <c r="Z495" s="8">
        <f>VLOOKUP(RawSalesTable6[[#This Row],[Product_ID_Clean]],ProductsTable[],5,FALSE)</f>
        <v>152.88</v>
      </c>
      <c r="AA495" s="8">
        <f>RawSalesTable6[[#This Row],[Unit_Price]]*RawSalesTable6[[#This Row],[Quantity]]</f>
        <v>345.91</v>
      </c>
      <c r="AB495" s="8">
        <f>RawSalesTable6[[#This Row],[Gross_Sales]]*RawSalesTable6[[#This Row],[Discount_Pct]]</f>
        <v>69.182000000000002</v>
      </c>
      <c r="AC495" s="8">
        <f>RawSalesTable6[[#This Row],[Gross_Sales]]-RawSalesTable6[[#This Row],[Discount_Amount]]</f>
        <v>276.72800000000001</v>
      </c>
      <c r="AD495" s="8">
        <f>RawSalesTable6[[#This Row],[Unit_Cost]]*RawSalesTable6[[#This Row],[Quantity]]</f>
        <v>152.88</v>
      </c>
      <c r="AE495" s="8">
        <f>RawSalesTable6[[#This Row],[Net_Sales]]-RawSalesTable6[[#This Row],[Total_Cost]]</f>
        <v>123.84800000000001</v>
      </c>
      <c r="AF495" s="9">
        <f>RawSalesTable6[[#This Row],[Profit]]/RawSalesTable6[[#This Row],[Net_Sales]]</f>
        <v>0.44754415888525922</v>
      </c>
      <c r="AG495" s="8">
        <f>YEAR(RawSalesTable6[[#This Row],[Order_Date]])</f>
        <v>2025</v>
      </c>
      <c r="AH495" s="8">
        <f>MONTH(RawSalesTable6[[#This Row],[Order_Date]])</f>
        <v>6</v>
      </c>
      <c r="AI495" s="8" t="str">
        <f>TEXT(RawSalesTable6[[#This Row],[Order_Date]],"mmmm")</f>
        <v>juin</v>
      </c>
      <c r="AJ495" s="8" t="str">
        <f>IF(RawSalesTable6[[#This Row],[Month_Number]]&lt;=3,"Q1",IF(RawSalesTable6[[#This Row],[Month_Number]]&lt;=6,"Q2",IF(RawSalesTable6[[#This Row],[Month_Number]]&lt;=9,"Q3","Q4")))</f>
        <v>Q2</v>
      </c>
      <c r="AK495" s="8" t="str">
        <f>VLOOKUP(RawSalesTable6[[#This Row],[Customer_ID_Clean]],CustomersTable[],4,FALSE)</f>
        <v>British Columbia</v>
      </c>
      <c r="AL495" s="8">
        <f>IF(RawSalesTable6[[#This Row],[Return_Status]]="Yes",1,0)</f>
        <v>0</v>
      </c>
    </row>
    <row r="496" spans="1:38">
      <c r="A496" t="s">
        <v>927</v>
      </c>
      <c r="B496" s="3">
        <v>45928</v>
      </c>
      <c r="C496" t="s">
        <v>169</v>
      </c>
      <c r="D496" t="s">
        <v>109</v>
      </c>
      <c r="E496" t="s">
        <v>435</v>
      </c>
      <c r="F496" t="s">
        <v>116</v>
      </c>
      <c r="G496" t="s">
        <v>183</v>
      </c>
      <c r="H496" t="s">
        <v>97</v>
      </c>
      <c r="I496">
        <v>2</v>
      </c>
      <c r="J496" s="2">
        <v>202.09</v>
      </c>
      <c r="K496" s="4">
        <v>0.05</v>
      </c>
      <c r="L496" t="s">
        <v>106</v>
      </c>
      <c r="M496">
        <v>2</v>
      </c>
      <c r="N496" t="s">
        <v>91</v>
      </c>
      <c r="O496" t="str">
        <f>SUBSTITUTE(PROPER(TRIM(RawSalesTable6[[#This Row],[Channel_Raw]])),"Market Place","Marketplace")</f>
        <v>Retail Store</v>
      </c>
      <c r="P496" t="str">
        <f>TRIM(RawSalesTable6[[#This Row],[Product_ID]])</f>
        <v>P1032</v>
      </c>
      <c r="Q496" t="str">
        <f>TRIM(RawSalesTable6[[#This Row],[Customer_ID]])</f>
        <v>C0064</v>
      </c>
      <c r="R496" s="8" t="str">
        <f>PROPER(TRIM(RawSalesTable6[[#This Row],[Store_Raw]]))</f>
        <v>Toronto Downtown</v>
      </c>
      <c r="S496" s="8" t="str">
        <f>IF(TRIM(RawSalesTable6[[#This Row],[Payment_Method_Raw]])="","Non renseigné",SUBSTITUTE(PROPER(TRIM(RawSalesTable6[[#This Row],[Payment_Method_Raw]])),"Cc","Credit Card"))</f>
        <v>Credit Card</v>
      </c>
      <c r="T496" s="8">
        <f>COUNTIF(A:A,RawSalesTable6[[#This Row],[Order_ID]])</f>
        <v>1</v>
      </c>
      <c r="U496" s="8" t="str">
        <f>TRIM(LEFT(RawSalesTable6[[#This Row],[Customer_Info]],FIND(",",RawSalesTable6[[#This Row],[Customer_Info]])-1))</f>
        <v>Amine Khan</v>
      </c>
      <c r="V496" s="8" t="str">
        <f>TRIM(MID(RawSalesTable6[[#This Row],[Customer_Info]],FIND(",",RawSalesTable6[[#This Row],[Customer_Info]])+1,FIND(",",RawSalesTable6[[#This Row],[Customer_Info]],FIND(",",RawSalesTable6[[#This Row],[Customer_Info]])+1)-FIND(",",RawSalesTable6[[#This Row],[Customer_Info]])-1))</f>
        <v>Edmonton</v>
      </c>
      <c r="W496" s="8" t="str">
        <f>TRIM(RIGHT(RawSalesTable6[[#This Row],[Customer_Info]],LEN(RawSalesTable6[[#This Row],[Customer_Info]])-FIND(",",RawSalesTable6[[#This Row],[Customer_Info]],FIND(",",RawSalesTable6[[#This Row],[Customer_Info]])+1)))</f>
        <v>Consumer</v>
      </c>
      <c r="X496" s="8" t="str">
        <f>VLOOKUP(RawSalesTable6[[#This Row],[Product_ID_Clean]],ProductsTable[],2,FALSE)</f>
        <v>Gym Bag</v>
      </c>
      <c r="Y496" s="8" t="str">
        <f>VLOOKUP(RawSalesTable6[[#This Row],[Product_ID_Clean]],ProductsTable[],3,FALSE)</f>
        <v>Fitness</v>
      </c>
      <c r="Z496" s="8">
        <f>VLOOKUP(RawSalesTable6[[#This Row],[Product_ID_Clean]],ProductsTable[],5,FALSE)</f>
        <v>132.72</v>
      </c>
      <c r="AA496" s="8">
        <f>RawSalesTable6[[#This Row],[Unit_Price]]*RawSalesTable6[[#This Row],[Quantity]]</f>
        <v>404.18</v>
      </c>
      <c r="AB496" s="8">
        <f>RawSalesTable6[[#This Row],[Gross_Sales]]*RawSalesTable6[[#This Row],[Discount_Pct]]</f>
        <v>20.209000000000003</v>
      </c>
      <c r="AC496" s="8">
        <f>RawSalesTable6[[#This Row],[Gross_Sales]]-RawSalesTable6[[#This Row],[Discount_Amount]]</f>
        <v>383.971</v>
      </c>
      <c r="AD496" s="8">
        <f>RawSalesTable6[[#This Row],[Unit_Cost]]*RawSalesTable6[[#This Row],[Quantity]]</f>
        <v>265.44</v>
      </c>
      <c r="AE496" s="8">
        <f>RawSalesTable6[[#This Row],[Net_Sales]]-RawSalesTable6[[#This Row],[Total_Cost]]</f>
        <v>118.53100000000001</v>
      </c>
      <c r="AF496" s="9">
        <f>RawSalesTable6[[#This Row],[Profit]]/RawSalesTable6[[#This Row],[Net_Sales]]</f>
        <v>0.30869779228118793</v>
      </c>
      <c r="AG496" s="8">
        <f>YEAR(RawSalesTable6[[#This Row],[Order_Date]])</f>
        <v>2025</v>
      </c>
      <c r="AH496" s="8">
        <f>MONTH(RawSalesTable6[[#This Row],[Order_Date]])</f>
        <v>9</v>
      </c>
      <c r="AI496" s="8" t="str">
        <f>TEXT(RawSalesTable6[[#This Row],[Order_Date]],"mmmm")</f>
        <v>septembre</v>
      </c>
      <c r="AJ496" s="8" t="str">
        <f>IF(RawSalesTable6[[#This Row],[Month_Number]]&lt;=3,"Q1",IF(RawSalesTable6[[#This Row],[Month_Number]]&lt;=6,"Q2",IF(RawSalesTable6[[#This Row],[Month_Number]]&lt;=9,"Q3","Q4")))</f>
        <v>Q3</v>
      </c>
      <c r="AK496" s="8" t="str">
        <f>VLOOKUP(RawSalesTable6[[#This Row],[Customer_ID_Clean]],CustomersTable[],4,FALSE)</f>
        <v>Alberta</v>
      </c>
      <c r="AL496" s="8">
        <f>IF(RawSalesTable6[[#This Row],[Return_Status]]="Yes",1,0)</f>
        <v>0</v>
      </c>
    </row>
    <row r="497" spans="1:38">
      <c r="A497" t="s">
        <v>928</v>
      </c>
      <c r="B497" s="3">
        <v>45882</v>
      </c>
      <c r="C497" t="s">
        <v>374</v>
      </c>
      <c r="D497" t="s">
        <v>271</v>
      </c>
      <c r="E497" t="s">
        <v>825</v>
      </c>
      <c r="F497" t="s">
        <v>116</v>
      </c>
      <c r="G497" t="s">
        <v>183</v>
      </c>
      <c r="H497" t="s">
        <v>89</v>
      </c>
      <c r="I497">
        <v>2</v>
      </c>
      <c r="J497" s="2">
        <v>230.29</v>
      </c>
      <c r="K497" s="4">
        <v>0.25</v>
      </c>
      <c r="L497" t="s">
        <v>106</v>
      </c>
      <c r="M497">
        <v>5</v>
      </c>
      <c r="N497" t="s">
        <v>91</v>
      </c>
      <c r="O497" t="str">
        <f>SUBSTITUTE(PROPER(TRIM(RawSalesTable6[[#This Row],[Channel_Raw]])),"Market Place","Marketplace")</f>
        <v>Online</v>
      </c>
      <c r="P497" t="str">
        <f>TRIM(RawSalesTable6[[#This Row],[Product_ID]])</f>
        <v>P1026</v>
      </c>
      <c r="Q497" t="str">
        <f>TRIM(RawSalesTable6[[#This Row],[Customer_ID]])</f>
        <v>C0035</v>
      </c>
      <c r="R497" s="8" t="str">
        <f>PROPER(TRIM(RawSalesTable6[[#This Row],[Store_Raw]]))</f>
        <v>Toronto Downtown</v>
      </c>
      <c r="S497" s="8" t="str">
        <f>IF(TRIM(RawSalesTable6[[#This Row],[Payment_Method_Raw]])="","Non renseigné",SUBSTITUTE(PROPER(TRIM(RawSalesTable6[[#This Row],[Payment_Method_Raw]])),"Cc","Credit Card"))</f>
        <v>Credit Card</v>
      </c>
      <c r="T497" s="8">
        <f>COUNTIF(A:A,RawSalesTable6[[#This Row],[Order_ID]])</f>
        <v>1</v>
      </c>
      <c r="U497" s="8" t="str">
        <f>TRIM(LEFT(RawSalesTable6[[#This Row],[Customer_Info]],FIND(",",RawSalesTable6[[#This Row],[Customer_Info]])-1))</f>
        <v>Amelia Scott</v>
      </c>
      <c r="V497" s="8" t="str">
        <f>TRIM(MID(RawSalesTable6[[#This Row],[Customer_Info]],FIND(",",RawSalesTable6[[#This Row],[Customer_Info]])+1,FIND(",",RawSalesTable6[[#This Row],[Customer_Info]],FIND(",",RawSalesTable6[[#This Row],[Customer_Info]])+1)-FIND(",",RawSalesTable6[[#This Row],[Customer_Info]])-1))</f>
        <v>Edmonton</v>
      </c>
      <c r="W497" s="8" t="str">
        <f>TRIM(RIGHT(RawSalesTable6[[#This Row],[Customer_Info]],LEN(RawSalesTable6[[#This Row],[Customer_Info]])-FIND(",",RawSalesTable6[[#This Row],[Customer_Info]],FIND(",",RawSalesTable6[[#This Row],[Customer_Info]])+1)))</f>
        <v>Small Business</v>
      </c>
      <c r="X497" s="8" t="str">
        <f>VLOOKUP(RawSalesTable6[[#This Row],[Product_ID_Clean]],ProductsTable[],2,FALSE)</f>
        <v>Resistance Bands</v>
      </c>
      <c r="Y497" s="8" t="str">
        <f>VLOOKUP(RawSalesTable6[[#This Row],[Product_ID_Clean]],ProductsTable[],3,FALSE)</f>
        <v>Fitness</v>
      </c>
      <c r="Z497" s="8">
        <f>VLOOKUP(RawSalesTable6[[#This Row],[Product_ID_Clean]],ProductsTable[],5,FALSE)</f>
        <v>139.19999999999999</v>
      </c>
      <c r="AA497" s="8">
        <f>RawSalesTable6[[#This Row],[Unit_Price]]*RawSalesTable6[[#This Row],[Quantity]]</f>
        <v>460.58</v>
      </c>
      <c r="AB497" s="8">
        <f>RawSalesTable6[[#This Row],[Gross_Sales]]*RawSalesTable6[[#This Row],[Discount_Pct]]</f>
        <v>115.145</v>
      </c>
      <c r="AC497" s="8">
        <f>RawSalesTable6[[#This Row],[Gross_Sales]]-RawSalesTable6[[#This Row],[Discount_Amount]]</f>
        <v>345.435</v>
      </c>
      <c r="AD497" s="8">
        <f>RawSalesTable6[[#This Row],[Unit_Cost]]*RawSalesTable6[[#This Row],[Quantity]]</f>
        <v>278.39999999999998</v>
      </c>
      <c r="AE497" s="8">
        <f>RawSalesTable6[[#This Row],[Net_Sales]]-RawSalesTable6[[#This Row],[Total_Cost]]</f>
        <v>67.035000000000025</v>
      </c>
      <c r="AF497" s="9">
        <f>RawSalesTable6[[#This Row],[Profit]]/RawSalesTable6[[#This Row],[Net_Sales]]</f>
        <v>0.19405966390203663</v>
      </c>
      <c r="AG497" s="8">
        <f>YEAR(RawSalesTable6[[#This Row],[Order_Date]])</f>
        <v>2025</v>
      </c>
      <c r="AH497" s="8">
        <f>MONTH(RawSalesTable6[[#This Row],[Order_Date]])</f>
        <v>8</v>
      </c>
      <c r="AI497" s="8" t="str">
        <f>TEXT(RawSalesTable6[[#This Row],[Order_Date]],"mmmm")</f>
        <v>août</v>
      </c>
      <c r="AJ497" s="8" t="str">
        <f>IF(RawSalesTable6[[#This Row],[Month_Number]]&lt;=3,"Q1",IF(RawSalesTable6[[#This Row],[Month_Number]]&lt;=6,"Q2",IF(RawSalesTable6[[#This Row],[Month_Number]]&lt;=9,"Q3","Q4")))</f>
        <v>Q3</v>
      </c>
      <c r="AK497" s="8" t="str">
        <f>VLOOKUP(RawSalesTable6[[#This Row],[Customer_ID_Clean]],CustomersTable[],4,FALSE)</f>
        <v>Alberta</v>
      </c>
      <c r="AL497" s="8">
        <f>IF(RawSalesTable6[[#This Row],[Return_Status]]="Yes",1,0)</f>
        <v>0</v>
      </c>
    </row>
    <row r="498" spans="1:38">
      <c r="A498" t="s">
        <v>929</v>
      </c>
      <c r="B498" s="3">
        <v>45665</v>
      </c>
      <c r="C498" t="s">
        <v>349</v>
      </c>
      <c r="D498" t="s">
        <v>152</v>
      </c>
      <c r="E498" t="s">
        <v>350</v>
      </c>
      <c r="F498" t="s">
        <v>111</v>
      </c>
      <c r="G498" t="s">
        <v>171</v>
      </c>
      <c r="H498" t="s">
        <v>89</v>
      </c>
      <c r="I498">
        <v>2</v>
      </c>
      <c r="J498" s="2">
        <v>131.4</v>
      </c>
      <c r="K498" s="4">
        <v>0</v>
      </c>
      <c r="L498" t="s">
        <v>106</v>
      </c>
      <c r="M498">
        <v>1</v>
      </c>
      <c r="N498" t="s">
        <v>91</v>
      </c>
      <c r="O498" t="str">
        <f>SUBSTITUTE(PROPER(TRIM(RawSalesTable6[[#This Row],[Channel_Raw]])),"Market Place","Marketplace")</f>
        <v>Online</v>
      </c>
      <c r="P498" t="str">
        <f>TRIM(RawSalesTable6[[#This Row],[Product_ID]])</f>
        <v>P1008</v>
      </c>
      <c r="Q498" t="str">
        <f>TRIM(RawSalesTable6[[#This Row],[Customer_ID]])</f>
        <v>C0088</v>
      </c>
      <c r="R498" s="8" t="str">
        <f>PROPER(TRIM(RawSalesTable6[[#This Row],[Store_Raw]]))</f>
        <v>Montreal Central</v>
      </c>
      <c r="S498" s="8" t="str">
        <f>IF(TRIM(RawSalesTable6[[#This Row],[Payment_Method_Raw]])="","Non renseigné",SUBSTITUTE(PROPER(TRIM(RawSalesTable6[[#This Row],[Payment_Method_Raw]])),"Cc","Credit Card"))</f>
        <v>Credit Card</v>
      </c>
      <c r="T498" s="8">
        <f>COUNTIF(A:A,RawSalesTable6[[#This Row],[Order_ID]])</f>
        <v>1</v>
      </c>
      <c r="U498" s="8" t="str">
        <f>TRIM(LEFT(RawSalesTable6[[#This Row],[Customer_Info]],FIND(",",RawSalesTable6[[#This Row],[Customer_Info]])-1))</f>
        <v>Olivia Bennett</v>
      </c>
      <c r="V498" s="8" t="str">
        <f>TRIM(MID(RawSalesTable6[[#This Row],[Customer_Info]],FIND(",",RawSalesTable6[[#This Row],[Customer_Info]])+1,FIND(",",RawSalesTable6[[#This Row],[Customer_Info]],FIND(",",RawSalesTable6[[#This Row],[Customer_Info]])+1)-FIND(",",RawSalesTable6[[#This Row],[Customer_Info]])-1))</f>
        <v>Vancouver</v>
      </c>
      <c r="W498" s="8" t="str">
        <f>TRIM(RIGHT(RawSalesTable6[[#This Row],[Customer_Info]],LEN(RawSalesTable6[[#This Row],[Customer_Info]])-FIND(",",RawSalesTable6[[#This Row],[Customer_Info]],FIND(",",RawSalesTable6[[#This Row],[Customer_Info]])+1)))</f>
        <v>Small Business</v>
      </c>
      <c r="X498" s="8" t="str">
        <f>VLOOKUP(RawSalesTable6[[#This Row],[Product_ID_Clean]],ProductsTable[],2,FALSE)</f>
        <v>Smart Speaker</v>
      </c>
      <c r="Y498" s="8" t="str">
        <f>VLOOKUP(RawSalesTable6[[#This Row],[Product_ID_Clean]],ProductsTable[],3,FALSE)</f>
        <v>Electronics</v>
      </c>
      <c r="Z498" s="8">
        <f>VLOOKUP(RawSalesTable6[[#This Row],[Product_ID_Clean]],ProductsTable[],5,FALSE)</f>
        <v>69</v>
      </c>
      <c r="AA498" s="8">
        <f>RawSalesTable6[[#This Row],[Unit_Price]]*RawSalesTable6[[#This Row],[Quantity]]</f>
        <v>262.8</v>
      </c>
      <c r="AB498" s="8">
        <f>RawSalesTable6[[#This Row],[Gross_Sales]]*RawSalesTable6[[#This Row],[Discount_Pct]]</f>
        <v>0</v>
      </c>
      <c r="AC498" s="8">
        <f>RawSalesTable6[[#This Row],[Gross_Sales]]-RawSalesTable6[[#This Row],[Discount_Amount]]</f>
        <v>262.8</v>
      </c>
      <c r="AD498" s="8">
        <f>RawSalesTable6[[#This Row],[Unit_Cost]]*RawSalesTable6[[#This Row],[Quantity]]</f>
        <v>138</v>
      </c>
      <c r="AE498" s="8">
        <f>RawSalesTable6[[#This Row],[Net_Sales]]-RawSalesTable6[[#This Row],[Total_Cost]]</f>
        <v>124.80000000000001</v>
      </c>
      <c r="AF498" s="9">
        <f>RawSalesTable6[[#This Row],[Profit]]/RawSalesTable6[[#This Row],[Net_Sales]]</f>
        <v>0.47488584474885848</v>
      </c>
      <c r="AG498" s="8">
        <f>YEAR(RawSalesTable6[[#This Row],[Order_Date]])</f>
        <v>2025</v>
      </c>
      <c r="AH498" s="8">
        <f>MONTH(RawSalesTable6[[#This Row],[Order_Date]])</f>
        <v>1</v>
      </c>
      <c r="AI498" s="8" t="str">
        <f>TEXT(RawSalesTable6[[#This Row],[Order_Date]],"mmmm")</f>
        <v>janvier</v>
      </c>
      <c r="AJ498" s="8" t="str">
        <f>IF(RawSalesTable6[[#This Row],[Month_Number]]&lt;=3,"Q1",IF(RawSalesTable6[[#This Row],[Month_Number]]&lt;=6,"Q2",IF(RawSalesTable6[[#This Row],[Month_Number]]&lt;=9,"Q3","Q4")))</f>
        <v>Q1</v>
      </c>
      <c r="AK498" s="8" t="str">
        <f>VLOOKUP(RawSalesTable6[[#This Row],[Customer_ID_Clean]],CustomersTable[],4,FALSE)</f>
        <v>British Columbia</v>
      </c>
      <c r="AL498" s="8">
        <f>IF(RawSalesTable6[[#This Row],[Return_Status]]="Yes",1,0)</f>
        <v>0</v>
      </c>
    </row>
    <row r="499" spans="1:38">
      <c r="A499" t="s">
        <v>930</v>
      </c>
      <c r="B499" s="3">
        <v>45948</v>
      </c>
      <c r="C499" t="s">
        <v>330</v>
      </c>
      <c r="D499" t="s">
        <v>469</v>
      </c>
      <c r="E499" t="s">
        <v>424</v>
      </c>
      <c r="F499" t="s">
        <v>103</v>
      </c>
      <c r="G499" t="s">
        <v>122</v>
      </c>
      <c r="H499" t="s">
        <v>89</v>
      </c>
      <c r="I499">
        <v>2</v>
      </c>
      <c r="J499" s="2">
        <v>85.25</v>
      </c>
      <c r="K499" s="4">
        <v>0</v>
      </c>
      <c r="L499" t="s">
        <v>90</v>
      </c>
      <c r="M499">
        <v>5</v>
      </c>
      <c r="N499" t="s">
        <v>91</v>
      </c>
      <c r="O499" t="str">
        <f>SUBSTITUTE(PROPER(TRIM(RawSalesTable6[[#This Row],[Channel_Raw]])),"Market Place","Marketplace")</f>
        <v>Online</v>
      </c>
      <c r="P499" t="str">
        <f>TRIM(RawSalesTable6[[#This Row],[Product_ID]])</f>
        <v>P1035</v>
      </c>
      <c r="Q499" t="str">
        <f>TRIM(RawSalesTable6[[#This Row],[Customer_ID]])</f>
        <v>C0108</v>
      </c>
      <c r="R499" s="8" t="str">
        <f>PROPER(TRIM(RawSalesTable6[[#This Row],[Store_Raw]]))</f>
        <v>Vancouver West</v>
      </c>
      <c r="S499" s="8" t="str">
        <f>IF(TRIM(RawSalesTable6[[#This Row],[Payment_Method_Raw]])="","Non renseigné",SUBSTITUTE(PROPER(TRIM(RawSalesTable6[[#This Row],[Payment_Method_Raw]])),"Cc","Credit Card"))</f>
        <v>Paypal</v>
      </c>
      <c r="T499" s="8">
        <f>COUNTIF(A:A,RawSalesTable6[[#This Row],[Order_ID]])</f>
        <v>1</v>
      </c>
      <c r="U499" s="8" t="str">
        <f>TRIM(LEFT(RawSalesTable6[[#This Row],[Customer_Info]],FIND(",",RawSalesTable6[[#This Row],[Customer_Info]])-1))</f>
        <v>Noah Lee</v>
      </c>
      <c r="V499" s="8" t="str">
        <f>TRIM(MID(RawSalesTable6[[#This Row],[Customer_Info]],FIND(",",RawSalesTable6[[#This Row],[Customer_Info]])+1,FIND(",",RawSalesTable6[[#This Row],[Customer_Info]],FIND(",",RawSalesTable6[[#This Row],[Customer_Info]])+1)-FIND(",",RawSalesTable6[[#This Row],[Customer_Info]])-1))</f>
        <v>Surrey</v>
      </c>
      <c r="W499" s="8" t="str">
        <f>TRIM(RIGHT(RawSalesTable6[[#This Row],[Customer_Info]],LEN(RawSalesTable6[[#This Row],[Customer_Info]])-FIND(",",RawSalesTable6[[#This Row],[Customer_Info]],FIND(",",RawSalesTable6[[#This Row],[Customer_Info]])+1)))</f>
        <v>Consumer</v>
      </c>
      <c r="X499" s="8" t="str">
        <f>VLOOKUP(RawSalesTable6[[#This Row],[Product_ID_Clean]],ProductsTable[],2,FALSE)</f>
        <v>Phone Stand</v>
      </c>
      <c r="Y499" s="8" t="str">
        <f>VLOOKUP(RawSalesTable6[[#This Row],[Product_ID_Clean]],ProductsTable[],3,FALSE)</f>
        <v>Accessories</v>
      </c>
      <c r="Z499" s="8">
        <f>VLOOKUP(RawSalesTable6[[#This Row],[Product_ID_Clean]],ProductsTable[],5,FALSE)</f>
        <v>59.85</v>
      </c>
      <c r="AA499" s="8">
        <f>RawSalesTable6[[#This Row],[Unit_Price]]*RawSalesTable6[[#This Row],[Quantity]]</f>
        <v>170.5</v>
      </c>
      <c r="AB499" s="8">
        <f>RawSalesTable6[[#This Row],[Gross_Sales]]*RawSalesTable6[[#This Row],[Discount_Pct]]</f>
        <v>0</v>
      </c>
      <c r="AC499" s="8">
        <f>RawSalesTable6[[#This Row],[Gross_Sales]]-RawSalesTable6[[#This Row],[Discount_Amount]]</f>
        <v>170.5</v>
      </c>
      <c r="AD499" s="8">
        <f>RawSalesTable6[[#This Row],[Unit_Cost]]*RawSalesTable6[[#This Row],[Quantity]]</f>
        <v>119.7</v>
      </c>
      <c r="AE499" s="8">
        <f>RawSalesTable6[[#This Row],[Net_Sales]]-RawSalesTable6[[#This Row],[Total_Cost]]</f>
        <v>50.8</v>
      </c>
      <c r="AF499" s="9">
        <f>RawSalesTable6[[#This Row],[Profit]]/RawSalesTable6[[#This Row],[Net_Sales]]</f>
        <v>0.2979472140762463</v>
      </c>
      <c r="AG499" s="8">
        <f>YEAR(RawSalesTable6[[#This Row],[Order_Date]])</f>
        <v>2025</v>
      </c>
      <c r="AH499" s="8">
        <f>MONTH(RawSalesTable6[[#This Row],[Order_Date]])</f>
        <v>10</v>
      </c>
      <c r="AI499" s="8" t="str">
        <f>TEXT(RawSalesTable6[[#This Row],[Order_Date]],"mmmm")</f>
        <v>octobre</v>
      </c>
      <c r="AJ499" s="8" t="str">
        <f>IF(RawSalesTable6[[#This Row],[Month_Number]]&lt;=3,"Q1",IF(RawSalesTable6[[#This Row],[Month_Number]]&lt;=6,"Q2",IF(RawSalesTable6[[#This Row],[Month_Number]]&lt;=9,"Q3","Q4")))</f>
        <v>Q4</v>
      </c>
      <c r="AK499" s="8" t="str">
        <f>VLOOKUP(RawSalesTable6[[#This Row],[Customer_ID_Clean]],CustomersTable[],4,FALSE)</f>
        <v>British Columbia</v>
      </c>
      <c r="AL499" s="8">
        <f>IF(RawSalesTable6[[#This Row],[Return_Status]]="Yes",1,0)</f>
        <v>0</v>
      </c>
    </row>
    <row r="500" spans="1:38">
      <c r="A500" t="s">
        <v>931</v>
      </c>
      <c r="B500" s="3">
        <v>45940</v>
      </c>
      <c r="C500" t="s">
        <v>335</v>
      </c>
      <c r="D500" t="s">
        <v>210</v>
      </c>
      <c r="E500" t="s">
        <v>336</v>
      </c>
      <c r="F500" t="s">
        <v>103</v>
      </c>
      <c r="G500" t="s">
        <v>122</v>
      </c>
      <c r="H500" t="s">
        <v>97</v>
      </c>
      <c r="I500">
        <v>3</v>
      </c>
      <c r="J500" s="2">
        <v>291.72000000000003</v>
      </c>
      <c r="K500" s="4">
        <v>0.1</v>
      </c>
      <c r="L500" t="s">
        <v>90</v>
      </c>
      <c r="M500">
        <v>0</v>
      </c>
      <c r="N500" t="s">
        <v>91</v>
      </c>
      <c r="O500" t="str">
        <f>SUBSTITUTE(PROPER(TRIM(RawSalesTable6[[#This Row],[Channel_Raw]])),"Market Place","Marketplace")</f>
        <v>Retail Store</v>
      </c>
      <c r="P500" t="str">
        <f>TRIM(RawSalesTable6[[#This Row],[Product_ID]])</f>
        <v>P1040</v>
      </c>
      <c r="Q500" t="str">
        <f>TRIM(RawSalesTable6[[#This Row],[Customer_ID]])</f>
        <v>C0037</v>
      </c>
      <c r="R500" s="8" t="str">
        <f>PROPER(TRIM(RawSalesTable6[[#This Row],[Store_Raw]]))</f>
        <v>Vancouver West</v>
      </c>
      <c r="S500" s="8" t="str">
        <f>IF(TRIM(RawSalesTable6[[#This Row],[Payment_Method_Raw]])="","Non renseigné",SUBSTITUTE(PROPER(TRIM(RawSalesTable6[[#This Row],[Payment_Method_Raw]])),"Cc","Credit Card"))</f>
        <v>Paypal</v>
      </c>
      <c r="T500" s="8">
        <f>COUNTIF(A:A,RawSalesTable6[[#This Row],[Order_ID]])</f>
        <v>1</v>
      </c>
      <c r="U500" s="8" t="str">
        <f>TRIM(LEFT(RawSalesTable6[[#This Row],[Customer_Info]],FIND(",",RawSalesTable6[[#This Row],[Customer_Info]])-1))</f>
        <v>Lucas Scott</v>
      </c>
      <c r="V500" s="8" t="str">
        <f>TRIM(MID(RawSalesTable6[[#This Row],[Customer_Info]],FIND(",",RawSalesTable6[[#This Row],[Customer_Info]])+1,FIND(",",RawSalesTable6[[#This Row],[Customer_Info]],FIND(",",RawSalesTable6[[#This Row],[Customer_Info]])+1)-FIND(",",RawSalesTable6[[#This Row],[Customer_Info]])-1))</f>
        <v>Victoria</v>
      </c>
      <c r="W500" s="8" t="str">
        <f>TRIM(RIGHT(RawSalesTable6[[#This Row],[Customer_Info]],LEN(RawSalesTable6[[#This Row],[Customer_Info]])-FIND(",",RawSalesTable6[[#This Row],[Customer_Info]],FIND(",",RawSalesTable6[[#This Row],[Customer_Info]])+1)))</f>
        <v>Small Business</v>
      </c>
      <c r="X500" s="8" t="str">
        <f>VLOOKUP(RawSalesTable6[[#This Row],[Product_ID_Clean]],ProductsTable[],2,FALSE)</f>
        <v>Desk Pad</v>
      </c>
      <c r="Y500" s="8" t="str">
        <f>VLOOKUP(RawSalesTable6[[#This Row],[Product_ID_Clean]],ProductsTable[],3,FALSE)</f>
        <v>Accessories</v>
      </c>
      <c r="Z500" s="8">
        <f>VLOOKUP(RawSalesTable6[[#This Row],[Product_ID_Clean]],ProductsTable[],5,FALSE)</f>
        <v>177.57</v>
      </c>
      <c r="AA500" s="8">
        <f>RawSalesTable6[[#This Row],[Unit_Price]]*RawSalesTable6[[#This Row],[Quantity]]</f>
        <v>875.16000000000008</v>
      </c>
      <c r="AB500" s="8">
        <f>RawSalesTable6[[#This Row],[Gross_Sales]]*RawSalesTable6[[#This Row],[Discount_Pct]]</f>
        <v>87.51600000000002</v>
      </c>
      <c r="AC500" s="8">
        <f>RawSalesTable6[[#This Row],[Gross_Sales]]-RawSalesTable6[[#This Row],[Discount_Amount]]</f>
        <v>787.64400000000001</v>
      </c>
      <c r="AD500" s="8">
        <f>RawSalesTable6[[#This Row],[Unit_Cost]]*RawSalesTable6[[#This Row],[Quantity]]</f>
        <v>532.71</v>
      </c>
      <c r="AE500" s="8">
        <f>RawSalesTable6[[#This Row],[Net_Sales]]-RawSalesTable6[[#This Row],[Total_Cost]]</f>
        <v>254.93399999999997</v>
      </c>
      <c r="AF500" s="9">
        <f>RawSalesTable6[[#This Row],[Profit]]/RawSalesTable6[[#This Row],[Net_Sales]]</f>
        <v>0.32366652954888248</v>
      </c>
      <c r="AG500" s="8">
        <f>YEAR(RawSalesTable6[[#This Row],[Order_Date]])</f>
        <v>2025</v>
      </c>
      <c r="AH500" s="8">
        <f>MONTH(RawSalesTable6[[#This Row],[Order_Date]])</f>
        <v>10</v>
      </c>
      <c r="AI500" s="8" t="str">
        <f>TEXT(RawSalesTable6[[#This Row],[Order_Date]],"mmmm")</f>
        <v>octobre</v>
      </c>
      <c r="AJ500" s="8" t="str">
        <f>IF(RawSalesTable6[[#This Row],[Month_Number]]&lt;=3,"Q1",IF(RawSalesTable6[[#This Row],[Month_Number]]&lt;=6,"Q2",IF(RawSalesTable6[[#This Row],[Month_Number]]&lt;=9,"Q3","Q4")))</f>
        <v>Q4</v>
      </c>
      <c r="AK500" s="8" t="str">
        <f>VLOOKUP(RawSalesTable6[[#This Row],[Customer_ID_Clean]],CustomersTable[],4,FALSE)</f>
        <v>British Columbia</v>
      </c>
      <c r="AL500" s="8">
        <f>IF(RawSalesTable6[[#This Row],[Return_Status]]="Yes",1,0)</f>
        <v>0</v>
      </c>
    </row>
    <row r="501" spans="1:38">
      <c r="A501" t="s">
        <v>932</v>
      </c>
      <c r="B501" s="3">
        <v>45732</v>
      </c>
      <c r="C501" t="s">
        <v>933</v>
      </c>
      <c r="D501" t="s">
        <v>190</v>
      </c>
      <c r="E501" t="s">
        <v>934</v>
      </c>
      <c r="F501" t="s">
        <v>116</v>
      </c>
      <c r="G501" t="s">
        <v>183</v>
      </c>
      <c r="H501" t="s">
        <v>97</v>
      </c>
      <c r="I501">
        <v>1</v>
      </c>
      <c r="J501" s="2">
        <v>282.05</v>
      </c>
      <c r="K501" s="4">
        <v>0.2</v>
      </c>
      <c r="L501" t="s">
        <v>98</v>
      </c>
      <c r="M501">
        <v>1</v>
      </c>
      <c r="N501" t="s">
        <v>91</v>
      </c>
      <c r="O501" t="str">
        <f>SUBSTITUTE(PROPER(TRIM(RawSalesTable6[[#This Row],[Channel_Raw]])),"Market Place","Marketplace")</f>
        <v>Retail Store</v>
      </c>
      <c r="P501" t="str">
        <f>TRIM(RawSalesTable6[[#This Row],[Product_ID]])</f>
        <v>P1004</v>
      </c>
      <c r="Q501" t="str">
        <f>TRIM(RawSalesTable6[[#This Row],[Customer_ID]])</f>
        <v>C0081</v>
      </c>
      <c r="R501" s="8" t="str">
        <f>PROPER(TRIM(RawSalesTable6[[#This Row],[Store_Raw]]))</f>
        <v>Toronto Downtown</v>
      </c>
      <c r="S501" s="8" t="str">
        <f>IF(TRIM(RawSalesTable6[[#This Row],[Payment_Method_Raw]])="","Non renseigné",SUBSTITUTE(PROPER(TRIM(RawSalesTable6[[#This Row],[Payment_Method_Raw]])),"Cc","Credit Card"))</f>
        <v>Debit Card</v>
      </c>
      <c r="T501" s="8">
        <f>COUNTIF(A:A,RawSalesTable6[[#This Row],[Order_ID]])</f>
        <v>1</v>
      </c>
      <c r="U501" s="8" t="str">
        <f>TRIM(LEFT(RawSalesTable6[[#This Row],[Customer_Info]],FIND(",",RawSalesTable6[[#This Row],[Customer_Info]])-1))</f>
        <v>Yasmine Bennett</v>
      </c>
      <c r="V501" s="8" t="str">
        <f>TRIM(MID(RawSalesTable6[[#This Row],[Customer_Info]],FIND(",",RawSalesTable6[[#This Row],[Customer_Info]])+1,FIND(",",RawSalesTable6[[#This Row],[Customer_Info]],FIND(",",RawSalesTable6[[#This Row],[Customer_Info]])+1)-FIND(",",RawSalesTable6[[#This Row],[Customer_Info]])-1))</f>
        <v>Saskatoon</v>
      </c>
      <c r="W501" s="8" t="str">
        <f>TRIM(RIGHT(RawSalesTable6[[#This Row],[Customer_Info]],LEN(RawSalesTable6[[#This Row],[Customer_Info]])-FIND(",",RawSalesTable6[[#This Row],[Customer_Info]],FIND(",",RawSalesTable6[[#This Row],[Customer_Info]])+1)))</f>
        <v>Small Business</v>
      </c>
      <c r="X501" s="8" t="str">
        <f>VLOOKUP(RawSalesTable6[[#This Row],[Product_ID_Clean]],ProductsTable[],2,FALSE)</f>
        <v>Webcam</v>
      </c>
      <c r="Y501" s="8" t="str">
        <f>VLOOKUP(RawSalesTable6[[#This Row],[Product_ID_Clean]],ProductsTable[],3,FALSE)</f>
        <v>Electronics</v>
      </c>
      <c r="Z501" s="8">
        <f>VLOOKUP(RawSalesTable6[[#This Row],[Product_ID_Clean]],ProductsTable[],5,FALSE)</f>
        <v>154.72999999999999</v>
      </c>
      <c r="AA501" s="8">
        <f>RawSalesTable6[[#This Row],[Unit_Price]]*RawSalesTable6[[#This Row],[Quantity]]</f>
        <v>282.05</v>
      </c>
      <c r="AB501" s="8">
        <f>RawSalesTable6[[#This Row],[Gross_Sales]]*RawSalesTable6[[#This Row],[Discount_Pct]]</f>
        <v>56.410000000000004</v>
      </c>
      <c r="AC501" s="8">
        <f>RawSalesTable6[[#This Row],[Gross_Sales]]-RawSalesTable6[[#This Row],[Discount_Amount]]</f>
        <v>225.64000000000001</v>
      </c>
      <c r="AD501" s="8">
        <f>RawSalesTable6[[#This Row],[Unit_Cost]]*RawSalesTable6[[#This Row],[Quantity]]</f>
        <v>154.72999999999999</v>
      </c>
      <c r="AE501" s="8">
        <f>RawSalesTable6[[#This Row],[Net_Sales]]-RawSalesTable6[[#This Row],[Total_Cost]]</f>
        <v>70.910000000000025</v>
      </c>
      <c r="AF501" s="9">
        <f>RawSalesTable6[[#This Row],[Profit]]/RawSalesTable6[[#This Row],[Net_Sales]]</f>
        <v>0.31426165573479886</v>
      </c>
      <c r="AG501" s="8">
        <f>YEAR(RawSalesTable6[[#This Row],[Order_Date]])</f>
        <v>2025</v>
      </c>
      <c r="AH501" s="8">
        <f>MONTH(RawSalesTable6[[#This Row],[Order_Date]])</f>
        <v>3</v>
      </c>
      <c r="AI501" s="8" t="str">
        <f>TEXT(RawSalesTable6[[#This Row],[Order_Date]],"mmmm")</f>
        <v>mars</v>
      </c>
      <c r="AJ501" s="8" t="str">
        <f>IF(RawSalesTable6[[#This Row],[Month_Number]]&lt;=3,"Q1",IF(RawSalesTable6[[#This Row],[Month_Number]]&lt;=6,"Q2",IF(RawSalesTable6[[#This Row],[Month_Number]]&lt;=9,"Q3","Q4")))</f>
        <v>Q1</v>
      </c>
      <c r="AK501" s="8" t="str">
        <f>VLOOKUP(RawSalesTable6[[#This Row],[Customer_ID_Clean]],CustomersTable[],4,FALSE)</f>
        <v>Saskatchewan</v>
      </c>
      <c r="AL501" s="8">
        <f>IF(RawSalesTable6[[#This Row],[Return_Status]]="Yes",1,0)</f>
        <v>0</v>
      </c>
    </row>
    <row r="502" spans="1:38">
      <c r="A502" t="s">
        <v>935</v>
      </c>
      <c r="B502" s="3">
        <v>45798</v>
      </c>
      <c r="C502" t="s">
        <v>543</v>
      </c>
      <c r="D502" t="s">
        <v>255</v>
      </c>
      <c r="E502" t="s">
        <v>544</v>
      </c>
      <c r="F502" t="s">
        <v>103</v>
      </c>
      <c r="G502" t="s">
        <v>122</v>
      </c>
      <c r="H502" t="s">
        <v>105</v>
      </c>
      <c r="I502">
        <v>1</v>
      </c>
      <c r="J502" s="2">
        <v>230.73</v>
      </c>
      <c r="K502" s="4">
        <v>0.1</v>
      </c>
      <c r="L502" t="s">
        <v>90</v>
      </c>
      <c r="M502">
        <v>5</v>
      </c>
      <c r="N502" t="s">
        <v>91</v>
      </c>
      <c r="O502" t="str">
        <f>SUBSTITUTE(PROPER(TRIM(RawSalesTable6[[#This Row],[Channel_Raw]])),"Market Place","Marketplace")</f>
        <v>Marketplace</v>
      </c>
      <c r="P502" t="str">
        <f>TRIM(RawSalesTable6[[#This Row],[Product_ID]])</f>
        <v>P1014</v>
      </c>
      <c r="Q502" t="str">
        <f>TRIM(RawSalesTable6[[#This Row],[Customer_ID]])</f>
        <v>C0031</v>
      </c>
      <c r="R502" s="8" t="str">
        <f>PROPER(TRIM(RawSalesTable6[[#This Row],[Store_Raw]]))</f>
        <v>Vancouver West</v>
      </c>
      <c r="S502" s="8" t="str">
        <f>IF(TRIM(RawSalesTable6[[#This Row],[Payment_Method_Raw]])="","Non renseigné",SUBSTITUTE(PROPER(TRIM(RawSalesTable6[[#This Row],[Payment_Method_Raw]])),"Cc","Credit Card"))</f>
        <v>Paypal</v>
      </c>
      <c r="T502" s="8">
        <f>COUNTIF(A:A,RawSalesTable6[[#This Row],[Order_ID]])</f>
        <v>1</v>
      </c>
      <c r="U502" s="8" t="str">
        <f>TRIM(LEFT(RawSalesTable6[[#This Row],[Customer_Info]],FIND(",",RawSalesTable6[[#This Row],[Customer_Info]])-1))</f>
        <v>Leo Gagnon</v>
      </c>
      <c r="V502" s="8" t="str">
        <f>TRIM(MID(RawSalesTable6[[#This Row],[Customer_Info]],FIND(",",RawSalesTable6[[#This Row],[Customer_Info]])+1,FIND(",",RawSalesTable6[[#This Row],[Customer_Info]],FIND(",",RawSalesTable6[[#This Row],[Customer_Info]])+1)-FIND(",",RawSalesTable6[[#This Row],[Customer_Info]])-1))</f>
        <v>Surrey</v>
      </c>
      <c r="W502" s="8" t="str">
        <f>TRIM(RIGHT(RawSalesTable6[[#This Row],[Customer_Info]],LEN(RawSalesTable6[[#This Row],[Customer_Info]])-FIND(",",RawSalesTable6[[#This Row],[Customer_Info]],FIND(",",RawSalesTable6[[#This Row],[Customer_Info]])+1)))</f>
        <v>Small Business</v>
      </c>
      <c r="X502" s="8" t="str">
        <f>VLOOKUP(RawSalesTable6[[#This Row],[Product_ID_Clean]],ProductsTable[],2,FALSE)</f>
        <v>Document Shredder</v>
      </c>
      <c r="Y502" s="8" t="str">
        <f>VLOOKUP(RawSalesTable6[[#This Row],[Product_ID_Clean]],ProductsTable[],3,FALSE)</f>
        <v>Office</v>
      </c>
      <c r="Z502" s="8">
        <f>VLOOKUP(RawSalesTable6[[#This Row],[Product_ID_Clean]],ProductsTable[],5,FALSE)</f>
        <v>117.65</v>
      </c>
      <c r="AA502" s="8">
        <f>RawSalesTable6[[#This Row],[Unit_Price]]*RawSalesTable6[[#This Row],[Quantity]]</f>
        <v>230.73</v>
      </c>
      <c r="AB502" s="8">
        <f>RawSalesTable6[[#This Row],[Gross_Sales]]*RawSalesTable6[[#This Row],[Discount_Pct]]</f>
        <v>23.073</v>
      </c>
      <c r="AC502" s="8">
        <f>RawSalesTable6[[#This Row],[Gross_Sales]]-RawSalesTable6[[#This Row],[Discount_Amount]]</f>
        <v>207.65699999999998</v>
      </c>
      <c r="AD502" s="8">
        <f>RawSalesTable6[[#This Row],[Unit_Cost]]*RawSalesTable6[[#This Row],[Quantity]]</f>
        <v>117.65</v>
      </c>
      <c r="AE502" s="8">
        <f>RawSalesTable6[[#This Row],[Net_Sales]]-RawSalesTable6[[#This Row],[Total_Cost]]</f>
        <v>90.006999999999977</v>
      </c>
      <c r="AF502" s="9">
        <f>RawSalesTable6[[#This Row],[Profit]]/RawSalesTable6[[#This Row],[Net_Sales]]</f>
        <v>0.43344072195977013</v>
      </c>
      <c r="AG502" s="8">
        <f>YEAR(RawSalesTable6[[#This Row],[Order_Date]])</f>
        <v>2025</v>
      </c>
      <c r="AH502" s="8">
        <f>MONTH(RawSalesTable6[[#This Row],[Order_Date]])</f>
        <v>5</v>
      </c>
      <c r="AI502" s="8" t="str">
        <f>TEXT(RawSalesTable6[[#This Row],[Order_Date]],"mmmm")</f>
        <v>mai</v>
      </c>
      <c r="AJ502" s="8" t="str">
        <f>IF(RawSalesTable6[[#This Row],[Month_Number]]&lt;=3,"Q1",IF(RawSalesTable6[[#This Row],[Month_Number]]&lt;=6,"Q2",IF(RawSalesTable6[[#This Row],[Month_Number]]&lt;=9,"Q3","Q4")))</f>
        <v>Q2</v>
      </c>
      <c r="AK502" s="8" t="str">
        <f>VLOOKUP(RawSalesTable6[[#This Row],[Customer_ID_Clean]],CustomersTable[],4,FALSE)</f>
        <v>British Columbia</v>
      </c>
      <c r="AL502" s="8">
        <f>IF(RawSalesTable6[[#This Row],[Return_Status]]="Yes",1,0)</f>
        <v>0</v>
      </c>
    </row>
    <row r="503" spans="1:38">
      <c r="A503" t="s">
        <v>936</v>
      </c>
      <c r="B503" s="3">
        <v>45804</v>
      </c>
      <c r="C503" t="s">
        <v>396</v>
      </c>
      <c r="D503" t="s">
        <v>85</v>
      </c>
      <c r="E503" t="s">
        <v>397</v>
      </c>
      <c r="F503" t="s">
        <v>87</v>
      </c>
      <c r="G503" t="s">
        <v>88</v>
      </c>
      <c r="H503" t="s">
        <v>89</v>
      </c>
      <c r="I503">
        <v>1</v>
      </c>
      <c r="J503" s="2">
        <v>326.2</v>
      </c>
      <c r="K503" s="4">
        <v>0</v>
      </c>
      <c r="L503" t="s">
        <v>98</v>
      </c>
      <c r="M503">
        <v>1</v>
      </c>
      <c r="N503" t="s">
        <v>91</v>
      </c>
      <c r="O503" t="str">
        <f>SUBSTITUTE(PROPER(TRIM(RawSalesTable6[[#This Row],[Channel_Raw]])),"Market Place","Marketplace")</f>
        <v>Online</v>
      </c>
      <c r="P503" t="str">
        <f>TRIM(RawSalesTable6[[#This Row],[Product_ID]])</f>
        <v>P1025</v>
      </c>
      <c r="Q503" t="str">
        <f>TRIM(RawSalesTable6[[#This Row],[Customer_ID]])</f>
        <v>C0058</v>
      </c>
      <c r="R503" s="8" t="str">
        <f>PROPER(TRIM(RawSalesTable6[[#This Row],[Store_Raw]]))</f>
        <v>Online Fulfillment</v>
      </c>
      <c r="S503" s="8" t="str">
        <f>IF(TRIM(RawSalesTable6[[#This Row],[Payment_Method_Raw]])="","Non renseigné",SUBSTITUTE(PROPER(TRIM(RawSalesTable6[[#This Row],[Payment_Method_Raw]])),"Cc","Credit Card"))</f>
        <v>Debit Card</v>
      </c>
      <c r="T503" s="8">
        <f>COUNTIF(A:A,RawSalesTable6[[#This Row],[Order_ID]])</f>
        <v>1</v>
      </c>
      <c r="U503" s="8" t="str">
        <f>TRIM(LEFT(RawSalesTable6[[#This Row],[Customer_Info]],FIND(",",RawSalesTable6[[#This Row],[Customer_Info]])-1))</f>
        <v>Mia Singh</v>
      </c>
      <c r="V503" s="8" t="str">
        <f>TRIM(MID(RawSalesTable6[[#This Row],[Customer_Info]],FIND(",",RawSalesTable6[[#This Row],[Customer_Info]])+1,FIND(",",RawSalesTable6[[#This Row],[Customer_Info]],FIND(",",RawSalesTable6[[#This Row],[Customer_Info]])+1)-FIND(",",RawSalesTable6[[#This Row],[Customer_Info]])-1))</f>
        <v>Laval</v>
      </c>
      <c r="W503" s="8" t="str">
        <f>TRIM(RIGHT(RawSalesTable6[[#This Row],[Customer_Info]],LEN(RawSalesTable6[[#This Row],[Customer_Info]])-FIND(",",RawSalesTable6[[#This Row],[Customer_Info]],FIND(",",RawSalesTable6[[#This Row],[Customer_Info]])+1)))</f>
        <v>Consumer</v>
      </c>
      <c r="X503" s="8" t="str">
        <f>VLOOKUP(RawSalesTable6[[#This Row],[Product_ID_Clean]],ProductsTable[],2,FALSE)</f>
        <v>Yoga Mat</v>
      </c>
      <c r="Y503" s="8" t="str">
        <f>VLOOKUP(RawSalesTable6[[#This Row],[Product_ID_Clean]],ProductsTable[],3,FALSE)</f>
        <v>Fitness</v>
      </c>
      <c r="Z503" s="8">
        <f>VLOOKUP(RawSalesTable6[[#This Row],[Product_ID_Clean]],ProductsTable[],5,FALSE)</f>
        <v>197.33</v>
      </c>
      <c r="AA503" s="8">
        <f>RawSalesTable6[[#This Row],[Unit_Price]]*RawSalesTable6[[#This Row],[Quantity]]</f>
        <v>326.2</v>
      </c>
      <c r="AB503" s="8">
        <f>RawSalesTable6[[#This Row],[Gross_Sales]]*RawSalesTable6[[#This Row],[Discount_Pct]]</f>
        <v>0</v>
      </c>
      <c r="AC503" s="8">
        <f>RawSalesTable6[[#This Row],[Gross_Sales]]-RawSalesTable6[[#This Row],[Discount_Amount]]</f>
        <v>326.2</v>
      </c>
      <c r="AD503" s="8">
        <f>RawSalesTable6[[#This Row],[Unit_Cost]]*RawSalesTable6[[#This Row],[Quantity]]</f>
        <v>197.33</v>
      </c>
      <c r="AE503" s="8">
        <f>RawSalesTable6[[#This Row],[Net_Sales]]-RawSalesTable6[[#This Row],[Total_Cost]]</f>
        <v>128.86999999999998</v>
      </c>
      <c r="AF503" s="9">
        <f>RawSalesTable6[[#This Row],[Profit]]/RawSalesTable6[[#This Row],[Net_Sales]]</f>
        <v>0.39506437768240338</v>
      </c>
      <c r="AG503" s="8">
        <f>YEAR(RawSalesTable6[[#This Row],[Order_Date]])</f>
        <v>2025</v>
      </c>
      <c r="AH503" s="8">
        <f>MONTH(RawSalesTable6[[#This Row],[Order_Date]])</f>
        <v>5</v>
      </c>
      <c r="AI503" s="8" t="str">
        <f>TEXT(RawSalesTable6[[#This Row],[Order_Date]],"mmmm")</f>
        <v>mai</v>
      </c>
      <c r="AJ503" s="8" t="str">
        <f>IF(RawSalesTable6[[#This Row],[Month_Number]]&lt;=3,"Q1",IF(RawSalesTable6[[#This Row],[Month_Number]]&lt;=6,"Q2",IF(RawSalesTable6[[#This Row],[Month_Number]]&lt;=9,"Q3","Q4")))</f>
        <v>Q2</v>
      </c>
      <c r="AK503" s="8" t="str">
        <f>VLOOKUP(RawSalesTable6[[#This Row],[Customer_ID_Clean]],CustomersTable[],4,FALSE)</f>
        <v>Quebec</v>
      </c>
      <c r="AL503" s="8">
        <f>IF(RawSalesTable6[[#This Row],[Return_Status]]="Yes",1,0)</f>
        <v>0</v>
      </c>
    </row>
    <row r="504" spans="1:38">
      <c r="A504" t="s">
        <v>937</v>
      </c>
      <c r="B504" s="3">
        <v>45875</v>
      </c>
      <c r="C504" t="s">
        <v>851</v>
      </c>
      <c r="D504" t="s">
        <v>418</v>
      </c>
      <c r="E504" t="s">
        <v>852</v>
      </c>
      <c r="F504" t="s">
        <v>111</v>
      </c>
      <c r="G504" t="s">
        <v>130</v>
      </c>
      <c r="H504" t="s">
        <v>89</v>
      </c>
      <c r="I504">
        <v>1</v>
      </c>
      <c r="J504" s="2">
        <v>353.25</v>
      </c>
      <c r="K504" s="4">
        <v>0.2</v>
      </c>
      <c r="L504" t="s">
        <v>106</v>
      </c>
      <c r="M504">
        <v>1</v>
      </c>
      <c r="N504" t="s">
        <v>91</v>
      </c>
      <c r="O504" t="str">
        <f>SUBSTITUTE(PROPER(TRIM(RawSalesTable6[[#This Row],[Channel_Raw]])),"Market Place","Marketplace")</f>
        <v>Online</v>
      </c>
      <c r="P504" t="str">
        <f>TRIM(RawSalesTable6[[#This Row],[Product_ID]])</f>
        <v>P1028</v>
      </c>
      <c r="Q504" t="str">
        <f>TRIM(RawSalesTable6[[#This Row],[Customer_ID]])</f>
        <v>C0026</v>
      </c>
      <c r="R504" s="8" t="str">
        <f>PROPER(TRIM(RawSalesTable6[[#This Row],[Store_Raw]]))</f>
        <v>Montreal Central</v>
      </c>
      <c r="S504" s="8" t="str">
        <f>IF(TRIM(RawSalesTable6[[#This Row],[Payment_Method_Raw]])="","Non renseigné",SUBSTITUTE(PROPER(TRIM(RawSalesTable6[[#This Row],[Payment_Method_Raw]])),"Cc","Credit Card"))</f>
        <v>Credit Card</v>
      </c>
      <c r="T504" s="8">
        <f>COUNTIF(A:A,RawSalesTable6[[#This Row],[Order_ID]])</f>
        <v>1</v>
      </c>
      <c r="U504" s="8" t="str">
        <f>TRIM(LEFT(RawSalesTable6[[#This Row],[Customer_Info]],FIND(",",RawSalesTable6[[#This Row],[Customer_Info]])-1))</f>
        <v>Adam Hall</v>
      </c>
      <c r="V504" s="8" t="str">
        <f>TRIM(MID(RawSalesTable6[[#This Row],[Customer_Info]],FIND(",",RawSalesTable6[[#This Row],[Customer_Info]])+1,FIND(",",RawSalesTable6[[#This Row],[Customer_Info]],FIND(",",RawSalesTable6[[#This Row],[Customer_Info]])+1)-FIND(",",RawSalesTable6[[#This Row],[Customer_Info]])-1))</f>
        <v>Surrey</v>
      </c>
      <c r="W504" s="8" t="str">
        <f>TRIM(RIGHT(RawSalesTable6[[#This Row],[Customer_Info]],LEN(RawSalesTable6[[#This Row],[Customer_Info]])-FIND(",",RawSalesTable6[[#This Row],[Customer_Info]],FIND(",",RawSalesTable6[[#This Row],[Customer_Info]])+1)))</f>
        <v>Corporate</v>
      </c>
      <c r="X504" s="8" t="str">
        <f>VLOOKUP(RawSalesTable6[[#This Row],[Product_ID_Clean]],ProductsTable[],2,FALSE)</f>
        <v>Foam Roller</v>
      </c>
      <c r="Y504" s="8" t="str">
        <f>VLOOKUP(RawSalesTable6[[#This Row],[Product_ID_Clean]],ProductsTable[],3,FALSE)</f>
        <v>Fitness</v>
      </c>
      <c r="Z504" s="8">
        <f>VLOOKUP(RawSalesTable6[[#This Row],[Product_ID_Clean]],ProductsTable[],5,FALSE)</f>
        <v>212.02</v>
      </c>
      <c r="AA504" s="8">
        <f>RawSalesTable6[[#This Row],[Unit_Price]]*RawSalesTable6[[#This Row],[Quantity]]</f>
        <v>353.25</v>
      </c>
      <c r="AB504" s="8">
        <f>RawSalesTable6[[#This Row],[Gross_Sales]]*RawSalesTable6[[#This Row],[Discount_Pct]]</f>
        <v>70.650000000000006</v>
      </c>
      <c r="AC504" s="8">
        <f>RawSalesTable6[[#This Row],[Gross_Sales]]-RawSalesTable6[[#This Row],[Discount_Amount]]</f>
        <v>282.60000000000002</v>
      </c>
      <c r="AD504" s="8">
        <f>RawSalesTable6[[#This Row],[Unit_Cost]]*RawSalesTable6[[#This Row],[Quantity]]</f>
        <v>212.02</v>
      </c>
      <c r="AE504" s="8">
        <f>RawSalesTable6[[#This Row],[Net_Sales]]-RawSalesTable6[[#This Row],[Total_Cost]]</f>
        <v>70.580000000000013</v>
      </c>
      <c r="AF504" s="9">
        <f>RawSalesTable6[[#This Row],[Profit]]/RawSalesTable6[[#This Row],[Net_Sales]]</f>
        <v>0.24975230007077143</v>
      </c>
      <c r="AG504" s="8">
        <f>YEAR(RawSalesTable6[[#This Row],[Order_Date]])</f>
        <v>2025</v>
      </c>
      <c r="AH504" s="8">
        <f>MONTH(RawSalesTable6[[#This Row],[Order_Date]])</f>
        <v>8</v>
      </c>
      <c r="AI504" s="8" t="str">
        <f>TEXT(RawSalesTable6[[#This Row],[Order_Date]],"mmmm")</f>
        <v>août</v>
      </c>
      <c r="AJ504" s="8" t="str">
        <f>IF(RawSalesTable6[[#This Row],[Month_Number]]&lt;=3,"Q1",IF(RawSalesTable6[[#This Row],[Month_Number]]&lt;=6,"Q2",IF(RawSalesTable6[[#This Row],[Month_Number]]&lt;=9,"Q3","Q4")))</f>
        <v>Q3</v>
      </c>
      <c r="AK504" s="8" t="str">
        <f>VLOOKUP(RawSalesTable6[[#This Row],[Customer_ID_Clean]],CustomersTable[],4,FALSE)</f>
        <v>British Columbia</v>
      </c>
      <c r="AL504" s="8">
        <f>IF(RawSalesTable6[[#This Row],[Return_Status]]="Yes",1,0)</f>
        <v>0</v>
      </c>
    </row>
    <row r="505" spans="1:38">
      <c r="A505" t="s">
        <v>938</v>
      </c>
      <c r="B505" s="3">
        <v>45880</v>
      </c>
      <c r="C505" t="s">
        <v>220</v>
      </c>
      <c r="D505" t="s">
        <v>346</v>
      </c>
      <c r="E505" t="s">
        <v>222</v>
      </c>
      <c r="F505" t="s">
        <v>145</v>
      </c>
      <c r="G505" t="s">
        <v>104</v>
      </c>
      <c r="H505" t="s">
        <v>89</v>
      </c>
      <c r="I505">
        <v>1</v>
      </c>
      <c r="J505" s="2">
        <v>247.11</v>
      </c>
      <c r="K505" s="4">
        <v>0.1</v>
      </c>
      <c r="L505" t="s">
        <v>106</v>
      </c>
      <c r="M505">
        <v>5</v>
      </c>
      <c r="N505" t="s">
        <v>91</v>
      </c>
      <c r="O505" t="str">
        <f>SUBSTITUTE(PROPER(TRIM(RawSalesTable6[[#This Row],[Channel_Raw]])),"Market Place","Marketplace")</f>
        <v>Online</v>
      </c>
      <c r="P505" t="str">
        <f>TRIM(RawSalesTable6[[#This Row],[Product_ID]])</f>
        <v>P1030</v>
      </c>
      <c r="Q505" t="str">
        <f>TRIM(RawSalesTable6[[#This Row],[Customer_ID]])</f>
        <v>C0067</v>
      </c>
      <c r="R505" s="8" t="str">
        <f>PROPER(TRIM(RawSalesTable6[[#This Row],[Store_Raw]]))</f>
        <v>Calgary North</v>
      </c>
      <c r="S505" s="8" t="str">
        <f>IF(TRIM(RawSalesTable6[[#This Row],[Payment_Method_Raw]])="","Non renseigné",SUBSTITUTE(PROPER(TRIM(RawSalesTable6[[#This Row],[Payment_Method_Raw]])),"Cc","Credit Card"))</f>
        <v>Credit Card</v>
      </c>
      <c r="T505" s="8">
        <f>COUNTIF(A:A,RawSalesTable6[[#This Row],[Order_ID]])</f>
        <v>1</v>
      </c>
      <c r="U505" s="8" t="str">
        <f>TRIM(LEFT(RawSalesTable6[[#This Row],[Customer_Info]],FIND(",",RawSalesTable6[[#This Row],[Customer_Info]])-1))</f>
        <v>Leo Bennett</v>
      </c>
      <c r="V505" s="8" t="str">
        <f>TRIM(MID(RawSalesTable6[[#This Row],[Customer_Info]],FIND(",",RawSalesTable6[[#This Row],[Customer_Info]])+1,FIND(",",RawSalesTable6[[#This Row],[Customer_Info]],FIND(",",RawSalesTable6[[#This Row],[Customer_Info]])+1)-FIND(",",RawSalesTable6[[#This Row],[Customer_Info]])-1))</f>
        <v>Mississauga</v>
      </c>
      <c r="W505" s="8" t="str">
        <f>TRIM(RIGHT(RawSalesTable6[[#This Row],[Customer_Info]],LEN(RawSalesTable6[[#This Row],[Customer_Info]])-FIND(",",RawSalesTable6[[#This Row],[Customer_Info]],FIND(",",RawSalesTable6[[#This Row],[Customer_Info]])+1)))</f>
        <v>Consumer</v>
      </c>
      <c r="X505" s="8" t="str">
        <f>VLOOKUP(RawSalesTable6[[#This Row],[Product_ID_Clean]],ProductsTable[],2,FALSE)</f>
        <v>Pull-up Bar</v>
      </c>
      <c r="Y505" s="8" t="str">
        <f>VLOOKUP(RawSalesTable6[[#This Row],[Product_ID_Clean]],ProductsTable[],3,FALSE)</f>
        <v>Fitness</v>
      </c>
      <c r="Z505" s="8">
        <f>VLOOKUP(RawSalesTable6[[#This Row],[Product_ID_Clean]],ProductsTable[],5,FALSE)</f>
        <v>125.4</v>
      </c>
      <c r="AA505" s="8">
        <f>RawSalesTable6[[#This Row],[Unit_Price]]*RawSalesTable6[[#This Row],[Quantity]]</f>
        <v>247.11</v>
      </c>
      <c r="AB505" s="8">
        <f>RawSalesTable6[[#This Row],[Gross_Sales]]*RawSalesTable6[[#This Row],[Discount_Pct]]</f>
        <v>24.711000000000002</v>
      </c>
      <c r="AC505" s="8">
        <f>RawSalesTable6[[#This Row],[Gross_Sales]]-RawSalesTable6[[#This Row],[Discount_Amount]]</f>
        <v>222.399</v>
      </c>
      <c r="AD505" s="8">
        <f>RawSalesTable6[[#This Row],[Unit_Cost]]*RawSalesTable6[[#This Row],[Quantity]]</f>
        <v>125.4</v>
      </c>
      <c r="AE505" s="8">
        <f>RawSalesTable6[[#This Row],[Net_Sales]]-RawSalesTable6[[#This Row],[Total_Cost]]</f>
        <v>96.998999999999995</v>
      </c>
      <c r="AF505" s="9">
        <f>RawSalesTable6[[#This Row],[Profit]]/RawSalesTable6[[#This Row],[Net_Sales]]</f>
        <v>0.43614854383338053</v>
      </c>
      <c r="AG505" s="8">
        <f>YEAR(RawSalesTable6[[#This Row],[Order_Date]])</f>
        <v>2025</v>
      </c>
      <c r="AH505" s="8">
        <f>MONTH(RawSalesTable6[[#This Row],[Order_Date]])</f>
        <v>8</v>
      </c>
      <c r="AI505" s="8" t="str">
        <f>TEXT(RawSalesTable6[[#This Row],[Order_Date]],"mmmm")</f>
        <v>août</v>
      </c>
      <c r="AJ505" s="8" t="str">
        <f>IF(RawSalesTable6[[#This Row],[Month_Number]]&lt;=3,"Q1",IF(RawSalesTable6[[#This Row],[Month_Number]]&lt;=6,"Q2",IF(RawSalesTable6[[#This Row],[Month_Number]]&lt;=9,"Q3","Q4")))</f>
        <v>Q3</v>
      </c>
      <c r="AK505" s="8" t="str">
        <f>VLOOKUP(RawSalesTable6[[#This Row],[Customer_ID_Clean]],CustomersTable[],4,FALSE)</f>
        <v>Ontario</v>
      </c>
      <c r="AL505" s="8">
        <f>IF(RawSalesTable6[[#This Row],[Return_Status]]="Yes",1,0)</f>
        <v>0</v>
      </c>
    </row>
    <row r="506" spans="1:38">
      <c r="A506" t="s">
        <v>939</v>
      </c>
      <c r="B506" s="3">
        <v>46007</v>
      </c>
      <c r="C506" t="s">
        <v>213</v>
      </c>
      <c r="D506" t="s">
        <v>303</v>
      </c>
      <c r="E506" t="s">
        <v>214</v>
      </c>
      <c r="F506" t="s">
        <v>116</v>
      </c>
      <c r="G506" t="s">
        <v>104</v>
      </c>
      <c r="H506" t="s">
        <v>89</v>
      </c>
      <c r="I506">
        <v>1</v>
      </c>
      <c r="J506" s="2">
        <v>161.33000000000001</v>
      </c>
      <c r="K506" s="4">
        <v>0.05</v>
      </c>
      <c r="L506" t="s">
        <v>253</v>
      </c>
      <c r="M506">
        <v>1</v>
      </c>
      <c r="N506" t="s">
        <v>91</v>
      </c>
      <c r="O506" t="str">
        <f>SUBSTITUTE(PROPER(TRIM(RawSalesTable6[[#This Row],[Channel_Raw]])),"Market Place","Marketplace")</f>
        <v>Online</v>
      </c>
      <c r="P506" t="str">
        <f>TRIM(RawSalesTable6[[#This Row],[Product_ID]])</f>
        <v>P1036</v>
      </c>
      <c r="Q506" t="str">
        <f>TRIM(RawSalesTable6[[#This Row],[Customer_ID]])</f>
        <v>C0001</v>
      </c>
      <c r="R506" s="8" t="str">
        <f>PROPER(TRIM(RawSalesTable6[[#This Row],[Store_Raw]]))</f>
        <v>Toronto Downtown</v>
      </c>
      <c r="S506" s="8" t="str">
        <f>IF(TRIM(RawSalesTable6[[#This Row],[Payment_Method_Raw]])="","Non renseigné",SUBSTITUTE(PROPER(TRIM(RawSalesTable6[[#This Row],[Payment_Method_Raw]])),"Cc","Credit Card"))</f>
        <v>Credit Card</v>
      </c>
      <c r="T506" s="8">
        <f>COUNTIF(A:A,RawSalesTable6[[#This Row],[Order_ID]])</f>
        <v>1</v>
      </c>
      <c r="U506" s="8" t="str">
        <f>TRIM(LEFT(RawSalesTable6[[#This Row],[Customer_Info]],FIND(",",RawSalesTable6[[#This Row],[Customer_Info]])-1))</f>
        <v>Ethan Roy</v>
      </c>
      <c r="V506" s="8" t="str">
        <f>TRIM(MID(RawSalesTable6[[#This Row],[Customer_Info]],FIND(",",RawSalesTable6[[#This Row],[Customer_Info]])+1,FIND(",",RawSalesTable6[[#This Row],[Customer_Info]],FIND(",",RawSalesTable6[[#This Row],[Customer_Info]])+1)-FIND(",",RawSalesTable6[[#This Row],[Customer_Info]])-1))</f>
        <v>Halifax</v>
      </c>
      <c r="W506" s="8" t="str">
        <f>TRIM(RIGHT(RawSalesTable6[[#This Row],[Customer_Info]],LEN(RawSalesTable6[[#This Row],[Customer_Info]])-FIND(",",RawSalesTable6[[#This Row],[Customer_Info]],FIND(",",RawSalesTable6[[#This Row],[Customer_Info]])+1)))</f>
        <v>Consumer</v>
      </c>
      <c r="X506" s="8" t="str">
        <f>VLOOKUP(RawSalesTable6[[#This Row],[Product_ID_Clean]],ProductsTable[],2,FALSE)</f>
        <v>Power Bank</v>
      </c>
      <c r="Y506" s="8" t="str">
        <f>VLOOKUP(RawSalesTable6[[#This Row],[Product_ID_Clean]],ProductsTable[],3,FALSE)</f>
        <v>Accessories</v>
      </c>
      <c r="Z506" s="8">
        <f>VLOOKUP(RawSalesTable6[[#This Row],[Product_ID_Clean]],ProductsTable[],5,FALSE)</f>
        <v>76.97</v>
      </c>
      <c r="AA506" s="8">
        <f>RawSalesTable6[[#This Row],[Unit_Price]]*RawSalesTable6[[#This Row],[Quantity]]</f>
        <v>161.33000000000001</v>
      </c>
      <c r="AB506" s="8">
        <f>RawSalesTable6[[#This Row],[Gross_Sales]]*RawSalesTable6[[#This Row],[Discount_Pct]]</f>
        <v>8.0665000000000013</v>
      </c>
      <c r="AC506" s="8">
        <f>RawSalesTable6[[#This Row],[Gross_Sales]]-RawSalesTable6[[#This Row],[Discount_Amount]]</f>
        <v>153.26350000000002</v>
      </c>
      <c r="AD506" s="8">
        <f>RawSalesTable6[[#This Row],[Unit_Cost]]*RawSalesTable6[[#This Row],[Quantity]]</f>
        <v>76.97</v>
      </c>
      <c r="AE506" s="8">
        <f>RawSalesTable6[[#This Row],[Net_Sales]]-RawSalesTable6[[#This Row],[Total_Cost]]</f>
        <v>76.293500000000023</v>
      </c>
      <c r="AF506" s="9">
        <f>RawSalesTable6[[#This Row],[Profit]]/RawSalesTable6[[#This Row],[Net_Sales]]</f>
        <v>0.49779301660212649</v>
      </c>
      <c r="AG506" s="8">
        <f>YEAR(RawSalesTable6[[#This Row],[Order_Date]])</f>
        <v>2025</v>
      </c>
      <c r="AH506" s="8">
        <f>MONTH(RawSalesTable6[[#This Row],[Order_Date]])</f>
        <v>12</v>
      </c>
      <c r="AI506" s="8" t="str">
        <f>TEXT(RawSalesTable6[[#This Row],[Order_Date]],"mmmm")</f>
        <v>décembre</v>
      </c>
      <c r="AJ506" s="8" t="str">
        <f>IF(RawSalesTable6[[#This Row],[Month_Number]]&lt;=3,"Q1",IF(RawSalesTable6[[#This Row],[Month_Number]]&lt;=6,"Q2",IF(RawSalesTable6[[#This Row],[Month_Number]]&lt;=9,"Q3","Q4")))</f>
        <v>Q4</v>
      </c>
      <c r="AK506" s="8" t="str">
        <f>VLOOKUP(RawSalesTable6[[#This Row],[Customer_ID_Clean]],CustomersTable[],4,FALSE)</f>
        <v>Nova Scotia</v>
      </c>
      <c r="AL506" s="8">
        <f>IF(RawSalesTable6[[#This Row],[Return_Status]]="Yes",1,0)</f>
        <v>0</v>
      </c>
    </row>
    <row r="507" spans="1:38">
      <c r="A507" t="s">
        <v>940</v>
      </c>
      <c r="B507" s="3">
        <v>45951</v>
      </c>
      <c r="C507" t="s">
        <v>230</v>
      </c>
      <c r="D507" t="s">
        <v>94</v>
      </c>
      <c r="E507" t="s">
        <v>232</v>
      </c>
      <c r="F507" t="s">
        <v>103</v>
      </c>
      <c r="G507" t="s">
        <v>88</v>
      </c>
      <c r="H507" t="s">
        <v>89</v>
      </c>
      <c r="I507">
        <v>4</v>
      </c>
      <c r="J507" s="2">
        <v>299.89999999999998</v>
      </c>
      <c r="K507" s="4">
        <v>0.05</v>
      </c>
      <c r="L507" t="s">
        <v>106</v>
      </c>
      <c r="M507">
        <v>7</v>
      </c>
      <c r="N507" t="s">
        <v>91</v>
      </c>
      <c r="O507" t="str">
        <f>SUBSTITUTE(PROPER(TRIM(RawSalesTable6[[#This Row],[Channel_Raw]])),"Market Place","Marketplace")</f>
        <v>Online</v>
      </c>
      <c r="P507" t="str">
        <f>TRIM(RawSalesTable6[[#This Row],[Product_ID]])</f>
        <v>P1033</v>
      </c>
      <c r="Q507" t="str">
        <f>TRIM(RawSalesTable6[[#This Row],[Customer_ID]])</f>
        <v>C0063</v>
      </c>
      <c r="R507" s="8" t="str">
        <f>PROPER(TRIM(RawSalesTable6[[#This Row],[Store_Raw]]))</f>
        <v>Vancouver West</v>
      </c>
      <c r="S507" s="8" t="str">
        <f>IF(TRIM(RawSalesTable6[[#This Row],[Payment_Method_Raw]])="","Non renseigné",SUBSTITUTE(PROPER(TRIM(RawSalesTable6[[#This Row],[Payment_Method_Raw]])),"Cc","Credit Card"))</f>
        <v>Credit Card</v>
      </c>
      <c r="T507" s="8">
        <f>COUNTIF(A:A,RawSalesTable6[[#This Row],[Order_ID]])</f>
        <v>1</v>
      </c>
      <c r="U507" s="8" t="str">
        <f>TRIM(LEFT(RawSalesTable6[[#This Row],[Customer_Info]],FIND(",",RawSalesTable6[[#This Row],[Customer_Info]])-1))</f>
        <v>Adam Singh</v>
      </c>
      <c r="V507" s="8" t="str">
        <f>TRIM(MID(RawSalesTable6[[#This Row],[Customer_Info]],FIND(",",RawSalesTable6[[#This Row],[Customer_Info]])+1,FIND(",",RawSalesTable6[[#This Row],[Customer_Info]],FIND(",",RawSalesTable6[[#This Row],[Customer_Info]])+1)-FIND(",",RawSalesTable6[[#This Row],[Customer_Info]])-1))</f>
        <v>Laval</v>
      </c>
      <c r="W507" s="8" t="str">
        <f>TRIM(RIGHT(RawSalesTable6[[#This Row],[Customer_Info]],LEN(RawSalesTable6[[#This Row],[Customer_Info]])-FIND(",",RawSalesTable6[[#This Row],[Customer_Info]],FIND(",",RawSalesTable6[[#This Row],[Customer_Info]])+1)))</f>
        <v>Small Business</v>
      </c>
      <c r="X507" s="8" t="str">
        <f>VLOOKUP(RawSalesTable6[[#This Row],[Product_ID_Clean]],ProductsTable[],2,FALSE)</f>
        <v>Backpack</v>
      </c>
      <c r="Y507" s="8" t="str">
        <f>VLOOKUP(RawSalesTable6[[#This Row],[Product_ID_Clean]],ProductsTable[],3,FALSE)</f>
        <v>Accessories</v>
      </c>
      <c r="Z507" s="8">
        <f>VLOOKUP(RawSalesTable6[[#This Row],[Product_ID_Clean]],ProductsTable[],5,FALSE)</f>
        <v>152.55000000000001</v>
      </c>
      <c r="AA507" s="8">
        <f>RawSalesTable6[[#This Row],[Unit_Price]]*RawSalesTable6[[#This Row],[Quantity]]</f>
        <v>1199.5999999999999</v>
      </c>
      <c r="AB507" s="8">
        <f>RawSalesTable6[[#This Row],[Gross_Sales]]*RawSalesTable6[[#This Row],[Discount_Pct]]</f>
        <v>59.98</v>
      </c>
      <c r="AC507" s="8">
        <f>RawSalesTable6[[#This Row],[Gross_Sales]]-RawSalesTable6[[#This Row],[Discount_Amount]]</f>
        <v>1139.6199999999999</v>
      </c>
      <c r="AD507" s="8">
        <f>RawSalesTable6[[#This Row],[Unit_Cost]]*RawSalesTable6[[#This Row],[Quantity]]</f>
        <v>610.20000000000005</v>
      </c>
      <c r="AE507" s="8">
        <f>RawSalesTable6[[#This Row],[Net_Sales]]-RawSalesTable6[[#This Row],[Total_Cost]]</f>
        <v>529.41999999999985</v>
      </c>
      <c r="AF507" s="9">
        <f>RawSalesTable6[[#This Row],[Profit]]/RawSalesTable6[[#This Row],[Net_Sales]]</f>
        <v>0.46455836155911612</v>
      </c>
      <c r="AG507" s="8">
        <f>YEAR(RawSalesTable6[[#This Row],[Order_Date]])</f>
        <v>2025</v>
      </c>
      <c r="AH507" s="8">
        <f>MONTH(RawSalesTable6[[#This Row],[Order_Date]])</f>
        <v>10</v>
      </c>
      <c r="AI507" s="8" t="str">
        <f>TEXT(RawSalesTable6[[#This Row],[Order_Date]],"mmmm")</f>
        <v>octobre</v>
      </c>
      <c r="AJ507" s="8" t="str">
        <f>IF(RawSalesTable6[[#This Row],[Month_Number]]&lt;=3,"Q1",IF(RawSalesTable6[[#This Row],[Month_Number]]&lt;=6,"Q2",IF(RawSalesTable6[[#This Row],[Month_Number]]&lt;=9,"Q3","Q4")))</f>
        <v>Q4</v>
      </c>
      <c r="AK507" s="8" t="str">
        <f>VLOOKUP(RawSalesTable6[[#This Row],[Customer_ID_Clean]],CustomersTable[],4,FALSE)</f>
        <v>Quebec</v>
      </c>
      <c r="AL507" s="8">
        <f>IF(RawSalesTable6[[#This Row],[Return_Status]]="Yes",1,0)</f>
        <v>0</v>
      </c>
    </row>
    <row r="508" spans="1:38">
      <c r="A508" t="s">
        <v>941</v>
      </c>
      <c r="B508" s="3">
        <v>45872</v>
      </c>
      <c r="C508" t="s">
        <v>410</v>
      </c>
      <c r="D508" t="s">
        <v>109</v>
      </c>
      <c r="E508" t="s">
        <v>411</v>
      </c>
      <c r="F508" t="s">
        <v>145</v>
      </c>
      <c r="G508" t="s">
        <v>96</v>
      </c>
      <c r="H508" t="s">
        <v>89</v>
      </c>
      <c r="I508">
        <v>2</v>
      </c>
      <c r="J508" s="2">
        <v>204.99</v>
      </c>
      <c r="K508" s="4">
        <v>0</v>
      </c>
      <c r="L508" t="s">
        <v>98</v>
      </c>
      <c r="M508">
        <v>7</v>
      </c>
      <c r="N508" t="s">
        <v>91</v>
      </c>
      <c r="O508" t="str">
        <f>SUBSTITUTE(PROPER(TRIM(RawSalesTable6[[#This Row],[Channel_Raw]])),"Market Place","Marketplace")</f>
        <v>Online</v>
      </c>
      <c r="P508" t="str">
        <f>TRIM(RawSalesTable6[[#This Row],[Product_ID]])</f>
        <v>P1032</v>
      </c>
      <c r="Q508" t="str">
        <f>TRIM(RawSalesTable6[[#This Row],[Customer_ID]])</f>
        <v>C0093</v>
      </c>
      <c r="R508" s="8" t="str">
        <f>PROPER(TRIM(RawSalesTable6[[#This Row],[Store_Raw]]))</f>
        <v>Calgary North</v>
      </c>
      <c r="S508" s="8" t="str">
        <f>IF(TRIM(RawSalesTable6[[#This Row],[Payment_Method_Raw]])="","Non renseigné",SUBSTITUTE(PROPER(TRIM(RawSalesTable6[[#This Row],[Payment_Method_Raw]])),"Cc","Credit Card"))</f>
        <v>Debit Card</v>
      </c>
      <c r="T508" s="8">
        <f>COUNTIF(A:A,RawSalesTable6[[#This Row],[Order_ID]])</f>
        <v>1</v>
      </c>
      <c r="U508" s="8" t="str">
        <f>TRIM(LEFT(RawSalesTable6[[#This Row],[Customer_Info]],FIND(",",RawSalesTable6[[#This Row],[Customer_Info]])-1))</f>
        <v>Ethan Roy</v>
      </c>
      <c r="V508" s="8" t="str">
        <f>TRIM(MID(RawSalesTable6[[#This Row],[Customer_Info]],FIND(",",RawSalesTable6[[#This Row],[Customer_Info]])+1,FIND(",",RawSalesTable6[[#This Row],[Customer_Info]],FIND(",",RawSalesTable6[[#This Row],[Customer_Info]])+1)-FIND(",",RawSalesTable6[[#This Row],[Customer_Info]])-1))</f>
        <v>Winnipeg</v>
      </c>
      <c r="W508" s="8" t="str">
        <f>TRIM(RIGHT(RawSalesTable6[[#This Row],[Customer_Info]],LEN(RawSalesTable6[[#This Row],[Customer_Info]])-FIND(",",RawSalesTable6[[#This Row],[Customer_Info]],FIND(",",RawSalesTable6[[#This Row],[Customer_Info]])+1)))</f>
        <v>Consumer</v>
      </c>
      <c r="X508" s="8" t="str">
        <f>VLOOKUP(RawSalesTable6[[#This Row],[Product_ID_Clean]],ProductsTable[],2,FALSE)</f>
        <v>Gym Bag</v>
      </c>
      <c r="Y508" s="8" t="str">
        <f>VLOOKUP(RawSalesTable6[[#This Row],[Product_ID_Clean]],ProductsTable[],3,FALSE)</f>
        <v>Fitness</v>
      </c>
      <c r="Z508" s="8">
        <f>VLOOKUP(RawSalesTable6[[#This Row],[Product_ID_Clean]],ProductsTable[],5,FALSE)</f>
        <v>132.72</v>
      </c>
      <c r="AA508" s="8">
        <f>RawSalesTable6[[#This Row],[Unit_Price]]*RawSalesTable6[[#This Row],[Quantity]]</f>
        <v>409.98</v>
      </c>
      <c r="AB508" s="8">
        <f>RawSalesTable6[[#This Row],[Gross_Sales]]*RawSalesTable6[[#This Row],[Discount_Pct]]</f>
        <v>0</v>
      </c>
      <c r="AC508" s="8">
        <f>RawSalesTable6[[#This Row],[Gross_Sales]]-RawSalesTable6[[#This Row],[Discount_Amount]]</f>
        <v>409.98</v>
      </c>
      <c r="AD508" s="8">
        <f>RawSalesTable6[[#This Row],[Unit_Cost]]*RawSalesTable6[[#This Row],[Quantity]]</f>
        <v>265.44</v>
      </c>
      <c r="AE508" s="8">
        <f>RawSalesTable6[[#This Row],[Net_Sales]]-RawSalesTable6[[#This Row],[Total_Cost]]</f>
        <v>144.54000000000002</v>
      </c>
      <c r="AF508" s="9">
        <f>RawSalesTable6[[#This Row],[Profit]]/RawSalesTable6[[#This Row],[Net_Sales]]</f>
        <v>0.35255378311137131</v>
      </c>
      <c r="AG508" s="8">
        <f>YEAR(RawSalesTable6[[#This Row],[Order_Date]])</f>
        <v>2025</v>
      </c>
      <c r="AH508" s="8">
        <f>MONTH(RawSalesTable6[[#This Row],[Order_Date]])</f>
        <v>8</v>
      </c>
      <c r="AI508" s="8" t="str">
        <f>TEXT(RawSalesTable6[[#This Row],[Order_Date]],"mmmm")</f>
        <v>août</v>
      </c>
      <c r="AJ508" s="8" t="str">
        <f>IF(RawSalesTable6[[#This Row],[Month_Number]]&lt;=3,"Q1",IF(RawSalesTable6[[#This Row],[Month_Number]]&lt;=6,"Q2",IF(RawSalesTable6[[#This Row],[Month_Number]]&lt;=9,"Q3","Q4")))</f>
        <v>Q3</v>
      </c>
      <c r="AK508" s="8" t="str">
        <f>VLOOKUP(RawSalesTable6[[#This Row],[Customer_ID_Clean]],CustomersTable[],4,FALSE)</f>
        <v>Manitoba</v>
      </c>
      <c r="AL508" s="8">
        <f>IF(RawSalesTable6[[#This Row],[Return_Status]]="Yes",1,0)</f>
        <v>0</v>
      </c>
    </row>
    <row r="509" spans="1:38">
      <c r="A509" t="s">
        <v>942</v>
      </c>
      <c r="B509" s="3">
        <v>46008</v>
      </c>
      <c r="C509" t="s">
        <v>430</v>
      </c>
      <c r="D509" t="s">
        <v>738</v>
      </c>
      <c r="E509" t="s">
        <v>431</v>
      </c>
      <c r="F509" t="s">
        <v>116</v>
      </c>
      <c r="G509" t="s">
        <v>117</v>
      </c>
      <c r="H509" t="s">
        <v>89</v>
      </c>
      <c r="I509">
        <v>2</v>
      </c>
      <c r="J509" s="2">
        <v>337.92</v>
      </c>
      <c r="K509" s="4">
        <v>0.1</v>
      </c>
      <c r="L509" t="s">
        <v>90</v>
      </c>
      <c r="M509">
        <v>6</v>
      </c>
      <c r="N509" t="s">
        <v>91</v>
      </c>
      <c r="O509" t="str">
        <f>SUBSTITUTE(PROPER(TRIM(RawSalesTable6[[#This Row],[Channel_Raw]])),"Market Place","Marketplace")</f>
        <v>Online</v>
      </c>
      <c r="P509" t="str">
        <f>TRIM(RawSalesTable6[[#This Row],[Product_ID]])</f>
        <v>P1016</v>
      </c>
      <c r="Q509" t="str">
        <f>TRIM(RawSalesTable6[[#This Row],[Customer_ID]])</f>
        <v>C0056</v>
      </c>
      <c r="R509" s="8" t="str">
        <f>PROPER(TRIM(RawSalesTable6[[#This Row],[Store_Raw]]))</f>
        <v>Toronto Downtown</v>
      </c>
      <c r="S509" s="8" t="str">
        <f>IF(TRIM(RawSalesTable6[[#This Row],[Payment_Method_Raw]])="","Non renseigné",SUBSTITUTE(PROPER(TRIM(RawSalesTable6[[#This Row],[Payment_Method_Raw]])),"Cc","Credit Card"))</f>
        <v>Paypal</v>
      </c>
      <c r="T509" s="8">
        <f>COUNTIF(A:A,RawSalesTable6[[#This Row],[Order_ID]])</f>
        <v>1</v>
      </c>
      <c r="U509" s="8" t="str">
        <f>TRIM(LEFT(RawSalesTable6[[#This Row],[Customer_Info]],FIND(",",RawSalesTable6[[#This Row],[Customer_Info]])-1))</f>
        <v>Sarah Wilson</v>
      </c>
      <c r="V509" s="8" t="str">
        <f>TRIM(MID(RawSalesTable6[[#This Row],[Customer_Info]],FIND(",",RawSalesTable6[[#This Row],[Customer_Info]])+1,FIND(",",RawSalesTable6[[#This Row],[Customer_Info]],FIND(",",RawSalesTable6[[#This Row],[Customer_Info]])+1)-FIND(",",RawSalesTable6[[#This Row],[Customer_Info]])-1))</f>
        <v>Halifax</v>
      </c>
      <c r="W509" s="8" t="str">
        <f>TRIM(RIGHT(RawSalesTable6[[#This Row],[Customer_Info]],LEN(RawSalesTable6[[#This Row],[Customer_Info]])-FIND(",",RawSalesTable6[[#This Row],[Customer_Info]],FIND(",",RawSalesTable6[[#This Row],[Customer_Info]])+1)))</f>
        <v>Consumer</v>
      </c>
      <c r="X509" s="8" t="str">
        <f>VLOOKUP(RawSalesTable6[[#This Row],[Product_ID_Clean]],ProductsTable[],2,FALSE)</f>
        <v>Printer</v>
      </c>
      <c r="Y509" s="8" t="str">
        <f>VLOOKUP(RawSalesTable6[[#This Row],[Product_ID_Clean]],ProductsTable[],3,FALSE)</f>
        <v>Office</v>
      </c>
      <c r="Z509" s="8">
        <f>VLOOKUP(RawSalesTable6[[#This Row],[Product_ID_Clean]],ProductsTable[],5,FALSE)</f>
        <v>156.75</v>
      </c>
      <c r="AA509" s="8">
        <f>RawSalesTable6[[#This Row],[Unit_Price]]*RawSalesTable6[[#This Row],[Quantity]]</f>
        <v>675.84</v>
      </c>
      <c r="AB509" s="8">
        <f>RawSalesTable6[[#This Row],[Gross_Sales]]*RawSalesTable6[[#This Row],[Discount_Pct]]</f>
        <v>67.584000000000003</v>
      </c>
      <c r="AC509" s="8">
        <f>RawSalesTable6[[#This Row],[Gross_Sales]]-RawSalesTable6[[#This Row],[Discount_Amount]]</f>
        <v>608.25600000000009</v>
      </c>
      <c r="AD509" s="8">
        <f>RawSalesTable6[[#This Row],[Unit_Cost]]*RawSalesTable6[[#This Row],[Quantity]]</f>
        <v>313.5</v>
      </c>
      <c r="AE509" s="8">
        <f>RawSalesTable6[[#This Row],[Net_Sales]]-RawSalesTable6[[#This Row],[Total_Cost]]</f>
        <v>294.75600000000009</v>
      </c>
      <c r="AF509" s="9">
        <f>RawSalesTable6[[#This Row],[Profit]]/RawSalesTable6[[#This Row],[Net_Sales]]</f>
        <v>0.48459201388888895</v>
      </c>
      <c r="AG509" s="8">
        <f>YEAR(RawSalesTable6[[#This Row],[Order_Date]])</f>
        <v>2025</v>
      </c>
      <c r="AH509" s="8">
        <f>MONTH(RawSalesTable6[[#This Row],[Order_Date]])</f>
        <v>12</v>
      </c>
      <c r="AI509" s="8" t="str">
        <f>TEXT(RawSalesTable6[[#This Row],[Order_Date]],"mmmm")</f>
        <v>décembre</v>
      </c>
      <c r="AJ509" s="8" t="str">
        <f>IF(RawSalesTable6[[#This Row],[Month_Number]]&lt;=3,"Q1",IF(RawSalesTable6[[#This Row],[Month_Number]]&lt;=6,"Q2",IF(RawSalesTable6[[#This Row],[Month_Number]]&lt;=9,"Q3","Q4")))</f>
        <v>Q4</v>
      </c>
      <c r="AK509" s="8" t="str">
        <f>VLOOKUP(RawSalesTable6[[#This Row],[Customer_ID_Clean]],CustomersTable[],4,FALSE)</f>
        <v>Nova Scotia</v>
      </c>
      <c r="AL509" s="8">
        <f>IF(RawSalesTable6[[#This Row],[Return_Status]]="Yes",1,0)</f>
        <v>0</v>
      </c>
    </row>
    <row r="510" spans="1:38">
      <c r="A510" t="s">
        <v>943</v>
      </c>
      <c r="B510" s="3">
        <v>45895</v>
      </c>
      <c r="C510" t="s">
        <v>200</v>
      </c>
      <c r="D510" t="s">
        <v>143</v>
      </c>
      <c r="E510" t="s">
        <v>201</v>
      </c>
      <c r="F510" t="s">
        <v>116</v>
      </c>
      <c r="G510" t="s">
        <v>122</v>
      </c>
      <c r="H510" t="s">
        <v>89</v>
      </c>
      <c r="I510">
        <v>1</v>
      </c>
      <c r="J510" s="2">
        <v>249.77</v>
      </c>
      <c r="K510" s="4">
        <v>0</v>
      </c>
      <c r="L510" t="s">
        <v>504</v>
      </c>
      <c r="M510">
        <v>7</v>
      </c>
      <c r="N510" t="s">
        <v>91</v>
      </c>
      <c r="O510" t="str">
        <f>SUBSTITUTE(PROPER(TRIM(RawSalesTable6[[#This Row],[Channel_Raw]])),"Market Place","Marketplace")</f>
        <v>Online</v>
      </c>
      <c r="P510" t="str">
        <f>TRIM(RawSalesTable6[[#This Row],[Product_ID]])</f>
        <v>P1038</v>
      </c>
      <c r="Q510" t="str">
        <f>TRIM(RawSalesTable6[[#This Row],[Customer_ID]])</f>
        <v>C0118</v>
      </c>
      <c r="R510" s="8" t="str">
        <f>PROPER(TRIM(RawSalesTable6[[#This Row],[Store_Raw]]))</f>
        <v>Toronto Downtown</v>
      </c>
      <c r="S510" s="8" t="str">
        <f>IF(TRIM(RawSalesTable6[[#This Row],[Payment_Method_Raw]])="","Non renseigné",SUBSTITUTE(PROPER(TRIM(RawSalesTable6[[#This Row],[Payment_Method_Raw]])),"Cc","Credit Card"))</f>
        <v>Debit Card</v>
      </c>
      <c r="T510" s="8">
        <f>COUNTIF(A:A,RawSalesTable6[[#This Row],[Order_ID]])</f>
        <v>1</v>
      </c>
      <c r="U510" s="8" t="str">
        <f>TRIM(LEFT(RawSalesTable6[[#This Row],[Customer_Info]],FIND(",",RawSalesTable6[[#This Row],[Customer_Info]])-1))</f>
        <v>Ryan Smith</v>
      </c>
      <c r="V510" s="8" t="str">
        <f>TRIM(MID(RawSalesTable6[[#This Row],[Customer_Info]],FIND(",",RawSalesTable6[[#This Row],[Customer_Info]])+1,FIND(",",RawSalesTable6[[#This Row],[Customer_Info]],FIND(",",RawSalesTable6[[#This Row],[Customer_Info]])+1)-FIND(",",RawSalesTable6[[#This Row],[Customer_Info]])-1))</f>
        <v>Victoria</v>
      </c>
      <c r="W510" s="8" t="str">
        <f>TRIM(RIGHT(RawSalesTable6[[#This Row],[Customer_Info]],LEN(RawSalesTable6[[#This Row],[Customer_Info]])-FIND(",",RawSalesTable6[[#This Row],[Customer_Info]],FIND(",",RawSalesTable6[[#This Row],[Customer_Info]])+1)))</f>
        <v>Small Business</v>
      </c>
      <c r="X510" s="8" t="str">
        <f>VLOOKUP(RawSalesTable6[[#This Row],[Product_ID_Clean]],ProductsTable[],2,FALSE)</f>
        <v>Water Bottle</v>
      </c>
      <c r="Y510" s="8" t="str">
        <f>VLOOKUP(RawSalesTable6[[#This Row],[Product_ID_Clean]],ProductsTable[],3,FALSE)</f>
        <v>Accessories</v>
      </c>
      <c r="Z510" s="8">
        <f>VLOOKUP(RawSalesTable6[[#This Row],[Product_ID_Clean]],ProductsTable[],5,FALSE)</f>
        <v>119.16</v>
      </c>
      <c r="AA510" s="8">
        <f>RawSalesTable6[[#This Row],[Unit_Price]]*RawSalesTable6[[#This Row],[Quantity]]</f>
        <v>249.77</v>
      </c>
      <c r="AB510" s="8">
        <f>RawSalesTable6[[#This Row],[Gross_Sales]]*RawSalesTable6[[#This Row],[Discount_Pct]]</f>
        <v>0</v>
      </c>
      <c r="AC510" s="8">
        <f>RawSalesTable6[[#This Row],[Gross_Sales]]-RawSalesTable6[[#This Row],[Discount_Amount]]</f>
        <v>249.77</v>
      </c>
      <c r="AD510" s="8">
        <f>RawSalesTable6[[#This Row],[Unit_Cost]]*RawSalesTable6[[#This Row],[Quantity]]</f>
        <v>119.16</v>
      </c>
      <c r="AE510" s="8">
        <f>RawSalesTable6[[#This Row],[Net_Sales]]-RawSalesTable6[[#This Row],[Total_Cost]]</f>
        <v>130.61000000000001</v>
      </c>
      <c r="AF510" s="9">
        <f>RawSalesTable6[[#This Row],[Profit]]/RawSalesTable6[[#This Row],[Net_Sales]]</f>
        <v>0.52292108740040844</v>
      </c>
      <c r="AG510" s="8">
        <f>YEAR(RawSalesTable6[[#This Row],[Order_Date]])</f>
        <v>2025</v>
      </c>
      <c r="AH510" s="8">
        <f>MONTH(RawSalesTable6[[#This Row],[Order_Date]])</f>
        <v>8</v>
      </c>
      <c r="AI510" s="8" t="str">
        <f>TEXT(RawSalesTable6[[#This Row],[Order_Date]],"mmmm")</f>
        <v>août</v>
      </c>
      <c r="AJ510" s="8" t="str">
        <f>IF(RawSalesTable6[[#This Row],[Month_Number]]&lt;=3,"Q1",IF(RawSalesTable6[[#This Row],[Month_Number]]&lt;=6,"Q2",IF(RawSalesTable6[[#This Row],[Month_Number]]&lt;=9,"Q3","Q4")))</f>
        <v>Q3</v>
      </c>
      <c r="AK510" s="8" t="str">
        <f>VLOOKUP(RawSalesTable6[[#This Row],[Customer_ID_Clean]],CustomersTable[],4,FALSE)</f>
        <v>British Columbia</v>
      </c>
      <c r="AL510" s="8">
        <f>IF(RawSalesTable6[[#This Row],[Return_Status]]="Yes",1,0)</f>
        <v>0</v>
      </c>
    </row>
    <row r="511" spans="1:38">
      <c r="A511" t="s">
        <v>944</v>
      </c>
      <c r="B511" s="3">
        <v>45749</v>
      </c>
      <c r="C511" t="s">
        <v>286</v>
      </c>
      <c r="D511" t="s">
        <v>114</v>
      </c>
      <c r="E511" t="s">
        <v>287</v>
      </c>
      <c r="F511" t="s">
        <v>103</v>
      </c>
      <c r="G511" t="s">
        <v>104</v>
      </c>
      <c r="H511" t="s">
        <v>97</v>
      </c>
      <c r="I511">
        <v>1</v>
      </c>
      <c r="J511" s="2">
        <v>139.44</v>
      </c>
      <c r="K511" s="4">
        <v>0</v>
      </c>
      <c r="L511" t="s">
        <v>90</v>
      </c>
      <c r="M511">
        <v>3</v>
      </c>
      <c r="N511" t="s">
        <v>91</v>
      </c>
      <c r="O511" t="str">
        <f>SUBSTITUTE(PROPER(TRIM(RawSalesTable6[[#This Row],[Channel_Raw]])),"Market Place","Marketplace")</f>
        <v>Retail Store</v>
      </c>
      <c r="P511" t="str">
        <f>TRIM(RawSalesTable6[[#This Row],[Product_ID]])</f>
        <v>P1034</v>
      </c>
      <c r="Q511" t="str">
        <f>TRIM(RawSalesTable6[[#This Row],[Customer_ID]])</f>
        <v>C0098</v>
      </c>
      <c r="R511" s="8" t="str">
        <f>PROPER(TRIM(RawSalesTable6[[#This Row],[Store_Raw]]))</f>
        <v>Vancouver West</v>
      </c>
      <c r="S511" s="8" t="str">
        <f>IF(TRIM(RawSalesTable6[[#This Row],[Payment_Method_Raw]])="","Non renseigné",SUBSTITUTE(PROPER(TRIM(RawSalesTable6[[#This Row],[Payment_Method_Raw]])),"Cc","Credit Card"))</f>
        <v>Paypal</v>
      </c>
      <c r="T511" s="8">
        <f>COUNTIF(A:A,RawSalesTable6[[#This Row],[Order_ID]])</f>
        <v>1</v>
      </c>
      <c r="U511" s="8" t="str">
        <f>TRIM(LEFT(RawSalesTable6[[#This Row],[Customer_Info]],FIND(",",RawSalesTable6[[#This Row],[Customer_Info]])-1))</f>
        <v>Nora Young</v>
      </c>
      <c r="V511" s="8" t="str">
        <f>TRIM(MID(RawSalesTable6[[#This Row],[Customer_Info]],FIND(",",RawSalesTable6[[#This Row],[Customer_Info]])+1,FIND(",",RawSalesTable6[[#This Row],[Customer_Info]],FIND(",",RawSalesTable6[[#This Row],[Customer_Info]])+1)-FIND(",",RawSalesTable6[[#This Row],[Customer_Info]])-1))</f>
        <v>Winnipeg</v>
      </c>
      <c r="W511" s="8" t="str">
        <f>TRIM(RIGHT(RawSalesTable6[[#This Row],[Customer_Info]],LEN(RawSalesTable6[[#This Row],[Customer_Info]])-FIND(",",RawSalesTable6[[#This Row],[Customer_Info]],FIND(",",RawSalesTable6[[#This Row],[Customer_Info]])+1)))</f>
        <v>Consumer</v>
      </c>
      <c r="X511" s="8" t="str">
        <f>VLOOKUP(RawSalesTable6[[#This Row],[Product_ID_Clean]],ProductsTable[],2,FALSE)</f>
        <v>Laptop Sleeve</v>
      </c>
      <c r="Y511" s="8" t="str">
        <f>VLOOKUP(RawSalesTable6[[#This Row],[Product_ID_Clean]],ProductsTable[],3,FALSE)</f>
        <v>Accessories</v>
      </c>
      <c r="Z511" s="8">
        <f>VLOOKUP(RawSalesTable6[[#This Row],[Product_ID_Clean]],ProductsTable[],5,FALSE)</f>
        <v>78.95</v>
      </c>
      <c r="AA511" s="8">
        <f>RawSalesTable6[[#This Row],[Unit_Price]]*RawSalesTable6[[#This Row],[Quantity]]</f>
        <v>139.44</v>
      </c>
      <c r="AB511" s="8">
        <f>RawSalesTable6[[#This Row],[Gross_Sales]]*RawSalesTable6[[#This Row],[Discount_Pct]]</f>
        <v>0</v>
      </c>
      <c r="AC511" s="8">
        <f>RawSalesTable6[[#This Row],[Gross_Sales]]-RawSalesTable6[[#This Row],[Discount_Amount]]</f>
        <v>139.44</v>
      </c>
      <c r="AD511" s="8">
        <f>RawSalesTable6[[#This Row],[Unit_Cost]]*RawSalesTable6[[#This Row],[Quantity]]</f>
        <v>78.95</v>
      </c>
      <c r="AE511" s="8">
        <f>RawSalesTable6[[#This Row],[Net_Sales]]-RawSalesTable6[[#This Row],[Total_Cost]]</f>
        <v>60.489999999999995</v>
      </c>
      <c r="AF511" s="9">
        <f>RawSalesTable6[[#This Row],[Profit]]/RawSalesTable6[[#This Row],[Net_Sales]]</f>
        <v>0.43380665519219735</v>
      </c>
      <c r="AG511" s="8">
        <f>YEAR(RawSalesTable6[[#This Row],[Order_Date]])</f>
        <v>2025</v>
      </c>
      <c r="AH511" s="8">
        <f>MONTH(RawSalesTable6[[#This Row],[Order_Date]])</f>
        <v>4</v>
      </c>
      <c r="AI511" s="8" t="str">
        <f>TEXT(RawSalesTable6[[#This Row],[Order_Date]],"mmmm")</f>
        <v>avril</v>
      </c>
      <c r="AJ511" s="8" t="str">
        <f>IF(RawSalesTable6[[#This Row],[Month_Number]]&lt;=3,"Q1",IF(RawSalesTable6[[#This Row],[Month_Number]]&lt;=6,"Q2",IF(RawSalesTable6[[#This Row],[Month_Number]]&lt;=9,"Q3","Q4")))</f>
        <v>Q2</v>
      </c>
      <c r="AK511" s="8" t="str">
        <f>VLOOKUP(RawSalesTable6[[#This Row],[Customer_ID_Clean]],CustomersTable[],4,FALSE)</f>
        <v>Manitoba</v>
      </c>
      <c r="AL511" s="8">
        <f>IF(RawSalesTable6[[#This Row],[Return_Status]]="Yes",1,0)</f>
        <v>0</v>
      </c>
    </row>
    <row r="512" spans="1:38">
      <c r="A512" t="s">
        <v>945</v>
      </c>
      <c r="B512" s="3">
        <v>45986</v>
      </c>
      <c r="C512" t="s">
        <v>300</v>
      </c>
      <c r="D512" t="s">
        <v>194</v>
      </c>
      <c r="E512" t="s">
        <v>301</v>
      </c>
      <c r="F512" t="s">
        <v>111</v>
      </c>
      <c r="G512" t="s">
        <v>104</v>
      </c>
      <c r="H512" t="s">
        <v>89</v>
      </c>
      <c r="I512">
        <v>2</v>
      </c>
      <c r="J512" s="2">
        <v>199.62</v>
      </c>
      <c r="K512" s="4">
        <v>0.15</v>
      </c>
      <c r="L512" t="s">
        <v>90</v>
      </c>
      <c r="M512">
        <v>6</v>
      </c>
      <c r="N512" t="s">
        <v>91</v>
      </c>
      <c r="O512" t="str">
        <f>SUBSTITUTE(PROPER(TRIM(RawSalesTable6[[#This Row],[Channel_Raw]])),"Market Place","Marketplace")</f>
        <v>Online</v>
      </c>
      <c r="P512" t="str">
        <f>TRIM(RawSalesTable6[[#This Row],[Product_ID]])</f>
        <v>P1029</v>
      </c>
      <c r="Q512" t="str">
        <f>TRIM(RawSalesTable6[[#This Row],[Customer_ID]])</f>
        <v>C0016</v>
      </c>
      <c r="R512" s="8" t="str">
        <f>PROPER(TRIM(RawSalesTable6[[#This Row],[Store_Raw]]))</f>
        <v>Montreal Central</v>
      </c>
      <c r="S512" s="8" t="str">
        <f>IF(TRIM(RawSalesTable6[[#This Row],[Payment_Method_Raw]])="","Non renseigné",SUBSTITUTE(PROPER(TRIM(RawSalesTable6[[#This Row],[Payment_Method_Raw]])),"Cc","Credit Card"))</f>
        <v>Paypal</v>
      </c>
      <c r="T512" s="8">
        <f>COUNTIF(A:A,RawSalesTable6[[#This Row],[Order_ID]])</f>
        <v>1</v>
      </c>
      <c r="U512" s="8" t="str">
        <f>TRIM(LEFT(RawSalesTable6[[#This Row],[Customer_Info]],FIND(",",RawSalesTable6[[#This Row],[Customer_Info]])-1))</f>
        <v>Nora Singh</v>
      </c>
      <c r="V512" s="8" t="str">
        <f>TRIM(MID(RawSalesTable6[[#This Row],[Customer_Info]],FIND(",",RawSalesTable6[[#This Row],[Customer_Info]])+1,FIND(",",RawSalesTable6[[#This Row],[Customer_Info]],FIND(",",RawSalesTable6[[#This Row],[Customer_Info]])+1)-FIND(",",RawSalesTable6[[#This Row],[Customer_Info]])-1))</f>
        <v>Calgary</v>
      </c>
      <c r="W512" s="8" t="str">
        <f>TRIM(RIGHT(RawSalesTable6[[#This Row],[Customer_Info]],LEN(RawSalesTable6[[#This Row],[Customer_Info]])-FIND(",",RawSalesTable6[[#This Row],[Customer_Info]],FIND(",",RawSalesTable6[[#This Row],[Customer_Info]])+1)))</f>
        <v>Consumer</v>
      </c>
      <c r="X512" s="8" t="str">
        <f>VLOOKUP(RawSalesTable6[[#This Row],[Product_ID_Clean]],ProductsTable[],2,FALSE)</f>
        <v>Jump Rope</v>
      </c>
      <c r="Y512" s="8" t="str">
        <f>VLOOKUP(RawSalesTable6[[#This Row],[Product_ID_Clean]],ProductsTable[],3,FALSE)</f>
        <v>Fitness</v>
      </c>
      <c r="Z512" s="8">
        <f>VLOOKUP(RawSalesTable6[[#This Row],[Product_ID_Clean]],ProductsTable[],5,FALSE)</f>
        <v>101</v>
      </c>
      <c r="AA512" s="8">
        <f>RawSalesTable6[[#This Row],[Unit_Price]]*RawSalesTable6[[#This Row],[Quantity]]</f>
        <v>399.24</v>
      </c>
      <c r="AB512" s="8">
        <f>RawSalesTable6[[#This Row],[Gross_Sales]]*RawSalesTable6[[#This Row],[Discount_Pct]]</f>
        <v>59.885999999999996</v>
      </c>
      <c r="AC512" s="8">
        <f>RawSalesTable6[[#This Row],[Gross_Sales]]-RawSalesTable6[[#This Row],[Discount_Amount]]</f>
        <v>339.35400000000004</v>
      </c>
      <c r="AD512" s="8">
        <f>RawSalesTable6[[#This Row],[Unit_Cost]]*RawSalesTable6[[#This Row],[Quantity]]</f>
        <v>202</v>
      </c>
      <c r="AE512" s="8">
        <f>RawSalesTable6[[#This Row],[Net_Sales]]-RawSalesTable6[[#This Row],[Total_Cost]]</f>
        <v>137.35400000000004</v>
      </c>
      <c r="AF512" s="9">
        <f>RawSalesTable6[[#This Row],[Profit]]/RawSalesTable6[[#This Row],[Net_Sales]]</f>
        <v>0.40475138056424864</v>
      </c>
      <c r="AG512" s="8">
        <f>YEAR(RawSalesTable6[[#This Row],[Order_Date]])</f>
        <v>2025</v>
      </c>
      <c r="AH512" s="8">
        <f>MONTH(RawSalesTable6[[#This Row],[Order_Date]])</f>
        <v>11</v>
      </c>
      <c r="AI512" s="8" t="str">
        <f>TEXT(RawSalesTable6[[#This Row],[Order_Date]],"mmmm")</f>
        <v>novembre</v>
      </c>
      <c r="AJ512" s="8" t="str">
        <f>IF(RawSalesTable6[[#This Row],[Month_Number]]&lt;=3,"Q1",IF(RawSalesTable6[[#This Row],[Month_Number]]&lt;=6,"Q2",IF(RawSalesTable6[[#This Row],[Month_Number]]&lt;=9,"Q3","Q4")))</f>
        <v>Q4</v>
      </c>
      <c r="AK512" s="8" t="str">
        <f>VLOOKUP(RawSalesTable6[[#This Row],[Customer_ID_Clean]],CustomersTable[],4,FALSE)</f>
        <v>Alberta</v>
      </c>
      <c r="AL512" s="8">
        <f>IF(RawSalesTable6[[#This Row],[Return_Status]]="Yes",1,0)</f>
        <v>0</v>
      </c>
    </row>
    <row r="513" spans="1:38">
      <c r="A513" t="s">
        <v>946</v>
      </c>
      <c r="B513" s="3">
        <v>45957</v>
      </c>
      <c r="C513" t="s">
        <v>706</v>
      </c>
      <c r="D513" t="s">
        <v>101</v>
      </c>
      <c r="E513" t="s">
        <v>843</v>
      </c>
      <c r="F513" t="s">
        <v>111</v>
      </c>
      <c r="G513" t="s">
        <v>171</v>
      </c>
      <c r="H513" t="s">
        <v>97</v>
      </c>
      <c r="I513">
        <v>1</v>
      </c>
      <c r="J513" s="2">
        <v>316.77999999999997</v>
      </c>
      <c r="K513" s="4">
        <v>0</v>
      </c>
      <c r="L513" t="s">
        <v>106</v>
      </c>
      <c r="M513">
        <v>4</v>
      </c>
      <c r="N513" t="s">
        <v>91</v>
      </c>
      <c r="O513" t="str">
        <f>SUBSTITUTE(PROPER(TRIM(RawSalesTable6[[#This Row],[Channel_Raw]])),"Market Place","Marketplace")</f>
        <v>Retail Store</v>
      </c>
      <c r="P513" t="str">
        <f>TRIM(RawSalesTable6[[#This Row],[Product_ID]])</f>
        <v>P1021</v>
      </c>
      <c r="Q513" t="str">
        <f>TRIM(RawSalesTable6[[#This Row],[Customer_ID]])</f>
        <v>C0006</v>
      </c>
      <c r="R513" s="8" t="str">
        <f>PROPER(TRIM(RawSalesTable6[[#This Row],[Store_Raw]]))</f>
        <v>Montreal Central</v>
      </c>
      <c r="S513" s="8" t="str">
        <f>IF(TRIM(RawSalesTable6[[#This Row],[Payment_Method_Raw]])="","Non renseigné",SUBSTITUTE(PROPER(TRIM(RawSalesTable6[[#This Row],[Payment_Method_Raw]])),"Cc","Credit Card"))</f>
        <v>Credit Card</v>
      </c>
      <c r="T513" s="8">
        <f>COUNTIF(A:A,RawSalesTable6[[#This Row],[Order_ID]])</f>
        <v>1</v>
      </c>
      <c r="U513" s="8" t="str">
        <f>TRIM(LEFT(RawSalesTable6[[#This Row],[Customer_Info]],FIND(",",RawSalesTable6[[#This Row],[Customer_Info]])-1))</f>
        <v>Nora Wilson</v>
      </c>
      <c r="V513" s="8" t="str">
        <f>TRIM(MID(RawSalesTable6[[#This Row],[Customer_Info]],FIND(",",RawSalesTable6[[#This Row],[Customer_Info]])+1,FIND(",",RawSalesTable6[[#This Row],[Customer_Info]],FIND(",",RawSalesTable6[[#This Row],[Customer_Info]])+1)-FIND(",",RawSalesTable6[[#This Row],[Customer_Info]])-1))</f>
        <v>Laval</v>
      </c>
      <c r="W513" s="8" t="str">
        <f>TRIM(RIGHT(RawSalesTable6[[#This Row],[Customer_Info]],LEN(RawSalesTable6[[#This Row],[Customer_Info]])-FIND(",",RawSalesTable6[[#This Row],[Customer_Info]],FIND(",",RawSalesTable6[[#This Row],[Customer_Info]])+1)))</f>
        <v>Consumer</v>
      </c>
      <c r="X513" s="8" t="str">
        <f>VLOOKUP(RawSalesTable6[[#This Row],[Product_ID_Clean]],ProductsTable[],2,FALSE)</f>
        <v>Kettle</v>
      </c>
      <c r="Y513" s="8" t="str">
        <f>VLOOKUP(RawSalesTable6[[#This Row],[Product_ID_Clean]],ProductsTable[],3,FALSE)</f>
        <v>Home</v>
      </c>
      <c r="Z513" s="8">
        <f>VLOOKUP(RawSalesTable6[[#This Row],[Product_ID_Clean]],ProductsTable[],5,FALSE)</f>
        <v>139.86000000000001</v>
      </c>
      <c r="AA513" s="8">
        <f>RawSalesTable6[[#This Row],[Unit_Price]]*RawSalesTable6[[#This Row],[Quantity]]</f>
        <v>316.77999999999997</v>
      </c>
      <c r="AB513" s="8">
        <f>RawSalesTable6[[#This Row],[Gross_Sales]]*RawSalesTable6[[#This Row],[Discount_Pct]]</f>
        <v>0</v>
      </c>
      <c r="AC513" s="8">
        <f>RawSalesTable6[[#This Row],[Gross_Sales]]-RawSalesTable6[[#This Row],[Discount_Amount]]</f>
        <v>316.77999999999997</v>
      </c>
      <c r="AD513" s="8">
        <f>RawSalesTable6[[#This Row],[Unit_Cost]]*RawSalesTable6[[#This Row],[Quantity]]</f>
        <v>139.86000000000001</v>
      </c>
      <c r="AE513" s="8">
        <f>RawSalesTable6[[#This Row],[Net_Sales]]-RawSalesTable6[[#This Row],[Total_Cost]]</f>
        <v>176.91999999999996</v>
      </c>
      <c r="AF513" s="9">
        <f>RawSalesTable6[[#This Row],[Profit]]/RawSalesTable6[[#This Row],[Net_Sales]]</f>
        <v>0.55849485447313585</v>
      </c>
      <c r="AG513" s="8">
        <f>YEAR(RawSalesTable6[[#This Row],[Order_Date]])</f>
        <v>2025</v>
      </c>
      <c r="AH513" s="8">
        <f>MONTH(RawSalesTable6[[#This Row],[Order_Date]])</f>
        <v>10</v>
      </c>
      <c r="AI513" s="8" t="str">
        <f>TEXT(RawSalesTable6[[#This Row],[Order_Date]],"mmmm")</f>
        <v>octobre</v>
      </c>
      <c r="AJ513" s="8" t="str">
        <f>IF(RawSalesTable6[[#This Row],[Month_Number]]&lt;=3,"Q1",IF(RawSalesTable6[[#This Row],[Month_Number]]&lt;=6,"Q2",IF(RawSalesTable6[[#This Row],[Month_Number]]&lt;=9,"Q3","Q4")))</f>
        <v>Q4</v>
      </c>
      <c r="AK513" s="8" t="str">
        <f>VLOOKUP(RawSalesTable6[[#This Row],[Customer_ID_Clean]],CustomersTable[],4,FALSE)</f>
        <v>Quebec</v>
      </c>
      <c r="AL513" s="8">
        <f>IF(RawSalesTable6[[#This Row],[Return_Status]]="Yes",1,0)</f>
        <v>0</v>
      </c>
    </row>
    <row r="514" spans="1:38">
      <c r="A514" t="s">
        <v>947</v>
      </c>
      <c r="B514" s="3">
        <v>45851</v>
      </c>
      <c r="C514" t="s">
        <v>410</v>
      </c>
      <c r="D514" t="s">
        <v>190</v>
      </c>
      <c r="E514" t="s">
        <v>411</v>
      </c>
      <c r="F514" t="s">
        <v>655</v>
      </c>
      <c r="G514" t="s">
        <v>117</v>
      </c>
      <c r="H514" t="s">
        <v>97</v>
      </c>
      <c r="I514">
        <v>1</v>
      </c>
      <c r="J514" s="2">
        <v>277.89999999999998</v>
      </c>
      <c r="K514" s="4">
        <v>0.1</v>
      </c>
      <c r="L514" t="s">
        <v>98</v>
      </c>
      <c r="M514">
        <v>1</v>
      </c>
      <c r="N514" t="s">
        <v>147</v>
      </c>
      <c r="O514" t="str">
        <f>SUBSTITUTE(PROPER(TRIM(RawSalesTable6[[#This Row],[Channel_Raw]])),"Market Place","Marketplace")</f>
        <v>Retail Store</v>
      </c>
      <c r="P514" t="str">
        <f>TRIM(RawSalesTable6[[#This Row],[Product_ID]])</f>
        <v>P1004</v>
      </c>
      <c r="Q514" t="str">
        <f>TRIM(RawSalesTable6[[#This Row],[Customer_ID]])</f>
        <v>C0093</v>
      </c>
      <c r="R514" s="8" t="str">
        <f>PROPER(TRIM(RawSalesTable6[[#This Row],[Store_Raw]]))</f>
        <v>Online Fulfillment</v>
      </c>
      <c r="S514" s="8" t="str">
        <f>IF(TRIM(RawSalesTable6[[#This Row],[Payment_Method_Raw]])="","Non renseigné",SUBSTITUTE(PROPER(TRIM(RawSalesTable6[[#This Row],[Payment_Method_Raw]])),"Cc","Credit Card"))</f>
        <v>Debit Card</v>
      </c>
      <c r="T514" s="8">
        <f>COUNTIF(A:A,RawSalesTable6[[#This Row],[Order_ID]])</f>
        <v>1</v>
      </c>
      <c r="U514" s="8" t="str">
        <f>TRIM(LEFT(RawSalesTable6[[#This Row],[Customer_Info]],FIND(",",RawSalesTable6[[#This Row],[Customer_Info]])-1))</f>
        <v>Ethan Roy</v>
      </c>
      <c r="V514" s="8" t="str">
        <f>TRIM(MID(RawSalesTable6[[#This Row],[Customer_Info]],FIND(",",RawSalesTable6[[#This Row],[Customer_Info]])+1,FIND(",",RawSalesTable6[[#This Row],[Customer_Info]],FIND(",",RawSalesTable6[[#This Row],[Customer_Info]])+1)-FIND(",",RawSalesTable6[[#This Row],[Customer_Info]])-1))</f>
        <v>Winnipeg</v>
      </c>
      <c r="W514" s="8" t="str">
        <f>TRIM(RIGHT(RawSalesTable6[[#This Row],[Customer_Info]],LEN(RawSalesTable6[[#This Row],[Customer_Info]])-FIND(",",RawSalesTable6[[#This Row],[Customer_Info]],FIND(",",RawSalesTable6[[#This Row],[Customer_Info]])+1)))</f>
        <v>Consumer</v>
      </c>
      <c r="X514" s="8" t="str">
        <f>VLOOKUP(RawSalesTable6[[#This Row],[Product_ID_Clean]],ProductsTable[],2,FALSE)</f>
        <v>Webcam</v>
      </c>
      <c r="Y514" s="8" t="str">
        <f>VLOOKUP(RawSalesTable6[[#This Row],[Product_ID_Clean]],ProductsTable[],3,FALSE)</f>
        <v>Electronics</v>
      </c>
      <c r="Z514" s="8">
        <f>VLOOKUP(RawSalesTable6[[#This Row],[Product_ID_Clean]],ProductsTable[],5,FALSE)</f>
        <v>154.72999999999999</v>
      </c>
      <c r="AA514" s="8">
        <f>RawSalesTable6[[#This Row],[Unit_Price]]*RawSalesTable6[[#This Row],[Quantity]]</f>
        <v>277.89999999999998</v>
      </c>
      <c r="AB514" s="8">
        <f>RawSalesTable6[[#This Row],[Gross_Sales]]*RawSalesTable6[[#This Row],[Discount_Pct]]</f>
        <v>27.79</v>
      </c>
      <c r="AC514" s="8">
        <f>RawSalesTable6[[#This Row],[Gross_Sales]]-RawSalesTable6[[#This Row],[Discount_Amount]]</f>
        <v>250.10999999999999</v>
      </c>
      <c r="AD514" s="8">
        <f>RawSalesTable6[[#This Row],[Unit_Cost]]*RawSalesTable6[[#This Row],[Quantity]]</f>
        <v>154.72999999999999</v>
      </c>
      <c r="AE514" s="8">
        <f>RawSalesTable6[[#This Row],[Net_Sales]]-RawSalesTable6[[#This Row],[Total_Cost]]</f>
        <v>95.38</v>
      </c>
      <c r="AF514" s="9">
        <f>RawSalesTable6[[#This Row],[Profit]]/RawSalesTable6[[#This Row],[Net_Sales]]</f>
        <v>0.38135220502978689</v>
      </c>
      <c r="AG514" s="8">
        <f>YEAR(RawSalesTable6[[#This Row],[Order_Date]])</f>
        <v>2025</v>
      </c>
      <c r="AH514" s="8">
        <f>MONTH(RawSalesTable6[[#This Row],[Order_Date]])</f>
        <v>7</v>
      </c>
      <c r="AI514" s="8" t="str">
        <f>TEXT(RawSalesTable6[[#This Row],[Order_Date]],"mmmm")</f>
        <v>juillet</v>
      </c>
      <c r="AJ514" s="8" t="str">
        <f>IF(RawSalesTable6[[#This Row],[Month_Number]]&lt;=3,"Q1",IF(RawSalesTable6[[#This Row],[Month_Number]]&lt;=6,"Q2",IF(RawSalesTable6[[#This Row],[Month_Number]]&lt;=9,"Q3","Q4")))</f>
        <v>Q3</v>
      </c>
      <c r="AK514" s="8" t="str">
        <f>VLOOKUP(RawSalesTable6[[#This Row],[Customer_ID_Clean]],CustomersTable[],4,FALSE)</f>
        <v>Manitoba</v>
      </c>
      <c r="AL514" s="8">
        <f>IF(RawSalesTable6[[#This Row],[Return_Status]]="Yes",1,0)</f>
        <v>1</v>
      </c>
    </row>
    <row r="515" spans="1:38">
      <c r="A515" t="s">
        <v>948</v>
      </c>
      <c r="B515" s="3">
        <v>45973</v>
      </c>
      <c r="C515" t="s">
        <v>491</v>
      </c>
      <c r="D515" t="s">
        <v>85</v>
      </c>
      <c r="E515" t="s">
        <v>492</v>
      </c>
      <c r="F515" t="s">
        <v>145</v>
      </c>
      <c r="G515" t="s">
        <v>130</v>
      </c>
      <c r="H515" t="s">
        <v>97</v>
      </c>
      <c r="I515">
        <v>3</v>
      </c>
      <c r="J515" s="2">
        <v>324.2</v>
      </c>
      <c r="K515" s="4">
        <v>0.25</v>
      </c>
      <c r="L515" t="s">
        <v>253</v>
      </c>
      <c r="M515">
        <v>3</v>
      </c>
      <c r="N515" t="s">
        <v>91</v>
      </c>
      <c r="O515" t="str">
        <f>SUBSTITUTE(PROPER(TRIM(RawSalesTable6[[#This Row],[Channel_Raw]])),"Market Place","Marketplace")</f>
        <v>Retail Store</v>
      </c>
      <c r="P515" t="str">
        <f>TRIM(RawSalesTable6[[#This Row],[Product_ID]])</f>
        <v>P1025</v>
      </c>
      <c r="Q515" t="str">
        <f>TRIM(RawSalesTable6[[#This Row],[Customer_ID]])</f>
        <v>C0045</v>
      </c>
      <c r="R515" s="8" t="str">
        <f>PROPER(TRIM(RawSalesTable6[[#This Row],[Store_Raw]]))</f>
        <v>Calgary North</v>
      </c>
      <c r="S515" s="8" t="str">
        <f>IF(TRIM(RawSalesTable6[[#This Row],[Payment_Method_Raw]])="","Non renseigné",SUBSTITUTE(PROPER(TRIM(RawSalesTable6[[#This Row],[Payment_Method_Raw]])),"Cc","Credit Card"))</f>
        <v>Credit Card</v>
      </c>
      <c r="T515" s="8">
        <f>COUNTIF(A:A,RawSalesTable6[[#This Row],[Order_ID]])</f>
        <v>1</v>
      </c>
      <c r="U515" s="8" t="str">
        <f>TRIM(LEFT(RawSalesTable6[[#This Row],[Customer_Info]],FIND(",",RawSalesTable6[[#This Row],[Customer_Info]])-1))</f>
        <v>Lucas Chen</v>
      </c>
      <c r="V515" s="8" t="str">
        <f>TRIM(MID(RawSalesTable6[[#This Row],[Customer_Info]],FIND(",",RawSalesTable6[[#This Row],[Customer_Info]])+1,FIND(",",RawSalesTable6[[#This Row],[Customer_Info]],FIND(",",RawSalesTable6[[#This Row],[Customer_Info]])+1)-FIND(",",RawSalesTable6[[#This Row],[Customer_Info]])-1))</f>
        <v>Ottawa</v>
      </c>
      <c r="W515" s="8" t="str">
        <f>TRIM(RIGHT(RawSalesTable6[[#This Row],[Customer_Info]],LEN(RawSalesTable6[[#This Row],[Customer_Info]])-FIND(",",RawSalesTable6[[#This Row],[Customer_Info]],FIND(",",RawSalesTable6[[#This Row],[Customer_Info]])+1)))</f>
        <v>Corporate</v>
      </c>
      <c r="X515" s="8" t="str">
        <f>VLOOKUP(RawSalesTable6[[#This Row],[Product_ID_Clean]],ProductsTable[],2,FALSE)</f>
        <v>Yoga Mat</v>
      </c>
      <c r="Y515" s="8" t="str">
        <f>VLOOKUP(RawSalesTable6[[#This Row],[Product_ID_Clean]],ProductsTable[],3,FALSE)</f>
        <v>Fitness</v>
      </c>
      <c r="Z515" s="8">
        <f>VLOOKUP(RawSalesTable6[[#This Row],[Product_ID_Clean]],ProductsTable[],5,FALSE)</f>
        <v>197.33</v>
      </c>
      <c r="AA515" s="8">
        <f>RawSalesTable6[[#This Row],[Unit_Price]]*RawSalesTable6[[#This Row],[Quantity]]</f>
        <v>972.59999999999991</v>
      </c>
      <c r="AB515" s="8">
        <f>RawSalesTable6[[#This Row],[Gross_Sales]]*RawSalesTable6[[#This Row],[Discount_Pct]]</f>
        <v>243.14999999999998</v>
      </c>
      <c r="AC515" s="8">
        <f>RawSalesTable6[[#This Row],[Gross_Sales]]-RawSalesTable6[[#This Row],[Discount_Amount]]</f>
        <v>729.44999999999993</v>
      </c>
      <c r="AD515" s="8">
        <f>RawSalesTable6[[#This Row],[Unit_Cost]]*RawSalesTable6[[#This Row],[Quantity]]</f>
        <v>591.99</v>
      </c>
      <c r="AE515" s="8">
        <f>RawSalesTable6[[#This Row],[Net_Sales]]-RawSalesTable6[[#This Row],[Total_Cost]]</f>
        <v>137.45999999999992</v>
      </c>
      <c r="AF515" s="9">
        <f>RawSalesTable6[[#This Row],[Profit]]/RawSalesTable6[[#This Row],[Net_Sales]]</f>
        <v>0.18844334772773999</v>
      </c>
      <c r="AG515" s="8">
        <f>YEAR(RawSalesTable6[[#This Row],[Order_Date]])</f>
        <v>2025</v>
      </c>
      <c r="AH515" s="8">
        <f>MONTH(RawSalesTable6[[#This Row],[Order_Date]])</f>
        <v>11</v>
      </c>
      <c r="AI515" s="8" t="str">
        <f>TEXT(RawSalesTable6[[#This Row],[Order_Date]],"mmmm")</f>
        <v>novembre</v>
      </c>
      <c r="AJ515" s="8" t="str">
        <f>IF(RawSalesTable6[[#This Row],[Month_Number]]&lt;=3,"Q1",IF(RawSalesTable6[[#This Row],[Month_Number]]&lt;=6,"Q2",IF(RawSalesTable6[[#This Row],[Month_Number]]&lt;=9,"Q3","Q4")))</f>
        <v>Q4</v>
      </c>
      <c r="AK515" s="8" t="str">
        <f>VLOOKUP(RawSalesTable6[[#This Row],[Customer_ID_Clean]],CustomersTable[],4,FALSE)</f>
        <v>Ontario</v>
      </c>
      <c r="AL515" s="8">
        <f>IF(RawSalesTable6[[#This Row],[Return_Status]]="Yes",1,0)</f>
        <v>0</v>
      </c>
    </row>
    <row r="516" spans="1:38">
      <c r="A516" t="s">
        <v>949</v>
      </c>
      <c r="B516" s="3">
        <v>45687</v>
      </c>
      <c r="C516" t="s">
        <v>257</v>
      </c>
      <c r="D516" t="s">
        <v>226</v>
      </c>
      <c r="E516" t="s">
        <v>950</v>
      </c>
      <c r="F516" t="s">
        <v>145</v>
      </c>
      <c r="G516" t="s">
        <v>88</v>
      </c>
      <c r="H516" t="s">
        <v>97</v>
      </c>
      <c r="I516">
        <v>1</v>
      </c>
      <c r="J516" s="2">
        <v>226.49</v>
      </c>
      <c r="K516" s="4">
        <v>0.1</v>
      </c>
      <c r="L516" t="s">
        <v>106</v>
      </c>
      <c r="M516">
        <v>0</v>
      </c>
      <c r="N516" t="s">
        <v>91</v>
      </c>
      <c r="O516" t="str">
        <f>SUBSTITUTE(PROPER(TRIM(RawSalesTable6[[#This Row],[Channel_Raw]])),"Market Place","Marketplace")</f>
        <v>Retail Store</v>
      </c>
      <c r="P516" t="str">
        <f>TRIM(RawSalesTable6[[#This Row],[Product_ID]])</f>
        <v>P1010</v>
      </c>
      <c r="Q516" t="str">
        <f>TRIM(RawSalesTable6[[#This Row],[Customer_ID]])</f>
        <v>C0068</v>
      </c>
      <c r="R516" s="8" t="str">
        <f>PROPER(TRIM(RawSalesTable6[[#This Row],[Store_Raw]]))</f>
        <v>Calgary North</v>
      </c>
      <c r="S516" s="8" t="str">
        <f>IF(TRIM(RawSalesTable6[[#This Row],[Payment_Method_Raw]])="","Non renseigné",SUBSTITUTE(PROPER(TRIM(RawSalesTable6[[#This Row],[Payment_Method_Raw]])),"Cc","Credit Card"))</f>
        <v>Credit Card</v>
      </c>
      <c r="T516" s="8">
        <f>COUNTIF(A:A,RawSalesTable6[[#This Row],[Order_ID]])</f>
        <v>1</v>
      </c>
      <c r="U516" s="8" t="str">
        <f>TRIM(LEFT(RawSalesTable6[[#This Row],[Customer_Info]],FIND(",",RawSalesTable6[[#This Row],[Customer_Info]])-1))</f>
        <v>Yasmine Martin</v>
      </c>
      <c r="V516" s="8" t="str">
        <f>TRIM(MID(RawSalesTable6[[#This Row],[Customer_Info]],FIND(",",RawSalesTable6[[#This Row],[Customer_Info]])+1,FIND(",",RawSalesTable6[[#This Row],[Customer_Info]],FIND(",",RawSalesTable6[[#This Row],[Customer_Info]])+1)-FIND(",",RawSalesTable6[[#This Row],[Customer_Info]])-1))</f>
        <v>Calgary</v>
      </c>
      <c r="W516" s="8" t="str">
        <f>TRIM(RIGHT(RawSalesTable6[[#This Row],[Customer_Info]],LEN(RawSalesTable6[[#This Row],[Customer_Info]])-FIND(",",RawSalesTable6[[#This Row],[Customer_Info]],FIND(",",RawSalesTable6[[#This Row],[Customer_Info]])+1)))</f>
        <v>Consumer</v>
      </c>
      <c r="X516" s="8" t="str">
        <f>VLOOKUP(RawSalesTable6[[#This Row],[Product_ID_Clean]],ProductsTable[],2,FALSE)</f>
        <v>Desk Lamp</v>
      </c>
      <c r="Y516" s="8" t="str">
        <f>VLOOKUP(RawSalesTable6[[#This Row],[Product_ID_Clean]],ProductsTable[],3,FALSE)</f>
        <v>Office</v>
      </c>
      <c r="Z516" s="8">
        <f>VLOOKUP(RawSalesTable6[[#This Row],[Product_ID_Clean]],ProductsTable[],5,FALSE)</f>
        <v>127.21</v>
      </c>
      <c r="AA516" s="8">
        <f>RawSalesTable6[[#This Row],[Unit_Price]]*RawSalesTable6[[#This Row],[Quantity]]</f>
        <v>226.49</v>
      </c>
      <c r="AB516" s="8">
        <f>RawSalesTable6[[#This Row],[Gross_Sales]]*RawSalesTable6[[#This Row],[Discount_Pct]]</f>
        <v>22.649000000000001</v>
      </c>
      <c r="AC516" s="8">
        <f>RawSalesTable6[[#This Row],[Gross_Sales]]-RawSalesTable6[[#This Row],[Discount_Amount]]</f>
        <v>203.84100000000001</v>
      </c>
      <c r="AD516" s="8">
        <f>RawSalesTable6[[#This Row],[Unit_Cost]]*RawSalesTable6[[#This Row],[Quantity]]</f>
        <v>127.21</v>
      </c>
      <c r="AE516" s="8">
        <f>RawSalesTable6[[#This Row],[Net_Sales]]-RawSalesTable6[[#This Row],[Total_Cost]]</f>
        <v>76.631000000000014</v>
      </c>
      <c r="AF516" s="9">
        <f>RawSalesTable6[[#This Row],[Profit]]/RawSalesTable6[[#This Row],[Net_Sales]]</f>
        <v>0.37593516515323222</v>
      </c>
      <c r="AG516" s="8">
        <f>YEAR(RawSalesTable6[[#This Row],[Order_Date]])</f>
        <v>2025</v>
      </c>
      <c r="AH516" s="8">
        <f>MONTH(RawSalesTable6[[#This Row],[Order_Date]])</f>
        <v>1</v>
      </c>
      <c r="AI516" s="8" t="str">
        <f>TEXT(RawSalesTable6[[#This Row],[Order_Date]],"mmmm")</f>
        <v>janvier</v>
      </c>
      <c r="AJ516" s="8" t="str">
        <f>IF(RawSalesTable6[[#This Row],[Month_Number]]&lt;=3,"Q1",IF(RawSalesTable6[[#This Row],[Month_Number]]&lt;=6,"Q2",IF(RawSalesTable6[[#This Row],[Month_Number]]&lt;=9,"Q3","Q4")))</f>
        <v>Q1</v>
      </c>
      <c r="AK516" s="8" t="str">
        <f>VLOOKUP(RawSalesTable6[[#This Row],[Customer_ID_Clean]],CustomersTable[],4,FALSE)</f>
        <v>Alberta</v>
      </c>
      <c r="AL516" s="8">
        <f>IF(RawSalesTable6[[#This Row],[Return_Status]]="Yes",1,0)</f>
        <v>0</v>
      </c>
    </row>
    <row r="517" spans="1:38">
      <c r="A517" t="s">
        <v>951</v>
      </c>
      <c r="B517" s="3">
        <v>45973</v>
      </c>
      <c r="C517" t="s">
        <v>108</v>
      </c>
      <c r="D517" t="s">
        <v>181</v>
      </c>
      <c r="E517" t="s">
        <v>110</v>
      </c>
      <c r="F517" t="s">
        <v>111</v>
      </c>
      <c r="G517" t="s">
        <v>130</v>
      </c>
      <c r="H517" t="s">
        <v>97</v>
      </c>
      <c r="I517">
        <v>4</v>
      </c>
      <c r="J517" s="2">
        <v>374.13</v>
      </c>
      <c r="K517" s="4">
        <v>0.05</v>
      </c>
      <c r="L517" t="s">
        <v>106</v>
      </c>
      <c r="M517">
        <v>0</v>
      </c>
      <c r="N517" t="s">
        <v>91</v>
      </c>
      <c r="O517" t="str">
        <f>SUBSTITUTE(PROPER(TRIM(RawSalesTable6[[#This Row],[Channel_Raw]])),"Market Place","Marketplace")</f>
        <v>Retail Store</v>
      </c>
      <c r="P517" t="str">
        <f>TRIM(RawSalesTable6[[#This Row],[Product_ID]])</f>
        <v>P1007</v>
      </c>
      <c r="Q517" t="str">
        <f>TRIM(RawSalesTable6[[#This Row],[Customer_ID]])</f>
        <v>C0071</v>
      </c>
      <c r="R517" s="8" t="str">
        <f>PROPER(TRIM(RawSalesTable6[[#This Row],[Store_Raw]]))</f>
        <v>Montreal Central</v>
      </c>
      <c r="S517" s="8" t="str">
        <f>IF(TRIM(RawSalesTable6[[#This Row],[Payment_Method_Raw]])="","Non renseigné",SUBSTITUTE(PROPER(TRIM(RawSalesTable6[[#This Row],[Payment_Method_Raw]])),"Cc","Credit Card"))</f>
        <v>Credit Card</v>
      </c>
      <c r="T517" s="8">
        <f>COUNTIF(A:A,RawSalesTable6[[#This Row],[Order_ID]])</f>
        <v>1</v>
      </c>
      <c r="U517" s="8" t="str">
        <f>TRIM(LEFT(RawSalesTable6[[#This Row],[Customer_Info]],FIND(",",RawSalesTable6[[#This Row],[Customer_Info]])-1))</f>
        <v>Ethan Lee</v>
      </c>
      <c r="V517" s="8" t="str">
        <f>TRIM(MID(RawSalesTable6[[#This Row],[Customer_Info]],FIND(",",RawSalesTable6[[#This Row],[Customer_Info]])+1,FIND(",",RawSalesTable6[[#This Row],[Customer_Info]],FIND(",",RawSalesTable6[[#This Row],[Customer_Info]])+1)-FIND(",",RawSalesTable6[[#This Row],[Customer_Info]])-1))</f>
        <v>Surrey</v>
      </c>
      <c r="W517" s="8" t="str">
        <f>TRIM(RIGHT(RawSalesTable6[[#This Row],[Customer_Info]],LEN(RawSalesTable6[[#This Row],[Customer_Info]])-FIND(",",RawSalesTable6[[#This Row],[Customer_Info]],FIND(",",RawSalesTable6[[#This Row],[Customer_Info]])+1)))</f>
        <v>Consumer</v>
      </c>
      <c r="X517" s="8" t="str">
        <f>VLOOKUP(RawSalesTable6[[#This Row],[Product_ID_Clean]],ProductsTable[],2,FALSE)</f>
        <v>Monitor</v>
      </c>
      <c r="Y517" s="8" t="str">
        <f>VLOOKUP(RawSalesTable6[[#This Row],[Product_ID_Clean]],ProductsTable[],3,FALSE)</f>
        <v>Electronics</v>
      </c>
      <c r="Z517" s="8">
        <f>VLOOKUP(RawSalesTable6[[#This Row],[Product_ID_Clean]],ProductsTable[],5,FALSE)</f>
        <v>224.47</v>
      </c>
      <c r="AA517" s="8">
        <f>RawSalesTable6[[#This Row],[Unit_Price]]*RawSalesTable6[[#This Row],[Quantity]]</f>
        <v>1496.52</v>
      </c>
      <c r="AB517" s="8">
        <f>RawSalesTable6[[#This Row],[Gross_Sales]]*RawSalesTable6[[#This Row],[Discount_Pct]]</f>
        <v>74.826000000000008</v>
      </c>
      <c r="AC517" s="8">
        <f>RawSalesTable6[[#This Row],[Gross_Sales]]-RawSalesTable6[[#This Row],[Discount_Amount]]</f>
        <v>1421.694</v>
      </c>
      <c r="AD517" s="8">
        <f>RawSalesTable6[[#This Row],[Unit_Cost]]*RawSalesTable6[[#This Row],[Quantity]]</f>
        <v>897.88</v>
      </c>
      <c r="AE517" s="8">
        <f>RawSalesTable6[[#This Row],[Net_Sales]]-RawSalesTable6[[#This Row],[Total_Cost]]</f>
        <v>523.81399999999996</v>
      </c>
      <c r="AF517" s="9">
        <f>RawSalesTable6[[#This Row],[Profit]]/RawSalesTable6[[#This Row],[Net_Sales]]</f>
        <v>0.36844356099132441</v>
      </c>
      <c r="AG517" s="8">
        <f>YEAR(RawSalesTable6[[#This Row],[Order_Date]])</f>
        <v>2025</v>
      </c>
      <c r="AH517" s="8">
        <f>MONTH(RawSalesTable6[[#This Row],[Order_Date]])</f>
        <v>11</v>
      </c>
      <c r="AI517" s="8" t="str">
        <f>TEXT(RawSalesTable6[[#This Row],[Order_Date]],"mmmm")</f>
        <v>novembre</v>
      </c>
      <c r="AJ517" s="8" t="str">
        <f>IF(RawSalesTable6[[#This Row],[Month_Number]]&lt;=3,"Q1",IF(RawSalesTable6[[#This Row],[Month_Number]]&lt;=6,"Q2",IF(RawSalesTable6[[#This Row],[Month_Number]]&lt;=9,"Q3","Q4")))</f>
        <v>Q4</v>
      </c>
      <c r="AK517" s="8" t="str">
        <f>VLOOKUP(RawSalesTable6[[#This Row],[Customer_ID_Clean]],CustomersTable[],4,FALSE)</f>
        <v>British Columbia</v>
      </c>
      <c r="AL517" s="8">
        <f>IF(RawSalesTable6[[#This Row],[Return_Status]]="Yes",1,0)</f>
        <v>0</v>
      </c>
    </row>
    <row r="518" spans="1:38">
      <c r="A518" t="s">
        <v>952</v>
      </c>
      <c r="B518" s="3">
        <v>45752</v>
      </c>
      <c r="C518" t="s">
        <v>200</v>
      </c>
      <c r="D518" t="s">
        <v>360</v>
      </c>
      <c r="E518" t="s">
        <v>201</v>
      </c>
      <c r="F518" t="s">
        <v>87</v>
      </c>
      <c r="G518" t="s">
        <v>117</v>
      </c>
      <c r="H518" t="s">
        <v>105</v>
      </c>
      <c r="I518">
        <v>2</v>
      </c>
      <c r="J518" s="2">
        <v>63.34</v>
      </c>
      <c r="K518" s="4">
        <v>0.1</v>
      </c>
      <c r="L518" t="s">
        <v>98</v>
      </c>
      <c r="M518">
        <v>6</v>
      </c>
      <c r="N518" t="s">
        <v>91</v>
      </c>
      <c r="O518" t="str">
        <f>SUBSTITUTE(PROPER(TRIM(RawSalesTable6[[#This Row],[Channel_Raw]])),"Market Place","Marketplace")</f>
        <v>Marketplace</v>
      </c>
      <c r="P518" t="str">
        <f>TRIM(RawSalesTable6[[#This Row],[Product_ID]])</f>
        <v>P1020</v>
      </c>
      <c r="Q518" t="str">
        <f>TRIM(RawSalesTable6[[#This Row],[Customer_ID]])</f>
        <v>C0118</v>
      </c>
      <c r="R518" s="8" t="str">
        <f>PROPER(TRIM(RawSalesTable6[[#This Row],[Store_Raw]]))</f>
        <v>Online Fulfillment</v>
      </c>
      <c r="S518" s="8" t="str">
        <f>IF(TRIM(RawSalesTable6[[#This Row],[Payment_Method_Raw]])="","Non renseigné",SUBSTITUTE(PROPER(TRIM(RawSalesTable6[[#This Row],[Payment_Method_Raw]])),"Cc","Credit Card"))</f>
        <v>Debit Card</v>
      </c>
      <c r="T518" s="8">
        <f>COUNTIF(A:A,RawSalesTable6[[#This Row],[Order_ID]])</f>
        <v>1</v>
      </c>
      <c r="U518" s="8" t="str">
        <f>TRIM(LEFT(RawSalesTable6[[#This Row],[Customer_Info]],FIND(",",RawSalesTable6[[#This Row],[Customer_Info]])-1))</f>
        <v>Ryan Smith</v>
      </c>
      <c r="V518" s="8" t="str">
        <f>TRIM(MID(RawSalesTable6[[#This Row],[Customer_Info]],FIND(",",RawSalesTable6[[#This Row],[Customer_Info]])+1,FIND(",",RawSalesTable6[[#This Row],[Customer_Info]],FIND(",",RawSalesTable6[[#This Row],[Customer_Info]])+1)-FIND(",",RawSalesTable6[[#This Row],[Customer_Info]])-1))</f>
        <v>Victoria</v>
      </c>
      <c r="W518" s="8" t="str">
        <f>TRIM(RIGHT(RawSalesTable6[[#This Row],[Customer_Info]],LEN(RawSalesTable6[[#This Row],[Customer_Info]])-FIND(",",RawSalesTable6[[#This Row],[Customer_Info]],FIND(",",RawSalesTable6[[#This Row],[Customer_Info]])+1)))</f>
        <v>Small Business</v>
      </c>
      <c r="X518" s="8" t="str">
        <f>VLOOKUP(RawSalesTable6[[#This Row],[Product_ID_Clean]],ProductsTable[],2,FALSE)</f>
        <v>Blender</v>
      </c>
      <c r="Y518" s="8" t="str">
        <f>VLOOKUP(RawSalesTable6[[#This Row],[Product_ID_Clean]],ProductsTable[],3,FALSE)</f>
        <v>Home</v>
      </c>
      <c r="Z518" s="8">
        <f>VLOOKUP(RawSalesTable6[[#This Row],[Product_ID_Clean]],ProductsTable[],5,FALSE)</f>
        <v>37.46</v>
      </c>
      <c r="AA518" s="8">
        <f>RawSalesTable6[[#This Row],[Unit_Price]]*RawSalesTable6[[#This Row],[Quantity]]</f>
        <v>126.68</v>
      </c>
      <c r="AB518" s="8">
        <f>RawSalesTable6[[#This Row],[Gross_Sales]]*RawSalesTable6[[#This Row],[Discount_Pct]]</f>
        <v>12.668000000000001</v>
      </c>
      <c r="AC518" s="8">
        <f>RawSalesTable6[[#This Row],[Gross_Sales]]-RawSalesTable6[[#This Row],[Discount_Amount]]</f>
        <v>114.012</v>
      </c>
      <c r="AD518" s="8">
        <f>RawSalesTable6[[#This Row],[Unit_Cost]]*RawSalesTable6[[#This Row],[Quantity]]</f>
        <v>74.92</v>
      </c>
      <c r="AE518" s="8">
        <f>RawSalesTable6[[#This Row],[Net_Sales]]-RawSalesTable6[[#This Row],[Total_Cost]]</f>
        <v>39.091999999999999</v>
      </c>
      <c r="AF518" s="9">
        <f>RawSalesTable6[[#This Row],[Profit]]/RawSalesTable6[[#This Row],[Net_Sales]]</f>
        <v>0.34287618847138895</v>
      </c>
      <c r="AG518" s="8">
        <f>YEAR(RawSalesTable6[[#This Row],[Order_Date]])</f>
        <v>2025</v>
      </c>
      <c r="AH518" s="8">
        <f>MONTH(RawSalesTable6[[#This Row],[Order_Date]])</f>
        <v>4</v>
      </c>
      <c r="AI518" s="8" t="str">
        <f>TEXT(RawSalesTable6[[#This Row],[Order_Date]],"mmmm")</f>
        <v>avril</v>
      </c>
      <c r="AJ518" s="8" t="str">
        <f>IF(RawSalesTable6[[#This Row],[Month_Number]]&lt;=3,"Q1",IF(RawSalesTable6[[#This Row],[Month_Number]]&lt;=6,"Q2",IF(RawSalesTable6[[#This Row],[Month_Number]]&lt;=9,"Q3","Q4")))</f>
        <v>Q2</v>
      </c>
      <c r="AK518" s="8" t="str">
        <f>VLOOKUP(RawSalesTable6[[#This Row],[Customer_ID_Clean]],CustomersTable[],4,FALSE)</f>
        <v>British Columbia</v>
      </c>
      <c r="AL518" s="8">
        <f>IF(RawSalesTable6[[#This Row],[Return_Status]]="Yes",1,0)</f>
        <v>0</v>
      </c>
    </row>
    <row r="519" spans="1:38">
      <c r="A519" t="s">
        <v>953</v>
      </c>
      <c r="B519" s="3">
        <v>45938</v>
      </c>
      <c r="C519" t="s">
        <v>209</v>
      </c>
      <c r="D519" t="s">
        <v>114</v>
      </c>
      <c r="E519" t="s">
        <v>211</v>
      </c>
      <c r="F519" t="s">
        <v>116</v>
      </c>
      <c r="G519" t="s">
        <v>96</v>
      </c>
      <c r="H519" t="s">
        <v>97</v>
      </c>
      <c r="I519">
        <v>3</v>
      </c>
      <c r="J519" s="2">
        <v>140.27000000000001</v>
      </c>
      <c r="K519" s="4">
        <v>0.15</v>
      </c>
      <c r="L519" t="s">
        <v>98</v>
      </c>
      <c r="M519">
        <v>4</v>
      </c>
      <c r="N519" t="s">
        <v>91</v>
      </c>
      <c r="O519" t="str">
        <f>SUBSTITUTE(PROPER(TRIM(RawSalesTable6[[#This Row],[Channel_Raw]])),"Market Place","Marketplace")</f>
        <v>Retail Store</v>
      </c>
      <c r="P519" t="str">
        <f>TRIM(RawSalesTable6[[#This Row],[Product_ID]])</f>
        <v>P1034</v>
      </c>
      <c r="Q519" t="str">
        <f>TRIM(RawSalesTable6[[#This Row],[Customer_ID]])</f>
        <v>C0005</v>
      </c>
      <c r="R519" s="8" t="str">
        <f>PROPER(TRIM(RawSalesTable6[[#This Row],[Store_Raw]]))</f>
        <v>Toronto Downtown</v>
      </c>
      <c r="S519" s="8" t="str">
        <f>IF(TRIM(RawSalesTable6[[#This Row],[Payment_Method_Raw]])="","Non renseigné",SUBSTITUTE(PROPER(TRIM(RawSalesTable6[[#This Row],[Payment_Method_Raw]])),"Cc","Credit Card"))</f>
        <v>Debit Card</v>
      </c>
      <c r="T519" s="8">
        <f>COUNTIF(A:A,RawSalesTable6[[#This Row],[Order_ID]])</f>
        <v>1</v>
      </c>
      <c r="U519" s="8" t="str">
        <f>TRIM(LEFT(RawSalesTable6[[#This Row],[Customer_Info]],FIND(",",RawSalesTable6[[#This Row],[Customer_Info]])-1))</f>
        <v>Yasmine Taylor</v>
      </c>
      <c r="V519" s="8" t="str">
        <f>TRIM(MID(RawSalesTable6[[#This Row],[Customer_Info]],FIND(",",RawSalesTable6[[#This Row],[Customer_Info]])+1,FIND(",",RawSalesTable6[[#This Row],[Customer_Info]],FIND(",",RawSalesTable6[[#This Row],[Customer_Info]])+1)-FIND(",",RawSalesTable6[[#This Row],[Customer_Info]])-1))</f>
        <v>Calgary</v>
      </c>
      <c r="W519" s="8" t="str">
        <f>TRIM(RIGHT(RawSalesTable6[[#This Row],[Customer_Info]],LEN(RawSalesTable6[[#This Row],[Customer_Info]])-FIND(",",RawSalesTable6[[#This Row],[Customer_Info]],FIND(",",RawSalesTable6[[#This Row],[Customer_Info]])+1)))</f>
        <v>Consumer</v>
      </c>
      <c r="X519" s="8" t="str">
        <f>VLOOKUP(RawSalesTable6[[#This Row],[Product_ID_Clean]],ProductsTable[],2,FALSE)</f>
        <v>Laptop Sleeve</v>
      </c>
      <c r="Y519" s="8" t="str">
        <f>VLOOKUP(RawSalesTable6[[#This Row],[Product_ID_Clean]],ProductsTable[],3,FALSE)</f>
        <v>Accessories</v>
      </c>
      <c r="Z519" s="8">
        <f>VLOOKUP(RawSalesTable6[[#This Row],[Product_ID_Clean]],ProductsTable[],5,FALSE)</f>
        <v>78.95</v>
      </c>
      <c r="AA519" s="8">
        <f>RawSalesTable6[[#This Row],[Unit_Price]]*RawSalesTable6[[#This Row],[Quantity]]</f>
        <v>420.81000000000006</v>
      </c>
      <c r="AB519" s="8">
        <f>RawSalesTable6[[#This Row],[Gross_Sales]]*RawSalesTable6[[#This Row],[Discount_Pct]]</f>
        <v>63.121500000000005</v>
      </c>
      <c r="AC519" s="8">
        <f>RawSalesTable6[[#This Row],[Gross_Sales]]-RawSalesTable6[[#This Row],[Discount_Amount]]</f>
        <v>357.68850000000003</v>
      </c>
      <c r="AD519" s="8">
        <f>RawSalesTable6[[#This Row],[Unit_Cost]]*RawSalesTable6[[#This Row],[Quantity]]</f>
        <v>236.85000000000002</v>
      </c>
      <c r="AE519" s="8">
        <f>RawSalesTable6[[#This Row],[Net_Sales]]-RawSalesTable6[[#This Row],[Total_Cost]]</f>
        <v>120.83850000000001</v>
      </c>
      <c r="AF519" s="9">
        <f>RawSalesTable6[[#This Row],[Profit]]/RawSalesTable6[[#This Row],[Net_Sales]]</f>
        <v>0.33783166078864713</v>
      </c>
      <c r="AG519" s="8">
        <f>YEAR(RawSalesTable6[[#This Row],[Order_Date]])</f>
        <v>2025</v>
      </c>
      <c r="AH519" s="8">
        <f>MONTH(RawSalesTable6[[#This Row],[Order_Date]])</f>
        <v>10</v>
      </c>
      <c r="AI519" s="8" t="str">
        <f>TEXT(RawSalesTable6[[#This Row],[Order_Date]],"mmmm")</f>
        <v>octobre</v>
      </c>
      <c r="AJ519" s="8" t="str">
        <f>IF(RawSalesTable6[[#This Row],[Month_Number]]&lt;=3,"Q1",IF(RawSalesTable6[[#This Row],[Month_Number]]&lt;=6,"Q2",IF(RawSalesTable6[[#This Row],[Month_Number]]&lt;=9,"Q3","Q4")))</f>
        <v>Q4</v>
      </c>
      <c r="AK519" s="8" t="str">
        <f>VLOOKUP(RawSalesTable6[[#This Row],[Customer_ID_Clean]],CustomersTable[],4,FALSE)</f>
        <v>Alberta</v>
      </c>
      <c r="AL519" s="8">
        <f>IF(RawSalesTable6[[#This Row],[Return_Status]]="Yes",1,0)</f>
        <v>0</v>
      </c>
    </row>
    <row r="520" spans="1:38">
      <c r="A520" t="s">
        <v>954</v>
      </c>
      <c r="B520" s="3">
        <v>45666</v>
      </c>
      <c r="C520" t="s">
        <v>366</v>
      </c>
      <c r="D520" t="s">
        <v>165</v>
      </c>
      <c r="E520" t="s">
        <v>367</v>
      </c>
      <c r="F520" t="s">
        <v>103</v>
      </c>
      <c r="G520" t="s">
        <v>122</v>
      </c>
      <c r="H520" t="s">
        <v>89</v>
      </c>
      <c r="I520">
        <v>3</v>
      </c>
      <c r="J520" s="2">
        <v>101.4</v>
      </c>
      <c r="K520" s="4">
        <v>0.1</v>
      </c>
      <c r="L520" t="s">
        <v>90</v>
      </c>
      <c r="M520">
        <v>4</v>
      </c>
      <c r="N520" t="s">
        <v>91</v>
      </c>
      <c r="O520" t="str">
        <f>SUBSTITUTE(PROPER(TRIM(RawSalesTable6[[#This Row],[Channel_Raw]])),"Market Place","Marketplace")</f>
        <v>Online</v>
      </c>
      <c r="P520" t="str">
        <f>TRIM(RawSalesTable6[[#This Row],[Product_ID]])</f>
        <v>P1024</v>
      </c>
      <c r="Q520" t="str">
        <f>TRIM(RawSalesTable6[[#This Row],[Customer_ID]])</f>
        <v>C0117</v>
      </c>
      <c r="R520" s="8" t="str">
        <f>PROPER(TRIM(RawSalesTable6[[#This Row],[Store_Raw]]))</f>
        <v>Vancouver West</v>
      </c>
      <c r="S520" s="8" t="str">
        <f>IF(TRIM(RawSalesTable6[[#This Row],[Payment_Method_Raw]])="","Non renseigné",SUBSTITUTE(PROPER(TRIM(RawSalesTable6[[#This Row],[Payment_Method_Raw]])),"Cc","Credit Card"))</f>
        <v>Paypal</v>
      </c>
      <c r="T520" s="8">
        <f>COUNTIF(A:A,RawSalesTable6[[#This Row],[Order_ID]])</f>
        <v>1</v>
      </c>
      <c r="U520" s="8" t="str">
        <f>TRIM(LEFT(RawSalesTable6[[#This Row],[Customer_Info]],FIND(",",RawSalesTable6[[#This Row],[Customer_Info]])-1))</f>
        <v>Ethan Hall</v>
      </c>
      <c r="V520" s="8" t="str">
        <f>TRIM(MID(RawSalesTable6[[#This Row],[Customer_Info]],FIND(",",RawSalesTable6[[#This Row],[Customer_Info]])+1,FIND(",",RawSalesTable6[[#This Row],[Customer_Info]],FIND(",",RawSalesTable6[[#This Row],[Customer_Info]])+1)-FIND(",",RawSalesTable6[[#This Row],[Customer_Info]])-1))</f>
        <v>Vancouver</v>
      </c>
      <c r="W520" s="8" t="str">
        <f>TRIM(RIGHT(RawSalesTable6[[#This Row],[Customer_Info]],LEN(RawSalesTable6[[#This Row],[Customer_Info]])-FIND(",",RawSalesTable6[[#This Row],[Customer_Info]],FIND(",",RawSalesTable6[[#This Row],[Customer_Info]])+1)))</f>
        <v>Consumer</v>
      </c>
      <c r="X520" s="8" t="str">
        <f>VLOOKUP(RawSalesTable6[[#This Row],[Product_ID_Clean]],ProductsTable[],2,FALSE)</f>
        <v>Food Scale</v>
      </c>
      <c r="Y520" s="8" t="str">
        <f>VLOOKUP(RawSalesTable6[[#This Row],[Product_ID_Clean]],ProductsTable[],3,FALSE)</f>
        <v>Home</v>
      </c>
      <c r="Z520" s="8">
        <f>VLOOKUP(RawSalesTable6[[#This Row],[Product_ID_Clean]],ProductsTable[],5,FALSE)</f>
        <v>46.07</v>
      </c>
      <c r="AA520" s="8">
        <f>RawSalesTable6[[#This Row],[Unit_Price]]*RawSalesTable6[[#This Row],[Quantity]]</f>
        <v>304.20000000000005</v>
      </c>
      <c r="AB520" s="8">
        <f>RawSalesTable6[[#This Row],[Gross_Sales]]*RawSalesTable6[[#This Row],[Discount_Pct]]</f>
        <v>30.420000000000005</v>
      </c>
      <c r="AC520" s="8">
        <f>RawSalesTable6[[#This Row],[Gross_Sales]]-RawSalesTable6[[#This Row],[Discount_Amount]]</f>
        <v>273.78000000000003</v>
      </c>
      <c r="AD520" s="8">
        <f>RawSalesTable6[[#This Row],[Unit_Cost]]*RawSalesTable6[[#This Row],[Quantity]]</f>
        <v>138.21</v>
      </c>
      <c r="AE520" s="8">
        <f>RawSalesTable6[[#This Row],[Net_Sales]]-RawSalesTable6[[#This Row],[Total_Cost]]</f>
        <v>135.57000000000002</v>
      </c>
      <c r="AF520" s="9">
        <f>RawSalesTable6[[#This Row],[Profit]]/RawSalesTable6[[#This Row],[Net_Sales]]</f>
        <v>0.49517861056322598</v>
      </c>
      <c r="AG520" s="8">
        <f>YEAR(RawSalesTable6[[#This Row],[Order_Date]])</f>
        <v>2025</v>
      </c>
      <c r="AH520" s="8">
        <f>MONTH(RawSalesTable6[[#This Row],[Order_Date]])</f>
        <v>1</v>
      </c>
      <c r="AI520" s="8" t="str">
        <f>TEXT(RawSalesTable6[[#This Row],[Order_Date]],"mmmm")</f>
        <v>janvier</v>
      </c>
      <c r="AJ520" s="8" t="str">
        <f>IF(RawSalesTable6[[#This Row],[Month_Number]]&lt;=3,"Q1",IF(RawSalesTable6[[#This Row],[Month_Number]]&lt;=6,"Q2",IF(RawSalesTable6[[#This Row],[Month_Number]]&lt;=9,"Q3","Q4")))</f>
        <v>Q1</v>
      </c>
      <c r="AK520" s="8" t="str">
        <f>VLOOKUP(RawSalesTable6[[#This Row],[Customer_ID_Clean]],CustomersTable[],4,FALSE)</f>
        <v>British Columbia</v>
      </c>
      <c r="AL520" s="8">
        <f>IF(RawSalesTable6[[#This Row],[Return_Status]]="Yes",1,0)</f>
        <v>0</v>
      </c>
    </row>
    <row r="521" spans="1:38">
      <c r="A521" t="s">
        <v>955</v>
      </c>
      <c r="B521" s="3">
        <v>45661</v>
      </c>
      <c r="C521" t="s">
        <v>448</v>
      </c>
      <c r="D521" t="s">
        <v>139</v>
      </c>
      <c r="E521" t="s">
        <v>790</v>
      </c>
      <c r="F521" t="s">
        <v>111</v>
      </c>
      <c r="G521" t="s">
        <v>130</v>
      </c>
      <c r="H521" t="s">
        <v>97</v>
      </c>
      <c r="I521">
        <v>4</v>
      </c>
      <c r="J521" s="2">
        <v>86.59</v>
      </c>
      <c r="K521" s="4">
        <v>0.05</v>
      </c>
      <c r="L521" t="s">
        <v>106</v>
      </c>
      <c r="M521">
        <v>0</v>
      </c>
      <c r="N521" t="s">
        <v>91</v>
      </c>
      <c r="O521" t="str">
        <f>SUBSTITUTE(PROPER(TRIM(RawSalesTable6[[#This Row],[Channel_Raw]])),"Market Place","Marketplace")</f>
        <v>Retail Store</v>
      </c>
      <c r="P521" t="str">
        <f>TRIM(RawSalesTable6[[#This Row],[Product_ID]])</f>
        <v>P1012</v>
      </c>
      <c r="Q521" t="str">
        <f>TRIM(RawSalesTable6[[#This Row],[Customer_ID]])</f>
        <v>C0074</v>
      </c>
      <c r="R521" s="8" t="str">
        <f>PROPER(TRIM(RawSalesTable6[[#This Row],[Store_Raw]]))</f>
        <v>Montreal Central</v>
      </c>
      <c r="S521" s="8" t="str">
        <f>IF(TRIM(RawSalesTable6[[#This Row],[Payment_Method_Raw]])="","Non renseigné",SUBSTITUTE(PROPER(TRIM(RawSalesTable6[[#This Row],[Payment_Method_Raw]])),"Cc","Credit Card"))</f>
        <v>Credit Card</v>
      </c>
      <c r="T521" s="8">
        <f>COUNTIF(A:A,RawSalesTable6[[#This Row],[Order_ID]])</f>
        <v>1</v>
      </c>
      <c r="U521" s="8" t="str">
        <f>TRIM(LEFT(RawSalesTable6[[#This Row],[Customer_Info]],FIND(",",RawSalesTable6[[#This Row],[Customer_Info]])-1))</f>
        <v>Sophia Chen</v>
      </c>
      <c r="V521" s="8" t="str">
        <f>TRIM(MID(RawSalesTable6[[#This Row],[Customer_Info]],FIND(",",RawSalesTable6[[#This Row],[Customer_Info]])+1,FIND(",",RawSalesTable6[[#This Row],[Customer_Info]],FIND(",",RawSalesTable6[[#This Row],[Customer_Info]])+1)-FIND(",",RawSalesTable6[[#This Row],[Customer_Info]])-1))</f>
        <v>Vancouver</v>
      </c>
      <c r="W521" s="8" t="str">
        <f>TRIM(RIGHT(RawSalesTable6[[#This Row],[Customer_Info]],LEN(RawSalesTable6[[#This Row],[Customer_Info]])-FIND(",",RawSalesTable6[[#This Row],[Customer_Info]],FIND(",",RawSalesTable6[[#This Row],[Customer_Info]])+1)))</f>
        <v>Corporate</v>
      </c>
      <c r="X521" s="8" t="str">
        <f>VLOOKUP(RawSalesTable6[[#This Row],[Product_ID_Clean]],ProductsTable[],2,FALSE)</f>
        <v>Standing Desk</v>
      </c>
      <c r="Y521" s="8" t="str">
        <f>VLOOKUP(RawSalesTable6[[#This Row],[Product_ID_Clean]],ProductsTable[],3,FALSE)</f>
        <v>Office</v>
      </c>
      <c r="Z521" s="8">
        <f>VLOOKUP(RawSalesTable6[[#This Row],[Product_ID_Clean]],ProductsTable[],5,FALSE)</f>
        <v>45.17</v>
      </c>
      <c r="AA521" s="8">
        <f>RawSalesTable6[[#This Row],[Unit_Price]]*RawSalesTable6[[#This Row],[Quantity]]</f>
        <v>346.36</v>
      </c>
      <c r="AB521" s="8">
        <f>RawSalesTable6[[#This Row],[Gross_Sales]]*RawSalesTable6[[#This Row],[Discount_Pct]]</f>
        <v>17.318000000000001</v>
      </c>
      <c r="AC521" s="8">
        <f>RawSalesTable6[[#This Row],[Gross_Sales]]-RawSalesTable6[[#This Row],[Discount_Amount]]</f>
        <v>329.04200000000003</v>
      </c>
      <c r="AD521" s="8">
        <f>RawSalesTable6[[#This Row],[Unit_Cost]]*RawSalesTable6[[#This Row],[Quantity]]</f>
        <v>180.68</v>
      </c>
      <c r="AE521" s="8">
        <f>RawSalesTable6[[#This Row],[Net_Sales]]-RawSalesTable6[[#This Row],[Total_Cost]]</f>
        <v>148.36200000000002</v>
      </c>
      <c r="AF521" s="9">
        <f>RawSalesTable6[[#This Row],[Profit]]/RawSalesTable6[[#This Row],[Net_Sales]]</f>
        <v>0.45089076774393544</v>
      </c>
      <c r="AG521" s="8">
        <f>YEAR(RawSalesTable6[[#This Row],[Order_Date]])</f>
        <v>2025</v>
      </c>
      <c r="AH521" s="8">
        <f>MONTH(RawSalesTable6[[#This Row],[Order_Date]])</f>
        <v>1</v>
      </c>
      <c r="AI521" s="8" t="str">
        <f>TEXT(RawSalesTable6[[#This Row],[Order_Date]],"mmmm")</f>
        <v>janvier</v>
      </c>
      <c r="AJ521" s="8" t="str">
        <f>IF(RawSalesTable6[[#This Row],[Month_Number]]&lt;=3,"Q1",IF(RawSalesTable6[[#This Row],[Month_Number]]&lt;=6,"Q2",IF(RawSalesTable6[[#This Row],[Month_Number]]&lt;=9,"Q3","Q4")))</f>
        <v>Q1</v>
      </c>
      <c r="AK521" s="8" t="str">
        <f>VLOOKUP(RawSalesTable6[[#This Row],[Customer_ID_Clean]],CustomersTable[],4,FALSE)</f>
        <v>British Columbia</v>
      </c>
      <c r="AL521" s="8">
        <f>IF(RawSalesTable6[[#This Row],[Return_Status]]="Yes",1,0)</f>
        <v>0</v>
      </c>
    </row>
    <row r="522" spans="1:38">
      <c r="A522" t="s">
        <v>956</v>
      </c>
      <c r="B522" s="3">
        <v>45993</v>
      </c>
      <c r="C522" t="s">
        <v>500</v>
      </c>
      <c r="D522" t="s">
        <v>249</v>
      </c>
      <c r="E522" t="s">
        <v>501</v>
      </c>
      <c r="F522" t="s">
        <v>655</v>
      </c>
      <c r="G522" t="s">
        <v>117</v>
      </c>
      <c r="H522" t="s">
        <v>89</v>
      </c>
      <c r="I522">
        <v>2</v>
      </c>
      <c r="J522" s="2">
        <v>416.28</v>
      </c>
      <c r="K522" s="4">
        <v>0</v>
      </c>
      <c r="L522" t="s">
        <v>90</v>
      </c>
      <c r="M522">
        <v>9</v>
      </c>
      <c r="N522" t="s">
        <v>91</v>
      </c>
      <c r="O522" t="str">
        <f>SUBSTITUTE(PROPER(TRIM(RawSalesTable6[[#This Row],[Channel_Raw]])),"Market Place","Marketplace")</f>
        <v>Online</v>
      </c>
      <c r="P522" t="str">
        <f>TRIM(RawSalesTable6[[#This Row],[Product_ID]])</f>
        <v>P1022</v>
      </c>
      <c r="Q522" t="str">
        <f>TRIM(RawSalesTable6[[#This Row],[Customer_ID]])</f>
        <v>C0059</v>
      </c>
      <c r="R522" s="8" t="str">
        <f>PROPER(TRIM(RawSalesTable6[[#This Row],[Store_Raw]]))</f>
        <v>Online Fulfillment</v>
      </c>
      <c r="S522" s="8" t="str">
        <f>IF(TRIM(RawSalesTable6[[#This Row],[Payment_Method_Raw]])="","Non renseigné",SUBSTITUTE(PROPER(TRIM(RawSalesTable6[[#This Row],[Payment_Method_Raw]])),"Cc","Credit Card"))</f>
        <v>Paypal</v>
      </c>
      <c r="T522" s="8">
        <f>COUNTIF(A:A,RawSalesTable6[[#This Row],[Order_ID]])</f>
        <v>1</v>
      </c>
      <c r="U522" s="8" t="str">
        <f>TRIM(LEFT(RawSalesTable6[[#This Row],[Customer_Info]],FIND(",",RawSalesTable6[[#This Row],[Customer_Info]])-1))</f>
        <v>Lucas Chen</v>
      </c>
      <c r="V522" s="8" t="str">
        <f>TRIM(MID(RawSalesTable6[[#This Row],[Customer_Info]],FIND(",",RawSalesTable6[[#This Row],[Customer_Info]])+1,FIND(",",RawSalesTable6[[#This Row],[Customer_Info]],FIND(",",RawSalesTable6[[#This Row],[Customer_Info]])+1)-FIND(",",RawSalesTable6[[#This Row],[Customer_Info]])-1))</f>
        <v>Vancouver</v>
      </c>
      <c r="W522" s="8" t="str">
        <f>TRIM(RIGHT(RawSalesTable6[[#This Row],[Customer_Info]],LEN(RawSalesTable6[[#This Row],[Customer_Info]])-FIND(",",RawSalesTable6[[#This Row],[Customer_Info]],FIND(",",RawSalesTable6[[#This Row],[Customer_Info]])+1)))</f>
        <v>Corporate</v>
      </c>
      <c r="X522" s="8" t="str">
        <f>VLOOKUP(RawSalesTable6[[#This Row],[Product_ID_Clean]],ProductsTable[],2,FALSE)</f>
        <v>Humidifier</v>
      </c>
      <c r="Y522" s="8" t="str">
        <f>VLOOKUP(RawSalesTable6[[#This Row],[Product_ID_Clean]],ProductsTable[],3,FALSE)</f>
        <v>Home</v>
      </c>
      <c r="Z522" s="8">
        <f>VLOOKUP(RawSalesTable6[[#This Row],[Product_ID_Clean]],ProductsTable[],5,FALSE)</f>
        <v>239.67</v>
      </c>
      <c r="AA522" s="8">
        <f>RawSalesTable6[[#This Row],[Unit_Price]]*RawSalesTable6[[#This Row],[Quantity]]</f>
        <v>832.56</v>
      </c>
      <c r="AB522" s="8">
        <f>RawSalesTable6[[#This Row],[Gross_Sales]]*RawSalesTable6[[#This Row],[Discount_Pct]]</f>
        <v>0</v>
      </c>
      <c r="AC522" s="8">
        <f>RawSalesTable6[[#This Row],[Gross_Sales]]-RawSalesTable6[[#This Row],[Discount_Amount]]</f>
        <v>832.56</v>
      </c>
      <c r="AD522" s="8">
        <f>RawSalesTable6[[#This Row],[Unit_Cost]]*RawSalesTable6[[#This Row],[Quantity]]</f>
        <v>479.34</v>
      </c>
      <c r="AE522" s="8">
        <f>RawSalesTable6[[#This Row],[Net_Sales]]-RawSalesTable6[[#This Row],[Total_Cost]]</f>
        <v>353.21999999999997</v>
      </c>
      <c r="AF522" s="9">
        <f>RawSalesTable6[[#This Row],[Profit]]/RawSalesTable6[[#This Row],[Net_Sales]]</f>
        <v>0.42425771115595273</v>
      </c>
      <c r="AG522" s="8">
        <f>YEAR(RawSalesTable6[[#This Row],[Order_Date]])</f>
        <v>2025</v>
      </c>
      <c r="AH522" s="8">
        <f>MONTH(RawSalesTable6[[#This Row],[Order_Date]])</f>
        <v>12</v>
      </c>
      <c r="AI522" s="8" t="str">
        <f>TEXT(RawSalesTable6[[#This Row],[Order_Date]],"mmmm")</f>
        <v>décembre</v>
      </c>
      <c r="AJ522" s="8" t="str">
        <f>IF(RawSalesTable6[[#This Row],[Month_Number]]&lt;=3,"Q1",IF(RawSalesTable6[[#This Row],[Month_Number]]&lt;=6,"Q2",IF(RawSalesTable6[[#This Row],[Month_Number]]&lt;=9,"Q3","Q4")))</f>
        <v>Q4</v>
      </c>
      <c r="AK522" s="8" t="str">
        <f>VLOOKUP(RawSalesTable6[[#This Row],[Customer_ID_Clean]],CustomersTable[],4,FALSE)</f>
        <v>British Columbia</v>
      </c>
      <c r="AL522" s="8">
        <f>IF(RawSalesTable6[[#This Row],[Return_Status]]="Yes",1,0)</f>
        <v>0</v>
      </c>
    </row>
    <row r="523" spans="1:38">
      <c r="A523" t="s">
        <v>957</v>
      </c>
      <c r="B523" s="3">
        <v>45730</v>
      </c>
      <c r="C523" t="s">
        <v>319</v>
      </c>
      <c r="D523" t="s">
        <v>271</v>
      </c>
      <c r="E523" t="s">
        <v>320</v>
      </c>
      <c r="F523" t="s">
        <v>116</v>
      </c>
      <c r="G523" t="s">
        <v>130</v>
      </c>
      <c r="H523" t="s">
        <v>89</v>
      </c>
      <c r="I523">
        <v>2</v>
      </c>
      <c r="J523" s="2">
        <v>222.18</v>
      </c>
      <c r="K523" s="4">
        <v>0.25</v>
      </c>
      <c r="L523" t="s">
        <v>106</v>
      </c>
      <c r="M523">
        <v>3</v>
      </c>
      <c r="N523" t="s">
        <v>91</v>
      </c>
      <c r="O523" t="str">
        <f>SUBSTITUTE(PROPER(TRIM(RawSalesTable6[[#This Row],[Channel_Raw]])),"Market Place","Marketplace")</f>
        <v>Online</v>
      </c>
      <c r="P523" t="str">
        <f>TRIM(RawSalesTable6[[#This Row],[Product_ID]])</f>
        <v>P1026</v>
      </c>
      <c r="Q523" t="str">
        <f>TRIM(RawSalesTable6[[#This Row],[Customer_ID]])</f>
        <v>C0013</v>
      </c>
      <c r="R523" s="8" t="str">
        <f>PROPER(TRIM(RawSalesTable6[[#This Row],[Store_Raw]]))</f>
        <v>Toronto Downtown</v>
      </c>
      <c r="S523" s="8" t="str">
        <f>IF(TRIM(RawSalesTable6[[#This Row],[Payment_Method_Raw]])="","Non renseigné",SUBSTITUTE(PROPER(TRIM(RawSalesTable6[[#This Row],[Payment_Method_Raw]])),"Cc","Credit Card"))</f>
        <v>Credit Card</v>
      </c>
      <c r="T523" s="8">
        <f>COUNTIF(A:A,RawSalesTable6[[#This Row],[Order_ID]])</f>
        <v>1</v>
      </c>
      <c r="U523" s="8" t="str">
        <f>TRIM(LEFT(RawSalesTable6[[#This Row],[Customer_Info]],FIND(",",RawSalesTable6[[#This Row],[Customer_Info]])-1))</f>
        <v>Amelia Martin</v>
      </c>
      <c r="V523" s="8" t="str">
        <f>TRIM(MID(RawSalesTable6[[#This Row],[Customer_Info]],FIND(",",RawSalesTable6[[#This Row],[Customer_Info]])+1,FIND(",",RawSalesTable6[[#This Row],[Customer_Info]],FIND(",",RawSalesTable6[[#This Row],[Customer_Info]])+1)-FIND(",",RawSalesTable6[[#This Row],[Customer_Info]])-1))</f>
        <v>Quebec City</v>
      </c>
      <c r="W523" s="8" t="str">
        <f>TRIM(RIGHT(RawSalesTable6[[#This Row],[Customer_Info]],LEN(RawSalesTable6[[#This Row],[Customer_Info]])-FIND(",",RawSalesTable6[[#This Row],[Customer_Info]],FIND(",",RawSalesTable6[[#This Row],[Customer_Info]])+1)))</f>
        <v>Small Business</v>
      </c>
      <c r="X523" s="8" t="str">
        <f>VLOOKUP(RawSalesTable6[[#This Row],[Product_ID_Clean]],ProductsTable[],2,FALSE)</f>
        <v>Resistance Bands</v>
      </c>
      <c r="Y523" s="8" t="str">
        <f>VLOOKUP(RawSalesTable6[[#This Row],[Product_ID_Clean]],ProductsTable[],3,FALSE)</f>
        <v>Fitness</v>
      </c>
      <c r="Z523" s="8">
        <f>VLOOKUP(RawSalesTable6[[#This Row],[Product_ID_Clean]],ProductsTable[],5,FALSE)</f>
        <v>139.19999999999999</v>
      </c>
      <c r="AA523" s="8">
        <f>RawSalesTable6[[#This Row],[Unit_Price]]*RawSalesTable6[[#This Row],[Quantity]]</f>
        <v>444.36</v>
      </c>
      <c r="AB523" s="8">
        <f>RawSalesTable6[[#This Row],[Gross_Sales]]*RawSalesTable6[[#This Row],[Discount_Pct]]</f>
        <v>111.09</v>
      </c>
      <c r="AC523" s="8">
        <f>RawSalesTable6[[#This Row],[Gross_Sales]]-RawSalesTable6[[#This Row],[Discount_Amount]]</f>
        <v>333.27</v>
      </c>
      <c r="AD523" s="8">
        <f>RawSalesTable6[[#This Row],[Unit_Cost]]*RawSalesTable6[[#This Row],[Quantity]]</f>
        <v>278.39999999999998</v>
      </c>
      <c r="AE523" s="8">
        <f>RawSalesTable6[[#This Row],[Net_Sales]]-RawSalesTable6[[#This Row],[Total_Cost]]</f>
        <v>54.870000000000005</v>
      </c>
      <c r="AF523" s="9">
        <f>RawSalesTable6[[#This Row],[Profit]]/RawSalesTable6[[#This Row],[Net_Sales]]</f>
        <v>0.16464128184355029</v>
      </c>
      <c r="AG523" s="8">
        <f>YEAR(RawSalesTable6[[#This Row],[Order_Date]])</f>
        <v>2025</v>
      </c>
      <c r="AH523" s="8">
        <f>MONTH(RawSalesTable6[[#This Row],[Order_Date]])</f>
        <v>3</v>
      </c>
      <c r="AI523" s="8" t="str">
        <f>TEXT(RawSalesTable6[[#This Row],[Order_Date]],"mmmm")</f>
        <v>mars</v>
      </c>
      <c r="AJ523" s="8" t="str">
        <f>IF(RawSalesTable6[[#This Row],[Month_Number]]&lt;=3,"Q1",IF(RawSalesTable6[[#This Row],[Month_Number]]&lt;=6,"Q2",IF(RawSalesTable6[[#This Row],[Month_Number]]&lt;=9,"Q3","Q4")))</f>
        <v>Q1</v>
      </c>
      <c r="AK523" s="8" t="str">
        <f>VLOOKUP(RawSalesTable6[[#This Row],[Customer_ID_Clean]],CustomersTable[],4,FALSE)</f>
        <v>Quebec</v>
      </c>
      <c r="AL523" s="8">
        <f>IF(RawSalesTable6[[#This Row],[Return_Status]]="Yes",1,0)</f>
        <v>0</v>
      </c>
    </row>
    <row r="524" spans="1:38">
      <c r="A524" t="s">
        <v>958</v>
      </c>
      <c r="B524" s="3">
        <v>45980</v>
      </c>
      <c r="C524" t="s">
        <v>335</v>
      </c>
      <c r="D524" t="s">
        <v>217</v>
      </c>
      <c r="E524" t="s">
        <v>336</v>
      </c>
      <c r="F524" t="s">
        <v>111</v>
      </c>
      <c r="G524" t="s">
        <v>171</v>
      </c>
      <c r="H524" t="s">
        <v>89</v>
      </c>
      <c r="I524">
        <v>1</v>
      </c>
      <c r="J524" s="2">
        <v>106.25</v>
      </c>
      <c r="K524" s="4">
        <v>0.05</v>
      </c>
      <c r="L524" t="s">
        <v>504</v>
      </c>
      <c r="M524">
        <v>3</v>
      </c>
      <c r="N524" t="s">
        <v>91</v>
      </c>
      <c r="O524" t="str">
        <f>SUBSTITUTE(PROPER(TRIM(RawSalesTable6[[#This Row],[Channel_Raw]])),"Market Place","Marketplace")</f>
        <v>Online</v>
      </c>
      <c r="P524" t="str">
        <f>TRIM(RawSalesTable6[[#This Row],[Product_ID]])</f>
        <v>P1006</v>
      </c>
      <c r="Q524" t="str">
        <f>TRIM(RawSalesTable6[[#This Row],[Customer_ID]])</f>
        <v>C0037</v>
      </c>
      <c r="R524" s="8" t="str">
        <f>PROPER(TRIM(RawSalesTable6[[#This Row],[Store_Raw]]))</f>
        <v>Montreal Central</v>
      </c>
      <c r="S524" s="8" t="str">
        <f>IF(TRIM(RawSalesTable6[[#This Row],[Payment_Method_Raw]])="","Non renseigné",SUBSTITUTE(PROPER(TRIM(RawSalesTable6[[#This Row],[Payment_Method_Raw]])),"Cc","Credit Card"))</f>
        <v>Debit Card</v>
      </c>
      <c r="T524" s="8">
        <f>COUNTIF(A:A,RawSalesTable6[[#This Row],[Order_ID]])</f>
        <v>1</v>
      </c>
      <c r="U524" s="8" t="str">
        <f>TRIM(LEFT(RawSalesTable6[[#This Row],[Customer_Info]],FIND(",",RawSalesTable6[[#This Row],[Customer_Info]])-1))</f>
        <v>Lucas Scott</v>
      </c>
      <c r="V524" s="8" t="str">
        <f>TRIM(MID(RawSalesTable6[[#This Row],[Customer_Info]],FIND(",",RawSalesTable6[[#This Row],[Customer_Info]])+1,FIND(",",RawSalesTable6[[#This Row],[Customer_Info]],FIND(",",RawSalesTable6[[#This Row],[Customer_Info]])+1)-FIND(",",RawSalesTable6[[#This Row],[Customer_Info]])-1))</f>
        <v>Victoria</v>
      </c>
      <c r="W524" s="8" t="str">
        <f>TRIM(RIGHT(RawSalesTable6[[#This Row],[Customer_Info]],LEN(RawSalesTable6[[#This Row],[Customer_Info]])-FIND(",",RawSalesTable6[[#This Row],[Customer_Info]],FIND(",",RawSalesTable6[[#This Row],[Customer_Info]])+1)))</f>
        <v>Small Business</v>
      </c>
      <c r="X524" s="8" t="str">
        <f>VLOOKUP(RawSalesTable6[[#This Row],[Product_ID_Clean]],ProductsTable[],2,FALSE)</f>
        <v>USB-C Hub</v>
      </c>
      <c r="Y524" s="8" t="str">
        <f>VLOOKUP(RawSalesTable6[[#This Row],[Product_ID_Clean]],ProductsTable[],3,FALSE)</f>
        <v>Electronics</v>
      </c>
      <c r="Z524" s="8">
        <f>VLOOKUP(RawSalesTable6[[#This Row],[Product_ID_Clean]],ProductsTable[],5,FALSE)</f>
        <v>72</v>
      </c>
      <c r="AA524" s="8">
        <f>RawSalesTable6[[#This Row],[Unit_Price]]*RawSalesTable6[[#This Row],[Quantity]]</f>
        <v>106.25</v>
      </c>
      <c r="AB524" s="8">
        <f>RawSalesTable6[[#This Row],[Gross_Sales]]*RawSalesTable6[[#This Row],[Discount_Pct]]</f>
        <v>5.3125</v>
      </c>
      <c r="AC524" s="8">
        <f>RawSalesTable6[[#This Row],[Gross_Sales]]-RawSalesTable6[[#This Row],[Discount_Amount]]</f>
        <v>100.9375</v>
      </c>
      <c r="AD524" s="8">
        <f>RawSalesTable6[[#This Row],[Unit_Cost]]*RawSalesTable6[[#This Row],[Quantity]]</f>
        <v>72</v>
      </c>
      <c r="AE524" s="8">
        <f>RawSalesTable6[[#This Row],[Net_Sales]]-RawSalesTable6[[#This Row],[Total_Cost]]</f>
        <v>28.9375</v>
      </c>
      <c r="AF524" s="9">
        <f>RawSalesTable6[[#This Row],[Profit]]/RawSalesTable6[[#This Row],[Net_Sales]]</f>
        <v>0.286687306501548</v>
      </c>
      <c r="AG524" s="8">
        <f>YEAR(RawSalesTable6[[#This Row],[Order_Date]])</f>
        <v>2025</v>
      </c>
      <c r="AH524" s="8">
        <f>MONTH(RawSalesTable6[[#This Row],[Order_Date]])</f>
        <v>11</v>
      </c>
      <c r="AI524" s="8" t="str">
        <f>TEXT(RawSalesTable6[[#This Row],[Order_Date]],"mmmm")</f>
        <v>novembre</v>
      </c>
      <c r="AJ524" s="8" t="str">
        <f>IF(RawSalesTable6[[#This Row],[Month_Number]]&lt;=3,"Q1",IF(RawSalesTable6[[#This Row],[Month_Number]]&lt;=6,"Q2",IF(RawSalesTable6[[#This Row],[Month_Number]]&lt;=9,"Q3","Q4")))</f>
        <v>Q4</v>
      </c>
      <c r="AK524" s="8" t="str">
        <f>VLOOKUP(RawSalesTable6[[#This Row],[Customer_ID_Clean]],CustomersTable[],4,FALSE)</f>
        <v>British Columbia</v>
      </c>
      <c r="AL524" s="8">
        <f>IF(RawSalesTable6[[#This Row],[Return_Status]]="Yes",1,0)</f>
        <v>0</v>
      </c>
    </row>
    <row r="525" spans="1:38">
      <c r="A525" t="s">
        <v>959</v>
      </c>
      <c r="B525" s="3">
        <v>45980</v>
      </c>
      <c r="C525" t="s">
        <v>93</v>
      </c>
      <c r="D525" t="s">
        <v>210</v>
      </c>
      <c r="E525" t="s">
        <v>95</v>
      </c>
      <c r="F525" t="s">
        <v>116</v>
      </c>
      <c r="G525" t="s">
        <v>117</v>
      </c>
      <c r="H525" t="s">
        <v>97</v>
      </c>
      <c r="I525">
        <v>2</v>
      </c>
      <c r="J525" s="2">
        <v>298.18</v>
      </c>
      <c r="K525" s="4">
        <v>0</v>
      </c>
      <c r="L525" t="s">
        <v>90</v>
      </c>
      <c r="M525">
        <v>1</v>
      </c>
      <c r="N525" t="s">
        <v>91</v>
      </c>
      <c r="O525" t="str">
        <f>SUBSTITUTE(PROPER(TRIM(RawSalesTable6[[#This Row],[Channel_Raw]])),"Market Place","Marketplace")</f>
        <v>Retail Store</v>
      </c>
      <c r="P525" t="str">
        <f>TRIM(RawSalesTable6[[#This Row],[Product_ID]])</f>
        <v>P1040</v>
      </c>
      <c r="Q525" t="str">
        <f>TRIM(RawSalesTable6[[#This Row],[Customer_ID]])</f>
        <v>C0084</v>
      </c>
      <c r="R525" s="8" t="str">
        <f>PROPER(TRIM(RawSalesTable6[[#This Row],[Store_Raw]]))</f>
        <v>Toronto Downtown</v>
      </c>
      <c r="S525" s="8" t="str">
        <f>IF(TRIM(RawSalesTable6[[#This Row],[Payment_Method_Raw]])="","Non renseigné",SUBSTITUTE(PROPER(TRIM(RawSalesTable6[[#This Row],[Payment_Method_Raw]])),"Cc","Credit Card"))</f>
        <v>Paypal</v>
      </c>
      <c r="T525" s="8">
        <f>COUNTIF(A:A,RawSalesTable6[[#This Row],[Order_ID]])</f>
        <v>1</v>
      </c>
      <c r="U525" s="8" t="str">
        <f>TRIM(LEFT(RawSalesTable6[[#This Row],[Customer_Info]],FIND(",",RawSalesTable6[[#This Row],[Customer_Info]])-1))</f>
        <v>Ryan Clark</v>
      </c>
      <c r="V525" s="8" t="str">
        <f>TRIM(MID(RawSalesTable6[[#This Row],[Customer_Info]],FIND(",",RawSalesTable6[[#This Row],[Customer_Info]])+1,FIND(",",RawSalesTable6[[#This Row],[Customer_Info]],FIND(",",RawSalesTable6[[#This Row],[Customer_Info]])+1)-FIND(",",RawSalesTable6[[#This Row],[Customer_Info]])-1))</f>
        <v>Montreal</v>
      </c>
      <c r="W525" s="8" t="str">
        <f>TRIM(RIGHT(RawSalesTable6[[#This Row],[Customer_Info]],LEN(RawSalesTable6[[#This Row],[Customer_Info]])-FIND(",",RawSalesTable6[[#This Row],[Customer_Info]],FIND(",",RawSalesTable6[[#This Row],[Customer_Info]])+1)))</f>
        <v>Corporate</v>
      </c>
      <c r="X525" s="8" t="str">
        <f>VLOOKUP(RawSalesTable6[[#This Row],[Product_ID_Clean]],ProductsTable[],2,FALSE)</f>
        <v>Desk Pad</v>
      </c>
      <c r="Y525" s="8" t="str">
        <f>VLOOKUP(RawSalesTable6[[#This Row],[Product_ID_Clean]],ProductsTable[],3,FALSE)</f>
        <v>Accessories</v>
      </c>
      <c r="Z525" s="8">
        <f>VLOOKUP(RawSalesTable6[[#This Row],[Product_ID_Clean]],ProductsTable[],5,FALSE)</f>
        <v>177.57</v>
      </c>
      <c r="AA525" s="8">
        <f>RawSalesTable6[[#This Row],[Unit_Price]]*RawSalesTable6[[#This Row],[Quantity]]</f>
        <v>596.36</v>
      </c>
      <c r="AB525" s="8">
        <f>RawSalesTable6[[#This Row],[Gross_Sales]]*RawSalesTable6[[#This Row],[Discount_Pct]]</f>
        <v>0</v>
      </c>
      <c r="AC525" s="8">
        <f>RawSalesTable6[[#This Row],[Gross_Sales]]-RawSalesTable6[[#This Row],[Discount_Amount]]</f>
        <v>596.36</v>
      </c>
      <c r="AD525" s="8">
        <f>RawSalesTable6[[#This Row],[Unit_Cost]]*RawSalesTable6[[#This Row],[Quantity]]</f>
        <v>355.14</v>
      </c>
      <c r="AE525" s="8">
        <f>RawSalesTable6[[#This Row],[Net_Sales]]-RawSalesTable6[[#This Row],[Total_Cost]]</f>
        <v>241.22000000000003</v>
      </c>
      <c r="AF525" s="9">
        <f>RawSalesTable6[[#This Row],[Profit]]/RawSalesTable6[[#This Row],[Net_Sales]]</f>
        <v>0.40448722248306396</v>
      </c>
      <c r="AG525" s="8">
        <f>YEAR(RawSalesTable6[[#This Row],[Order_Date]])</f>
        <v>2025</v>
      </c>
      <c r="AH525" s="8">
        <f>MONTH(RawSalesTable6[[#This Row],[Order_Date]])</f>
        <v>11</v>
      </c>
      <c r="AI525" s="8" t="str">
        <f>TEXT(RawSalesTable6[[#This Row],[Order_Date]],"mmmm")</f>
        <v>novembre</v>
      </c>
      <c r="AJ525" s="8" t="str">
        <f>IF(RawSalesTable6[[#This Row],[Month_Number]]&lt;=3,"Q1",IF(RawSalesTable6[[#This Row],[Month_Number]]&lt;=6,"Q2",IF(RawSalesTable6[[#This Row],[Month_Number]]&lt;=9,"Q3","Q4")))</f>
        <v>Q4</v>
      </c>
      <c r="AK525" s="8" t="str">
        <f>VLOOKUP(RawSalesTable6[[#This Row],[Customer_ID_Clean]],CustomersTable[],4,FALSE)</f>
        <v>Quebec</v>
      </c>
      <c r="AL525" s="8">
        <f>IF(RawSalesTable6[[#This Row],[Return_Status]]="Yes",1,0)</f>
        <v>0</v>
      </c>
    </row>
    <row r="526" spans="1:38">
      <c r="A526" t="s">
        <v>960</v>
      </c>
      <c r="B526" s="3">
        <v>45786</v>
      </c>
      <c r="C526" t="s">
        <v>239</v>
      </c>
      <c r="D526" t="s">
        <v>303</v>
      </c>
      <c r="E526" t="s">
        <v>240</v>
      </c>
      <c r="F526" t="s">
        <v>145</v>
      </c>
      <c r="G526" t="s">
        <v>96</v>
      </c>
      <c r="H526" t="s">
        <v>97</v>
      </c>
      <c r="I526">
        <v>3</v>
      </c>
      <c r="J526" s="2">
        <v>162.79</v>
      </c>
      <c r="K526" s="4">
        <v>0.05</v>
      </c>
      <c r="L526" t="s">
        <v>90</v>
      </c>
      <c r="M526">
        <v>0</v>
      </c>
      <c r="N526" t="s">
        <v>91</v>
      </c>
      <c r="O526" t="str">
        <f>SUBSTITUTE(PROPER(TRIM(RawSalesTable6[[#This Row],[Channel_Raw]])),"Market Place","Marketplace")</f>
        <v>Retail Store</v>
      </c>
      <c r="P526" t="str">
        <f>TRIM(RawSalesTable6[[#This Row],[Product_ID]])</f>
        <v>P1036</v>
      </c>
      <c r="Q526" t="str">
        <f>TRIM(RawSalesTable6[[#This Row],[Customer_ID]])</f>
        <v>C0089</v>
      </c>
      <c r="R526" s="8" t="str">
        <f>PROPER(TRIM(RawSalesTable6[[#This Row],[Store_Raw]]))</f>
        <v>Calgary North</v>
      </c>
      <c r="S526" s="8" t="str">
        <f>IF(TRIM(RawSalesTable6[[#This Row],[Payment_Method_Raw]])="","Non renseigné",SUBSTITUTE(PROPER(TRIM(RawSalesTable6[[#This Row],[Payment_Method_Raw]])),"Cc","Credit Card"))</f>
        <v>Paypal</v>
      </c>
      <c r="T526" s="8">
        <f>COUNTIF(A:A,RawSalesTable6[[#This Row],[Order_ID]])</f>
        <v>1</v>
      </c>
      <c r="U526" s="8" t="str">
        <f>TRIM(LEFT(RawSalesTable6[[#This Row],[Customer_Info]],FIND(",",RawSalesTable6[[#This Row],[Customer_Info]])-1))</f>
        <v>Lucas Martin</v>
      </c>
      <c r="V526" s="8" t="str">
        <f>TRIM(MID(RawSalesTable6[[#This Row],[Customer_Info]],FIND(",",RawSalesTable6[[#This Row],[Customer_Info]])+1,FIND(",",RawSalesTable6[[#This Row],[Customer_Info]],FIND(",",RawSalesTable6[[#This Row],[Customer_Info]])+1)-FIND(",",RawSalesTable6[[#This Row],[Customer_Info]])-1))</f>
        <v>Vancouver</v>
      </c>
      <c r="W526" s="8" t="str">
        <f>TRIM(RIGHT(RawSalesTable6[[#This Row],[Customer_Info]],LEN(RawSalesTable6[[#This Row],[Customer_Info]])-FIND(",",RawSalesTable6[[#This Row],[Customer_Info]],FIND(",",RawSalesTable6[[#This Row],[Customer_Info]])+1)))</f>
        <v>Consumer</v>
      </c>
      <c r="X526" s="8" t="str">
        <f>VLOOKUP(RawSalesTable6[[#This Row],[Product_ID_Clean]],ProductsTable[],2,FALSE)</f>
        <v>Power Bank</v>
      </c>
      <c r="Y526" s="8" t="str">
        <f>VLOOKUP(RawSalesTable6[[#This Row],[Product_ID_Clean]],ProductsTable[],3,FALSE)</f>
        <v>Accessories</v>
      </c>
      <c r="Z526" s="8">
        <f>VLOOKUP(RawSalesTable6[[#This Row],[Product_ID_Clean]],ProductsTable[],5,FALSE)</f>
        <v>76.97</v>
      </c>
      <c r="AA526" s="8">
        <f>RawSalesTable6[[#This Row],[Unit_Price]]*RawSalesTable6[[#This Row],[Quantity]]</f>
        <v>488.37</v>
      </c>
      <c r="AB526" s="8">
        <f>RawSalesTable6[[#This Row],[Gross_Sales]]*RawSalesTable6[[#This Row],[Discount_Pct]]</f>
        <v>24.418500000000002</v>
      </c>
      <c r="AC526" s="8">
        <f>RawSalesTable6[[#This Row],[Gross_Sales]]-RawSalesTable6[[#This Row],[Discount_Amount]]</f>
        <v>463.95150000000001</v>
      </c>
      <c r="AD526" s="8">
        <f>RawSalesTable6[[#This Row],[Unit_Cost]]*RawSalesTable6[[#This Row],[Quantity]]</f>
        <v>230.91</v>
      </c>
      <c r="AE526" s="8">
        <f>RawSalesTable6[[#This Row],[Net_Sales]]-RawSalesTable6[[#This Row],[Total_Cost]]</f>
        <v>233.04150000000001</v>
      </c>
      <c r="AF526" s="9">
        <f>RawSalesTable6[[#This Row],[Profit]]/RawSalesTable6[[#This Row],[Net_Sales]]</f>
        <v>0.50229711510793695</v>
      </c>
      <c r="AG526" s="8">
        <f>YEAR(RawSalesTable6[[#This Row],[Order_Date]])</f>
        <v>2025</v>
      </c>
      <c r="AH526" s="8">
        <f>MONTH(RawSalesTable6[[#This Row],[Order_Date]])</f>
        <v>5</v>
      </c>
      <c r="AI526" s="8" t="str">
        <f>TEXT(RawSalesTable6[[#This Row],[Order_Date]],"mmmm")</f>
        <v>mai</v>
      </c>
      <c r="AJ526" s="8" t="str">
        <f>IF(RawSalesTable6[[#This Row],[Month_Number]]&lt;=3,"Q1",IF(RawSalesTable6[[#This Row],[Month_Number]]&lt;=6,"Q2",IF(RawSalesTable6[[#This Row],[Month_Number]]&lt;=9,"Q3","Q4")))</f>
        <v>Q2</v>
      </c>
      <c r="AK526" s="8" t="str">
        <f>VLOOKUP(RawSalesTable6[[#This Row],[Customer_ID_Clean]],CustomersTable[],4,FALSE)</f>
        <v>British Columbia</v>
      </c>
      <c r="AL526" s="8">
        <f>IF(RawSalesTable6[[#This Row],[Return_Status]]="Yes",1,0)</f>
        <v>0</v>
      </c>
    </row>
    <row r="527" spans="1:38">
      <c r="A527" t="s">
        <v>961</v>
      </c>
      <c r="B527" s="3">
        <v>45723</v>
      </c>
      <c r="C527" t="s">
        <v>260</v>
      </c>
      <c r="D527" t="s">
        <v>85</v>
      </c>
      <c r="E527" t="s">
        <v>562</v>
      </c>
      <c r="F527" t="s">
        <v>116</v>
      </c>
      <c r="G527" t="s">
        <v>96</v>
      </c>
      <c r="H527" t="s">
        <v>105</v>
      </c>
      <c r="I527">
        <v>1</v>
      </c>
      <c r="J527" s="2">
        <v>318.27</v>
      </c>
      <c r="K527" s="4">
        <v>0</v>
      </c>
      <c r="L527" t="s">
        <v>521</v>
      </c>
      <c r="M527">
        <v>7</v>
      </c>
      <c r="N527" t="s">
        <v>91</v>
      </c>
      <c r="O527" t="str">
        <f>SUBSTITUTE(PROPER(TRIM(RawSalesTable6[[#This Row],[Channel_Raw]])),"Market Place","Marketplace")</f>
        <v>Marketplace</v>
      </c>
      <c r="P527" t="str">
        <f>TRIM(RawSalesTable6[[#This Row],[Product_ID]])</f>
        <v>P1025</v>
      </c>
      <c r="Q527" t="str">
        <f>TRIM(RawSalesTable6[[#This Row],[Customer_ID]])</f>
        <v>C0076</v>
      </c>
      <c r="R527" s="8" t="str">
        <f>PROPER(TRIM(RawSalesTable6[[#This Row],[Store_Raw]]))</f>
        <v>Toronto Downtown</v>
      </c>
      <c r="S527" s="8" t="str">
        <f>IF(TRIM(RawSalesTable6[[#This Row],[Payment_Method_Raw]])="","Non renseigné",SUBSTITUTE(PROPER(TRIM(RawSalesTable6[[#This Row],[Payment_Method_Raw]])),"Cc","Credit Card"))</f>
        <v>Debit Card</v>
      </c>
      <c r="T527" s="8">
        <f>COUNTIF(A:A,RawSalesTable6[[#This Row],[Order_ID]])</f>
        <v>1</v>
      </c>
      <c r="U527" s="8" t="str">
        <f>TRIM(LEFT(RawSalesTable6[[#This Row],[Customer_Info]],FIND(",",RawSalesTable6[[#This Row],[Customer_Info]])-1))</f>
        <v>Maya Taylor</v>
      </c>
      <c r="V527" s="8" t="str">
        <f>TRIM(MID(RawSalesTable6[[#This Row],[Customer_Info]],FIND(",",RawSalesTable6[[#This Row],[Customer_Info]])+1,FIND(",",RawSalesTable6[[#This Row],[Customer_Info]],FIND(",",RawSalesTable6[[#This Row],[Customer_Info]])+1)-FIND(",",RawSalesTable6[[#This Row],[Customer_Info]])-1))</f>
        <v>Saskatoon</v>
      </c>
      <c r="W527" s="8" t="str">
        <f>TRIM(RIGHT(RawSalesTable6[[#This Row],[Customer_Info]],LEN(RawSalesTable6[[#This Row],[Customer_Info]])-FIND(",",RawSalesTable6[[#This Row],[Customer_Info]],FIND(",",RawSalesTable6[[#This Row],[Customer_Info]])+1)))</f>
        <v>Corporate</v>
      </c>
      <c r="X527" s="8" t="str">
        <f>VLOOKUP(RawSalesTable6[[#This Row],[Product_ID_Clean]],ProductsTable[],2,FALSE)</f>
        <v>Yoga Mat</v>
      </c>
      <c r="Y527" s="8" t="str">
        <f>VLOOKUP(RawSalesTable6[[#This Row],[Product_ID_Clean]],ProductsTable[],3,FALSE)</f>
        <v>Fitness</v>
      </c>
      <c r="Z527" s="8">
        <f>VLOOKUP(RawSalesTable6[[#This Row],[Product_ID_Clean]],ProductsTable[],5,FALSE)</f>
        <v>197.33</v>
      </c>
      <c r="AA527" s="8">
        <f>RawSalesTable6[[#This Row],[Unit_Price]]*RawSalesTable6[[#This Row],[Quantity]]</f>
        <v>318.27</v>
      </c>
      <c r="AB527" s="8">
        <f>RawSalesTable6[[#This Row],[Gross_Sales]]*RawSalesTable6[[#This Row],[Discount_Pct]]</f>
        <v>0</v>
      </c>
      <c r="AC527" s="8">
        <f>RawSalesTable6[[#This Row],[Gross_Sales]]-RawSalesTable6[[#This Row],[Discount_Amount]]</f>
        <v>318.27</v>
      </c>
      <c r="AD527" s="8">
        <f>RawSalesTable6[[#This Row],[Unit_Cost]]*RawSalesTable6[[#This Row],[Quantity]]</f>
        <v>197.33</v>
      </c>
      <c r="AE527" s="8">
        <f>RawSalesTable6[[#This Row],[Net_Sales]]-RawSalesTable6[[#This Row],[Total_Cost]]</f>
        <v>120.93999999999997</v>
      </c>
      <c r="AF527" s="9">
        <f>RawSalesTable6[[#This Row],[Profit]]/RawSalesTable6[[#This Row],[Net_Sales]]</f>
        <v>0.37999183083545413</v>
      </c>
      <c r="AG527" s="8">
        <f>YEAR(RawSalesTable6[[#This Row],[Order_Date]])</f>
        <v>2025</v>
      </c>
      <c r="AH527" s="8">
        <f>MONTH(RawSalesTable6[[#This Row],[Order_Date]])</f>
        <v>3</v>
      </c>
      <c r="AI527" s="8" t="str">
        <f>TEXT(RawSalesTable6[[#This Row],[Order_Date]],"mmmm")</f>
        <v>mars</v>
      </c>
      <c r="AJ527" s="8" t="str">
        <f>IF(RawSalesTable6[[#This Row],[Month_Number]]&lt;=3,"Q1",IF(RawSalesTable6[[#This Row],[Month_Number]]&lt;=6,"Q2",IF(RawSalesTable6[[#This Row],[Month_Number]]&lt;=9,"Q3","Q4")))</f>
        <v>Q1</v>
      </c>
      <c r="AK527" s="8" t="str">
        <f>VLOOKUP(RawSalesTable6[[#This Row],[Customer_ID_Clean]],CustomersTable[],4,FALSE)</f>
        <v>Saskatchewan</v>
      </c>
      <c r="AL527" s="8">
        <f>IF(RawSalesTable6[[#This Row],[Return_Status]]="Yes",1,0)</f>
        <v>0</v>
      </c>
    </row>
    <row r="528" spans="1:38">
      <c r="A528" t="s">
        <v>962</v>
      </c>
      <c r="B528" s="3">
        <v>45818</v>
      </c>
      <c r="C528" t="s">
        <v>410</v>
      </c>
      <c r="D528" t="s">
        <v>194</v>
      </c>
      <c r="E528" t="s">
        <v>411</v>
      </c>
      <c r="F528" t="s">
        <v>145</v>
      </c>
      <c r="G528" t="s">
        <v>122</v>
      </c>
      <c r="H528" t="s">
        <v>97</v>
      </c>
      <c r="I528">
        <v>1</v>
      </c>
      <c r="J528" s="2">
        <v>207.24</v>
      </c>
      <c r="K528" s="4">
        <v>0.15</v>
      </c>
      <c r="L528" t="s">
        <v>90</v>
      </c>
      <c r="M528">
        <v>3</v>
      </c>
      <c r="N528" t="s">
        <v>91</v>
      </c>
      <c r="O528" t="str">
        <f>SUBSTITUTE(PROPER(TRIM(RawSalesTable6[[#This Row],[Channel_Raw]])),"Market Place","Marketplace")</f>
        <v>Retail Store</v>
      </c>
      <c r="P528" t="str">
        <f>TRIM(RawSalesTable6[[#This Row],[Product_ID]])</f>
        <v>P1029</v>
      </c>
      <c r="Q528" t="str">
        <f>TRIM(RawSalesTable6[[#This Row],[Customer_ID]])</f>
        <v>C0093</v>
      </c>
      <c r="R528" s="8" t="str">
        <f>PROPER(TRIM(RawSalesTable6[[#This Row],[Store_Raw]]))</f>
        <v>Calgary North</v>
      </c>
      <c r="S528" s="8" t="str">
        <f>IF(TRIM(RawSalesTable6[[#This Row],[Payment_Method_Raw]])="","Non renseigné",SUBSTITUTE(PROPER(TRIM(RawSalesTable6[[#This Row],[Payment_Method_Raw]])),"Cc","Credit Card"))</f>
        <v>Paypal</v>
      </c>
      <c r="T528" s="8">
        <f>COUNTIF(A:A,RawSalesTable6[[#This Row],[Order_ID]])</f>
        <v>1</v>
      </c>
      <c r="U528" s="8" t="str">
        <f>TRIM(LEFT(RawSalesTable6[[#This Row],[Customer_Info]],FIND(",",RawSalesTable6[[#This Row],[Customer_Info]])-1))</f>
        <v>Ethan Roy</v>
      </c>
      <c r="V528" s="8" t="str">
        <f>TRIM(MID(RawSalesTable6[[#This Row],[Customer_Info]],FIND(",",RawSalesTable6[[#This Row],[Customer_Info]])+1,FIND(",",RawSalesTable6[[#This Row],[Customer_Info]],FIND(",",RawSalesTable6[[#This Row],[Customer_Info]])+1)-FIND(",",RawSalesTable6[[#This Row],[Customer_Info]])-1))</f>
        <v>Winnipeg</v>
      </c>
      <c r="W528" s="8" t="str">
        <f>TRIM(RIGHT(RawSalesTable6[[#This Row],[Customer_Info]],LEN(RawSalesTable6[[#This Row],[Customer_Info]])-FIND(",",RawSalesTable6[[#This Row],[Customer_Info]],FIND(",",RawSalesTable6[[#This Row],[Customer_Info]])+1)))</f>
        <v>Consumer</v>
      </c>
      <c r="X528" s="8" t="str">
        <f>VLOOKUP(RawSalesTable6[[#This Row],[Product_ID_Clean]],ProductsTable[],2,FALSE)</f>
        <v>Jump Rope</v>
      </c>
      <c r="Y528" s="8" t="str">
        <f>VLOOKUP(RawSalesTable6[[#This Row],[Product_ID_Clean]],ProductsTable[],3,FALSE)</f>
        <v>Fitness</v>
      </c>
      <c r="Z528" s="8">
        <f>VLOOKUP(RawSalesTable6[[#This Row],[Product_ID_Clean]],ProductsTable[],5,FALSE)</f>
        <v>101</v>
      </c>
      <c r="AA528" s="8">
        <f>RawSalesTable6[[#This Row],[Unit_Price]]*RawSalesTable6[[#This Row],[Quantity]]</f>
        <v>207.24</v>
      </c>
      <c r="AB528" s="8">
        <f>RawSalesTable6[[#This Row],[Gross_Sales]]*RawSalesTable6[[#This Row],[Discount_Pct]]</f>
        <v>31.085999999999999</v>
      </c>
      <c r="AC528" s="8">
        <f>RawSalesTable6[[#This Row],[Gross_Sales]]-RawSalesTable6[[#This Row],[Discount_Amount]]</f>
        <v>176.154</v>
      </c>
      <c r="AD528" s="8">
        <f>RawSalesTable6[[#This Row],[Unit_Cost]]*RawSalesTable6[[#This Row],[Quantity]]</f>
        <v>101</v>
      </c>
      <c r="AE528" s="8">
        <f>RawSalesTable6[[#This Row],[Net_Sales]]-RawSalesTable6[[#This Row],[Total_Cost]]</f>
        <v>75.153999999999996</v>
      </c>
      <c r="AF528" s="9">
        <f>RawSalesTable6[[#This Row],[Profit]]/RawSalesTable6[[#This Row],[Net_Sales]]</f>
        <v>0.42663805533794291</v>
      </c>
      <c r="AG528" s="8">
        <f>YEAR(RawSalesTable6[[#This Row],[Order_Date]])</f>
        <v>2025</v>
      </c>
      <c r="AH528" s="8">
        <f>MONTH(RawSalesTable6[[#This Row],[Order_Date]])</f>
        <v>6</v>
      </c>
      <c r="AI528" s="8" t="str">
        <f>TEXT(RawSalesTable6[[#This Row],[Order_Date]],"mmmm")</f>
        <v>juin</v>
      </c>
      <c r="AJ528" s="8" t="str">
        <f>IF(RawSalesTable6[[#This Row],[Month_Number]]&lt;=3,"Q1",IF(RawSalesTable6[[#This Row],[Month_Number]]&lt;=6,"Q2",IF(RawSalesTable6[[#This Row],[Month_Number]]&lt;=9,"Q3","Q4")))</f>
        <v>Q2</v>
      </c>
      <c r="AK528" s="8" t="str">
        <f>VLOOKUP(RawSalesTable6[[#This Row],[Customer_ID_Clean]],CustomersTable[],4,FALSE)</f>
        <v>Manitoba</v>
      </c>
      <c r="AL528" s="8">
        <f>IF(RawSalesTable6[[#This Row],[Return_Status]]="Yes",1,0)</f>
        <v>0</v>
      </c>
    </row>
    <row r="529" spans="1:38">
      <c r="A529" t="s">
        <v>963</v>
      </c>
      <c r="B529" s="3">
        <v>45886</v>
      </c>
      <c r="C529" t="s">
        <v>84</v>
      </c>
      <c r="D529" t="s">
        <v>503</v>
      </c>
      <c r="E529" t="s">
        <v>86</v>
      </c>
      <c r="F529" t="s">
        <v>87</v>
      </c>
      <c r="G529" t="s">
        <v>104</v>
      </c>
      <c r="H529" t="s">
        <v>105</v>
      </c>
      <c r="I529">
        <v>2</v>
      </c>
      <c r="J529" s="2">
        <v>117.72</v>
      </c>
      <c r="K529" s="4">
        <v>0.05</v>
      </c>
      <c r="L529" t="s">
        <v>106</v>
      </c>
      <c r="M529">
        <v>5</v>
      </c>
      <c r="N529" t="s">
        <v>91</v>
      </c>
      <c r="O529" t="str">
        <f>SUBSTITUTE(PROPER(TRIM(RawSalesTable6[[#This Row],[Channel_Raw]])),"Market Place","Marketplace")</f>
        <v>Marketplace</v>
      </c>
      <c r="P529" t="str">
        <f>TRIM(RawSalesTable6[[#This Row],[Product_ID]])</f>
        <v>P1013</v>
      </c>
      <c r="Q529" t="str">
        <f>TRIM(RawSalesTable6[[#This Row],[Customer_ID]])</f>
        <v>C0113</v>
      </c>
      <c r="R529" s="8" t="str">
        <f>PROPER(TRIM(RawSalesTable6[[#This Row],[Store_Raw]]))</f>
        <v>Online Fulfillment</v>
      </c>
      <c r="S529" s="8" t="str">
        <f>IF(TRIM(RawSalesTable6[[#This Row],[Payment_Method_Raw]])="","Non renseigné",SUBSTITUTE(PROPER(TRIM(RawSalesTable6[[#This Row],[Payment_Method_Raw]])),"Cc","Credit Card"))</f>
        <v>Credit Card</v>
      </c>
      <c r="T529" s="8">
        <f>COUNTIF(A:A,RawSalesTable6[[#This Row],[Order_ID]])</f>
        <v>1</v>
      </c>
      <c r="U529" s="8" t="str">
        <f>TRIM(LEFT(RawSalesTable6[[#This Row],[Customer_Info]],FIND(",",RawSalesTable6[[#This Row],[Customer_Info]])-1))</f>
        <v>Olivia Johnson</v>
      </c>
      <c r="V529" s="8" t="str">
        <f>TRIM(MID(RawSalesTable6[[#This Row],[Customer_Info]],FIND(",",RawSalesTable6[[#This Row],[Customer_Info]])+1,FIND(",",RawSalesTable6[[#This Row],[Customer_Info]],FIND(",",RawSalesTable6[[#This Row],[Customer_Info]])+1)-FIND(",",RawSalesTable6[[#This Row],[Customer_Info]])-1))</f>
        <v>Surrey</v>
      </c>
      <c r="W529" s="8" t="str">
        <f>TRIM(RIGHT(RawSalesTable6[[#This Row],[Customer_Info]],LEN(RawSalesTable6[[#This Row],[Customer_Info]])-FIND(",",RawSalesTable6[[#This Row],[Customer_Info]],FIND(",",RawSalesTable6[[#This Row],[Customer_Info]])+1)))</f>
        <v>Consumer</v>
      </c>
      <c r="X529" s="8" t="str">
        <f>VLOOKUP(RawSalesTable6[[#This Row],[Product_ID_Clean]],ProductsTable[],2,FALSE)</f>
        <v>Whiteboard</v>
      </c>
      <c r="Y529" s="8" t="str">
        <f>VLOOKUP(RawSalesTable6[[#This Row],[Product_ID_Clean]],ProductsTable[],3,FALSE)</f>
        <v>Office</v>
      </c>
      <c r="Z529" s="8">
        <f>VLOOKUP(RawSalesTable6[[#This Row],[Product_ID_Clean]],ProductsTable[],5,FALSE)</f>
        <v>85.73</v>
      </c>
      <c r="AA529" s="8">
        <f>RawSalesTable6[[#This Row],[Unit_Price]]*RawSalesTable6[[#This Row],[Quantity]]</f>
        <v>235.44</v>
      </c>
      <c r="AB529" s="8">
        <f>RawSalesTable6[[#This Row],[Gross_Sales]]*RawSalesTable6[[#This Row],[Discount_Pct]]</f>
        <v>11.772</v>
      </c>
      <c r="AC529" s="8">
        <f>RawSalesTable6[[#This Row],[Gross_Sales]]-RawSalesTable6[[#This Row],[Discount_Amount]]</f>
        <v>223.66800000000001</v>
      </c>
      <c r="AD529" s="8">
        <f>RawSalesTable6[[#This Row],[Unit_Cost]]*RawSalesTable6[[#This Row],[Quantity]]</f>
        <v>171.46</v>
      </c>
      <c r="AE529" s="8">
        <f>RawSalesTable6[[#This Row],[Net_Sales]]-RawSalesTable6[[#This Row],[Total_Cost]]</f>
        <v>52.207999999999998</v>
      </c>
      <c r="AF529" s="9">
        <f>RawSalesTable6[[#This Row],[Profit]]/RawSalesTable6[[#This Row],[Net_Sales]]</f>
        <v>0.23341738648353808</v>
      </c>
      <c r="AG529" s="8">
        <f>YEAR(RawSalesTable6[[#This Row],[Order_Date]])</f>
        <v>2025</v>
      </c>
      <c r="AH529" s="8">
        <f>MONTH(RawSalesTable6[[#This Row],[Order_Date]])</f>
        <v>8</v>
      </c>
      <c r="AI529" s="8" t="str">
        <f>TEXT(RawSalesTable6[[#This Row],[Order_Date]],"mmmm")</f>
        <v>août</v>
      </c>
      <c r="AJ529" s="8" t="str">
        <f>IF(RawSalesTable6[[#This Row],[Month_Number]]&lt;=3,"Q1",IF(RawSalesTable6[[#This Row],[Month_Number]]&lt;=6,"Q2",IF(RawSalesTable6[[#This Row],[Month_Number]]&lt;=9,"Q3","Q4")))</f>
        <v>Q3</v>
      </c>
      <c r="AK529" s="8" t="str">
        <f>VLOOKUP(RawSalesTable6[[#This Row],[Customer_ID_Clean]],CustomersTable[],4,FALSE)</f>
        <v>British Columbia</v>
      </c>
      <c r="AL529" s="8">
        <f>IF(RawSalesTable6[[#This Row],[Return_Status]]="Yes",1,0)</f>
        <v>0</v>
      </c>
    </row>
    <row r="530" spans="1:38">
      <c r="A530" t="s">
        <v>964</v>
      </c>
      <c r="B530" s="3">
        <v>45863</v>
      </c>
      <c r="C530" t="s">
        <v>531</v>
      </c>
      <c r="D530" t="s">
        <v>101</v>
      </c>
      <c r="E530" t="s">
        <v>532</v>
      </c>
      <c r="F530" t="s">
        <v>111</v>
      </c>
      <c r="G530" t="s">
        <v>183</v>
      </c>
      <c r="H530" t="s">
        <v>89</v>
      </c>
      <c r="I530">
        <v>1</v>
      </c>
      <c r="J530" s="2">
        <v>314.3</v>
      </c>
      <c r="K530" s="4">
        <v>0.05</v>
      </c>
      <c r="L530" t="s">
        <v>106</v>
      </c>
      <c r="M530">
        <v>3</v>
      </c>
      <c r="N530" t="s">
        <v>91</v>
      </c>
      <c r="O530" t="str">
        <f>SUBSTITUTE(PROPER(TRIM(RawSalesTable6[[#This Row],[Channel_Raw]])),"Market Place","Marketplace")</f>
        <v>Online</v>
      </c>
      <c r="P530" t="str">
        <f>TRIM(RawSalesTable6[[#This Row],[Product_ID]])</f>
        <v>P1021</v>
      </c>
      <c r="Q530" t="str">
        <f>TRIM(RawSalesTable6[[#This Row],[Customer_ID]])</f>
        <v>C0042</v>
      </c>
      <c r="R530" s="8" t="str">
        <f>PROPER(TRIM(RawSalesTable6[[#This Row],[Store_Raw]]))</f>
        <v>Montreal Central</v>
      </c>
      <c r="S530" s="8" t="str">
        <f>IF(TRIM(RawSalesTable6[[#This Row],[Payment_Method_Raw]])="","Non renseigné",SUBSTITUTE(PROPER(TRIM(RawSalesTable6[[#This Row],[Payment_Method_Raw]])),"Cc","Credit Card"))</f>
        <v>Credit Card</v>
      </c>
      <c r="T530" s="8">
        <f>COUNTIF(A:A,RawSalesTable6[[#This Row],[Order_ID]])</f>
        <v>1</v>
      </c>
      <c r="U530" s="8" t="str">
        <f>TRIM(LEFT(RawSalesTable6[[#This Row],[Customer_Info]],FIND(",",RawSalesTable6[[#This Row],[Customer_Info]])-1))</f>
        <v>Emma King</v>
      </c>
      <c r="V530" s="8" t="str">
        <f>TRIM(MID(RawSalesTable6[[#This Row],[Customer_Info]],FIND(",",RawSalesTable6[[#This Row],[Customer_Info]])+1,FIND(",",RawSalesTable6[[#This Row],[Customer_Info]],FIND(",",RawSalesTable6[[#This Row],[Customer_Info]])+1)-FIND(",",RawSalesTable6[[#This Row],[Customer_Info]])-1))</f>
        <v>Quebec City</v>
      </c>
      <c r="W530" s="8" t="str">
        <f>TRIM(RIGHT(RawSalesTable6[[#This Row],[Customer_Info]],LEN(RawSalesTable6[[#This Row],[Customer_Info]])-FIND(",",RawSalesTable6[[#This Row],[Customer_Info]],FIND(",",RawSalesTable6[[#This Row],[Customer_Info]])+1)))</f>
        <v>Consumer</v>
      </c>
      <c r="X530" s="8" t="str">
        <f>VLOOKUP(RawSalesTable6[[#This Row],[Product_ID_Clean]],ProductsTable[],2,FALSE)</f>
        <v>Kettle</v>
      </c>
      <c r="Y530" s="8" t="str">
        <f>VLOOKUP(RawSalesTable6[[#This Row],[Product_ID_Clean]],ProductsTable[],3,FALSE)</f>
        <v>Home</v>
      </c>
      <c r="Z530" s="8">
        <f>VLOOKUP(RawSalesTable6[[#This Row],[Product_ID_Clean]],ProductsTable[],5,FALSE)</f>
        <v>139.86000000000001</v>
      </c>
      <c r="AA530" s="8">
        <f>RawSalesTable6[[#This Row],[Unit_Price]]*RawSalesTable6[[#This Row],[Quantity]]</f>
        <v>314.3</v>
      </c>
      <c r="AB530" s="8">
        <f>RawSalesTable6[[#This Row],[Gross_Sales]]*RawSalesTable6[[#This Row],[Discount_Pct]]</f>
        <v>15.715000000000002</v>
      </c>
      <c r="AC530" s="8">
        <f>RawSalesTable6[[#This Row],[Gross_Sales]]-RawSalesTable6[[#This Row],[Discount_Amount]]</f>
        <v>298.58500000000004</v>
      </c>
      <c r="AD530" s="8">
        <f>RawSalesTable6[[#This Row],[Unit_Cost]]*RawSalesTable6[[#This Row],[Quantity]]</f>
        <v>139.86000000000001</v>
      </c>
      <c r="AE530" s="8">
        <f>RawSalesTable6[[#This Row],[Net_Sales]]-RawSalesTable6[[#This Row],[Total_Cost]]</f>
        <v>158.72500000000002</v>
      </c>
      <c r="AF530" s="9">
        <f>RawSalesTable6[[#This Row],[Profit]]/RawSalesTable6[[#This Row],[Net_Sales]]</f>
        <v>0.53159066932364318</v>
      </c>
      <c r="AG530" s="8">
        <f>YEAR(RawSalesTable6[[#This Row],[Order_Date]])</f>
        <v>2025</v>
      </c>
      <c r="AH530" s="8">
        <f>MONTH(RawSalesTable6[[#This Row],[Order_Date]])</f>
        <v>7</v>
      </c>
      <c r="AI530" s="8" t="str">
        <f>TEXT(RawSalesTable6[[#This Row],[Order_Date]],"mmmm")</f>
        <v>juillet</v>
      </c>
      <c r="AJ530" s="8" t="str">
        <f>IF(RawSalesTable6[[#This Row],[Month_Number]]&lt;=3,"Q1",IF(RawSalesTable6[[#This Row],[Month_Number]]&lt;=6,"Q2",IF(RawSalesTable6[[#This Row],[Month_Number]]&lt;=9,"Q3","Q4")))</f>
        <v>Q3</v>
      </c>
      <c r="AK530" s="8" t="str">
        <f>VLOOKUP(RawSalesTable6[[#This Row],[Customer_ID_Clean]],CustomersTable[],4,FALSE)</f>
        <v>Quebec</v>
      </c>
      <c r="AL530" s="8">
        <f>IF(RawSalesTable6[[#This Row],[Return_Status]]="Yes",1,0)</f>
        <v>0</v>
      </c>
    </row>
    <row r="531" spans="1:38">
      <c r="A531" t="s">
        <v>965</v>
      </c>
      <c r="B531" s="3">
        <v>45662</v>
      </c>
      <c r="C531" t="s">
        <v>531</v>
      </c>
      <c r="D531" t="s">
        <v>120</v>
      </c>
      <c r="E531" t="s">
        <v>532</v>
      </c>
      <c r="F531" t="s">
        <v>111</v>
      </c>
      <c r="G531" t="s">
        <v>122</v>
      </c>
      <c r="H531" t="s">
        <v>89</v>
      </c>
      <c r="I531">
        <v>1</v>
      </c>
      <c r="J531" s="2">
        <v>400.01</v>
      </c>
      <c r="K531" s="4">
        <v>0</v>
      </c>
      <c r="L531" t="s">
        <v>106</v>
      </c>
      <c r="M531">
        <v>6</v>
      </c>
      <c r="N531" t="s">
        <v>91</v>
      </c>
      <c r="O531" t="str">
        <f>SUBSTITUTE(PROPER(TRIM(RawSalesTable6[[#This Row],[Channel_Raw]])),"Market Place","Marketplace")</f>
        <v>Online</v>
      </c>
      <c r="P531" t="str">
        <f>TRIM(RawSalesTable6[[#This Row],[Product_ID]])</f>
        <v>P1015</v>
      </c>
      <c r="Q531" t="str">
        <f>TRIM(RawSalesTable6[[#This Row],[Customer_ID]])</f>
        <v>C0042</v>
      </c>
      <c r="R531" s="8" t="str">
        <f>PROPER(TRIM(RawSalesTable6[[#This Row],[Store_Raw]]))</f>
        <v>Montreal Central</v>
      </c>
      <c r="S531" s="8" t="str">
        <f>IF(TRIM(RawSalesTable6[[#This Row],[Payment_Method_Raw]])="","Non renseigné",SUBSTITUTE(PROPER(TRIM(RawSalesTable6[[#This Row],[Payment_Method_Raw]])),"Cc","Credit Card"))</f>
        <v>Credit Card</v>
      </c>
      <c r="T531" s="8">
        <f>COUNTIF(A:A,RawSalesTable6[[#This Row],[Order_ID]])</f>
        <v>1</v>
      </c>
      <c r="U531" s="8" t="str">
        <f>TRIM(LEFT(RawSalesTable6[[#This Row],[Customer_Info]],FIND(",",RawSalesTable6[[#This Row],[Customer_Info]])-1))</f>
        <v>Emma King</v>
      </c>
      <c r="V531" s="8" t="str">
        <f>TRIM(MID(RawSalesTable6[[#This Row],[Customer_Info]],FIND(",",RawSalesTable6[[#This Row],[Customer_Info]])+1,FIND(",",RawSalesTable6[[#This Row],[Customer_Info]],FIND(",",RawSalesTable6[[#This Row],[Customer_Info]])+1)-FIND(",",RawSalesTable6[[#This Row],[Customer_Info]])-1))</f>
        <v>Quebec City</v>
      </c>
      <c r="W531" s="8" t="str">
        <f>TRIM(RIGHT(RawSalesTable6[[#This Row],[Customer_Info]],LEN(RawSalesTable6[[#This Row],[Customer_Info]])-FIND(",",RawSalesTable6[[#This Row],[Customer_Info]],FIND(",",RawSalesTable6[[#This Row],[Customer_Info]])+1)))</f>
        <v>Consumer</v>
      </c>
      <c r="X531" s="8" t="str">
        <f>VLOOKUP(RawSalesTable6[[#This Row],[Product_ID_Clean]],ProductsTable[],2,FALSE)</f>
        <v>Desk Organizer</v>
      </c>
      <c r="Y531" s="8" t="str">
        <f>VLOOKUP(RawSalesTable6[[#This Row],[Product_ID_Clean]],ProductsTable[],3,FALSE)</f>
        <v>Office</v>
      </c>
      <c r="Z531" s="8">
        <f>VLOOKUP(RawSalesTable6[[#This Row],[Product_ID_Clean]],ProductsTable[],5,FALSE)</f>
        <v>235.76</v>
      </c>
      <c r="AA531" s="8">
        <f>RawSalesTable6[[#This Row],[Unit_Price]]*RawSalesTable6[[#This Row],[Quantity]]</f>
        <v>400.01</v>
      </c>
      <c r="AB531" s="8">
        <f>RawSalesTable6[[#This Row],[Gross_Sales]]*RawSalesTable6[[#This Row],[Discount_Pct]]</f>
        <v>0</v>
      </c>
      <c r="AC531" s="8">
        <f>RawSalesTable6[[#This Row],[Gross_Sales]]-RawSalesTable6[[#This Row],[Discount_Amount]]</f>
        <v>400.01</v>
      </c>
      <c r="AD531" s="8">
        <f>RawSalesTable6[[#This Row],[Unit_Cost]]*RawSalesTable6[[#This Row],[Quantity]]</f>
        <v>235.76</v>
      </c>
      <c r="AE531" s="8">
        <f>RawSalesTable6[[#This Row],[Net_Sales]]-RawSalesTable6[[#This Row],[Total_Cost]]</f>
        <v>164.25</v>
      </c>
      <c r="AF531" s="9">
        <f>RawSalesTable6[[#This Row],[Profit]]/RawSalesTable6[[#This Row],[Net_Sales]]</f>
        <v>0.41061473463163423</v>
      </c>
      <c r="AG531" s="8">
        <f>YEAR(RawSalesTable6[[#This Row],[Order_Date]])</f>
        <v>2025</v>
      </c>
      <c r="AH531" s="8">
        <f>MONTH(RawSalesTable6[[#This Row],[Order_Date]])</f>
        <v>1</v>
      </c>
      <c r="AI531" s="8" t="str">
        <f>TEXT(RawSalesTable6[[#This Row],[Order_Date]],"mmmm")</f>
        <v>janvier</v>
      </c>
      <c r="AJ531" s="8" t="str">
        <f>IF(RawSalesTable6[[#This Row],[Month_Number]]&lt;=3,"Q1",IF(RawSalesTable6[[#This Row],[Month_Number]]&lt;=6,"Q2",IF(RawSalesTable6[[#This Row],[Month_Number]]&lt;=9,"Q3","Q4")))</f>
        <v>Q1</v>
      </c>
      <c r="AK531" s="8" t="str">
        <f>VLOOKUP(RawSalesTable6[[#This Row],[Customer_ID_Clean]],CustomersTable[],4,FALSE)</f>
        <v>Quebec</v>
      </c>
      <c r="AL531" s="8">
        <f>IF(RawSalesTable6[[#This Row],[Return_Status]]="Yes",1,0)</f>
        <v>0</v>
      </c>
    </row>
    <row r="532" spans="1:38">
      <c r="A532" t="s">
        <v>966</v>
      </c>
      <c r="B532" s="3">
        <v>45902</v>
      </c>
      <c r="C532" t="s">
        <v>156</v>
      </c>
      <c r="D532" t="s">
        <v>303</v>
      </c>
      <c r="E532" t="s">
        <v>158</v>
      </c>
      <c r="F532" t="s">
        <v>116</v>
      </c>
      <c r="G532" t="s">
        <v>117</v>
      </c>
      <c r="H532" t="s">
        <v>89</v>
      </c>
      <c r="I532">
        <v>1</v>
      </c>
      <c r="J532" s="2">
        <v>166.49</v>
      </c>
      <c r="K532" s="4">
        <v>0.1</v>
      </c>
      <c r="L532" t="s">
        <v>106</v>
      </c>
      <c r="M532">
        <v>4</v>
      </c>
      <c r="N532" t="s">
        <v>91</v>
      </c>
      <c r="O532" t="str">
        <f>SUBSTITUTE(PROPER(TRIM(RawSalesTable6[[#This Row],[Channel_Raw]])),"Market Place","Marketplace")</f>
        <v>Online</v>
      </c>
      <c r="P532" t="str">
        <f>TRIM(RawSalesTable6[[#This Row],[Product_ID]])</f>
        <v>P1036</v>
      </c>
      <c r="Q532" t="str">
        <f>TRIM(RawSalesTable6[[#This Row],[Customer_ID]])</f>
        <v>C0112</v>
      </c>
      <c r="R532" s="8" t="str">
        <f>PROPER(TRIM(RawSalesTable6[[#This Row],[Store_Raw]]))</f>
        <v>Toronto Downtown</v>
      </c>
      <c r="S532" s="8" t="str">
        <f>IF(TRIM(RawSalesTable6[[#This Row],[Payment_Method_Raw]])="","Non renseigné",SUBSTITUTE(PROPER(TRIM(RawSalesTable6[[#This Row],[Payment_Method_Raw]])),"Cc","Credit Card"))</f>
        <v>Credit Card</v>
      </c>
      <c r="T532" s="8">
        <f>COUNTIF(A:A,RawSalesTable6[[#This Row],[Order_ID]])</f>
        <v>1</v>
      </c>
      <c r="U532" s="8" t="str">
        <f>TRIM(LEFT(RawSalesTable6[[#This Row],[Customer_Info]],FIND(",",RawSalesTable6[[#This Row],[Customer_Info]])-1))</f>
        <v>Ava Bennett</v>
      </c>
      <c r="V532" s="8" t="str">
        <f>TRIM(MID(RawSalesTable6[[#This Row],[Customer_Info]],FIND(",",RawSalesTable6[[#This Row],[Customer_Info]])+1,FIND(",",RawSalesTable6[[#This Row],[Customer_Info]],FIND(",",RawSalesTable6[[#This Row],[Customer_Info]])+1)-FIND(",",RawSalesTable6[[#This Row],[Customer_Info]])-1))</f>
        <v>Halifax</v>
      </c>
      <c r="W532" s="8" t="str">
        <f>TRIM(RIGHT(RawSalesTable6[[#This Row],[Customer_Info]],LEN(RawSalesTable6[[#This Row],[Customer_Info]])-FIND(",",RawSalesTable6[[#This Row],[Customer_Info]],FIND(",",RawSalesTable6[[#This Row],[Customer_Info]])+1)))</f>
        <v>Consumer</v>
      </c>
      <c r="X532" s="8" t="str">
        <f>VLOOKUP(RawSalesTable6[[#This Row],[Product_ID_Clean]],ProductsTable[],2,FALSE)</f>
        <v>Power Bank</v>
      </c>
      <c r="Y532" s="8" t="str">
        <f>VLOOKUP(RawSalesTable6[[#This Row],[Product_ID_Clean]],ProductsTable[],3,FALSE)</f>
        <v>Accessories</v>
      </c>
      <c r="Z532" s="8">
        <f>VLOOKUP(RawSalesTable6[[#This Row],[Product_ID_Clean]],ProductsTable[],5,FALSE)</f>
        <v>76.97</v>
      </c>
      <c r="AA532" s="8">
        <f>RawSalesTable6[[#This Row],[Unit_Price]]*RawSalesTable6[[#This Row],[Quantity]]</f>
        <v>166.49</v>
      </c>
      <c r="AB532" s="8">
        <f>RawSalesTable6[[#This Row],[Gross_Sales]]*RawSalesTable6[[#This Row],[Discount_Pct]]</f>
        <v>16.649000000000001</v>
      </c>
      <c r="AC532" s="8">
        <f>RawSalesTable6[[#This Row],[Gross_Sales]]-RawSalesTable6[[#This Row],[Discount_Amount]]</f>
        <v>149.84100000000001</v>
      </c>
      <c r="AD532" s="8">
        <f>RawSalesTable6[[#This Row],[Unit_Cost]]*RawSalesTable6[[#This Row],[Quantity]]</f>
        <v>76.97</v>
      </c>
      <c r="AE532" s="8">
        <f>RawSalesTable6[[#This Row],[Net_Sales]]-RawSalesTable6[[#This Row],[Total_Cost]]</f>
        <v>72.871000000000009</v>
      </c>
      <c r="AF532" s="9">
        <f>RawSalesTable6[[#This Row],[Profit]]/RawSalesTable6[[#This Row],[Net_Sales]]</f>
        <v>0.48632216816492152</v>
      </c>
      <c r="AG532" s="8">
        <f>YEAR(RawSalesTable6[[#This Row],[Order_Date]])</f>
        <v>2025</v>
      </c>
      <c r="AH532" s="8">
        <f>MONTH(RawSalesTable6[[#This Row],[Order_Date]])</f>
        <v>9</v>
      </c>
      <c r="AI532" s="8" t="str">
        <f>TEXT(RawSalesTable6[[#This Row],[Order_Date]],"mmmm")</f>
        <v>septembre</v>
      </c>
      <c r="AJ532" s="8" t="str">
        <f>IF(RawSalesTable6[[#This Row],[Month_Number]]&lt;=3,"Q1",IF(RawSalesTable6[[#This Row],[Month_Number]]&lt;=6,"Q2",IF(RawSalesTable6[[#This Row],[Month_Number]]&lt;=9,"Q3","Q4")))</f>
        <v>Q3</v>
      </c>
      <c r="AK532" s="8" t="str">
        <f>VLOOKUP(RawSalesTable6[[#This Row],[Customer_ID_Clean]],CustomersTable[],4,FALSE)</f>
        <v>Nova Scotia</v>
      </c>
      <c r="AL532" s="8">
        <f>IF(RawSalesTable6[[#This Row],[Return_Status]]="Yes",1,0)</f>
        <v>0</v>
      </c>
    </row>
    <row r="533" spans="1:38">
      <c r="A533" t="s">
        <v>967</v>
      </c>
      <c r="B533" s="3">
        <v>45998</v>
      </c>
      <c r="C533" t="s">
        <v>610</v>
      </c>
      <c r="D533" t="s">
        <v>120</v>
      </c>
      <c r="E533" t="s">
        <v>611</v>
      </c>
      <c r="F533" t="s">
        <v>145</v>
      </c>
      <c r="G533" t="s">
        <v>183</v>
      </c>
      <c r="H533" t="s">
        <v>89</v>
      </c>
      <c r="I533">
        <v>1</v>
      </c>
      <c r="J533" s="2">
        <v>358.44</v>
      </c>
      <c r="K533" s="4">
        <v>0.05</v>
      </c>
      <c r="L533" t="s">
        <v>98</v>
      </c>
      <c r="M533">
        <v>6</v>
      </c>
      <c r="N533" t="s">
        <v>91</v>
      </c>
      <c r="O533" t="str">
        <f>SUBSTITUTE(PROPER(TRIM(RawSalesTable6[[#This Row],[Channel_Raw]])),"Market Place","Marketplace")</f>
        <v>Online</v>
      </c>
      <c r="P533" t="str">
        <f>TRIM(RawSalesTable6[[#This Row],[Product_ID]])</f>
        <v>P1015</v>
      </c>
      <c r="Q533" t="str">
        <f>TRIM(RawSalesTable6[[#This Row],[Customer_ID]])</f>
        <v>C0051</v>
      </c>
      <c r="R533" s="8" t="str">
        <f>PROPER(TRIM(RawSalesTable6[[#This Row],[Store_Raw]]))</f>
        <v>Calgary North</v>
      </c>
      <c r="S533" s="8" t="str">
        <f>IF(TRIM(RawSalesTable6[[#This Row],[Payment_Method_Raw]])="","Non renseigné",SUBSTITUTE(PROPER(TRIM(RawSalesTable6[[#This Row],[Payment_Method_Raw]])),"Cc","Credit Card"))</f>
        <v>Debit Card</v>
      </c>
      <c r="T533" s="8">
        <f>COUNTIF(A:A,RawSalesTable6[[#This Row],[Order_ID]])</f>
        <v>1</v>
      </c>
      <c r="U533" s="8" t="str">
        <f>TRIM(LEFT(RawSalesTable6[[#This Row],[Customer_Info]],FIND(",",RawSalesTable6[[#This Row],[Customer_Info]])-1))</f>
        <v>Daniel Brown</v>
      </c>
      <c r="V533" s="8" t="str">
        <f>TRIM(MID(RawSalesTable6[[#This Row],[Customer_Info]],FIND(",",RawSalesTable6[[#This Row],[Customer_Info]])+1,FIND(",",RawSalesTable6[[#This Row],[Customer_Info]],FIND(",",RawSalesTable6[[#This Row],[Customer_Info]])+1)-FIND(",",RawSalesTable6[[#This Row],[Customer_Info]])-1))</f>
        <v>Vancouver</v>
      </c>
      <c r="W533" s="8" t="str">
        <f>TRIM(RIGHT(RawSalesTable6[[#This Row],[Customer_Info]],LEN(RawSalesTable6[[#This Row],[Customer_Info]])-FIND(",",RawSalesTable6[[#This Row],[Customer_Info]],FIND(",",RawSalesTable6[[#This Row],[Customer_Info]])+1)))</f>
        <v>Small Business</v>
      </c>
      <c r="X533" s="8" t="str">
        <f>VLOOKUP(RawSalesTable6[[#This Row],[Product_ID_Clean]],ProductsTable[],2,FALSE)</f>
        <v>Desk Organizer</v>
      </c>
      <c r="Y533" s="8" t="str">
        <f>VLOOKUP(RawSalesTable6[[#This Row],[Product_ID_Clean]],ProductsTable[],3,FALSE)</f>
        <v>Office</v>
      </c>
      <c r="Z533" s="8">
        <f>VLOOKUP(RawSalesTable6[[#This Row],[Product_ID_Clean]],ProductsTable[],5,FALSE)</f>
        <v>235.76</v>
      </c>
      <c r="AA533" s="8">
        <f>RawSalesTable6[[#This Row],[Unit_Price]]*RawSalesTable6[[#This Row],[Quantity]]</f>
        <v>358.44</v>
      </c>
      <c r="AB533" s="8">
        <f>RawSalesTable6[[#This Row],[Gross_Sales]]*RawSalesTable6[[#This Row],[Discount_Pct]]</f>
        <v>17.922000000000001</v>
      </c>
      <c r="AC533" s="8">
        <f>RawSalesTable6[[#This Row],[Gross_Sales]]-RawSalesTable6[[#This Row],[Discount_Amount]]</f>
        <v>340.51799999999997</v>
      </c>
      <c r="AD533" s="8">
        <f>RawSalesTable6[[#This Row],[Unit_Cost]]*RawSalesTable6[[#This Row],[Quantity]]</f>
        <v>235.76</v>
      </c>
      <c r="AE533" s="8">
        <f>RawSalesTable6[[#This Row],[Net_Sales]]-RawSalesTable6[[#This Row],[Total_Cost]]</f>
        <v>104.75799999999998</v>
      </c>
      <c r="AF533" s="9">
        <f>RawSalesTable6[[#This Row],[Profit]]/RawSalesTable6[[#This Row],[Net_Sales]]</f>
        <v>0.30764306145343268</v>
      </c>
      <c r="AG533" s="8">
        <f>YEAR(RawSalesTable6[[#This Row],[Order_Date]])</f>
        <v>2025</v>
      </c>
      <c r="AH533" s="8">
        <f>MONTH(RawSalesTable6[[#This Row],[Order_Date]])</f>
        <v>12</v>
      </c>
      <c r="AI533" s="8" t="str">
        <f>TEXT(RawSalesTable6[[#This Row],[Order_Date]],"mmmm")</f>
        <v>décembre</v>
      </c>
      <c r="AJ533" s="8" t="str">
        <f>IF(RawSalesTable6[[#This Row],[Month_Number]]&lt;=3,"Q1",IF(RawSalesTable6[[#This Row],[Month_Number]]&lt;=6,"Q2",IF(RawSalesTable6[[#This Row],[Month_Number]]&lt;=9,"Q3","Q4")))</f>
        <v>Q4</v>
      </c>
      <c r="AK533" s="8" t="str">
        <f>VLOOKUP(RawSalesTable6[[#This Row],[Customer_ID_Clean]],CustomersTable[],4,FALSE)</f>
        <v>British Columbia</v>
      </c>
      <c r="AL533" s="8">
        <f>IF(RawSalesTable6[[#This Row],[Return_Status]]="Yes",1,0)</f>
        <v>0</v>
      </c>
    </row>
    <row r="534" spans="1:38">
      <c r="A534" t="s">
        <v>968</v>
      </c>
      <c r="B534" s="3">
        <v>45837</v>
      </c>
      <c r="C534" t="s">
        <v>113</v>
      </c>
      <c r="D534" t="s">
        <v>174</v>
      </c>
      <c r="E534" t="s">
        <v>115</v>
      </c>
      <c r="F534" t="s">
        <v>145</v>
      </c>
      <c r="G534" t="s">
        <v>104</v>
      </c>
      <c r="H534" t="s">
        <v>308</v>
      </c>
      <c r="I534">
        <v>3</v>
      </c>
      <c r="J534" s="2">
        <v>39.380000000000003</v>
      </c>
      <c r="K534" s="4">
        <v>0.15</v>
      </c>
      <c r="L534" t="s">
        <v>98</v>
      </c>
      <c r="M534">
        <v>2</v>
      </c>
      <c r="N534" t="s">
        <v>91</v>
      </c>
      <c r="O534" t="str">
        <f>SUBSTITUTE(PROPER(TRIM(RawSalesTable6[[#This Row],[Channel_Raw]])),"Market Place","Marketplace")</f>
        <v>Online</v>
      </c>
      <c r="P534" t="str">
        <f>TRIM(RawSalesTable6[[#This Row],[Product_ID]])</f>
        <v>P1002</v>
      </c>
      <c r="Q534" t="str">
        <f>TRIM(RawSalesTable6[[#This Row],[Customer_ID]])</f>
        <v>C0083</v>
      </c>
      <c r="R534" s="8" t="str">
        <f>PROPER(TRIM(RawSalesTable6[[#This Row],[Store_Raw]]))</f>
        <v>Calgary North</v>
      </c>
      <c r="S534" s="8" t="str">
        <f>IF(TRIM(RawSalesTable6[[#This Row],[Payment_Method_Raw]])="","Non renseigné",SUBSTITUTE(PROPER(TRIM(RawSalesTable6[[#This Row],[Payment_Method_Raw]])),"Cc","Credit Card"))</f>
        <v>Debit Card</v>
      </c>
      <c r="T534" s="8">
        <f>COUNTIF(A:A,RawSalesTable6[[#This Row],[Order_ID]])</f>
        <v>1</v>
      </c>
      <c r="U534" s="8" t="str">
        <f>TRIM(LEFT(RawSalesTable6[[#This Row],[Customer_Info]],FIND(",",RawSalesTable6[[#This Row],[Customer_Info]])-1))</f>
        <v>Amine King</v>
      </c>
      <c r="V534" s="8" t="str">
        <f>TRIM(MID(RawSalesTable6[[#This Row],[Customer_Info]],FIND(",",RawSalesTable6[[#This Row],[Customer_Info]])+1,FIND(",",RawSalesTable6[[#This Row],[Customer_Info]],FIND(",",RawSalesTable6[[#This Row],[Customer_Info]])+1)-FIND(",",RawSalesTable6[[#This Row],[Customer_Info]])-1))</f>
        <v>Edmonton</v>
      </c>
      <c r="W534" s="8" t="str">
        <f>TRIM(RIGHT(RawSalesTable6[[#This Row],[Customer_Info]],LEN(RawSalesTable6[[#This Row],[Customer_Info]])-FIND(",",RawSalesTable6[[#This Row],[Customer_Info]],FIND(",",RawSalesTable6[[#This Row],[Customer_Info]])+1)))</f>
        <v>Consumer</v>
      </c>
      <c r="X534" s="8" t="str">
        <f>VLOOKUP(RawSalesTable6[[#This Row],[Product_ID_Clean]],ProductsTable[],2,FALSE)</f>
        <v>Keyboard</v>
      </c>
      <c r="Y534" s="8" t="str">
        <f>VLOOKUP(RawSalesTable6[[#This Row],[Product_ID_Clean]],ProductsTable[],3,FALSE)</f>
        <v>Electronics</v>
      </c>
      <c r="Z534" s="8">
        <f>VLOOKUP(RawSalesTable6[[#This Row],[Product_ID_Clean]],ProductsTable[],5,FALSE)</f>
        <v>23.5</v>
      </c>
      <c r="AA534" s="8">
        <f>RawSalesTable6[[#This Row],[Unit_Price]]*RawSalesTable6[[#This Row],[Quantity]]</f>
        <v>118.14000000000001</v>
      </c>
      <c r="AB534" s="8">
        <f>RawSalesTable6[[#This Row],[Gross_Sales]]*RawSalesTable6[[#This Row],[Discount_Pct]]</f>
        <v>17.721</v>
      </c>
      <c r="AC534" s="8">
        <f>RawSalesTable6[[#This Row],[Gross_Sales]]-RawSalesTable6[[#This Row],[Discount_Amount]]</f>
        <v>100.41900000000001</v>
      </c>
      <c r="AD534" s="8">
        <f>RawSalesTable6[[#This Row],[Unit_Cost]]*RawSalesTable6[[#This Row],[Quantity]]</f>
        <v>70.5</v>
      </c>
      <c r="AE534" s="8">
        <f>RawSalesTable6[[#This Row],[Net_Sales]]-RawSalesTable6[[#This Row],[Total_Cost]]</f>
        <v>29.919000000000011</v>
      </c>
      <c r="AF534" s="9">
        <f>RawSalesTable6[[#This Row],[Profit]]/RawSalesTable6[[#This Row],[Net_Sales]]</f>
        <v>0.29794162459295559</v>
      </c>
      <c r="AG534" s="8">
        <f>YEAR(RawSalesTable6[[#This Row],[Order_Date]])</f>
        <v>2025</v>
      </c>
      <c r="AH534" s="8">
        <f>MONTH(RawSalesTable6[[#This Row],[Order_Date]])</f>
        <v>6</v>
      </c>
      <c r="AI534" s="8" t="str">
        <f>TEXT(RawSalesTable6[[#This Row],[Order_Date]],"mmmm")</f>
        <v>juin</v>
      </c>
      <c r="AJ534" s="8" t="str">
        <f>IF(RawSalesTable6[[#This Row],[Month_Number]]&lt;=3,"Q1",IF(RawSalesTable6[[#This Row],[Month_Number]]&lt;=6,"Q2",IF(RawSalesTable6[[#This Row],[Month_Number]]&lt;=9,"Q3","Q4")))</f>
        <v>Q2</v>
      </c>
      <c r="AK534" s="8" t="str">
        <f>VLOOKUP(RawSalesTable6[[#This Row],[Customer_ID_Clean]],CustomersTable[],4,FALSE)</f>
        <v>Alberta</v>
      </c>
      <c r="AL534" s="8">
        <f>IF(RawSalesTable6[[#This Row],[Return_Status]]="Yes",1,0)</f>
        <v>0</v>
      </c>
    </row>
    <row r="535" spans="1:38">
      <c r="A535" t="s">
        <v>969</v>
      </c>
      <c r="B535" s="3">
        <v>45806</v>
      </c>
      <c r="C535" t="s">
        <v>597</v>
      </c>
      <c r="D535" t="s">
        <v>174</v>
      </c>
      <c r="E535" t="s">
        <v>598</v>
      </c>
      <c r="F535" t="s">
        <v>116</v>
      </c>
      <c r="G535" t="s">
        <v>117</v>
      </c>
      <c r="H535" t="s">
        <v>89</v>
      </c>
      <c r="I535">
        <v>3</v>
      </c>
      <c r="J535" s="2">
        <v>38.880000000000003</v>
      </c>
      <c r="K535" s="4">
        <v>0</v>
      </c>
      <c r="L535" t="s">
        <v>90</v>
      </c>
      <c r="M535">
        <v>7</v>
      </c>
      <c r="N535" t="s">
        <v>91</v>
      </c>
      <c r="O535" t="str">
        <f>SUBSTITUTE(PROPER(TRIM(RawSalesTable6[[#This Row],[Channel_Raw]])),"Market Place","Marketplace")</f>
        <v>Online</v>
      </c>
      <c r="P535" t="str">
        <f>TRIM(RawSalesTable6[[#This Row],[Product_ID]])</f>
        <v>P1002</v>
      </c>
      <c r="Q535" t="str">
        <f>TRIM(RawSalesTable6[[#This Row],[Customer_ID]])</f>
        <v>C0004</v>
      </c>
      <c r="R535" s="8" t="str">
        <f>PROPER(TRIM(RawSalesTable6[[#This Row],[Store_Raw]]))</f>
        <v>Toronto Downtown</v>
      </c>
      <c r="S535" s="8" t="str">
        <f>IF(TRIM(RawSalesTable6[[#This Row],[Payment_Method_Raw]])="","Non renseigné",SUBSTITUTE(PROPER(TRIM(RawSalesTable6[[#This Row],[Payment_Method_Raw]])),"Cc","Credit Card"))</f>
        <v>Paypal</v>
      </c>
      <c r="T535" s="8">
        <f>COUNTIF(A:A,RawSalesTable6[[#This Row],[Order_ID]])</f>
        <v>1</v>
      </c>
      <c r="U535" s="8" t="str">
        <f>TRIM(LEFT(RawSalesTable6[[#This Row],[Customer_Info]],FIND(",",RawSalesTable6[[#This Row],[Customer_Info]])-1))</f>
        <v>Mia Bennett</v>
      </c>
      <c r="V535" s="8" t="str">
        <f>TRIM(MID(RawSalesTable6[[#This Row],[Customer_Info]],FIND(",",RawSalesTable6[[#This Row],[Customer_Info]])+1,FIND(",",RawSalesTable6[[#This Row],[Customer_Info]],FIND(",",RawSalesTable6[[#This Row],[Customer_Info]])+1)-FIND(",",RawSalesTable6[[#This Row],[Customer_Info]])-1))</f>
        <v>Laval</v>
      </c>
      <c r="W535" s="8" t="str">
        <f>TRIM(RIGHT(RawSalesTable6[[#This Row],[Customer_Info]],LEN(RawSalesTable6[[#This Row],[Customer_Info]])-FIND(",",RawSalesTable6[[#This Row],[Customer_Info]],FIND(",",RawSalesTable6[[#This Row],[Customer_Info]])+1)))</f>
        <v>Consumer</v>
      </c>
      <c r="X535" s="8" t="str">
        <f>VLOOKUP(RawSalesTable6[[#This Row],[Product_ID_Clean]],ProductsTable[],2,FALSE)</f>
        <v>Keyboard</v>
      </c>
      <c r="Y535" s="8" t="str">
        <f>VLOOKUP(RawSalesTable6[[#This Row],[Product_ID_Clean]],ProductsTable[],3,FALSE)</f>
        <v>Electronics</v>
      </c>
      <c r="Z535" s="8">
        <f>VLOOKUP(RawSalesTable6[[#This Row],[Product_ID_Clean]],ProductsTable[],5,FALSE)</f>
        <v>23.5</v>
      </c>
      <c r="AA535" s="8">
        <f>RawSalesTable6[[#This Row],[Unit_Price]]*RawSalesTable6[[#This Row],[Quantity]]</f>
        <v>116.64000000000001</v>
      </c>
      <c r="AB535" s="8">
        <f>RawSalesTable6[[#This Row],[Gross_Sales]]*RawSalesTable6[[#This Row],[Discount_Pct]]</f>
        <v>0</v>
      </c>
      <c r="AC535" s="8">
        <f>RawSalesTable6[[#This Row],[Gross_Sales]]-RawSalesTable6[[#This Row],[Discount_Amount]]</f>
        <v>116.64000000000001</v>
      </c>
      <c r="AD535" s="8">
        <f>RawSalesTable6[[#This Row],[Unit_Cost]]*RawSalesTable6[[#This Row],[Quantity]]</f>
        <v>70.5</v>
      </c>
      <c r="AE535" s="8">
        <f>RawSalesTable6[[#This Row],[Net_Sales]]-RawSalesTable6[[#This Row],[Total_Cost]]</f>
        <v>46.140000000000015</v>
      </c>
      <c r="AF535" s="9">
        <f>RawSalesTable6[[#This Row],[Profit]]/RawSalesTable6[[#This Row],[Net_Sales]]</f>
        <v>0.39557613168724287</v>
      </c>
      <c r="AG535" s="8">
        <f>YEAR(RawSalesTable6[[#This Row],[Order_Date]])</f>
        <v>2025</v>
      </c>
      <c r="AH535" s="8">
        <f>MONTH(RawSalesTable6[[#This Row],[Order_Date]])</f>
        <v>5</v>
      </c>
      <c r="AI535" s="8" t="str">
        <f>TEXT(RawSalesTable6[[#This Row],[Order_Date]],"mmmm")</f>
        <v>mai</v>
      </c>
      <c r="AJ535" s="8" t="str">
        <f>IF(RawSalesTable6[[#This Row],[Month_Number]]&lt;=3,"Q1",IF(RawSalesTable6[[#This Row],[Month_Number]]&lt;=6,"Q2",IF(RawSalesTable6[[#This Row],[Month_Number]]&lt;=9,"Q3","Q4")))</f>
        <v>Q2</v>
      </c>
      <c r="AK535" s="8" t="str">
        <f>VLOOKUP(RawSalesTable6[[#This Row],[Customer_ID_Clean]],CustomersTable[],4,FALSE)</f>
        <v>Quebec</v>
      </c>
      <c r="AL535" s="8">
        <f>IF(RawSalesTable6[[#This Row],[Return_Status]]="Yes",1,0)</f>
        <v>0</v>
      </c>
    </row>
    <row r="536" spans="1:38">
      <c r="A536" t="s">
        <v>970</v>
      </c>
      <c r="B536" s="3">
        <v>45970</v>
      </c>
      <c r="C536" t="s">
        <v>758</v>
      </c>
      <c r="D536" t="s">
        <v>157</v>
      </c>
      <c r="E536" t="s">
        <v>759</v>
      </c>
      <c r="F536" t="s">
        <v>655</v>
      </c>
      <c r="G536" t="s">
        <v>88</v>
      </c>
      <c r="H536" t="s">
        <v>97</v>
      </c>
      <c r="I536">
        <v>3</v>
      </c>
      <c r="J536" s="2">
        <v>299.64</v>
      </c>
      <c r="K536" s="4">
        <v>0</v>
      </c>
      <c r="L536" t="s">
        <v>106</v>
      </c>
      <c r="M536">
        <v>3</v>
      </c>
      <c r="N536" t="s">
        <v>91</v>
      </c>
      <c r="O536" t="str">
        <f>SUBSTITUTE(PROPER(TRIM(RawSalesTable6[[#This Row],[Channel_Raw]])),"Market Place","Marketplace")</f>
        <v>Retail Store</v>
      </c>
      <c r="P536" t="str">
        <f>TRIM(RawSalesTable6[[#This Row],[Product_ID]])</f>
        <v>P1009</v>
      </c>
      <c r="Q536" t="str">
        <f>TRIM(RawSalesTable6[[#This Row],[Customer_ID]])</f>
        <v>C0034</v>
      </c>
      <c r="R536" s="8" t="str">
        <f>PROPER(TRIM(RawSalesTable6[[#This Row],[Store_Raw]]))</f>
        <v>Online Fulfillment</v>
      </c>
      <c r="S536" s="8" t="str">
        <f>IF(TRIM(RawSalesTable6[[#This Row],[Payment_Method_Raw]])="","Non renseigné",SUBSTITUTE(PROPER(TRIM(RawSalesTable6[[#This Row],[Payment_Method_Raw]])),"Cc","Credit Card"))</f>
        <v>Credit Card</v>
      </c>
      <c r="T536" s="8">
        <f>COUNTIF(A:A,RawSalesTable6[[#This Row],[Order_ID]])</f>
        <v>1</v>
      </c>
      <c r="U536" s="8" t="str">
        <f>TRIM(LEFT(RawSalesTable6[[#This Row],[Customer_Info]],FIND(",",RawSalesTable6[[#This Row],[Customer_Info]])-1))</f>
        <v>Noah Tremblay</v>
      </c>
      <c r="V536" s="8" t="str">
        <f>TRIM(MID(RawSalesTable6[[#This Row],[Customer_Info]],FIND(",",RawSalesTable6[[#This Row],[Customer_Info]])+1,FIND(",",RawSalesTable6[[#This Row],[Customer_Info]],FIND(",",RawSalesTable6[[#This Row],[Customer_Info]])+1)-FIND(",",RawSalesTable6[[#This Row],[Customer_Info]])-1))</f>
        <v>Toronto</v>
      </c>
      <c r="W536" s="8" t="str">
        <f>TRIM(RIGHT(RawSalesTable6[[#This Row],[Customer_Info]],LEN(RawSalesTable6[[#This Row],[Customer_Info]])-FIND(",",RawSalesTable6[[#This Row],[Customer_Info]],FIND(",",RawSalesTable6[[#This Row],[Customer_Info]])+1)))</f>
        <v>Corporate</v>
      </c>
      <c r="X536" s="8" t="str">
        <f>VLOOKUP(RawSalesTable6[[#This Row],[Product_ID_Clean]],ProductsTable[],2,FALSE)</f>
        <v>Notebook</v>
      </c>
      <c r="Y536" s="8" t="str">
        <f>VLOOKUP(RawSalesTable6[[#This Row],[Product_ID_Clean]],ProductsTable[],3,FALSE)</f>
        <v>Office</v>
      </c>
      <c r="Z536" s="8">
        <f>VLOOKUP(RawSalesTable6[[#This Row],[Product_ID_Clean]],ProductsTable[],5,FALSE)</f>
        <v>176.13</v>
      </c>
      <c r="AA536" s="8">
        <f>RawSalesTable6[[#This Row],[Unit_Price]]*RawSalesTable6[[#This Row],[Quantity]]</f>
        <v>898.92</v>
      </c>
      <c r="AB536" s="8">
        <f>RawSalesTable6[[#This Row],[Gross_Sales]]*RawSalesTable6[[#This Row],[Discount_Pct]]</f>
        <v>0</v>
      </c>
      <c r="AC536" s="8">
        <f>RawSalesTable6[[#This Row],[Gross_Sales]]-RawSalesTable6[[#This Row],[Discount_Amount]]</f>
        <v>898.92</v>
      </c>
      <c r="AD536" s="8">
        <f>RawSalesTable6[[#This Row],[Unit_Cost]]*RawSalesTable6[[#This Row],[Quantity]]</f>
        <v>528.39</v>
      </c>
      <c r="AE536" s="8">
        <f>RawSalesTable6[[#This Row],[Net_Sales]]-RawSalesTable6[[#This Row],[Total_Cost]]</f>
        <v>370.53</v>
      </c>
      <c r="AF536" s="9">
        <f>RawSalesTable6[[#This Row],[Profit]]/RawSalesTable6[[#This Row],[Net_Sales]]</f>
        <v>0.41219463356027231</v>
      </c>
      <c r="AG536" s="8">
        <f>YEAR(RawSalesTable6[[#This Row],[Order_Date]])</f>
        <v>2025</v>
      </c>
      <c r="AH536" s="8">
        <f>MONTH(RawSalesTable6[[#This Row],[Order_Date]])</f>
        <v>11</v>
      </c>
      <c r="AI536" s="8" t="str">
        <f>TEXT(RawSalesTable6[[#This Row],[Order_Date]],"mmmm")</f>
        <v>novembre</v>
      </c>
      <c r="AJ536" s="8" t="str">
        <f>IF(RawSalesTable6[[#This Row],[Month_Number]]&lt;=3,"Q1",IF(RawSalesTable6[[#This Row],[Month_Number]]&lt;=6,"Q2",IF(RawSalesTable6[[#This Row],[Month_Number]]&lt;=9,"Q3","Q4")))</f>
        <v>Q4</v>
      </c>
      <c r="AK536" s="8" t="str">
        <f>VLOOKUP(RawSalesTable6[[#This Row],[Customer_ID_Clean]],CustomersTable[],4,FALSE)</f>
        <v>Ontario</v>
      </c>
      <c r="AL536" s="8">
        <f>IF(RawSalesTable6[[#This Row],[Return_Status]]="Yes",1,0)</f>
        <v>0</v>
      </c>
    </row>
    <row r="537" spans="1:38">
      <c r="A537" t="s">
        <v>971</v>
      </c>
      <c r="B537" s="3">
        <v>45669</v>
      </c>
      <c r="C537" t="s">
        <v>610</v>
      </c>
      <c r="D537" t="s">
        <v>231</v>
      </c>
      <c r="E537" t="s">
        <v>611</v>
      </c>
      <c r="F537" t="s">
        <v>103</v>
      </c>
      <c r="G537" t="s">
        <v>88</v>
      </c>
      <c r="H537" t="s">
        <v>89</v>
      </c>
      <c r="I537">
        <v>2</v>
      </c>
      <c r="J537" s="2">
        <v>370.98</v>
      </c>
      <c r="K537" s="4">
        <v>0.15</v>
      </c>
      <c r="L537" t="s">
        <v>106</v>
      </c>
      <c r="M537">
        <v>5</v>
      </c>
      <c r="N537" t="s">
        <v>91</v>
      </c>
      <c r="O537" t="str">
        <f>SUBSTITUTE(PROPER(TRIM(RawSalesTable6[[#This Row],[Channel_Raw]])),"Market Place","Marketplace")</f>
        <v>Online</v>
      </c>
      <c r="P537" t="str">
        <f>TRIM(RawSalesTable6[[#This Row],[Product_ID]])</f>
        <v>P1037</v>
      </c>
      <c r="Q537" t="str">
        <f>TRIM(RawSalesTable6[[#This Row],[Customer_ID]])</f>
        <v>C0051</v>
      </c>
      <c r="R537" s="8" t="str">
        <f>PROPER(TRIM(RawSalesTable6[[#This Row],[Store_Raw]]))</f>
        <v>Vancouver West</v>
      </c>
      <c r="S537" s="8" t="str">
        <f>IF(TRIM(RawSalesTable6[[#This Row],[Payment_Method_Raw]])="","Non renseigné",SUBSTITUTE(PROPER(TRIM(RawSalesTable6[[#This Row],[Payment_Method_Raw]])),"Cc","Credit Card"))</f>
        <v>Credit Card</v>
      </c>
      <c r="T537" s="8">
        <f>COUNTIF(A:A,RawSalesTable6[[#This Row],[Order_ID]])</f>
        <v>1</v>
      </c>
      <c r="U537" s="8" t="str">
        <f>TRIM(LEFT(RawSalesTable6[[#This Row],[Customer_Info]],FIND(",",RawSalesTable6[[#This Row],[Customer_Info]])-1))</f>
        <v>Daniel Brown</v>
      </c>
      <c r="V537" s="8" t="str">
        <f>TRIM(MID(RawSalesTable6[[#This Row],[Customer_Info]],FIND(",",RawSalesTable6[[#This Row],[Customer_Info]])+1,FIND(",",RawSalesTable6[[#This Row],[Customer_Info]],FIND(",",RawSalesTable6[[#This Row],[Customer_Info]])+1)-FIND(",",RawSalesTable6[[#This Row],[Customer_Info]])-1))</f>
        <v>Vancouver</v>
      </c>
      <c r="W537" s="8" t="str">
        <f>TRIM(RIGHT(RawSalesTable6[[#This Row],[Customer_Info]],LEN(RawSalesTable6[[#This Row],[Customer_Info]])-FIND(",",RawSalesTable6[[#This Row],[Customer_Info]],FIND(",",RawSalesTable6[[#This Row],[Customer_Info]])+1)))</f>
        <v>Small Business</v>
      </c>
      <c r="X537" s="8" t="str">
        <f>VLOOKUP(RawSalesTable6[[#This Row],[Product_ID_Clean]],ProductsTable[],2,FALSE)</f>
        <v>Cable Set</v>
      </c>
      <c r="Y537" s="8" t="str">
        <f>VLOOKUP(RawSalesTable6[[#This Row],[Product_ID_Clean]],ProductsTable[],3,FALSE)</f>
        <v>Accessories</v>
      </c>
      <c r="Z537" s="8">
        <f>VLOOKUP(RawSalesTable6[[#This Row],[Product_ID_Clean]],ProductsTable[],5,FALSE)</f>
        <v>200.16</v>
      </c>
      <c r="AA537" s="8">
        <f>RawSalesTable6[[#This Row],[Unit_Price]]*RawSalesTable6[[#This Row],[Quantity]]</f>
        <v>741.96</v>
      </c>
      <c r="AB537" s="8">
        <f>RawSalesTable6[[#This Row],[Gross_Sales]]*RawSalesTable6[[#This Row],[Discount_Pct]]</f>
        <v>111.294</v>
      </c>
      <c r="AC537" s="8">
        <f>RawSalesTable6[[#This Row],[Gross_Sales]]-RawSalesTable6[[#This Row],[Discount_Amount]]</f>
        <v>630.66600000000005</v>
      </c>
      <c r="AD537" s="8">
        <f>RawSalesTable6[[#This Row],[Unit_Cost]]*RawSalesTable6[[#This Row],[Quantity]]</f>
        <v>400.32</v>
      </c>
      <c r="AE537" s="8">
        <f>RawSalesTable6[[#This Row],[Net_Sales]]-RawSalesTable6[[#This Row],[Total_Cost]]</f>
        <v>230.34600000000006</v>
      </c>
      <c r="AF537" s="9">
        <f>RawSalesTable6[[#This Row],[Profit]]/RawSalesTable6[[#This Row],[Net_Sales]]</f>
        <v>0.36524245797300003</v>
      </c>
      <c r="AG537" s="8">
        <f>YEAR(RawSalesTable6[[#This Row],[Order_Date]])</f>
        <v>2025</v>
      </c>
      <c r="AH537" s="8">
        <f>MONTH(RawSalesTable6[[#This Row],[Order_Date]])</f>
        <v>1</v>
      </c>
      <c r="AI537" s="8" t="str">
        <f>TEXT(RawSalesTable6[[#This Row],[Order_Date]],"mmmm")</f>
        <v>janvier</v>
      </c>
      <c r="AJ537" s="8" t="str">
        <f>IF(RawSalesTable6[[#This Row],[Month_Number]]&lt;=3,"Q1",IF(RawSalesTable6[[#This Row],[Month_Number]]&lt;=6,"Q2",IF(RawSalesTable6[[#This Row],[Month_Number]]&lt;=9,"Q3","Q4")))</f>
        <v>Q1</v>
      </c>
      <c r="AK537" s="8" t="str">
        <f>VLOOKUP(RawSalesTable6[[#This Row],[Customer_ID_Clean]],CustomersTable[],4,FALSE)</f>
        <v>British Columbia</v>
      </c>
      <c r="AL537" s="8">
        <f>IF(RawSalesTable6[[#This Row],[Return_Status]]="Yes",1,0)</f>
        <v>0</v>
      </c>
    </row>
    <row r="538" spans="1:38">
      <c r="A538" t="s">
        <v>972</v>
      </c>
      <c r="B538" s="3">
        <v>45693</v>
      </c>
      <c r="C538" t="s">
        <v>156</v>
      </c>
      <c r="D538" t="s">
        <v>125</v>
      </c>
      <c r="E538" t="s">
        <v>973</v>
      </c>
      <c r="F538" t="s">
        <v>87</v>
      </c>
      <c r="G538" t="s">
        <v>122</v>
      </c>
      <c r="H538" t="s">
        <v>105</v>
      </c>
      <c r="I538">
        <v>2</v>
      </c>
      <c r="J538" s="2">
        <v>56.24</v>
      </c>
      <c r="K538" s="4">
        <v>0</v>
      </c>
      <c r="L538" t="s">
        <v>98</v>
      </c>
      <c r="M538">
        <v>3</v>
      </c>
      <c r="N538" t="s">
        <v>91</v>
      </c>
      <c r="O538" t="str">
        <f>SUBSTITUTE(PROPER(TRIM(RawSalesTable6[[#This Row],[Channel_Raw]])),"Market Place","Marketplace")</f>
        <v>Marketplace</v>
      </c>
      <c r="P538" t="str">
        <f>TRIM(RawSalesTable6[[#This Row],[Product_ID]])</f>
        <v>P1027</v>
      </c>
      <c r="Q538" t="str">
        <f>TRIM(RawSalesTable6[[#This Row],[Customer_ID]])</f>
        <v>C0112</v>
      </c>
      <c r="R538" s="8" t="str">
        <f>PROPER(TRIM(RawSalesTable6[[#This Row],[Store_Raw]]))</f>
        <v>Online Fulfillment</v>
      </c>
      <c r="S538" s="8" t="str">
        <f>IF(TRIM(RawSalesTable6[[#This Row],[Payment_Method_Raw]])="","Non renseigné",SUBSTITUTE(PROPER(TRIM(RawSalesTable6[[#This Row],[Payment_Method_Raw]])),"Cc","Credit Card"))</f>
        <v>Debit Card</v>
      </c>
      <c r="T538" s="8">
        <f>COUNTIF(A:A,RawSalesTable6[[#This Row],[Order_ID]])</f>
        <v>1</v>
      </c>
      <c r="U538" s="8" t="str">
        <f>TRIM(LEFT(RawSalesTable6[[#This Row],[Customer_Info]],FIND(",",RawSalesTable6[[#This Row],[Customer_Info]])-1))</f>
        <v>Ava Bennett</v>
      </c>
      <c r="V538" s="8" t="str">
        <f>TRIM(MID(RawSalesTable6[[#This Row],[Customer_Info]],FIND(",",RawSalesTable6[[#This Row],[Customer_Info]])+1,FIND(",",RawSalesTable6[[#This Row],[Customer_Info]],FIND(",",RawSalesTable6[[#This Row],[Customer_Info]])+1)-FIND(",",RawSalesTable6[[#This Row],[Customer_Info]])-1))</f>
        <v>Halifax</v>
      </c>
      <c r="W538" s="8" t="str">
        <f>TRIM(RIGHT(RawSalesTable6[[#This Row],[Customer_Info]],LEN(RawSalesTable6[[#This Row],[Customer_Info]])-FIND(",",RawSalesTable6[[#This Row],[Customer_Info]],FIND(",",RawSalesTable6[[#This Row],[Customer_Info]])+1)))</f>
        <v>Consumer</v>
      </c>
      <c r="X538" s="8" t="str">
        <f>VLOOKUP(RawSalesTable6[[#This Row],[Product_ID_Clean]],ProductsTable[],2,FALSE)</f>
        <v>Kettlebell</v>
      </c>
      <c r="Y538" s="8" t="str">
        <f>VLOOKUP(RawSalesTable6[[#This Row],[Product_ID_Clean]],ProductsTable[],3,FALSE)</f>
        <v>Fitness</v>
      </c>
      <c r="Z538" s="8">
        <f>VLOOKUP(RawSalesTable6[[#This Row],[Product_ID_Clean]],ProductsTable[],5,FALSE)</f>
        <v>25.97</v>
      </c>
      <c r="AA538" s="8">
        <f>RawSalesTable6[[#This Row],[Unit_Price]]*RawSalesTable6[[#This Row],[Quantity]]</f>
        <v>112.48</v>
      </c>
      <c r="AB538" s="8">
        <f>RawSalesTable6[[#This Row],[Gross_Sales]]*RawSalesTable6[[#This Row],[Discount_Pct]]</f>
        <v>0</v>
      </c>
      <c r="AC538" s="8">
        <f>RawSalesTable6[[#This Row],[Gross_Sales]]-RawSalesTable6[[#This Row],[Discount_Amount]]</f>
        <v>112.48</v>
      </c>
      <c r="AD538" s="8">
        <f>RawSalesTable6[[#This Row],[Unit_Cost]]*RawSalesTable6[[#This Row],[Quantity]]</f>
        <v>51.94</v>
      </c>
      <c r="AE538" s="8">
        <f>RawSalesTable6[[#This Row],[Net_Sales]]-RawSalesTable6[[#This Row],[Total_Cost]]</f>
        <v>60.540000000000006</v>
      </c>
      <c r="AF538" s="9">
        <f>RawSalesTable6[[#This Row],[Profit]]/RawSalesTable6[[#This Row],[Net_Sales]]</f>
        <v>0.53822901849217641</v>
      </c>
      <c r="AG538" s="8">
        <f>YEAR(RawSalesTable6[[#This Row],[Order_Date]])</f>
        <v>2025</v>
      </c>
      <c r="AH538" s="8">
        <f>MONTH(RawSalesTable6[[#This Row],[Order_Date]])</f>
        <v>2</v>
      </c>
      <c r="AI538" s="8" t="str">
        <f>TEXT(RawSalesTable6[[#This Row],[Order_Date]],"mmmm")</f>
        <v>février</v>
      </c>
      <c r="AJ538" s="8" t="str">
        <f>IF(RawSalesTable6[[#This Row],[Month_Number]]&lt;=3,"Q1",IF(RawSalesTable6[[#This Row],[Month_Number]]&lt;=6,"Q2",IF(RawSalesTable6[[#This Row],[Month_Number]]&lt;=9,"Q3","Q4")))</f>
        <v>Q1</v>
      </c>
      <c r="AK538" s="8" t="str">
        <f>VLOOKUP(RawSalesTable6[[#This Row],[Customer_ID_Clean]],CustomersTable[],4,FALSE)</f>
        <v>Nova Scotia</v>
      </c>
      <c r="AL538" s="8">
        <f>IF(RawSalesTable6[[#This Row],[Return_Status]]="Yes",1,0)</f>
        <v>0</v>
      </c>
    </row>
    <row r="539" spans="1:38">
      <c r="A539" t="s">
        <v>974</v>
      </c>
      <c r="B539" s="3">
        <v>45722</v>
      </c>
      <c r="C539" t="s">
        <v>164</v>
      </c>
      <c r="D539" t="s">
        <v>152</v>
      </c>
      <c r="E539" t="s">
        <v>166</v>
      </c>
      <c r="F539" t="s">
        <v>87</v>
      </c>
      <c r="G539" t="s">
        <v>104</v>
      </c>
      <c r="H539" t="s">
        <v>228</v>
      </c>
      <c r="I539">
        <v>2</v>
      </c>
      <c r="J539" s="2">
        <v>136.83000000000001</v>
      </c>
      <c r="K539" s="4">
        <v>0.15</v>
      </c>
      <c r="L539" t="s">
        <v>90</v>
      </c>
      <c r="M539">
        <v>3</v>
      </c>
      <c r="N539" t="s">
        <v>91</v>
      </c>
      <c r="O539" t="str">
        <f>SUBSTITUTE(PROPER(TRIM(RawSalesTable6[[#This Row],[Channel_Raw]])),"Market Place","Marketplace")</f>
        <v>Online</v>
      </c>
      <c r="P539" t="str">
        <f>TRIM(RawSalesTable6[[#This Row],[Product_ID]])</f>
        <v>P1008</v>
      </c>
      <c r="Q539" t="str">
        <f>TRIM(RawSalesTable6[[#This Row],[Customer_ID]])</f>
        <v>C0032</v>
      </c>
      <c r="R539" s="8" t="str">
        <f>PROPER(TRIM(RawSalesTable6[[#This Row],[Store_Raw]]))</f>
        <v>Online Fulfillment</v>
      </c>
      <c r="S539" s="8" t="str">
        <f>IF(TRIM(RawSalesTable6[[#This Row],[Payment_Method_Raw]])="","Non renseigné",SUBSTITUTE(PROPER(TRIM(RawSalesTable6[[#This Row],[Payment_Method_Raw]])),"Cc","Credit Card"))</f>
        <v>Paypal</v>
      </c>
      <c r="T539" s="8">
        <f>COUNTIF(A:A,RawSalesTable6[[#This Row],[Order_ID]])</f>
        <v>1</v>
      </c>
      <c r="U539" s="8" t="str">
        <f>TRIM(LEFT(RawSalesTable6[[#This Row],[Customer_Info]],FIND(",",RawSalesTable6[[#This Row],[Customer_Info]])-1))</f>
        <v>Nora Bennett</v>
      </c>
      <c r="V539" s="8" t="str">
        <f>TRIM(MID(RawSalesTable6[[#This Row],[Customer_Info]],FIND(",",RawSalesTable6[[#This Row],[Customer_Info]])+1,FIND(",",RawSalesTable6[[#This Row],[Customer_Info]],FIND(",",RawSalesTable6[[#This Row],[Customer_Info]])+1)-FIND(",",RawSalesTable6[[#This Row],[Customer_Info]])-1))</f>
        <v>Surrey</v>
      </c>
      <c r="W539" s="8" t="str">
        <f>TRIM(RIGHT(RawSalesTable6[[#This Row],[Customer_Info]],LEN(RawSalesTable6[[#This Row],[Customer_Info]])-FIND(",",RawSalesTable6[[#This Row],[Customer_Info]],FIND(",",RawSalesTable6[[#This Row],[Customer_Info]])+1)))</f>
        <v>Consumer</v>
      </c>
      <c r="X539" s="8" t="str">
        <f>VLOOKUP(RawSalesTable6[[#This Row],[Product_ID_Clean]],ProductsTable[],2,FALSE)</f>
        <v>Smart Speaker</v>
      </c>
      <c r="Y539" s="8" t="str">
        <f>VLOOKUP(RawSalesTable6[[#This Row],[Product_ID_Clean]],ProductsTable[],3,FALSE)</f>
        <v>Electronics</v>
      </c>
      <c r="Z539" s="8">
        <f>VLOOKUP(RawSalesTable6[[#This Row],[Product_ID_Clean]],ProductsTable[],5,FALSE)</f>
        <v>69</v>
      </c>
      <c r="AA539" s="8">
        <f>RawSalesTable6[[#This Row],[Unit_Price]]*RawSalesTable6[[#This Row],[Quantity]]</f>
        <v>273.66000000000003</v>
      </c>
      <c r="AB539" s="8">
        <f>RawSalesTable6[[#This Row],[Gross_Sales]]*RawSalesTable6[[#This Row],[Discount_Pct]]</f>
        <v>41.048999999999999</v>
      </c>
      <c r="AC539" s="8">
        <f>RawSalesTable6[[#This Row],[Gross_Sales]]-RawSalesTable6[[#This Row],[Discount_Amount]]</f>
        <v>232.61100000000002</v>
      </c>
      <c r="AD539" s="8">
        <f>RawSalesTable6[[#This Row],[Unit_Cost]]*RawSalesTable6[[#This Row],[Quantity]]</f>
        <v>138</v>
      </c>
      <c r="AE539" s="8">
        <f>RawSalesTable6[[#This Row],[Net_Sales]]-RawSalesTable6[[#This Row],[Total_Cost]]</f>
        <v>94.611000000000018</v>
      </c>
      <c r="AF539" s="9">
        <f>RawSalesTable6[[#This Row],[Profit]]/RawSalesTable6[[#This Row],[Net_Sales]]</f>
        <v>0.406734849168784</v>
      </c>
      <c r="AG539" s="8">
        <f>YEAR(RawSalesTable6[[#This Row],[Order_Date]])</f>
        <v>2025</v>
      </c>
      <c r="AH539" s="8">
        <f>MONTH(RawSalesTable6[[#This Row],[Order_Date]])</f>
        <v>3</v>
      </c>
      <c r="AI539" s="8" t="str">
        <f>TEXT(RawSalesTable6[[#This Row],[Order_Date]],"mmmm")</f>
        <v>mars</v>
      </c>
      <c r="AJ539" s="8" t="str">
        <f>IF(RawSalesTable6[[#This Row],[Month_Number]]&lt;=3,"Q1",IF(RawSalesTable6[[#This Row],[Month_Number]]&lt;=6,"Q2",IF(RawSalesTable6[[#This Row],[Month_Number]]&lt;=9,"Q3","Q4")))</f>
        <v>Q1</v>
      </c>
      <c r="AK539" s="8" t="str">
        <f>VLOOKUP(RawSalesTable6[[#This Row],[Customer_ID_Clean]],CustomersTable[],4,FALSE)</f>
        <v>British Columbia</v>
      </c>
      <c r="AL539" s="8">
        <f>IF(RawSalesTable6[[#This Row],[Return_Status]]="Yes",1,0)</f>
        <v>0</v>
      </c>
    </row>
    <row r="540" spans="1:38">
      <c r="A540" t="s">
        <v>975</v>
      </c>
      <c r="B540" s="3">
        <v>45721</v>
      </c>
      <c r="C540" t="s">
        <v>119</v>
      </c>
      <c r="D540" t="s">
        <v>139</v>
      </c>
      <c r="E540" t="s">
        <v>976</v>
      </c>
      <c r="F540" t="s">
        <v>103</v>
      </c>
      <c r="G540" t="s">
        <v>88</v>
      </c>
      <c r="H540" t="s">
        <v>89</v>
      </c>
      <c r="I540">
        <v>1</v>
      </c>
      <c r="J540" s="2">
        <v>82.59</v>
      </c>
      <c r="K540" s="4">
        <v>0.2</v>
      </c>
      <c r="L540" t="s">
        <v>90</v>
      </c>
      <c r="M540">
        <v>6</v>
      </c>
      <c r="N540" t="s">
        <v>91</v>
      </c>
      <c r="O540" t="str">
        <f>SUBSTITUTE(PROPER(TRIM(RawSalesTable6[[#This Row],[Channel_Raw]])),"Market Place","Marketplace")</f>
        <v>Online</v>
      </c>
      <c r="P540" t="str">
        <f>TRIM(RawSalesTable6[[#This Row],[Product_ID]])</f>
        <v>P1012</v>
      </c>
      <c r="Q540" t="str">
        <f>TRIM(RawSalesTable6[[#This Row],[Customer_ID]])</f>
        <v>C0057</v>
      </c>
      <c r="R540" s="8" t="str">
        <f>PROPER(TRIM(RawSalesTable6[[#This Row],[Store_Raw]]))</f>
        <v>Vancouver West</v>
      </c>
      <c r="S540" s="8" t="str">
        <f>IF(TRIM(RawSalesTable6[[#This Row],[Payment_Method_Raw]])="","Non renseigné",SUBSTITUTE(PROPER(TRIM(RawSalesTable6[[#This Row],[Payment_Method_Raw]])),"Cc","Credit Card"))</f>
        <v>Paypal</v>
      </c>
      <c r="T540" s="8">
        <f>COUNTIF(A:A,RawSalesTable6[[#This Row],[Order_ID]])</f>
        <v>1</v>
      </c>
      <c r="U540" s="8" t="str">
        <f>TRIM(LEFT(RawSalesTable6[[#This Row],[Customer_Info]],FIND(",",RawSalesTable6[[#This Row],[Customer_Info]])-1))</f>
        <v>Adam Khan</v>
      </c>
      <c r="V540" s="8" t="str">
        <f>TRIM(MID(RawSalesTable6[[#This Row],[Customer_Info]],FIND(",",RawSalesTable6[[#This Row],[Customer_Info]])+1,FIND(",",RawSalesTable6[[#This Row],[Customer_Info]],FIND(",",RawSalesTable6[[#This Row],[Customer_Info]])+1)-FIND(",",RawSalesTable6[[#This Row],[Customer_Info]])-1))</f>
        <v>Edmonton</v>
      </c>
      <c r="W540" s="8" t="str">
        <f>TRIM(RIGHT(RawSalesTable6[[#This Row],[Customer_Info]],LEN(RawSalesTable6[[#This Row],[Customer_Info]])-FIND(",",RawSalesTable6[[#This Row],[Customer_Info]],FIND(",",RawSalesTable6[[#This Row],[Customer_Info]])+1)))</f>
        <v>Small Business</v>
      </c>
      <c r="X540" s="8" t="str">
        <f>VLOOKUP(RawSalesTable6[[#This Row],[Product_ID_Clean]],ProductsTable[],2,FALSE)</f>
        <v>Standing Desk</v>
      </c>
      <c r="Y540" s="8" t="str">
        <f>VLOOKUP(RawSalesTable6[[#This Row],[Product_ID_Clean]],ProductsTable[],3,FALSE)</f>
        <v>Office</v>
      </c>
      <c r="Z540" s="8">
        <f>VLOOKUP(RawSalesTable6[[#This Row],[Product_ID_Clean]],ProductsTable[],5,FALSE)</f>
        <v>45.17</v>
      </c>
      <c r="AA540" s="8">
        <f>RawSalesTable6[[#This Row],[Unit_Price]]*RawSalesTable6[[#This Row],[Quantity]]</f>
        <v>82.59</v>
      </c>
      <c r="AB540" s="8">
        <f>RawSalesTable6[[#This Row],[Gross_Sales]]*RawSalesTable6[[#This Row],[Discount_Pct]]</f>
        <v>16.518000000000001</v>
      </c>
      <c r="AC540" s="8">
        <f>RawSalesTable6[[#This Row],[Gross_Sales]]-RawSalesTable6[[#This Row],[Discount_Amount]]</f>
        <v>66.072000000000003</v>
      </c>
      <c r="AD540" s="8">
        <f>RawSalesTable6[[#This Row],[Unit_Cost]]*RawSalesTable6[[#This Row],[Quantity]]</f>
        <v>45.17</v>
      </c>
      <c r="AE540" s="8">
        <f>RawSalesTable6[[#This Row],[Net_Sales]]-RawSalesTable6[[#This Row],[Total_Cost]]</f>
        <v>20.902000000000001</v>
      </c>
      <c r="AF540" s="9">
        <f>RawSalesTable6[[#This Row],[Profit]]/RawSalesTable6[[#This Row],[Net_Sales]]</f>
        <v>0.31635185857852038</v>
      </c>
      <c r="AG540" s="8">
        <f>YEAR(RawSalesTable6[[#This Row],[Order_Date]])</f>
        <v>2025</v>
      </c>
      <c r="AH540" s="8">
        <f>MONTH(RawSalesTable6[[#This Row],[Order_Date]])</f>
        <v>3</v>
      </c>
      <c r="AI540" s="8" t="str">
        <f>TEXT(RawSalesTable6[[#This Row],[Order_Date]],"mmmm")</f>
        <v>mars</v>
      </c>
      <c r="AJ540" s="8" t="str">
        <f>IF(RawSalesTable6[[#This Row],[Month_Number]]&lt;=3,"Q1",IF(RawSalesTable6[[#This Row],[Month_Number]]&lt;=6,"Q2",IF(RawSalesTable6[[#This Row],[Month_Number]]&lt;=9,"Q3","Q4")))</f>
        <v>Q1</v>
      </c>
      <c r="AK540" s="8" t="str">
        <f>VLOOKUP(RawSalesTable6[[#This Row],[Customer_ID_Clean]],CustomersTable[],4,FALSE)</f>
        <v>Alberta</v>
      </c>
      <c r="AL540" s="8">
        <f>IF(RawSalesTable6[[#This Row],[Return_Status]]="Yes",1,0)</f>
        <v>0</v>
      </c>
    </row>
    <row r="541" spans="1:38">
      <c r="A541" t="s">
        <v>977</v>
      </c>
      <c r="B541" s="3">
        <v>45928</v>
      </c>
      <c r="C541" t="s">
        <v>93</v>
      </c>
      <c r="D541" t="s">
        <v>139</v>
      </c>
      <c r="E541" t="s">
        <v>95</v>
      </c>
      <c r="F541" t="s">
        <v>145</v>
      </c>
      <c r="G541" t="s">
        <v>171</v>
      </c>
      <c r="H541" t="s">
        <v>89</v>
      </c>
      <c r="I541">
        <v>2</v>
      </c>
      <c r="J541" s="2">
        <v>82.4</v>
      </c>
      <c r="K541" s="4">
        <v>0.05</v>
      </c>
      <c r="L541" t="s">
        <v>106</v>
      </c>
      <c r="M541">
        <v>7</v>
      </c>
      <c r="N541" t="s">
        <v>91</v>
      </c>
      <c r="O541" t="str">
        <f>SUBSTITUTE(PROPER(TRIM(RawSalesTable6[[#This Row],[Channel_Raw]])),"Market Place","Marketplace")</f>
        <v>Online</v>
      </c>
      <c r="P541" t="str">
        <f>TRIM(RawSalesTable6[[#This Row],[Product_ID]])</f>
        <v>P1012</v>
      </c>
      <c r="Q541" t="str">
        <f>TRIM(RawSalesTable6[[#This Row],[Customer_ID]])</f>
        <v>C0084</v>
      </c>
      <c r="R541" s="8" t="str">
        <f>PROPER(TRIM(RawSalesTable6[[#This Row],[Store_Raw]]))</f>
        <v>Calgary North</v>
      </c>
      <c r="S541" s="8" t="str">
        <f>IF(TRIM(RawSalesTable6[[#This Row],[Payment_Method_Raw]])="","Non renseigné",SUBSTITUTE(PROPER(TRIM(RawSalesTable6[[#This Row],[Payment_Method_Raw]])),"Cc","Credit Card"))</f>
        <v>Credit Card</v>
      </c>
      <c r="T541" s="8">
        <f>COUNTIF(A:A,RawSalesTable6[[#This Row],[Order_ID]])</f>
        <v>1</v>
      </c>
      <c r="U541" s="8" t="str">
        <f>TRIM(LEFT(RawSalesTable6[[#This Row],[Customer_Info]],FIND(",",RawSalesTable6[[#This Row],[Customer_Info]])-1))</f>
        <v>Ryan Clark</v>
      </c>
      <c r="V541" s="8" t="str">
        <f>TRIM(MID(RawSalesTable6[[#This Row],[Customer_Info]],FIND(",",RawSalesTable6[[#This Row],[Customer_Info]])+1,FIND(",",RawSalesTable6[[#This Row],[Customer_Info]],FIND(",",RawSalesTable6[[#This Row],[Customer_Info]])+1)-FIND(",",RawSalesTable6[[#This Row],[Customer_Info]])-1))</f>
        <v>Montreal</v>
      </c>
      <c r="W541" s="8" t="str">
        <f>TRIM(RIGHT(RawSalesTable6[[#This Row],[Customer_Info]],LEN(RawSalesTable6[[#This Row],[Customer_Info]])-FIND(",",RawSalesTable6[[#This Row],[Customer_Info]],FIND(",",RawSalesTable6[[#This Row],[Customer_Info]])+1)))</f>
        <v>Corporate</v>
      </c>
      <c r="X541" s="8" t="str">
        <f>VLOOKUP(RawSalesTable6[[#This Row],[Product_ID_Clean]],ProductsTable[],2,FALSE)</f>
        <v>Standing Desk</v>
      </c>
      <c r="Y541" s="8" t="str">
        <f>VLOOKUP(RawSalesTable6[[#This Row],[Product_ID_Clean]],ProductsTable[],3,FALSE)</f>
        <v>Office</v>
      </c>
      <c r="Z541" s="8">
        <f>VLOOKUP(RawSalesTable6[[#This Row],[Product_ID_Clean]],ProductsTable[],5,FALSE)</f>
        <v>45.17</v>
      </c>
      <c r="AA541" s="8">
        <f>RawSalesTable6[[#This Row],[Unit_Price]]*RawSalesTable6[[#This Row],[Quantity]]</f>
        <v>164.8</v>
      </c>
      <c r="AB541" s="8">
        <f>RawSalesTable6[[#This Row],[Gross_Sales]]*RawSalesTable6[[#This Row],[Discount_Pct]]</f>
        <v>8.24</v>
      </c>
      <c r="AC541" s="8">
        <f>RawSalesTable6[[#This Row],[Gross_Sales]]-RawSalesTable6[[#This Row],[Discount_Amount]]</f>
        <v>156.56</v>
      </c>
      <c r="AD541" s="8">
        <f>RawSalesTable6[[#This Row],[Unit_Cost]]*RawSalesTable6[[#This Row],[Quantity]]</f>
        <v>90.34</v>
      </c>
      <c r="AE541" s="8">
        <f>RawSalesTable6[[#This Row],[Net_Sales]]-RawSalesTable6[[#This Row],[Total_Cost]]</f>
        <v>66.22</v>
      </c>
      <c r="AF541" s="9">
        <f>RawSalesTable6[[#This Row],[Profit]]/RawSalesTable6[[#This Row],[Net_Sales]]</f>
        <v>0.42296882984159428</v>
      </c>
      <c r="AG541" s="8">
        <f>YEAR(RawSalesTable6[[#This Row],[Order_Date]])</f>
        <v>2025</v>
      </c>
      <c r="AH541" s="8">
        <f>MONTH(RawSalesTable6[[#This Row],[Order_Date]])</f>
        <v>9</v>
      </c>
      <c r="AI541" s="8" t="str">
        <f>TEXT(RawSalesTable6[[#This Row],[Order_Date]],"mmmm")</f>
        <v>septembre</v>
      </c>
      <c r="AJ541" s="8" t="str">
        <f>IF(RawSalesTable6[[#This Row],[Month_Number]]&lt;=3,"Q1",IF(RawSalesTable6[[#This Row],[Month_Number]]&lt;=6,"Q2",IF(RawSalesTable6[[#This Row],[Month_Number]]&lt;=9,"Q3","Q4")))</f>
        <v>Q3</v>
      </c>
      <c r="AK541" s="8" t="str">
        <f>VLOOKUP(RawSalesTable6[[#This Row],[Customer_ID_Clean]],CustomersTable[],4,FALSE)</f>
        <v>Quebec</v>
      </c>
      <c r="AL541" s="8">
        <f>IF(RawSalesTable6[[#This Row],[Return_Status]]="Yes",1,0)</f>
        <v>0</v>
      </c>
    </row>
    <row r="542" spans="1:38">
      <c r="A542" t="s">
        <v>978</v>
      </c>
      <c r="B542" s="3">
        <v>45773</v>
      </c>
      <c r="C542" t="s">
        <v>319</v>
      </c>
      <c r="D542" t="s">
        <v>194</v>
      </c>
      <c r="E542" t="s">
        <v>320</v>
      </c>
      <c r="F542" t="s">
        <v>116</v>
      </c>
      <c r="G542" t="s">
        <v>96</v>
      </c>
      <c r="H542" t="s">
        <v>105</v>
      </c>
      <c r="I542">
        <v>1</v>
      </c>
      <c r="J542" s="2">
        <v>191.25</v>
      </c>
      <c r="K542" s="4">
        <v>0</v>
      </c>
      <c r="L542" t="s">
        <v>98</v>
      </c>
      <c r="M542">
        <v>1</v>
      </c>
      <c r="N542" t="s">
        <v>91</v>
      </c>
      <c r="O542" t="str">
        <f>SUBSTITUTE(PROPER(TRIM(RawSalesTable6[[#This Row],[Channel_Raw]])),"Market Place","Marketplace")</f>
        <v>Marketplace</v>
      </c>
      <c r="P542" t="str">
        <f>TRIM(RawSalesTable6[[#This Row],[Product_ID]])</f>
        <v>P1029</v>
      </c>
      <c r="Q542" t="str">
        <f>TRIM(RawSalesTable6[[#This Row],[Customer_ID]])</f>
        <v>C0013</v>
      </c>
      <c r="R542" s="8" t="str">
        <f>PROPER(TRIM(RawSalesTable6[[#This Row],[Store_Raw]]))</f>
        <v>Toronto Downtown</v>
      </c>
      <c r="S542" s="8" t="str">
        <f>IF(TRIM(RawSalesTable6[[#This Row],[Payment_Method_Raw]])="","Non renseigné",SUBSTITUTE(PROPER(TRIM(RawSalesTable6[[#This Row],[Payment_Method_Raw]])),"Cc","Credit Card"))</f>
        <v>Debit Card</v>
      </c>
      <c r="T542" s="8">
        <f>COUNTIF(A:A,RawSalesTable6[[#This Row],[Order_ID]])</f>
        <v>1</v>
      </c>
      <c r="U542" s="8" t="str">
        <f>TRIM(LEFT(RawSalesTable6[[#This Row],[Customer_Info]],FIND(",",RawSalesTable6[[#This Row],[Customer_Info]])-1))</f>
        <v>Amelia Martin</v>
      </c>
      <c r="V542" s="8" t="str">
        <f>TRIM(MID(RawSalesTable6[[#This Row],[Customer_Info]],FIND(",",RawSalesTable6[[#This Row],[Customer_Info]])+1,FIND(",",RawSalesTable6[[#This Row],[Customer_Info]],FIND(",",RawSalesTable6[[#This Row],[Customer_Info]])+1)-FIND(",",RawSalesTable6[[#This Row],[Customer_Info]])-1))</f>
        <v>Quebec City</v>
      </c>
      <c r="W542" s="8" t="str">
        <f>TRIM(RIGHT(RawSalesTable6[[#This Row],[Customer_Info]],LEN(RawSalesTable6[[#This Row],[Customer_Info]])-FIND(",",RawSalesTable6[[#This Row],[Customer_Info]],FIND(",",RawSalesTable6[[#This Row],[Customer_Info]])+1)))</f>
        <v>Small Business</v>
      </c>
      <c r="X542" s="8" t="str">
        <f>VLOOKUP(RawSalesTable6[[#This Row],[Product_ID_Clean]],ProductsTable[],2,FALSE)</f>
        <v>Jump Rope</v>
      </c>
      <c r="Y542" s="8" t="str">
        <f>VLOOKUP(RawSalesTable6[[#This Row],[Product_ID_Clean]],ProductsTable[],3,FALSE)</f>
        <v>Fitness</v>
      </c>
      <c r="Z542" s="8">
        <f>VLOOKUP(RawSalesTable6[[#This Row],[Product_ID_Clean]],ProductsTable[],5,FALSE)</f>
        <v>101</v>
      </c>
      <c r="AA542" s="8">
        <f>RawSalesTable6[[#This Row],[Unit_Price]]*RawSalesTable6[[#This Row],[Quantity]]</f>
        <v>191.25</v>
      </c>
      <c r="AB542" s="8">
        <f>RawSalesTable6[[#This Row],[Gross_Sales]]*RawSalesTable6[[#This Row],[Discount_Pct]]</f>
        <v>0</v>
      </c>
      <c r="AC542" s="8">
        <f>RawSalesTable6[[#This Row],[Gross_Sales]]-RawSalesTable6[[#This Row],[Discount_Amount]]</f>
        <v>191.25</v>
      </c>
      <c r="AD542" s="8">
        <f>RawSalesTable6[[#This Row],[Unit_Cost]]*RawSalesTable6[[#This Row],[Quantity]]</f>
        <v>101</v>
      </c>
      <c r="AE542" s="8">
        <f>RawSalesTable6[[#This Row],[Net_Sales]]-RawSalesTable6[[#This Row],[Total_Cost]]</f>
        <v>90.25</v>
      </c>
      <c r="AF542" s="9">
        <f>RawSalesTable6[[#This Row],[Profit]]/RawSalesTable6[[#This Row],[Net_Sales]]</f>
        <v>0.4718954248366013</v>
      </c>
      <c r="AG542" s="8">
        <f>YEAR(RawSalesTable6[[#This Row],[Order_Date]])</f>
        <v>2025</v>
      </c>
      <c r="AH542" s="8">
        <f>MONTH(RawSalesTable6[[#This Row],[Order_Date]])</f>
        <v>4</v>
      </c>
      <c r="AI542" s="8" t="str">
        <f>TEXT(RawSalesTable6[[#This Row],[Order_Date]],"mmmm")</f>
        <v>avril</v>
      </c>
      <c r="AJ542" s="8" t="str">
        <f>IF(RawSalesTable6[[#This Row],[Month_Number]]&lt;=3,"Q1",IF(RawSalesTable6[[#This Row],[Month_Number]]&lt;=6,"Q2",IF(RawSalesTable6[[#This Row],[Month_Number]]&lt;=9,"Q3","Q4")))</f>
        <v>Q2</v>
      </c>
      <c r="AK542" s="8" t="str">
        <f>VLOOKUP(RawSalesTable6[[#This Row],[Customer_ID_Clean]],CustomersTable[],4,FALSE)</f>
        <v>Quebec</v>
      </c>
      <c r="AL542" s="8">
        <f>IF(RawSalesTable6[[#This Row],[Return_Status]]="Yes",1,0)</f>
        <v>0</v>
      </c>
    </row>
    <row r="543" spans="1:38">
      <c r="A543" t="s">
        <v>979</v>
      </c>
      <c r="B543" s="3">
        <v>45807</v>
      </c>
      <c r="C543" t="s">
        <v>661</v>
      </c>
      <c r="D543" t="s">
        <v>261</v>
      </c>
      <c r="E543" t="s">
        <v>662</v>
      </c>
      <c r="F543" t="s">
        <v>103</v>
      </c>
      <c r="G543" t="s">
        <v>88</v>
      </c>
      <c r="H543" t="s">
        <v>105</v>
      </c>
      <c r="I543">
        <v>1</v>
      </c>
      <c r="J543" s="2">
        <v>257.38</v>
      </c>
      <c r="K543" s="4">
        <v>0.05</v>
      </c>
      <c r="L543" t="s">
        <v>90</v>
      </c>
      <c r="M543">
        <v>6</v>
      </c>
      <c r="N543" t="s">
        <v>91</v>
      </c>
      <c r="O543" t="str">
        <f>SUBSTITUTE(PROPER(TRIM(RawSalesTable6[[#This Row],[Channel_Raw]])),"Market Place","Marketplace")</f>
        <v>Marketplace</v>
      </c>
      <c r="P543" t="str">
        <f>TRIM(RawSalesTable6[[#This Row],[Product_ID]])</f>
        <v>P1031</v>
      </c>
      <c r="Q543" t="str">
        <f>TRIM(RawSalesTable6[[#This Row],[Customer_ID]])</f>
        <v>C0111</v>
      </c>
      <c r="R543" s="8" t="str">
        <f>PROPER(TRIM(RawSalesTable6[[#This Row],[Store_Raw]]))</f>
        <v>Vancouver West</v>
      </c>
      <c r="S543" s="8" t="str">
        <f>IF(TRIM(RawSalesTable6[[#This Row],[Payment_Method_Raw]])="","Non renseigné",SUBSTITUTE(PROPER(TRIM(RawSalesTable6[[#This Row],[Payment_Method_Raw]])),"Cc","Credit Card"))</f>
        <v>Paypal</v>
      </c>
      <c r="T543" s="8">
        <f>COUNTIF(A:A,RawSalesTable6[[#This Row],[Order_ID]])</f>
        <v>1</v>
      </c>
      <c r="U543" s="8" t="str">
        <f>TRIM(LEFT(RawSalesTable6[[#This Row],[Customer_Info]],FIND(",",RawSalesTable6[[#This Row],[Customer_Info]])-1))</f>
        <v>Noah Khan</v>
      </c>
      <c r="V543" s="8" t="str">
        <f>TRIM(MID(RawSalesTable6[[#This Row],[Customer_Info]],FIND(",",RawSalesTable6[[#This Row],[Customer_Info]])+1,FIND(",",RawSalesTable6[[#This Row],[Customer_Info]],FIND(",",RawSalesTable6[[#This Row],[Customer_Info]])+1)-FIND(",",RawSalesTable6[[#This Row],[Customer_Info]])-1))</f>
        <v>Halifax</v>
      </c>
      <c r="W543" s="8" t="str">
        <f>TRIM(RIGHT(RawSalesTable6[[#This Row],[Customer_Info]],LEN(RawSalesTable6[[#This Row],[Customer_Info]])-FIND(",",RawSalesTable6[[#This Row],[Customer_Info]],FIND(",",RawSalesTable6[[#This Row],[Customer_Info]])+1)))</f>
        <v>Consumer</v>
      </c>
      <c r="X543" s="8" t="str">
        <f>VLOOKUP(RawSalesTable6[[#This Row],[Product_ID_Clean]],ProductsTable[],2,FALSE)</f>
        <v>Dumbbell Set</v>
      </c>
      <c r="Y543" s="8" t="str">
        <f>VLOOKUP(RawSalesTable6[[#This Row],[Product_ID_Clean]],ProductsTable[],3,FALSE)</f>
        <v>Fitness</v>
      </c>
      <c r="Z543" s="8">
        <f>VLOOKUP(RawSalesTable6[[#This Row],[Product_ID_Clean]],ProductsTable[],5,FALSE)</f>
        <v>131.72999999999999</v>
      </c>
      <c r="AA543" s="8">
        <f>RawSalesTable6[[#This Row],[Unit_Price]]*RawSalesTable6[[#This Row],[Quantity]]</f>
        <v>257.38</v>
      </c>
      <c r="AB543" s="8">
        <f>RawSalesTable6[[#This Row],[Gross_Sales]]*RawSalesTable6[[#This Row],[Discount_Pct]]</f>
        <v>12.869</v>
      </c>
      <c r="AC543" s="8">
        <f>RawSalesTable6[[#This Row],[Gross_Sales]]-RawSalesTable6[[#This Row],[Discount_Amount]]</f>
        <v>244.511</v>
      </c>
      <c r="AD543" s="8">
        <f>RawSalesTable6[[#This Row],[Unit_Cost]]*RawSalesTable6[[#This Row],[Quantity]]</f>
        <v>131.72999999999999</v>
      </c>
      <c r="AE543" s="8">
        <f>RawSalesTable6[[#This Row],[Net_Sales]]-RawSalesTable6[[#This Row],[Total_Cost]]</f>
        <v>112.78100000000001</v>
      </c>
      <c r="AF543" s="9">
        <f>RawSalesTable6[[#This Row],[Profit]]/RawSalesTable6[[#This Row],[Net_Sales]]</f>
        <v>0.46125123205090979</v>
      </c>
      <c r="AG543" s="8">
        <f>YEAR(RawSalesTable6[[#This Row],[Order_Date]])</f>
        <v>2025</v>
      </c>
      <c r="AH543" s="8">
        <f>MONTH(RawSalesTable6[[#This Row],[Order_Date]])</f>
        <v>5</v>
      </c>
      <c r="AI543" s="8" t="str">
        <f>TEXT(RawSalesTable6[[#This Row],[Order_Date]],"mmmm")</f>
        <v>mai</v>
      </c>
      <c r="AJ543" s="8" t="str">
        <f>IF(RawSalesTable6[[#This Row],[Month_Number]]&lt;=3,"Q1",IF(RawSalesTable6[[#This Row],[Month_Number]]&lt;=6,"Q2",IF(RawSalesTable6[[#This Row],[Month_Number]]&lt;=9,"Q3","Q4")))</f>
        <v>Q2</v>
      </c>
      <c r="AK543" s="8" t="str">
        <f>VLOOKUP(RawSalesTable6[[#This Row],[Customer_ID_Clean]],CustomersTable[],4,FALSE)</f>
        <v>Nova Scotia</v>
      </c>
      <c r="AL543" s="8">
        <f>IF(RawSalesTable6[[#This Row],[Return_Status]]="Yes",1,0)</f>
        <v>0</v>
      </c>
    </row>
    <row r="544" spans="1:38">
      <c r="A544" t="s">
        <v>980</v>
      </c>
      <c r="B544" s="3">
        <v>45828</v>
      </c>
      <c r="C544" t="s">
        <v>359</v>
      </c>
      <c r="D544" t="s">
        <v>503</v>
      </c>
      <c r="E544" t="s">
        <v>981</v>
      </c>
      <c r="F544" t="s">
        <v>145</v>
      </c>
      <c r="G544" t="s">
        <v>88</v>
      </c>
      <c r="H544" t="s">
        <v>89</v>
      </c>
      <c r="I544">
        <v>1</v>
      </c>
      <c r="J544" s="2">
        <v>124.54</v>
      </c>
      <c r="K544" s="4">
        <v>0.05</v>
      </c>
      <c r="L544" t="s">
        <v>98</v>
      </c>
      <c r="M544">
        <v>4</v>
      </c>
      <c r="N544" t="s">
        <v>91</v>
      </c>
      <c r="O544" t="str">
        <f>SUBSTITUTE(PROPER(TRIM(RawSalesTable6[[#This Row],[Channel_Raw]])),"Market Place","Marketplace")</f>
        <v>Online</v>
      </c>
      <c r="P544" t="str">
        <f>TRIM(RawSalesTable6[[#This Row],[Product_ID]])</f>
        <v>P1013</v>
      </c>
      <c r="Q544" t="str">
        <f>TRIM(RawSalesTable6[[#This Row],[Customer_ID]])</f>
        <v>C0044</v>
      </c>
      <c r="R544" s="8" t="str">
        <f>PROPER(TRIM(RawSalesTable6[[#This Row],[Store_Raw]]))</f>
        <v>Calgary North</v>
      </c>
      <c r="S544" s="8" t="str">
        <f>IF(TRIM(RawSalesTable6[[#This Row],[Payment_Method_Raw]])="","Non renseigné",SUBSTITUTE(PROPER(TRIM(RawSalesTable6[[#This Row],[Payment_Method_Raw]])),"Cc","Credit Card"))</f>
        <v>Debit Card</v>
      </c>
      <c r="T544" s="8">
        <f>COUNTIF(A:A,RawSalesTable6[[#This Row],[Order_ID]])</f>
        <v>1</v>
      </c>
      <c r="U544" s="8" t="str">
        <f>TRIM(LEFT(RawSalesTable6[[#This Row],[Customer_Info]],FIND(",",RawSalesTable6[[#This Row],[Customer_Info]])-1))</f>
        <v>Nora Young</v>
      </c>
      <c r="V544" s="8" t="str">
        <f>TRIM(MID(RawSalesTable6[[#This Row],[Customer_Info]],FIND(",",RawSalesTable6[[#This Row],[Customer_Info]])+1,FIND(",",RawSalesTable6[[#This Row],[Customer_Info]],FIND(",",RawSalesTable6[[#This Row],[Customer_Info]])+1)-FIND(",",RawSalesTable6[[#This Row],[Customer_Info]])-1))</f>
        <v>Vancouver</v>
      </c>
      <c r="W544" s="8" t="str">
        <f>TRIM(RIGHT(RawSalesTable6[[#This Row],[Customer_Info]],LEN(RawSalesTable6[[#This Row],[Customer_Info]])-FIND(",",RawSalesTable6[[#This Row],[Customer_Info]],FIND(",",RawSalesTable6[[#This Row],[Customer_Info]])+1)))</f>
        <v>Corporate</v>
      </c>
      <c r="X544" s="8" t="str">
        <f>VLOOKUP(RawSalesTable6[[#This Row],[Product_ID_Clean]],ProductsTable[],2,FALSE)</f>
        <v>Whiteboard</v>
      </c>
      <c r="Y544" s="8" t="str">
        <f>VLOOKUP(RawSalesTable6[[#This Row],[Product_ID_Clean]],ProductsTable[],3,FALSE)</f>
        <v>Office</v>
      </c>
      <c r="Z544" s="8">
        <f>VLOOKUP(RawSalesTable6[[#This Row],[Product_ID_Clean]],ProductsTable[],5,FALSE)</f>
        <v>85.73</v>
      </c>
      <c r="AA544" s="8">
        <f>RawSalesTable6[[#This Row],[Unit_Price]]*RawSalesTable6[[#This Row],[Quantity]]</f>
        <v>124.54</v>
      </c>
      <c r="AB544" s="8">
        <f>RawSalesTable6[[#This Row],[Gross_Sales]]*RawSalesTable6[[#This Row],[Discount_Pct]]</f>
        <v>6.2270000000000003</v>
      </c>
      <c r="AC544" s="8">
        <f>RawSalesTable6[[#This Row],[Gross_Sales]]-RawSalesTable6[[#This Row],[Discount_Amount]]</f>
        <v>118.313</v>
      </c>
      <c r="AD544" s="8">
        <f>RawSalesTable6[[#This Row],[Unit_Cost]]*RawSalesTable6[[#This Row],[Quantity]]</f>
        <v>85.73</v>
      </c>
      <c r="AE544" s="8">
        <f>RawSalesTable6[[#This Row],[Net_Sales]]-RawSalesTable6[[#This Row],[Total_Cost]]</f>
        <v>32.582999999999998</v>
      </c>
      <c r="AF544" s="9">
        <f>RawSalesTable6[[#This Row],[Profit]]/RawSalesTable6[[#This Row],[Net_Sales]]</f>
        <v>0.27539661744694155</v>
      </c>
      <c r="AG544" s="8">
        <f>YEAR(RawSalesTable6[[#This Row],[Order_Date]])</f>
        <v>2025</v>
      </c>
      <c r="AH544" s="8">
        <f>MONTH(RawSalesTable6[[#This Row],[Order_Date]])</f>
        <v>6</v>
      </c>
      <c r="AI544" s="8" t="str">
        <f>TEXT(RawSalesTable6[[#This Row],[Order_Date]],"mmmm")</f>
        <v>juin</v>
      </c>
      <c r="AJ544" s="8" t="str">
        <f>IF(RawSalesTable6[[#This Row],[Month_Number]]&lt;=3,"Q1",IF(RawSalesTable6[[#This Row],[Month_Number]]&lt;=6,"Q2",IF(RawSalesTable6[[#This Row],[Month_Number]]&lt;=9,"Q3","Q4")))</f>
        <v>Q2</v>
      </c>
      <c r="AK544" s="8" t="str">
        <f>VLOOKUP(RawSalesTable6[[#This Row],[Customer_ID_Clean]],CustomersTable[],4,FALSE)</f>
        <v>British Columbia</v>
      </c>
      <c r="AL544" s="8">
        <f>IF(RawSalesTable6[[#This Row],[Return_Status]]="Yes",1,0)</f>
        <v>0</v>
      </c>
    </row>
    <row r="545" spans="1:38">
      <c r="A545" t="s">
        <v>982</v>
      </c>
      <c r="B545" s="3">
        <v>45902</v>
      </c>
      <c r="C545" t="s">
        <v>851</v>
      </c>
      <c r="D545" t="s">
        <v>303</v>
      </c>
      <c r="E545" t="s">
        <v>852</v>
      </c>
      <c r="F545" t="s">
        <v>116</v>
      </c>
      <c r="G545" t="s">
        <v>130</v>
      </c>
      <c r="H545" t="s">
        <v>89</v>
      </c>
      <c r="I545">
        <v>4</v>
      </c>
      <c r="J545" s="2">
        <v>153.62</v>
      </c>
      <c r="K545" s="4">
        <v>0</v>
      </c>
      <c r="L545" t="s">
        <v>98</v>
      </c>
      <c r="M545">
        <v>3</v>
      </c>
      <c r="N545" t="s">
        <v>91</v>
      </c>
      <c r="O545" t="str">
        <f>SUBSTITUTE(PROPER(TRIM(RawSalesTable6[[#This Row],[Channel_Raw]])),"Market Place","Marketplace")</f>
        <v>Online</v>
      </c>
      <c r="P545" t="str">
        <f>TRIM(RawSalesTable6[[#This Row],[Product_ID]])</f>
        <v>P1036</v>
      </c>
      <c r="Q545" t="str">
        <f>TRIM(RawSalesTable6[[#This Row],[Customer_ID]])</f>
        <v>C0026</v>
      </c>
      <c r="R545" s="8" t="str">
        <f>PROPER(TRIM(RawSalesTable6[[#This Row],[Store_Raw]]))</f>
        <v>Toronto Downtown</v>
      </c>
      <c r="S545" s="8" t="str">
        <f>IF(TRIM(RawSalesTable6[[#This Row],[Payment_Method_Raw]])="","Non renseigné",SUBSTITUTE(PROPER(TRIM(RawSalesTable6[[#This Row],[Payment_Method_Raw]])),"Cc","Credit Card"))</f>
        <v>Debit Card</v>
      </c>
      <c r="T545" s="8">
        <f>COUNTIF(A:A,RawSalesTable6[[#This Row],[Order_ID]])</f>
        <v>1</v>
      </c>
      <c r="U545" s="8" t="str">
        <f>TRIM(LEFT(RawSalesTable6[[#This Row],[Customer_Info]],FIND(",",RawSalesTable6[[#This Row],[Customer_Info]])-1))</f>
        <v>Adam Hall</v>
      </c>
      <c r="V545" s="8" t="str">
        <f>TRIM(MID(RawSalesTable6[[#This Row],[Customer_Info]],FIND(",",RawSalesTable6[[#This Row],[Customer_Info]])+1,FIND(",",RawSalesTable6[[#This Row],[Customer_Info]],FIND(",",RawSalesTable6[[#This Row],[Customer_Info]])+1)-FIND(",",RawSalesTable6[[#This Row],[Customer_Info]])-1))</f>
        <v>Surrey</v>
      </c>
      <c r="W545" s="8" t="str">
        <f>TRIM(RIGHT(RawSalesTable6[[#This Row],[Customer_Info]],LEN(RawSalesTable6[[#This Row],[Customer_Info]])-FIND(",",RawSalesTable6[[#This Row],[Customer_Info]],FIND(",",RawSalesTable6[[#This Row],[Customer_Info]])+1)))</f>
        <v>Corporate</v>
      </c>
      <c r="X545" s="8" t="str">
        <f>VLOOKUP(RawSalesTable6[[#This Row],[Product_ID_Clean]],ProductsTable[],2,FALSE)</f>
        <v>Power Bank</v>
      </c>
      <c r="Y545" s="8" t="str">
        <f>VLOOKUP(RawSalesTable6[[#This Row],[Product_ID_Clean]],ProductsTable[],3,FALSE)</f>
        <v>Accessories</v>
      </c>
      <c r="Z545" s="8">
        <f>VLOOKUP(RawSalesTable6[[#This Row],[Product_ID_Clean]],ProductsTable[],5,FALSE)</f>
        <v>76.97</v>
      </c>
      <c r="AA545" s="8">
        <f>RawSalesTable6[[#This Row],[Unit_Price]]*RawSalesTable6[[#This Row],[Quantity]]</f>
        <v>614.48</v>
      </c>
      <c r="AB545" s="8">
        <f>RawSalesTable6[[#This Row],[Gross_Sales]]*RawSalesTable6[[#This Row],[Discount_Pct]]</f>
        <v>0</v>
      </c>
      <c r="AC545" s="8">
        <f>RawSalesTable6[[#This Row],[Gross_Sales]]-RawSalesTable6[[#This Row],[Discount_Amount]]</f>
        <v>614.48</v>
      </c>
      <c r="AD545" s="8">
        <f>RawSalesTable6[[#This Row],[Unit_Cost]]*RawSalesTable6[[#This Row],[Quantity]]</f>
        <v>307.88</v>
      </c>
      <c r="AE545" s="8">
        <f>RawSalesTable6[[#This Row],[Net_Sales]]-RawSalesTable6[[#This Row],[Total_Cost]]</f>
        <v>306.60000000000002</v>
      </c>
      <c r="AF545" s="9">
        <f>RawSalesTable6[[#This Row],[Profit]]/RawSalesTable6[[#This Row],[Net_Sales]]</f>
        <v>0.49895846894935558</v>
      </c>
      <c r="AG545" s="8">
        <f>YEAR(RawSalesTable6[[#This Row],[Order_Date]])</f>
        <v>2025</v>
      </c>
      <c r="AH545" s="8">
        <f>MONTH(RawSalesTable6[[#This Row],[Order_Date]])</f>
        <v>9</v>
      </c>
      <c r="AI545" s="8" t="str">
        <f>TEXT(RawSalesTable6[[#This Row],[Order_Date]],"mmmm")</f>
        <v>septembre</v>
      </c>
      <c r="AJ545" s="8" t="str">
        <f>IF(RawSalesTable6[[#This Row],[Month_Number]]&lt;=3,"Q1",IF(RawSalesTable6[[#This Row],[Month_Number]]&lt;=6,"Q2",IF(RawSalesTable6[[#This Row],[Month_Number]]&lt;=9,"Q3","Q4")))</f>
        <v>Q3</v>
      </c>
      <c r="AK545" s="8" t="str">
        <f>VLOOKUP(RawSalesTable6[[#This Row],[Customer_ID_Clean]],CustomersTable[],4,FALSE)</f>
        <v>British Columbia</v>
      </c>
      <c r="AL545" s="8">
        <f>IF(RawSalesTable6[[#This Row],[Return_Status]]="Yes",1,0)</f>
        <v>0</v>
      </c>
    </row>
    <row r="546" spans="1:38">
      <c r="A546" t="s">
        <v>983</v>
      </c>
      <c r="B546" s="3">
        <v>45680</v>
      </c>
      <c r="C546" t="s">
        <v>417</v>
      </c>
      <c r="D546" t="s">
        <v>217</v>
      </c>
      <c r="E546" t="s">
        <v>419</v>
      </c>
      <c r="F546" t="s">
        <v>116</v>
      </c>
      <c r="G546" t="s">
        <v>117</v>
      </c>
      <c r="H546" t="s">
        <v>105</v>
      </c>
      <c r="I546">
        <v>1</v>
      </c>
      <c r="J546" s="2">
        <v>100.86</v>
      </c>
      <c r="K546" s="4">
        <v>0.15</v>
      </c>
      <c r="L546" t="s">
        <v>98</v>
      </c>
      <c r="M546">
        <v>5</v>
      </c>
      <c r="N546" t="s">
        <v>91</v>
      </c>
      <c r="O546" t="str">
        <f>SUBSTITUTE(PROPER(TRIM(RawSalesTable6[[#This Row],[Channel_Raw]])),"Market Place","Marketplace")</f>
        <v>Marketplace</v>
      </c>
      <c r="P546" t="str">
        <f>TRIM(RawSalesTable6[[#This Row],[Product_ID]])</f>
        <v>P1006</v>
      </c>
      <c r="Q546" t="str">
        <f>TRIM(RawSalesTable6[[#This Row],[Customer_ID]])</f>
        <v>C0079</v>
      </c>
      <c r="R546" s="8" t="str">
        <f>PROPER(TRIM(RawSalesTable6[[#This Row],[Store_Raw]]))</f>
        <v>Toronto Downtown</v>
      </c>
      <c r="S546" s="8" t="str">
        <f>IF(TRIM(RawSalesTable6[[#This Row],[Payment_Method_Raw]])="","Non renseigné",SUBSTITUTE(PROPER(TRIM(RawSalesTable6[[#This Row],[Payment_Method_Raw]])),"Cc","Credit Card"))</f>
        <v>Debit Card</v>
      </c>
      <c r="T546" s="8">
        <f>COUNTIF(A:A,RawSalesTable6[[#This Row],[Order_ID]])</f>
        <v>1</v>
      </c>
      <c r="U546" s="8" t="str">
        <f>TRIM(LEFT(RawSalesTable6[[#This Row],[Customer_Info]],FIND(",",RawSalesTable6[[#This Row],[Customer_Info]])-1))</f>
        <v>Sophia Scott</v>
      </c>
      <c r="V546" s="8" t="str">
        <f>TRIM(MID(RawSalesTable6[[#This Row],[Customer_Info]],FIND(",",RawSalesTable6[[#This Row],[Customer_Info]])+1,FIND(",",RawSalesTable6[[#This Row],[Customer_Info]],FIND(",",RawSalesTable6[[#This Row],[Customer_Info]])+1)-FIND(",",RawSalesTable6[[#This Row],[Customer_Info]])-1))</f>
        <v>Ottawa</v>
      </c>
      <c r="W546" s="8" t="str">
        <f>TRIM(RIGHT(RawSalesTable6[[#This Row],[Customer_Info]],LEN(RawSalesTable6[[#This Row],[Customer_Info]])-FIND(",",RawSalesTable6[[#This Row],[Customer_Info]],FIND(",",RawSalesTable6[[#This Row],[Customer_Info]])+1)))</f>
        <v>Consumer</v>
      </c>
      <c r="X546" s="8" t="str">
        <f>VLOOKUP(RawSalesTable6[[#This Row],[Product_ID_Clean]],ProductsTable[],2,FALSE)</f>
        <v>USB-C Hub</v>
      </c>
      <c r="Y546" s="8" t="str">
        <f>VLOOKUP(RawSalesTable6[[#This Row],[Product_ID_Clean]],ProductsTable[],3,FALSE)</f>
        <v>Electronics</v>
      </c>
      <c r="Z546" s="8">
        <f>VLOOKUP(RawSalesTable6[[#This Row],[Product_ID_Clean]],ProductsTable[],5,FALSE)</f>
        <v>72</v>
      </c>
      <c r="AA546" s="8">
        <f>RawSalesTable6[[#This Row],[Unit_Price]]*RawSalesTable6[[#This Row],[Quantity]]</f>
        <v>100.86</v>
      </c>
      <c r="AB546" s="8">
        <f>RawSalesTable6[[#This Row],[Gross_Sales]]*RawSalesTable6[[#This Row],[Discount_Pct]]</f>
        <v>15.129</v>
      </c>
      <c r="AC546" s="8">
        <f>RawSalesTable6[[#This Row],[Gross_Sales]]-RawSalesTable6[[#This Row],[Discount_Amount]]</f>
        <v>85.730999999999995</v>
      </c>
      <c r="AD546" s="8">
        <f>RawSalesTable6[[#This Row],[Unit_Cost]]*RawSalesTable6[[#This Row],[Quantity]]</f>
        <v>72</v>
      </c>
      <c r="AE546" s="8">
        <f>RawSalesTable6[[#This Row],[Net_Sales]]-RawSalesTable6[[#This Row],[Total_Cost]]</f>
        <v>13.730999999999995</v>
      </c>
      <c r="AF546" s="9">
        <f>RawSalesTable6[[#This Row],[Profit]]/RawSalesTable6[[#This Row],[Net_Sales]]</f>
        <v>0.16016376806522722</v>
      </c>
      <c r="AG546" s="8">
        <f>YEAR(RawSalesTable6[[#This Row],[Order_Date]])</f>
        <v>2025</v>
      </c>
      <c r="AH546" s="8">
        <f>MONTH(RawSalesTable6[[#This Row],[Order_Date]])</f>
        <v>1</v>
      </c>
      <c r="AI546" s="8" t="str">
        <f>TEXT(RawSalesTable6[[#This Row],[Order_Date]],"mmmm")</f>
        <v>janvier</v>
      </c>
      <c r="AJ546" s="8" t="str">
        <f>IF(RawSalesTable6[[#This Row],[Month_Number]]&lt;=3,"Q1",IF(RawSalesTable6[[#This Row],[Month_Number]]&lt;=6,"Q2",IF(RawSalesTable6[[#This Row],[Month_Number]]&lt;=9,"Q3","Q4")))</f>
        <v>Q1</v>
      </c>
      <c r="AK546" s="8" t="str">
        <f>VLOOKUP(RawSalesTable6[[#This Row],[Customer_ID_Clean]],CustomersTable[],4,FALSE)</f>
        <v>Ontario</v>
      </c>
      <c r="AL546" s="8">
        <f>IF(RawSalesTable6[[#This Row],[Return_Status]]="Yes",1,0)</f>
        <v>0</v>
      </c>
    </row>
    <row r="547" spans="1:38">
      <c r="A547" t="s">
        <v>984</v>
      </c>
      <c r="B547" s="3">
        <v>45780</v>
      </c>
      <c r="C547" t="s">
        <v>290</v>
      </c>
      <c r="D547" t="s">
        <v>252</v>
      </c>
      <c r="E547" t="s">
        <v>732</v>
      </c>
      <c r="F547" t="s">
        <v>111</v>
      </c>
      <c r="G547" t="s">
        <v>104</v>
      </c>
      <c r="H547" t="s">
        <v>105</v>
      </c>
      <c r="I547">
        <v>1</v>
      </c>
      <c r="J547" s="2">
        <v>263.81</v>
      </c>
      <c r="K547" s="4">
        <v>0</v>
      </c>
      <c r="L547" t="s">
        <v>106</v>
      </c>
      <c r="M547">
        <v>7</v>
      </c>
      <c r="N547" t="s">
        <v>91</v>
      </c>
      <c r="O547" t="str">
        <f>SUBSTITUTE(PROPER(TRIM(RawSalesTable6[[#This Row],[Channel_Raw]])),"Market Place","Marketplace")</f>
        <v>Marketplace</v>
      </c>
      <c r="P547" t="str">
        <f>TRIM(RawSalesTable6[[#This Row],[Product_ID]])</f>
        <v>P1019</v>
      </c>
      <c r="Q547" t="str">
        <f>TRIM(RawSalesTable6[[#This Row],[Customer_ID]])</f>
        <v>C0116</v>
      </c>
      <c r="R547" s="8" t="str">
        <f>PROPER(TRIM(RawSalesTable6[[#This Row],[Store_Raw]]))</f>
        <v>Montreal Central</v>
      </c>
      <c r="S547" s="8" t="str">
        <f>IF(TRIM(RawSalesTable6[[#This Row],[Payment_Method_Raw]])="","Non renseigné",SUBSTITUTE(PROPER(TRIM(RawSalesTable6[[#This Row],[Payment_Method_Raw]])),"Cc","Credit Card"))</f>
        <v>Credit Card</v>
      </c>
      <c r="T547" s="8">
        <f>COUNTIF(A:A,RawSalesTable6[[#This Row],[Order_ID]])</f>
        <v>1</v>
      </c>
      <c r="U547" s="8" t="str">
        <f>TRIM(LEFT(RawSalesTable6[[#This Row],[Customer_Info]],FIND(",",RawSalesTable6[[#This Row],[Customer_Info]])-1))</f>
        <v>Lucas Brown</v>
      </c>
      <c r="V547" s="8" t="str">
        <f>TRIM(MID(RawSalesTable6[[#This Row],[Customer_Info]],FIND(",",RawSalesTable6[[#This Row],[Customer_Info]])+1,FIND(",",RawSalesTable6[[#This Row],[Customer_Info]],FIND(",",RawSalesTable6[[#This Row],[Customer_Info]])+1)-FIND(",",RawSalesTable6[[#This Row],[Customer_Info]])-1))</f>
        <v>Mississauga</v>
      </c>
      <c r="W547" s="8" t="str">
        <f>TRIM(RIGHT(RawSalesTable6[[#This Row],[Customer_Info]],LEN(RawSalesTable6[[#This Row],[Customer_Info]])-FIND(",",RawSalesTable6[[#This Row],[Customer_Info]],FIND(",",RawSalesTable6[[#This Row],[Customer_Info]])+1)))</f>
        <v>Corporate</v>
      </c>
      <c r="X547" s="8" t="str">
        <f>VLOOKUP(RawSalesTable6[[#This Row],[Product_ID_Clean]],ProductsTable[],2,FALSE)</f>
        <v>Vacuum</v>
      </c>
      <c r="Y547" s="8" t="str">
        <f>VLOOKUP(RawSalesTable6[[#This Row],[Product_ID_Clean]],ProductsTable[],3,FALSE)</f>
        <v>Home</v>
      </c>
      <c r="Z547" s="8">
        <f>VLOOKUP(RawSalesTable6[[#This Row],[Product_ID_Clean]],ProductsTable[],5,FALSE)</f>
        <v>186.94</v>
      </c>
      <c r="AA547" s="8">
        <f>RawSalesTable6[[#This Row],[Unit_Price]]*RawSalesTable6[[#This Row],[Quantity]]</f>
        <v>263.81</v>
      </c>
      <c r="AB547" s="8">
        <f>RawSalesTable6[[#This Row],[Gross_Sales]]*RawSalesTable6[[#This Row],[Discount_Pct]]</f>
        <v>0</v>
      </c>
      <c r="AC547" s="8">
        <f>RawSalesTable6[[#This Row],[Gross_Sales]]-RawSalesTable6[[#This Row],[Discount_Amount]]</f>
        <v>263.81</v>
      </c>
      <c r="AD547" s="8">
        <f>RawSalesTable6[[#This Row],[Unit_Cost]]*RawSalesTable6[[#This Row],[Quantity]]</f>
        <v>186.94</v>
      </c>
      <c r="AE547" s="8">
        <f>RawSalesTable6[[#This Row],[Net_Sales]]-RawSalesTable6[[#This Row],[Total_Cost]]</f>
        <v>76.87</v>
      </c>
      <c r="AF547" s="9">
        <f>RawSalesTable6[[#This Row],[Profit]]/RawSalesTable6[[#This Row],[Net_Sales]]</f>
        <v>0.29138395057048633</v>
      </c>
      <c r="AG547" s="8">
        <f>YEAR(RawSalesTable6[[#This Row],[Order_Date]])</f>
        <v>2025</v>
      </c>
      <c r="AH547" s="8">
        <f>MONTH(RawSalesTable6[[#This Row],[Order_Date]])</f>
        <v>5</v>
      </c>
      <c r="AI547" s="8" t="str">
        <f>TEXT(RawSalesTable6[[#This Row],[Order_Date]],"mmmm")</f>
        <v>mai</v>
      </c>
      <c r="AJ547" s="8" t="str">
        <f>IF(RawSalesTable6[[#This Row],[Month_Number]]&lt;=3,"Q1",IF(RawSalesTable6[[#This Row],[Month_Number]]&lt;=6,"Q2",IF(RawSalesTable6[[#This Row],[Month_Number]]&lt;=9,"Q3","Q4")))</f>
        <v>Q2</v>
      </c>
      <c r="AK547" s="8" t="str">
        <f>VLOOKUP(RawSalesTable6[[#This Row],[Customer_ID_Clean]],CustomersTable[],4,FALSE)</f>
        <v>Ontario</v>
      </c>
      <c r="AL547" s="8">
        <f>IF(RawSalesTable6[[#This Row],[Return_Status]]="Yes",1,0)</f>
        <v>0</v>
      </c>
    </row>
    <row r="548" spans="1:38">
      <c r="A548" t="s">
        <v>985</v>
      </c>
      <c r="B548" s="3">
        <v>45926</v>
      </c>
      <c r="C548" t="s">
        <v>670</v>
      </c>
      <c r="D548" t="s">
        <v>210</v>
      </c>
      <c r="E548" t="s">
        <v>671</v>
      </c>
      <c r="F548" t="s">
        <v>87</v>
      </c>
      <c r="G548" t="s">
        <v>171</v>
      </c>
      <c r="H548" t="s">
        <v>89</v>
      </c>
      <c r="I548">
        <v>3</v>
      </c>
      <c r="J548" s="2">
        <v>291.04000000000002</v>
      </c>
      <c r="K548" s="4">
        <v>0.1</v>
      </c>
      <c r="L548" t="s">
        <v>504</v>
      </c>
      <c r="M548">
        <v>9</v>
      </c>
      <c r="N548" t="s">
        <v>91</v>
      </c>
      <c r="O548" t="str">
        <f>SUBSTITUTE(PROPER(TRIM(RawSalesTable6[[#This Row],[Channel_Raw]])),"Market Place","Marketplace")</f>
        <v>Online</v>
      </c>
      <c r="P548" t="str">
        <f>TRIM(RawSalesTable6[[#This Row],[Product_ID]])</f>
        <v>P1040</v>
      </c>
      <c r="Q548" t="str">
        <f>TRIM(RawSalesTable6[[#This Row],[Customer_ID]])</f>
        <v>C0107</v>
      </c>
      <c r="R548" s="8" t="str">
        <f>PROPER(TRIM(RawSalesTable6[[#This Row],[Store_Raw]]))</f>
        <v>Online Fulfillment</v>
      </c>
      <c r="S548" s="8" t="str">
        <f>IF(TRIM(RawSalesTable6[[#This Row],[Payment_Method_Raw]])="","Non renseigné",SUBSTITUTE(PROPER(TRIM(RawSalesTable6[[#This Row],[Payment_Method_Raw]])),"Cc","Credit Card"))</f>
        <v>Debit Card</v>
      </c>
      <c r="T548" s="8">
        <f>COUNTIF(A:A,RawSalesTable6[[#This Row],[Order_ID]])</f>
        <v>1</v>
      </c>
      <c r="U548" s="8" t="str">
        <f>TRIM(LEFT(RawSalesTable6[[#This Row],[Customer_Info]],FIND(",",RawSalesTable6[[#This Row],[Customer_Info]])-1))</f>
        <v>Ava Lee</v>
      </c>
      <c r="V548" s="8" t="str">
        <f>TRIM(MID(RawSalesTable6[[#This Row],[Customer_Info]],FIND(",",RawSalesTable6[[#This Row],[Customer_Info]])+1,FIND(",",RawSalesTable6[[#This Row],[Customer_Info]],FIND(",",RawSalesTable6[[#This Row],[Customer_Info]])+1)-FIND(",",RawSalesTable6[[#This Row],[Customer_Info]])-1))</f>
        <v>Calgary</v>
      </c>
      <c r="W548" s="8" t="str">
        <f>TRIM(RIGHT(RawSalesTable6[[#This Row],[Customer_Info]],LEN(RawSalesTable6[[#This Row],[Customer_Info]])-FIND(",",RawSalesTable6[[#This Row],[Customer_Info]],FIND(",",RawSalesTable6[[#This Row],[Customer_Info]])+1)))</f>
        <v>Small Business</v>
      </c>
      <c r="X548" s="8" t="str">
        <f>VLOOKUP(RawSalesTable6[[#This Row],[Product_ID_Clean]],ProductsTable[],2,FALSE)</f>
        <v>Desk Pad</v>
      </c>
      <c r="Y548" s="8" t="str">
        <f>VLOOKUP(RawSalesTable6[[#This Row],[Product_ID_Clean]],ProductsTable[],3,FALSE)</f>
        <v>Accessories</v>
      </c>
      <c r="Z548" s="8">
        <f>VLOOKUP(RawSalesTable6[[#This Row],[Product_ID_Clean]],ProductsTable[],5,FALSE)</f>
        <v>177.57</v>
      </c>
      <c r="AA548" s="8">
        <f>RawSalesTable6[[#This Row],[Unit_Price]]*RawSalesTable6[[#This Row],[Quantity]]</f>
        <v>873.12000000000012</v>
      </c>
      <c r="AB548" s="8">
        <f>RawSalesTable6[[#This Row],[Gross_Sales]]*RawSalesTable6[[#This Row],[Discount_Pct]]</f>
        <v>87.312000000000012</v>
      </c>
      <c r="AC548" s="8">
        <f>RawSalesTable6[[#This Row],[Gross_Sales]]-RawSalesTable6[[#This Row],[Discount_Amount]]</f>
        <v>785.80800000000011</v>
      </c>
      <c r="AD548" s="8">
        <f>RawSalesTable6[[#This Row],[Unit_Cost]]*RawSalesTable6[[#This Row],[Quantity]]</f>
        <v>532.71</v>
      </c>
      <c r="AE548" s="8">
        <f>RawSalesTable6[[#This Row],[Net_Sales]]-RawSalesTable6[[#This Row],[Total_Cost]]</f>
        <v>253.09800000000007</v>
      </c>
      <c r="AF548" s="9">
        <f>RawSalesTable6[[#This Row],[Profit]]/RawSalesTable6[[#This Row],[Net_Sales]]</f>
        <v>0.32208631115997804</v>
      </c>
      <c r="AG548" s="8">
        <f>YEAR(RawSalesTable6[[#This Row],[Order_Date]])</f>
        <v>2025</v>
      </c>
      <c r="AH548" s="8">
        <f>MONTH(RawSalesTable6[[#This Row],[Order_Date]])</f>
        <v>9</v>
      </c>
      <c r="AI548" s="8" t="str">
        <f>TEXT(RawSalesTable6[[#This Row],[Order_Date]],"mmmm")</f>
        <v>septembre</v>
      </c>
      <c r="AJ548" s="8" t="str">
        <f>IF(RawSalesTable6[[#This Row],[Month_Number]]&lt;=3,"Q1",IF(RawSalesTable6[[#This Row],[Month_Number]]&lt;=6,"Q2",IF(RawSalesTable6[[#This Row],[Month_Number]]&lt;=9,"Q3","Q4")))</f>
        <v>Q3</v>
      </c>
      <c r="AK548" s="8" t="str">
        <f>VLOOKUP(RawSalesTable6[[#This Row],[Customer_ID_Clean]],CustomersTable[],4,FALSE)</f>
        <v>Alberta</v>
      </c>
      <c r="AL548" s="8">
        <f>IF(RawSalesTable6[[#This Row],[Return_Status]]="Yes",1,0)</f>
        <v>0</v>
      </c>
    </row>
    <row r="549" spans="1:38">
      <c r="A549" t="s">
        <v>986</v>
      </c>
      <c r="B549" s="3">
        <v>45824</v>
      </c>
      <c r="C549" t="s">
        <v>200</v>
      </c>
      <c r="D549" t="s">
        <v>174</v>
      </c>
      <c r="E549" t="s">
        <v>201</v>
      </c>
      <c r="F549" t="s">
        <v>116</v>
      </c>
      <c r="G549" t="s">
        <v>117</v>
      </c>
      <c r="H549" t="s">
        <v>105</v>
      </c>
      <c r="I549">
        <v>1</v>
      </c>
      <c r="J549" s="2">
        <v>36.26</v>
      </c>
      <c r="K549" s="4">
        <v>0.05</v>
      </c>
      <c r="L549" t="s">
        <v>98</v>
      </c>
      <c r="M549">
        <v>1</v>
      </c>
      <c r="N549" t="s">
        <v>147</v>
      </c>
      <c r="O549" t="str">
        <f>SUBSTITUTE(PROPER(TRIM(RawSalesTable6[[#This Row],[Channel_Raw]])),"Market Place","Marketplace")</f>
        <v>Marketplace</v>
      </c>
      <c r="P549" t="str">
        <f>TRIM(RawSalesTable6[[#This Row],[Product_ID]])</f>
        <v>P1002</v>
      </c>
      <c r="Q549" t="str">
        <f>TRIM(RawSalesTable6[[#This Row],[Customer_ID]])</f>
        <v>C0118</v>
      </c>
      <c r="R549" s="8" t="str">
        <f>PROPER(TRIM(RawSalesTable6[[#This Row],[Store_Raw]]))</f>
        <v>Toronto Downtown</v>
      </c>
      <c r="S549" s="8" t="str">
        <f>IF(TRIM(RawSalesTable6[[#This Row],[Payment_Method_Raw]])="","Non renseigné",SUBSTITUTE(PROPER(TRIM(RawSalesTable6[[#This Row],[Payment_Method_Raw]])),"Cc","Credit Card"))</f>
        <v>Debit Card</v>
      </c>
      <c r="T549" s="8">
        <f>COUNTIF(A:A,RawSalesTable6[[#This Row],[Order_ID]])</f>
        <v>1</v>
      </c>
      <c r="U549" s="8" t="str">
        <f>TRIM(LEFT(RawSalesTable6[[#This Row],[Customer_Info]],FIND(",",RawSalesTable6[[#This Row],[Customer_Info]])-1))</f>
        <v>Ryan Smith</v>
      </c>
      <c r="V549" s="8" t="str">
        <f>TRIM(MID(RawSalesTable6[[#This Row],[Customer_Info]],FIND(",",RawSalesTable6[[#This Row],[Customer_Info]])+1,FIND(",",RawSalesTable6[[#This Row],[Customer_Info]],FIND(",",RawSalesTable6[[#This Row],[Customer_Info]])+1)-FIND(",",RawSalesTable6[[#This Row],[Customer_Info]])-1))</f>
        <v>Victoria</v>
      </c>
      <c r="W549" s="8" t="str">
        <f>TRIM(RIGHT(RawSalesTable6[[#This Row],[Customer_Info]],LEN(RawSalesTable6[[#This Row],[Customer_Info]])-FIND(",",RawSalesTable6[[#This Row],[Customer_Info]],FIND(",",RawSalesTable6[[#This Row],[Customer_Info]])+1)))</f>
        <v>Small Business</v>
      </c>
      <c r="X549" s="8" t="str">
        <f>VLOOKUP(RawSalesTable6[[#This Row],[Product_ID_Clean]],ProductsTable[],2,FALSE)</f>
        <v>Keyboard</v>
      </c>
      <c r="Y549" s="8" t="str">
        <f>VLOOKUP(RawSalesTable6[[#This Row],[Product_ID_Clean]],ProductsTable[],3,FALSE)</f>
        <v>Electronics</v>
      </c>
      <c r="Z549" s="8">
        <f>VLOOKUP(RawSalesTable6[[#This Row],[Product_ID_Clean]],ProductsTable[],5,FALSE)</f>
        <v>23.5</v>
      </c>
      <c r="AA549" s="8">
        <f>RawSalesTable6[[#This Row],[Unit_Price]]*RawSalesTable6[[#This Row],[Quantity]]</f>
        <v>36.26</v>
      </c>
      <c r="AB549" s="8">
        <f>RawSalesTable6[[#This Row],[Gross_Sales]]*RawSalesTable6[[#This Row],[Discount_Pct]]</f>
        <v>1.8129999999999999</v>
      </c>
      <c r="AC549" s="8">
        <f>RawSalesTable6[[#This Row],[Gross_Sales]]-RawSalesTable6[[#This Row],[Discount_Amount]]</f>
        <v>34.446999999999996</v>
      </c>
      <c r="AD549" s="8">
        <f>RawSalesTable6[[#This Row],[Unit_Cost]]*RawSalesTable6[[#This Row],[Quantity]]</f>
        <v>23.5</v>
      </c>
      <c r="AE549" s="8">
        <f>RawSalesTable6[[#This Row],[Net_Sales]]-RawSalesTable6[[#This Row],[Total_Cost]]</f>
        <v>10.946999999999996</v>
      </c>
      <c r="AF549" s="9">
        <f>RawSalesTable6[[#This Row],[Profit]]/RawSalesTable6[[#This Row],[Net_Sales]]</f>
        <v>0.31779255087525754</v>
      </c>
      <c r="AG549" s="8">
        <f>YEAR(RawSalesTable6[[#This Row],[Order_Date]])</f>
        <v>2025</v>
      </c>
      <c r="AH549" s="8">
        <f>MONTH(RawSalesTable6[[#This Row],[Order_Date]])</f>
        <v>6</v>
      </c>
      <c r="AI549" s="8" t="str">
        <f>TEXT(RawSalesTable6[[#This Row],[Order_Date]],"mmmm")</f>
        <v>juin</v>
      </c>
      <c r="AJ549" s="8" t="str">
        <f>IF(RawSalesTable6[[#This Row],[Month_Number]]&lt;=3,"Q1",IF(RawSalesTable6[[#This Row],[Month_Number]]&lt;=6,"Q2",IF(RawSalesTable6[[#This Row],[Month_Number]]&lt;=9,"Q3","Q4")))</f>
        <v>Q2</v>
      </c>
      <c r="AK549" s="8" t="str">
        <f>VLOOKUP(RawSalesTable6[[#This Row],[Customer_ID_Clean]],CustomersTable[],4,FALSE)</f>
        <v>British Columbia</v>
      </c>
      <c r="AL549" s="8">
        <f>IF(RawSalesTable6[[#This Row],[Return_Status]]="Yes",1,0)</f>
        <v>1</v>
      </c>
    </row>
    <row r="550" spans="1:38">
      <c r="A550" t="s">
        <v>987</v>
      </c>
      <c r="B550" s="3">
        <v>45978</v>
      </c>
      <c r="C550" t="s">
        <v>594</v>
      </c>
      <c r="D550" t="s">
        <v>109</v>
      </c>
      <c r="E550" t="s">
        <v>595</v>
      </c>
      <c r="F550" t="s">
        <v>87</v>
      </c>
      <c r="G550" t="s">
        <v>117</v>
      </c>
      <c r="H550" t="s">
        <v>89</v>
      </c>
      <c r="I550">
        <v>3</v>
      </c>
      <c r="J550" s="2">
        <v>206.48</v>
      </c>
      <c r="K550" s="4">
        <v>0.2</v>
      </c>
      <c r="L550" t="s">
        <v>106</v>
      </c>
      <c r="M550">
        <v>1</v>
      </c>
      <c r="N550" t="s">
        <v>91</v>
      </c>
      <c r="O550" t="str">
        <f>SUBSTITUTE(PROPER(TRIM(RawSalesTable6[[#This Row],[Channel_Raw]])),"Market Place","Marketplace")</f>
        <v>Online</v>
      </c>
      <c r="P550" t="str">
        <f>TRIM(RawSalesTable6[[#This Row],[Product_ID]])</f>
        <v>P1032</v>
      </c>
      <c r="Q550" t="str">
        <f>TRIM(RawSalesTable6[[#This Row],[Customer_ID]])</f>
        <v>C0027</v>
      </c>
      <c r="R550" s="8" t="str">
        <f>PROPER(TRIM(RawSalesTable6[[#This Row],[Store_Raw]]))</f>
        <v>Online Fulfillment</v>
      </c>
      <c r="S550" s="8" t="str">
        <f>IF(TRIM(RawSalesTable6[[#This Row],[Payment_Method_Raw]])="","Non renseigné",SUBSTITUTE(PROPER(TRIM(RawSalesTable6[[#This Row],[Payment_Method_Raw]])),"Cc","Credit Card"))</f>
        <v>Credit Card</v>
      </c>
      <c r="T550" s="8">
        <f>COUNTIF(A:A,RawSalesTable6[[#This Row],[Order_ID]])</f>
        <v>1</v>
      </c>
      <c r="U550" s="8" t="str">
        <f>TRIM(LEFT(RawSalesTable6[[#This Row],[Customer_Info]],FIND(",",RawSalesTable6[[#This Row],[Customer_Info]])-1))</f>
        <v>Nora Wilson</v>
      </c>
      <c r="V550" s="8" t="str">
        <f>TRIM(MID(RawSalesTable6[[#This Row],[Customer_Info]],FIND(",",RawSalesTable6[[#This Row],[Customer_Info]])+1,FIND(",",RawSalesTable6[[#This Row],[Customer_Info]],FIND(",",RawSalesTable6[[#This Row],[Customer_Info]])+1)-FIND(",",RawSalesTable6[[#This Row],[Customer_Info]])-1))</f>
        <v>Toronto</v>
      </c>
      <c r="W550" s="8" t="str">
        <f>TRIM(RIGHT(RawSalesTable6[[#This Row],[Customer_Info]],LEN(RawSalesTable6[[#This Row],[Customer_Info]])-FIND(",",RawSalesTable6[[#This Row],[Customer_Info]],FIND(",",RawSalesTable6[[#This Row],[Customer_Info]])+1)))</f>
        <v>Small Business</v>
      </c>
      <c r="X550" s="8" t="str">
        <f>VLOOKUP(RawSalesTable6[[#This Row],[Product_ID_Clean]],ProductsTable[],2,FALSE)</f>
        <v>Gym Bag</v>
      </c>
      <c r="Y550" s="8" t="str">
        <f>VLOOKUP(RawSalesTable6[[#This Row],[Product_ID_Clean]],ProductsTable[],3,FALSE)</f>
        <v>Fitness</v>
      </c>
      <c r="Z550" s="8">
        <f>VLOOKUP(RawSalesTable6[[#This Row],[Product_ID_Clean]],ProductsTable[],5,FALSE)</f>
        <v>132.72</v>
      </c>
      <c r="AA550" s="8">
        <f>RawSalesTable6[[#This Row],[Unit_Price]]*RawSalesTable6[[#This Row],[Quantity]]</f>
        <v>619.43999999999994</v>
      </c>
      <c r="AB550" s="8">
        <f>RawSalesTable6[[#This Row],[Gross_Sales]]*RawSalesTable6[[#This Row],[Discount_Pct]]</f>
        <v>123.88799999999999</v>
      </c>
      <c r="AC550" s="8">
        <f>RawSalesTable6[[#This Row],[Gross_Sales]]-RawSalesTable6[[#This Row],[Discount_Amount]]</f>
        <v>495.55199999999996</v>
      </c>
      <c r="AD550" s="8">
        <f>RawSalesTable6[[#This Row],[Unit_Cost]]*RawSalesTable6[[#This Row],[Quantity]]</f>
        <v>398.15999999999997</v>
      </c>
      <c r="AE550" s="8">
        <f>RawSalesTable6[[#This Row],[Net_Sales]]-RawSalesTable6[[#This Row],[Total_Cost]]</f>
        <v>97.391999999999996</v>
      </c>
      <c r="AF550" s="9">
        <f>RawSalesTable6[[#This Row],[Profit]]/RawSalesTable6[[#This Row],[Net_Sales]]</f>
        <v>0.19653235180162729</v>
      </c>
      <c r="AG550" s="8">
        <f>YEAR(RawSalesTable6[[#This Row],[Order_Date]])</f>
        <v>2025</v>
      </c>
      <c r="AH550" s="8">
        <f>MONTH(RawSalesTable6[[#This Row],[Order_Date]])</f>
        <v>11</v>
      </c>
      <c r="AI550" s="8" t="str">
        <f>TEXT(RawSalesTable6[[#This Row],[Order_Date]],"mmmm")</f>
        <v>novembre</v>
      </c>
      <c r="AJ550" s="8" t="str">
        <f>IF(RawSalesTable6[[#This Row],[Month_Number]]&lt;=3,"Q1",IF(RawSalesTable6[[#This Row],[Month_Number]]&lt;=6,"Q2",IF(RawSalesTable6[[#This Row],[Month_Number]]&lt;=9,"Q3","Q4")))</f>
        <v>Q4</v>
      </c>
      <c r="AK550" s="8" t="str">
        <f>VLOOKUP(RawSalesTable6[[#This Row],[Customer_ID_Clean]],CustomersTable[],4,FALSE)</f>
        <v>Ontario</v>
      </c>
      <c r="AL550" s="8">
        <f>IF(RawSalesTable6[[#This Row],[Return_Status]]="Yes",1,0)</f>
        <v>0</v>
      </c>
    </row>
    <row r="551" spans="1:38">
      <c r="A551" t="s">
        <v>988</v>
      </c>
      <c r="B551" s="3">
        <v>45965</v>
      </c>
      <c r="C551" t="s">
        <v>363</v>
      </c>
      <c r="D551" t="s">
        <v>190</v>
      </c>
      <c r="E551" t="s">
        <v>364</v>
      </c>
      <c r="F551" t="s">
        <v>103</v>
      </c>
      <c r="G551" t="s">
        <v>88</v>
      </c>
      <c r="H551" t="s">
        <v>89</v>
      </c>
      <c r="I551">
        <v>1</v>
      </c>
      <c r="J551" s="2">
        <v>291.87</v>
      </c>
      <c r="K551" s="4">
        <v>0.05</v>
      </c>
      <c r="L551" t="s">
        <v>98</v>
      </c>
      <c r="M551">
        <v>9</v>
      </c>
      <c r="N551" t="s">
        <v>91</v>
      </c>
      <c r="O551" t="str">
        <f>SUBSTITUTE(PROPER(TRIM(RawSalesTable6[[#This Row],[Channel_Raw]])),"Market Place","Marketplace")</f>
        <v>Online</v>
      </c>
      <c r="P551" t="str">
        <f>TRIM(RawSalesTable6[[#This Row],[Product_ID]])</f>
        <v>P1004</v>
      </c>
      <c r="Q551" t="str">
        <f>TRIM(RawSalesTable6[[#This Row],[Customer_ID]])</f>
        <v>C0025</v>
      </c>
      <c r="R551" s="8" t="str">
        <f>PROPER(TRIM(RawSalesTable6[[#This Row],[Store_Raw]]))</f>
        <v>Vancouver West</v>
      </c>
      <c r="S551" s="8" t="str">
        <f>IF(TRIM(RawSalesTable6[[#This Row],[Payment_Method_Raw]])="","Non renseigné",SUBSTITUTE(PROPER(TRIM(RawSalesTable6[[#This Row],[Payment_Method_Raw]])),"Cc","Credit Card"))</f>
        <v>Debit Card</v>
      </c>
      <c r="T551" s="8">
        <f>COUNTIF(A:A,RawSalesTable6[[#This Row],[Order_ID]])</f>
        <v>1</v>
      </c>
      <c r="U551" s="8" t="str">
        <f>TRIM(LEFT(RawSalesTable6[[#This Row],[Customer_Info]],FIND(",",RawSalesTable6[[#This Row],[Customer_Info]])-1))</f>
        <v>Emma Gagnon</v>
      </c>
      <c r="V551" s="8" t="str">
        <f>TRIM(MID(RawSalesTable6[[#This Row],[Customer_Info]],FIND(",",RawSalesTable6[[#This Row],[Customer_Info]])+1,FIND(",",RawSalesTable6[[#This Row],[Customer_Info]],FIND(",",RawSalesTable6[[#This Row],[Customer_Info]])+1)-FIND(",",RawSalesTable6[[#This Row],[Customer_Info]])-1))</f>
        <v>Surrey</v>
      </c>
      <c r="W551" s="8" t="str">
        <f>TRIM(RIGHT(RawSalesTable6[[#This Row],[Customer_Info]],LEN(RawSalesTable6[[#This Row],[Customer_Info]])-FIND(",",RawSalesTable6[[#This Row],[Customer_Info]],FIND(",",RawSalesTable6[[#This Row],[Customer_Info]])+1)))</f>
        <v>Corporate</v>
      </c>
      <c r="X551" s="8" t="str">
        <f>VLOOKUP(RawSalesTable6[[#This Row],[Product_ID_Clean]],ProductsTable[],2,FALSE)</f>
        <v>Webcam</v>
      </c>
      <c r="Y551" s="8" t="str">
        <f>VLOOKUP(RawSalesTable6[[#This Row],[Product_ID_Clean]],ProductsTable[],3,FALSE)</f>
        <v>Electronics</v>
      </c>
      <c r="Z551" s="8">
        <f>VLOOKUP(RawSalesTable6[[#This Row],[Product_ID_Clean]],ProductsTable[],5,FALSE)</f>
        <v>154.72999999999999</v>
      </c>
      <c r="AA551" s="8">
        <f>RawSalesTable6[[#This Row],[Unit_Price]]*RawSalesTable6[[#This Row],[Quantity]]</f>
        <v>291.87</v>
      </c>
      <c r="AB551" s="8">
        <f>RawSalesTable6[[#This Row],[Gross_Sales]]*RawSalesTable6[[#This Row],[Discount_Pct]]</f>
        <v>14.593500000000001</v>
      </c>
      <c r="AC551" s="8">
        <f>RawSalesTable6[[#This Row],[Gross_Sales]]-RawSalesTable6[[#This Row],[Discount_Amount]]</f>
        <v>277.2765</v>
      </c>
      <c r="AD551" s="8">
        <f>RawSalesTable6[[#This Row],[Unit_Cost]]*RawSalesTable6[[#This Row],[Quantity]]</f>
        <v>154.72999999999999</v>
      </c>
      <c r="AE551" s="8">
        <f>RawSalesTable6[[#This Row],[Net_Sales]]-RawSalesTable6[[#This Row],[Total_Cost]]</f>
        <v>122.54650000000001</v>
      </c>
      <c r="AF551" s="9">
        <f>RawSalesTable6[[#This Row],[Profit]]/RawSalesTable6[[#This Row],[Net_Sales]]</f>
        <v>0.44196496998483464</v>
      </c>
      <c r="AG551" s="8">
        <f>YEAR(RawSalesTable6[[#This Row],[Order_Date]])</f>
        <v>2025</v>
      </c>
      <c r="AH551" s="8">
        <f>MONTH(RawSalesTable6[[#This Row],[Order_Date]])</f>
        <v>11</v>
      </c>
      <c r="AI551" s="8" t="str">
        <f>TEXT(RawSalesTable6[[#This Row],[Order_Date]],"mmmm")</f>
        <v>novembre</v>
      </c>
      <c r="AJ551" s="8" t="str">
        <f>IF(RawSalesTable6[[#This Row],[Month_Number]]&lt;=3,"Q1",IF(RawSalesTable6[[#This Row],[Month_Number]]&lt;=6,"Q2",IF(RawSalesTable6[[#This Row],[Month_Number]]&lt;=9,"Q3","Q4")))</f>
        <v>Q4</v>
      </c>
      <c r="AK551" s="8" t="str">
        <f>VLOOKUP(RawSalesTable6[[#This Row],[Customer_ID_Clean]],CustomersTable[],4,FALSE)</f>
        <v>British Columbia</v>
      </c>
      <c r="AL551" s="8">
        <f>IF(RawSalesTable6[[#This Row],[Return_Status]]="Yes",1,0)</f>
        <v>0</v>
      </c>
    </row>
    <row r="552" spans="1:38">
      <c r="A552" t="s">
        <v>989</v>
      </c>
      <c r="B552" s="3">
        <v>45706</v>
      </c>
      <c r="C552" t="s">
        <v>93</v>
      </c>
      <c r="D552" t="s">
        <v>738</v>
      </c>
      <c r="E552" t="s">
        <v>95</v>
      </c>
      <c r="F552" t="s">
        <v>87</v>
      </c>
      <c r="G552" t="s">
        <v>104</v>
      </c>
      <c r="H552" t="s">
        <v>89</v>
      </c>
      <c r="I552">
        <v>1</v>
      </c>
      <c r="J552" s="2">
        <v>314.67</v>
      </c>
      <c r="K552" s="4">
        <v>0</v>
      </c>
      <c r="L552" t="s">
        <v>106</v>
      </c>
      <c r="M552">
        <v>9</v>
      </c>
      <c r="N552" t="s">
        <v>91</v>
      </c>
      <c r="O552" t="str">
        <f>SUBSTITUTE(PROPER(TRIM(RawSalesTable6[[#This Row],[Channel_Raw]])),"Market Place","Marketplace")</f>
        <v>Online</v>
      </c>
      <c r="P552" t="str">
        <f>TRIM(RawSalesTable6[[#This Row],[Product_ID]])</f>
        <v>P1016</v>
      </c>
      <c r="Q552" t="str">
        <f>TRIM(RawSalesTable6[[#This Row],[Customer_ID]])</f>
        <v>C0084</v>
      </c>
      <c r="R552" s="8" t="str">
        <f>PROPER(TRIM(RawSalesTable6[[#This Row],[Store_Raw]]))</f>
        <v>Online Fulfillment</v>
      </c>
      <c r="S552" s="8" t="str">
        <f>IF(TRIM(RawSalesTable6[[#This Row],[Payment_Method_Raw]])="","Non renseigné",SUBSTITUTE(PROPER(TRIM(RawSalesTable6[[#This Row],[Payment_Method_Raw]])),"Cc","Credit Card"))</f>
        <v>Credit Card</v>
      </c>
      <c r="T552" s="8">
        <f>COUNTIF(A:A,RawSalesTable6[[#This Row],[Order_ID]])</f>
        <v>1</v>
      </c>
      <c r="U552" s="8" t="str">
        <f>TRIM(LEFT(RawSalesTable6[[#This Row],[Customer_Info]],FIND(",",RawSalesTable6[[#This Row],[Customer_Info]])-1))</f>
        <v>Ryan Clark</v>
      </c>
      <c r="V552" s="8" t="str">
        <f>TRIM(MID(RawSalesTable6[[#This Row],[Customer_Info]],FIND(",",RawSalesTable6[[#This Row],[Customer_Info]])+1,FIND(",",RawSalesTable6[[#This Row],[Customer_Info]],FIND(",",RawSalesTable6[[#This Row],[Customer_Info]])+1)-FIND(",",RawSalesTable6[[#This Row],[Customer_Info]])-1))</f>
        <v>Montreal</v>
      </c>
      <c r="W552" s="8" t="str">
        <f>TRIM(RIGHT(RawSalesTable6[[#This Row],[Customer_Info]],LEN(RawSalesTable6[[#This Row],[Customer_Info]])-FIND(",",RawSalesTable6[[#This Row],[Customer_Info]],FIND(",",RawSalesTable6[[#This Row],[Customer_Info]])+1)))</f>
        <v>Corporate</v>
      </c>
      <c r="X552" s="8" t="str">
        <f>VLOOKUP(RawSalesTable6[[#This Row],[Product_ID_Clean]],ProductsTable[],2,FALSE)</f>
        <v>Printer</v>
      </c>
      <c r="Y552" s="8" t="str">
        <f>VLOOKUP(RawSalesTable6[[#This Row],[Product_ID_Clean]],ProductsTable[],3,FALSE)</f>
        <v>Office</v>
      </c>
      <c r="Z552" s="8">
        <f>VLOOKUP(RawSalesTable6[[#This Row],[Product_ID_Clean]],ProductsTable[],5,FALSE)</f>
        <v>156.75</v>
      </c>
      <c r="AA552" s="8">
        <f>RawSalesTable6[[#This Row],[Unit_Price]]*RawSalesTable6[[#This Row],[Quantity]]</f>
        <v>314.67</v>
      </c>
      <c r="AB552" s="8">
        <f>RawSalesTable6[[#This Row],[Gross_Sales]]*RawSalesTable6[[#This Row],[Discount_Pct]]</f>
        <v>0</v>
      </c>
      <c r="AC552" s="8">
        <f>RawSalesTable6[[#This Row],[Gross_Sales]]-RawSalesTable6[[#This Row],[Discount_Amount]]</f>
        <v>314.67</v>
      </c>
      <c r="AD552" s="8">
        <f>RawSalesTable6[[#This Row],[Unit_Cost]]*RawSalesTable6[[#This Row],[Quantity]]</f>
        <v>156.75</v>
      </c>
      <c r="AE552" s="8">
        <f>RawSalesTable6[[#This Row],[Net_Sales]]-RawSalesTable6[[#This Row],[Total_Cost]]</f>
        <v>157.92000000000002</v>
      </c>
      <c r="AF552" s="9">
        <f>RawSalesTable6[[#This Row],[Profit]]/RawSalesTable6[[#This Row],[Net_Sales]]</f>
        <v>0.50185909047573651</v>
      </c>
      <c r="AG552" s="8">
        <f>YEAR(RawSalesTable6[[#This Row],[Order_Date]])</f>
        <v>2025</v>
      </c>
      <c r="AH552" s="8">
        <f>MONTH(RawSalesTable6[[#This Row],[Order_Date]])</f>
        <v>2</v>
      </c>
      <c r="AI552" s="8" t="str">
        <f>TEXT(RawSalesTable6[[#This Row],[Order_Date]],"mmmm")</f>
        <v>février</v>
      </c>
      <c r="AJ552" s="8" t="str">
        <f>IF(RawSalesTable6[[#This Row],[Month_Number]]&lt;=3,"Q1",IF(RawSalesTable6[[#This Row],[Month_Number]]&lt;=6,"Q2",IF(RawSalesTable6[[#This Row],[Month_Number]]&lt;=9,"Q3","Q4")))</f>
        <v>Q1</v>
      </c>
      <c r="AK552" s="8" t="str">
        <f>VLOOKUP(RawSalesTable6[[#This Row],[Customer_ID_Clean]],CustomersTable[],4,FALSE)</f>
        <v>Quebec</v>
      </c>
      <c r="AL552" s="8">
        <f>IF(RawSalesTable6[[#This Row],[Return_Status]]="Yes",1,0)</f>
        <v>0</v>
      </c>
    </row>
    <row r="553" spans="1:38">
      <c r="A553" t="s">
        <v>990</v>
      </c>
      <c r="B553" s="3">
        <v>45684</v>
      </c>
      <c r="C553" t="s">
        <v>487</v>
      </c>
      <c r="D553" t="s">
        <v>244</v>
      </c>
      <c r="E553" t="s">
        <v>488</v>
      </c>
      <c r="F553" t="s">
        <v>87</v>
      </c>
      <c r="G553" t="s">
        <v>171</v>
      </c>
      <c r="H553" t="s">
        <v>105</v>
      </c>
      <c r="I553">
        <v>1</v>
      </c>
      <c r="J553" s="2">
        <v>250.61</v>
      </c>
      <c r="K553" s="4">
        <v>0</v>
      </c>
      <c r="L553" t="s">
        <v>98</v>
      </c>
      <c r="M553">
        <v>2</v>
      </c>
      <c r="N553" t="s">
        <v>91</v>
      </c>
      <c r="O553" t="str">
        <f>SUBSTITUTE(PROPER(TRIM(RawSalesTable6[[#This Row],[Channel_Raw]])),"Market Place","Marketplace")</f>
        <v>Marketplace</v>
      </c>
      <c r="P553" t="str">
        <f>TRIM(RawSalesTable6[[#This Row],[Product_ID]])</f>
        <v>P1005</v>
      </c>
      <c r="Q553" t="str">
        <f>TRIM(RawSalesTable6[[#This Row],[Customer_ID]])</f>
        <v>C0105</v>
      </c>
      <c r="R553" s="8" t="str">
        <f>PROPER(TRIM(RawSalesTable6[[#This Row],[Store_Raw]]))</f>
        <v>Online Fulfillment</v>
      </c>
      <c r="S553" s="8" t="str">
        <f>IF(TRIM(RawSalesTable6[[#This Row],[Payment_Method_Raw]])="","Non renseigné",SUBSTITUTE(PROPER(TRIM(RawSalesTable6[[#This Row],[Payment_Method_Raw]])),"Cc","Credit Card"))</f>
        <v>Debit Card</v>
      </c>
      <c r="T553" s="8">
        <f>COUNTIF(A:A,RawSalesTable6[[#This Row],[Order_ID]])</f>
        <v>1</v>
      </c>
      <c r="U553" s="8" t="str">
        <f>TRIM(LEFT(RawSalesTable6[[#This Row],[Customer_Info]],FIND(",",RawSalesTable6[[#This Row],[Customer_Info]])-1))</f>
        <v>Liam Martin</v>
      </c>
      <c r="V553" s="8" t="str">
        <f>TRIM(MID(RawSalesTable6[[#This Row],[Customer_Info]],FIND(",",RawSalesTable6[[#This Row],[Customer_Info]])+1,FIND(",",RawSalesTable6[[#This Row],[Customer_Info]],FIND(",",RawSalesTable6[[#This Row],[Customer_Info]])+1)-FIND(",",RawSalesTable6[[#This Row],[Customer_Info]])-1))</f>
        <v>Calgary</v>
      </c>
      <c r="W553" s="8" t="str">
        <f>TRIM(RIGHT(RawSalesTable6[[#This Row],[Customer_Info]],LEN(RawSalesTable6[[#This Row],[Customer_Info]])-FIND(",",RawSalesTable6[[#This Row],[Customer_Info]],FIND(",",RawSalesTable6[[#This Row],[Customer_Info]])+1)))</f>
        <v>Consumer</v>
      </c>
      <c r="X553" s="8" t="str">
        <f>VLOOKUP(RawSalesTable6[[#This Row],[Product_ID_Clean]],ProductsTable[],2,FALSE)</f>
        <v>Portable SSD</v>
      </c>
      <c r="Y553" s="8" t="str">
        <f>VLOOKUP(RawSalesTable6[[#This Row],[Product_ID_Clean]],ProductsTable[],3,FALSE)</f>
        <v>Electronics</v>
      </c>
      <c r="Z553" s="8">
        <f>VLOOKUP(RawSalesTable6[[#This Row],[Product_ID_Clean]],ProductsTable[],5,FALSE)</f>
        <v>131.19</v>
      </c>
      <c r="AA553" s="8">
        <f>RawSalesTable6[[#This Row],[Unit_Price]]*RawSalesTable6[[#This Row],[Quantity]]</f>
        <v>250.61</v>
      </c>
      <c r="AB553" s="8">
        <f>RawSalesTable6[[#This Row],[Gross_Sales]]*RawSalesTable6[[#This Row],[Discount_Pct]]</f>
        <v>0</v>
      </c>
      <c r="AC553" s="8">
        <f>RawSalesTable6[[#This Row],[Gross_Sales]]-RawSalesTable6[[#This Row],[Discount_Amount]]</f>
        <v>250.61</v>
      </c>
      <c r="AD553" s="8">
        <f>RawSalesTable6[[#This Row],[Unit_Cost]]*RawSalesTable6[[#This Row],[Quantity]]</f>
        <v>131.19</v>
      </c>
      <c r="AE553" s="8">
        <f>RawSalesTable6[[#This Row],[Net_Sales]]-RawSalesTable6[[#This Row],[Total_Cost]]</f>
        <v>119.42000000000002</v>
      </c>
      <c r="AF553" s="9">
        <f>RawSalesTable6[[#This Row],[Profit]]/RawSalesTable6[[#This Row],[Net_Sales]]</f>
        <v>0.4765172977933842</v>
      </c>
      <c r="AG553" s="8">
        <f>YEAR(RawSalesTable6[[#This Row],[Order_Date]])</f>
        <v>2025</v>
      </c>
      <c r="AH553" s="8">
        <f>MONTH(RawSalesTable6[[#This Row],[Order_Date]])</f>
        <v>1</v>
      </c>
      <c r="AI553" s="8" t="str">
        <f>TEXT(RawSalesTable6[[#This Row],[Order_Date]],"mmmm")</f>
        <v>janvier</v>
      </c>
      <c r="AJ553" s="8" t="str">
        <f>IF(RawSalesTable6[[#This Row],[Month_Number]]&lt;=3,"Q1",IF(RawSalesTable6[[#This Row],[Month_Number]]&lt;=6,"Q2",IF(RawSalesTable6[[#This Row],[Month_Number]]&lt;=9,"Q3","Q4")))</f>
        <v>Q1</v>
      </c>
      <c r="AK553" s="8" t="str">
        <f>VLOOKUP(RawSalesTable6[[#This Row],[Customer_ID_Clean]],CustomersTable[],4,FALSE)</f>
        <v>Alberta</v>
      </c>
      <c r="AL553" s="8">
        <f>IF(RawSalesTable6[[#This Row],[Return_Status]]="Yes",1,0)</f>
        <v>0</v>
      </c>
    </row>
    <row r="554" spans="1:38">
      <c r="A554" t="s">
        <v>991</v>
      </c>
      <c r="B554" s="3">
        <v>45891</v>
      </c>
      <c r="C554" t="s">
        <v>507</v>
      </c>
      <c r="D554" t="s">
        <v>94</v>
      </c>
      <c r="E554" t="s">
        <v>508</v>
      </c>
      <c r="F554" t="s">
        <v>116</v>
      </c>
      <c r="G554" t="s">
        <v>96</v>
      </c>
      <c r="H554" t="s">
        <v>97</v>
      </c>
      <c r="I554">
        <v>2</v>
      </c>
      <c r="J554" s="2">
        <v>318.20999999999998</v>
      </c>
      <c r="K554" s="4">
        <v>0</v>
      </c>
      <c r="L554" t="s">
        <v>98</v>
      </c>
      <c r="M554">
        <v>3</v>
      </c>
      <c r="N554" t="s">
        <v>91</v>
      </c>
      <c r="O554" t="str">
        <f>SUBSTITUTE(PROPER(TRIM(RawSalesTable6[[#This Row],[Channel_Raw]])),"Market Place","Marketplace")</f>
        <v>Retail Store</v>
      </c>
      <c r="P554" t="str">
        <f>TRIM(RawSalesTable6[[#This Row],[Product_ID]])</f>
        <v>P1033</v>
      </c>
      <c r="Q554" t="str">
        <f>TRIM(RawSalesTable6[[#This Row],[Customer_ID]])</f>
        <v>C0078</v>
      </c>
      <c r="R554" s="8" t="str">
        <f>PROPER(TRIM(RawSalesTable6[[#This Row],[Store_Raw]]))</f>
        <v>Toronto Downtown</v>
      </c>
      <c r="S554" s="8" t="str">
        <f>IF(TRIM(RawSalesTable6[[#This Row],[Payment_Method_Raw]])="","Non renseigné",SUBSTITUTE(PROPER(TRIM(RawSalesTable6[[#This Row],[Payment_Method_Raw]])),"Cc","Credit Card"))</f>
        <v>Debit Card</v>
      </c>
      <c r="T554" s="8">
        <f>COUNTIF(A:A,RawSalesTable6[[#This Row],[Order_ID]])</f>
        <v>1</v>
      </c>
      <c r="U554" s="8" t="str">
        <f>TRIM(LEFT(RawSalesTable6[[#This Row],[Customer_Info]],FIND(",",RawSalesTable6[[#This Row],[Customer_Info]])-1))</f>
        <v>Sarah Smith</v>
      </c>
      <c r="V554" s="8" t="str">
        <f>TRIM(MID(RawSalesTable6[[#This Row],[Customer_Info]],FIND(",",RawSalesTable6[[#This Row],[Customer_Info]])+1,FIND(",",RawSalesTable6[[#This Row],[Customer_Info]],FIND(",",RawSalesTable6[[#This Row],[Customer_Info]])+1)-FIND(",",RawSalesTable6[[#This Row],[Customer_Info]])-1))</f>
        <v>Edmonton</v>
      </c>
      <c r="W554" s="8" t="str">
        <f>TRIM(RIGHT(RawSalesTable6[[#This Row],[Customer_Info]],LEN(RawSalesTable6[[#This Row],[Customer_Info]])-FIND(",",RawSalesTable6[[#This Row],[Customer_Info]],FIND(",",RawSalesTable6[[#This Row],[Customer_Info]])+1)))</f>
        <v>Corporate</v>
      </c>
      <c r="X554" s="8" t="str">
        <f>VLOOKUP(RawSalesTable6[[#This Row],[Product_ID_Clean]],ProductsTable[],2,FALSE)</f>
        <v>Backpack</v>
      </c>
      <c r="Y554" s="8" t="str">
        <f>VLOOKUP(RawSalesTable6[[#This Row],[Product_ID_Clean]],ProductsTable[],3,FALSE)</f>
        <v>Accessories</v>
      </c>
      <c r="Z554" s="8">
        <f>VLOOKUP(RawSalesTable6[[#This Row],[Product_ID_Clean]],ProductsTable[],5,FALSE)</f>
        <v>152.55000000000001</v>
      </c>
      <c r="AA554" s="8">
        <f>RawSalesTable6[[#This Row],[Unit_Price]]*RawSalesTable6[[#This Row],[Quantity]]</f>
        <v>636.41999999999996</v>
      </c>
      <c r="AB554" s="8">
        <f>RawSalesTable6[[#This Row],[Gross_Sales]]*RawSalesTable6[[#This Row],[Discount_Pct]]</f>
        <v>0</v>
      </c>
      <c r="AC554" s="8">
        <f>RawSalesTable6[[#This Row],[Gross_Sales]]-RawSalesTable6[[#This Row],[Discount_Amount]]</f>
        <v>636.41999999999996</v>
      </c>
      <c r="AD554" s="8">
        <f>RawSalesTable6[[#This Row],[Unit_Cost]]*RawSalesTable6[[#This Row],[Quantity]]</f>
        <v>305.10000000000002</v>
      </c>
      <c r="AE554" s="8">
        <f>RawSalesTable6[[#This Row],[Net_Sales]]-RawSalesTable6[[#This Row],[Total_Cost]]</f>
        <v>331.31999999999994</v>
      </c>
      <c r="AF554" s="9">
        <f>RawSalesTable6[[#This Row],[Profit]]/RawSalesTable6[[#This Row],[Net_Sales]]</f>
        <v>0.52059960403507111</v>
      </c>
      <c r="AG554" s="8">
        <f>YEAR(RawSalesTable6[[#This Row],[Order_Date]])</f>
        <v>2025</v>
      </c>
      <c r="AH554" s="8">
        <f>MONTH(RawSalesTable6[[#This Row],[Order_Date]])</f>
        <v>8</v>
      </c>
      <c r="AI554" s="8" t="str">
        <f>TEXT(RawSalesTable6[[#This Row],[Order_Date]],"mmmm")</f>
        <v>août</v>
      </c>
      <c r="AJ554" s="8" t="str">
        <f>IF(RawSalesTable6[[#This Row],[Month_Number]]&lt;=3,"Q1",IF(RawSalesTable6[[#This Row],[Month_Number]]&lt;=6,"Q2",IF(RawSalesTable6[[#This Row],[Month_Number]]&lt;=9,"Q3","Q4")))</f>
        <v>Q3</v>
      </c>
      <c r="AK554" s="8" t="str">
        <f>VLOOKUP(RawSalesTable6[[#This Row],[Customer_ID_Clean]],CustomersTable[],4,FALSE)</f>
        <v>Alberta</v>
      </c>
      <c r="AL554" s="8">
        <f>IF(RawSalesTable6[[#This Row],[Return_Status]]="Yes",1,0)</f>
        <v>0</v>
      </c>
    </row>
    <row r="555" spans="1:38">
      <c r="A555" t="s">
        <v>992</v>
      </c>
      <c r="B555" s="3">
        <v>45799</v>
      </c>
      <c r="C555" t="s">
        <v>108</v>
      </c>
      <c r="D555" t="s">
        <v>210</v>
      </c>
      <c r="E555" t="s">
        <v>110</v>
      </c>
      <c r="F555" t="s">
        <v>87</v>
      </c>
      <c r="G555" t="s">
        <v>183</v>
      </c>
      <c r="H555" t="s">
        <v>105</v>
      </c>
      <c r="I555">
        <v>5</v>
      </c>
      <c r="J555" s="2">
        <v>323.45</v>
      </c>
      <c r="K555" s="4">
        <v>0.05</v>
      </c>
      <c r="L555" t="s">
        <v>106</v>
      </c>
      <c r="M555">
        <v>2</v>
      </c>
      <c r="N555" t="s">
        <v>91</v>
      </c>
      <c r="O555" t="str">
        <f>SUBSTITUTE(PROPER(TRIM(RawSalesTable6[[#This Row],[Channel_Raw]])),"Market Place","Marketplace")</f>
        <v>Marketplace</v>
      </c>
      <c r="P555" t="str">
        <f>TRIM(RawSalesTable6[[#This Row],[Product_ID]])</f>
        <v>P1040</v>
      </c>
      <c r="Q555" t="str">
        <f>TRIM(RawSalesTable6[[#This Row],[Customer_ID]])</f>
        <v>C0071</v>
      </c>
      <c r="R555" s="8" t="str">
        <f>PROPER(TRIM(RawSalesTable6[[#This Row],[Store_Raw]]))</f>
        <v>Online Fulfillment</v>
      </c>
      <c r="S555" s="8" t="str">
        <f>IF(TRIM(RawSalesTable6[[#This Row],[Payment_Method_Raw]])="","Non renseigné",SUBSTITUTE(PROPER(TRIM(RawSalesTable6[[#This Row],[Payment_Method_Raw]])),"Cc","Credit Card"))</f>
        <v>Credit Card</v>
      </c>
      <c r="T555" s="8">
        <f>COUNTIF(A:A,RawSalesTable6[[#This Row],[Order_ID]])</f>
        <v>1</v>
      </c>
      <c r="U555" s="8" t="str">
        <f>TRIM(LEFT(RawSalesTable6[[#This Row],[Customer_Info]],FIND(",",RawSalesTable6[[#This Row],[Customer_Info]])-1))</f>
        <v>Ethan Lee</v>
      </c>
      <c r="V555" s="8" t="str">
        <f>TRIM(MID(RawSalesTable6[[#This Row],[Customer_Info]],FIND(",",RawSalesTable6[[#This Row],[Customer_Info]])+1,FIND(",",RawSalesTable6[[#This Row],[Customer_Info]],FIND(",",RawSalesTable6[[#This Row],[Customer_Info]])+1)-FIND(",",RawSalesTable6[[#This Row],[Customer_Info]])-1))</f>
        <v>Surrey</v>
      </c>
      <c r="W555" s="8" t="str">
        <f>TRIM(RIGHT(RawSalesTable6[[#This Row],[Customer_Info]],LEN(RawSalesTable6[[#This Row],[Customer_Info]])-FIND(",",RawSalesTable6[[#This Row],[Customer_Info]],FIND(",",RawSalesTable6[[#This Row],[Customer_Info]])+1)))</f>
        <v>Consumer</v>
      </c>
      <c r="X555" s="8" t="str">
        <f>VLOOKUP(RawSalesTable6[[#This Row],[Product_ID_Clean]],ProductsTable[],2,FALSE)</f>
        <v>Desk Pad</v>
      </c>
      <c r="Y555" s="8" t="str">
        <f>VLOOKUP(RawSalesTable6[[#This Row],[Product_ID_Clean]],ProductsTable[],3,FALSE)</f>
        <v>Accessories</v>
      </c>
      <c r="Z555" s="8">
        <f>VLOOKUP(RawSalesTable6[[#This Row],[Product_ID_Clean]],ProductsTable[],5,FALSE)</f>
        <v>177.57</v>
      </c>
      <c r="AA555" s="8">
        <f>RawSalesTable6[[#This Row],[Unit_Price]]*RawSalesTable6[[#This Row],[Quantity]]</f>
        <v>1617.25</v>
      </c>
      <c r="AB555" s="8">
        <f>RawSalesTable6[[#This Row],[Gross_Sales]]*RawSalesTable6[[#This Row],[Discount_Pct]]</f>
        <v>80.862500000000011</v>
      </c>
      <c r="AC555" s="8">
        <f>RawSalesTable6[[#This Row],[Gross_Sales]]-RawSalesTable6[[#This Row],[Discount_Amount]]</f>
        <v>1536.3875</v>
      </c>
      <c r="AD555" s="8">
        <f>RawSalesTable6[[#This Row],[Unit_Cost]]*RawSalesTable6[[#This Row],[Quantity]]</f>
        <v>887.84999999999991</v>
      </c>
      <c r="AE555" s="8">
        <f>RawSalesTable6[[#This Row],[Net_Sales]]-RawSalesTable6[[#This Row],[Total_Cost]]</f>
        <v>648.53750000000014</v>
      </c>
      <c r="AF555" s="9">
        <f>RawSalesTable6[[#This Row],[Profit]]/RawSalesTable6[[#This Row],[Net_Sales]]</f>
        <v>0.42211844342654448</v>
      </c>
      <c r="AG555" s="8">
        <f>YEAR(RawSalesTable6[[#This Row],[Order_Date]])</f>
        <v>2025</v>
      </c>
      <c r="AH555" s="8">
        <f>MONTH(RawSalesTable6[[#This Row],[Order_Date]])</f>
        <v>5</v>
      </c>
      <c r="AI555" s="8" t="str">
        <f>TEXT(RawSalesTable6[[#This Row],[Order_Date]],"mmmm")</f>
        <v>mai</v>
      </c>
      <c r="AJ555" s="8" t="str">
        <f>IF(RawSalesTable6[[#This Row],[Month_Number]]&lt;=3,"Q1",IF(RawSalesTable6[[#This Row],[Month_Number]]&lt;=6,"Q2",IF(RawSalesTable6[[#This Row],[Month_Number]]&lt;=9,"Q3","Q4")))</f>
        <v>Q2</v>
      </c>
      <c r="AK555" s="8" t="str">
        <f>VLOOKUP(RawSalesTable6[[#This Row],[Customer_ID_Clean]],CustomersTable[],4,FALSE)</f>
        <v>British Columbia</v>
      </c>
      <c r="AL555" s="8">
        <f>IF(RawSalesTable6[[#This Row],[Return_Status]]="Yes",1,0)</f>
        <v>0</v>
      </c>
    </row>
    <row r="556" spans="1:38">
      <c r="A556" t="s">
        <v>993</v>
      </c>
      <c r="B556" s="3">
        <v>45882</v>
      </c>
      <c r="C556" t="s">
        <v>396</v>
      </c>
      <c r="D556" t="s">
        <v>520</v>
      </c>
      <c r="E556" t="s">
        <v>397</v>
      </c>
      <c r="F556" t="s">
        <v>87</v>
      </c>
      <c r="G556" t="s">
        <v>88</v>
      </c>
      <c r="H556" t="s">
        <v>89</v>
      </c>
      <c r="I556">
        <v>1</v>
      </c>
      <c r="J556" s="2">
        <v>368.38</v>
      </c>
      <c r="K556" s="4">
        <v>0.15</v>
      </c>
      <c r="L556" t="s">
        <v>146</v>
      </c>
      <c r="M556">
        <v>5</v>
      </c>
      <c r="N556" t="s">
        <v>91</v>
      </c>
      <c r="O556" t="str">
        <f>SUBSTITUTE(PROPER(TRIM(RawSalesTable6[[#This Row],[Channel_Raw]])),"Market Place","Marketplace")</f>
        <v>Online</v>
      </c>
      <c r="P556" t="str">
        <f>TRIM(RawSalesTable6[[#This Row],[Product_ID]])</f>
        <v>P1017</v>
      </c>
      <c r="Q556" t="str">
        <f>TRIM(RawSalesTable6[[#This Row],[Customer_ID]])</f>
        <v>C0058</v>
      </c>
      <c r="R556" s="8" t="str">
        <f>PROPER(TRIM(RawSalesTable6[[#This Row],[Store_Raw]]))</f>
        <v>Online Fulfillment</v>
      </c>
      <c r="S556" s="8" t="str">
        <f>IF(TRIM(RawSalesTable6[[#This Row],[Payment_Method_Raw]])="","Non renseigné",SUBSTITUTE(PROPER(TRIM(RawSalesTable6[[#This Row],[Payment_Method_Raw]])),"Cc","Credit Card"))</f>
        <v>Gift Card</v>
      </c>
      <c r="T556" s="8">
        <f>COUNTIF(A:A,RawSalesTable6[[#This Row],[Order_ID]])</f>
        <v>1</v>
      </c>
      <c r="U556" s="8" t="str">
        <f>TRIM(LEFT(RawSalesTable6[[#This Row],[Customer_Info]],FIND(",",RawSalesTable6[[#This Row],[Customer_Info]])-1))</f>
        <v>Mia Singh</v>
      </c>
      <c r="V556" s="8" t="str">
        <f>TRIM(MID(RawSalesTable6[[#This Row],[Customer_Info]],FIND(",",RawSalesTable6[[#This Row],[Customer_Info]])+1,FIND(",",RawSalesTable6[[#This Row],[Customer_Info]],FIND(",",RawSalesTable6[[#This Row],[Customer_Info]])+1)-FIND(",",RawSalesTable6[[#This Row],[Customer_Info]])-1))</f>
        <v>Laval</v>
      </c>
      <c r="W556" s="8" t="str">
        <f>TRIM(RIGHT(RawSalesTable6[[#This Row],[Customer_Info]],LEN(RawSalesTable6[[#This Row],[Customer_Info]])-FIND(",",RawSalesTable6[[#This Row],[Customer_Info]],FIND(",",RawSalesTable6[[#This Row],[Customer_Info]])+1)))</f>
        <v>Consumer</v>
      </c>
      <c r="X556" s="8" t="str">
        <f>VLOOKUP(RawSalesTable6[[#This Row],[Product_ID_Clean]],ProductsTable[],2,FALSE)</f>
        <v>Coffee Maker</v>
      </c>
      <c r="Y556" s="8" t="str">
        <f>VLOOKUP(RawSalesTable6[[#This Row],[Product_ID_Clean]],ProductsTable[],3,FALSE)</f>
        <v>Home</v>
      </c>
      <c r="Z556" s="8">
        <f>VLOOKUP(RawSalesTable6[[#This Row],[Product_ID_Clean]],ProductsTable[],5,FALSE)</f>
        <v>241.16</v>
      </c>
      <c r="AA556" s="8">
        <f>RawSalesTable6[[#This Row],[Unit_Price]]*RawSalesTable6[[#This Row],[Quantity]]</f>
        <v>368.38</v>
      </c>
      <c r="AB556" s="8">
        <f>RawSalesTable6[[#This Row],[Gross_Sales]]*RawSalesTable6[[#This Row],[Discount_Pct]]</f>
        <v>55.256999999999998</v>
      </c>
      <c r="AC556" s="8">
        <f>RawSalesTable6[[#This Row],[Gross_Sales]]-RawSalesTable6[[#This Row],[Discount_Amount]]</f>
        <v>313.12299999999999</v>
      </c>
      <c r="AD556" s="8">
        <f>RawSalesTable6[[#This Row],[Unit_Cost]]*RawSalesTable6[[#This Row],[Quantity]]</f>
        <v>241.16</v>
      </c>
      <c r="AE556" s="8">
        <f>RawSalesTable6[[#This Row],[Net_Sales]]-RawSalesTable6[[#This Row],[Total_Cost]]</f>
        <v>71.962999999999994</v>
      </c>
      <c r="AF556" s="9">
        <f>RawSalesTable6[[#This Row],[Profit]]/RawSalesTable6[[#This Row],[Net_Sales]]</f>
        <v>0.22982342402186998</v>
      </c>
      <c r="AG556" s="8">
        <f>YEAR(RawSalesTable6[[#This Row],[Order_Date]])</f>
        <v>2025</v>
      </c>
      <c r="AH556" s="8">
        <f>MONTH(RawSalesTable6[[#This Row],[Order_Date]])</f>
        <v>8</v>
      </c>
      <c r="AI556" s="8" t="str">
        <f>TEXT(RawSalesTable6[[#This Row],[Order_Date]],"mmmm")</f>
        <v>août</v>
      </c>
      <c r="AJ556" s="8" t="str">
        <f>IF(RawSalesTable6[[#This Row],[Month_Number]]&lt;=3,"Q1",IF(RawSalesTable6[[#This Row],[Month_Number]]&lt;=6,"Q2",IF(RawSalesTable6[[#This Row],[Month_Number]]&lt;=9,"Q3","Q4")))</f>
        <v>Q3</v>
      </c>
      <c r="AK556" s="8" t="str">
        <f>VLOOKUP(RawSalesTable6[[#This Row],[Customer_ID_Clean]],CustomersTable[],4,FALSE)</f>
        <v>Quebec</v>
      </c>
      <c r="AL556" s="8">
        <f>IF(RawSalesTable6[[#This Row],[Return_Status]]="Yes",1,0)</f>
        <v>0</v>
      </c>
    </row>
    <row r="557" spans="1:38">
      <c r="A557" t="s">
        <v>994</v>
      </c>
      <c r="B557" s="3">
        <v>45996</v>
      </c>
      <c r="C557" t="s">
        <v>330</v>
      </c>
      <c r="D557" t="s">
        <v>738</v>
      </c>
      <c r="E557" t="s">
        <v>424</v>
      </c>
      <c r="F557" t="s">
        <v>116</v>
      </c>
      <c r="G557" t="s">
        <v>117</v>
      </c>
      <c r="H557" t="s">
        <v>89</v>
      </c>
      <c r="I557">
        <v>3</v>
      </c>
      <c r="J557" s="2">
        <v>316.8</v>
      </c>
      <c r="K557" s="4">
        <v>0.25</v>
      </c>
      <c r="L557" t="s">
        <v>106</v>
      </c>
      <c r="M557">
        <v>5</v>
      </c>
      <c r="N557" t="s">
        <v>91</v>
      </c>
      <c r="O557" t="str">
        <f>SUBSTITUTE(PROPER(TRIM(RawSalesTable6[[#This Row],[Channel_Raw]])),"Market Place","Marketplace")</f>
        <v>Online</v>
      </c>
      <c r="P557" t="str">
        <f>TRIM(RawSalesTable6[[#This Row],[Product_ID]])</f>
        <v>P1016</v>
      </c>
      <c r="Q557" t="str">
        <f>TRIM(RawSalesTable6[[#This Row],[Customer_ID]])</f>
        <v>C0108</v>
      </c>
      <c r="R557" s="8" t="str">
        <f>PROPER(TRIM(RawSalesTable6[[#This Row],[Store_Raw]]))</f>
        <v>Toronto Downtown</v>
      </c>
      <c r="S557" s="8" t="str">
        <f>IF(TRIM(RawSalesTable6[[#This Row],[Payment_Method_Raw]])="","Non renseigné",SUBSTITUTE(PROPER(TRIM(RawSalesTable6[[#This Row],[Payment_Method_Raw]])),"Cc","Credit Card"))</f>
        <v>Credit Card</v>
      </c>
      <c r="T557" s="8">
        <f>COUNTIF(A:A,RawSalesTable6[[#This Row],[Order_ID]])</f>
        <v>1</v>
      </c>
      <c r="U557" s="8" t="str">
        <f>TRIM(LEFT(RawSalesTable6[[#This Row],[Customer_Info]],FIND(",",RawSalesTable6[[#This Row],[Customer_Info]])-1))</f>
        <v>Noah Lee</v>
      </c>
      <c r="V557" s="8" t="str">
        <f>TRIM(MID(RawSalesTable6[[#This Row],[Customer_Info]],FIND(",",RawSalesTable6[[#This Row],[Customer_Info]])+1,FIND(",",RawSalesTable6[[#This Row],[Customer_Info]],FIND(",",RawSalesTable6[[#This Row],[Customer_Info]])+1)-FIND(",",RawSalesTable6[[#This Row],[Customer_Info]])-1))</f>
        <v>Surrey</v>
      </c>
      <c r="W557" s="8" t="str">
        <f>TRIM(RIGHT(RawSalesTable6[[#This Row],[Customer_Info]],LEN(RawSalesTable6[[#This Row],[Customer_Info]])-FIND(",",RawSalesTable6[[#This Row],[Customer_Info]],FIND(",",RawSalesTable6[[#This Row],[Customer_Info]])+1)))</f>
        <v>Consumer</v>
      </c>
      <c r="X557" s="8" t="str">
        <f>VLOOKUP(RawSalesTable6[[#This Row],[Product_ID_Clean]],ProductsTable[],2,FALSE)</f>
        <v>Printer</v>
      </c>
      <c r="Y557" s="8" t="str">
        <f>VLOOKUP(RawSalesTable6[[#This Row],[Product_ID_Clean]],ProductsTable[],3,FALSE)</f>
        <v>Office</v>
      </c>
      <c r="Z557" s="8">
        <f>VLOOKUP(RawSalesTable6[[#This Row],[Product_ID_Clean]],ProductsTable[],5,FALSE)</f>
        <v>156.75</v>
      </c>
      <c r="AA557" s="8">
        <f>RawSalesTable6[[#This Row],[Unit_Price]]*RawSalesTable6[[#This Row],[Quantity]]</f>
        <v>950.40000000000009</v>
      </c>
      <c r="AB557" s="8">
        <f>RawSalesTable6[[#This Row],[Gross_Sales]]*RawSalesTable6[[#This Row],[Discount_Pct]]</f>
        <v>237.60000000000002</v>
      </c>
      <c r="AC557" s="8">
        <f>RawSalesTable6[[#This Row],[Gross_Sales]]-RawSalesTable6[[#This Row],[Discount_Amount]]</f>
        <v>712.80000000000007</v>
      </c>
      <c r="AD557" s="8">
        <f>RawSalesTable6[[#This Row],[Unit_Cost]]*RawSalesTable6[[#This Row],[Quantity]]</f>
        <v>470.25</v>
      </c>
      <c r="AE557" s="8">
        <f>RawSalesTable6[[#This Row],[Net_Sales]]-RawSalesTable6[[#This Row],[Total_Cost]]</f>
        <v>242.55000000000007</v>
      </c>
      <c r="AF557" s="9">
        <f>RawSalesTable6[[#This Row],[Profit]]/RawSalesTable6[[#This Row],[Net_Sales]]</f>
        <v>0.34027777777777785</v>
      </c>
      <c r="AG557" s="8">
        <f>YEAR(RawSalesTable6[[#This Row],[Order_Date]])</f>
        <v>2025</v>
      </c>
      <c r="AH557" s="8">
        <f>MONTH(RawSalesTable6[[#This Row],[Order_Date]])</f>
        <v>12</v>
      </c>
      <c r="AI557" s="8" t="str">
        <f>TEXT(RawSalesTable6[[#This Row],[Order_Date]],"mmmm")</f>
        <v>décembre</v>
      </c>
      <c r="AJ557" s="8" t="str">
        <f>IF(RawSalesTable6[[#This Row],[Month_Number]]&lt;=3,"Q1",IF(RawSalesTable6[[#This Row],[Month_Number]]&lt;=6,"Q2",IF(RawSalesTable6[[#This Row],[Month_Number]]&lt;=9,"Q3","Q4")))</f>
        <v>Q4</v>
      </c>
      <c r="AK557" s="8" t="str">
        <f>VLOOKUP(RawSalesTable6[[#This Row],[Customer_ID_Clean]],CustomersTable[],4,FALSE)</f>
        <v>British Columbia</v>
      </c>
      <c r="AL557" s="8">
        <f>IF(RawSalesTable6[[#This Row],[Return_Status]]="Yes",1,0)</f>
        <v>0</v>
      </c>
    </row>
    <row r="558" spans="1:38">
      <c r="A558" t="s">
        <v>995</v>
      </c>
      <c r="B558" s="3">
        <v>45769</v>
      </c>
      <c r="C558" t="s">
        <v>359</v>
      </c>
      <c r="D558" t="s">
        <v>85</v>
      </c>
      <c r="E558" t="s">
        <v>361</v>
      </c>
      <c r="F558" t="s">
        <v>116</v>
      </c>
      <c r="G558" t="s">
        <v>104</v>
      </c>
      <c r="H558" t="s">
        <v>105</v>
      </c>
      <c r="I558">
        <v>3</v>
      </c>
      <c r="J558" s="2">
        <v>308.24</v>
      </c>
      <c r="K558" s="4">
        <v>0.05</v>
      </c>
      <c r="L558" t="s">
        <v>98</v>
      </c>
      <c r="M558">
        <v>8</v>
      </c>
      <c r="N558" t="s">
        <v>91</v>
      </c>
      <c r="O558" t="str">
        <f>SUBSTITUTE(PROPER(TRIM(RawSalesTable6[[#This Row],[Channel_Raw]])),"Market Place","Marketplace")</f>
        <v>Marketplace</v>
      </c>
      <c r="P558" t="str">
        <f>TRIM(RawSalesTable6[[#This Row],[Product_ID]])</f>
        <v>P1025</v>
      </c>
      <c r="Q558" t="str">
        <f>TRIM(RawSalesTable6[[#This Row],[Customer_ID]])</f>
        <v>C0044</v>
      </c>
      <c r="R558" s="8" t="str">
        <f>PROPER(TRIM(RawSalesTable6[[#This Row],[Store_Raw]]))</f>
        <v>Toronto Downtown</v>
      </c>
      <c r="S558" s="8" t="str">
        <f>IF(TRIM(RawSalesTable6[[#This Row],[Payment_Method_Raw]])="","Non renseigné",SUBSTITUTE(PROPER(TRIM(RawSalesTable6[[#This Row],[Payment_Method_Raw]])),"Cc","Credit Card"))</f>
        <v>Debit Card</v>
      </c>
      <c r="T558" s="8">
        <f>COUNTIF(A:A,RawSalesTable6[[#This Row],[Order_ID]])</f>
        <v>1</v>
      </c>
      <c r="U558" s="8" t="str">
        <f>TRIM(LEFT(RawSalesTable6[[#This Row],[Customer_Info]],FIND(",",RawSalesTable6[[#This Row],[Customer_Info]])-1))</f>
        <v>Nora Young</v>
      </c>
      <c r="V558" s="8" t="str">
        <f>TRIM(MID(RawSalesTable6[[#This Row],[Customer_Info]],FIND(",",RawSalesTable6[[#This Row],[Customer_Info]])+1,FIND(",",RawSalesTable6[[#This Row],[Customer_Info]],FIND(",",RawSalesTable6[[#This Row],[Customer_Info]])+1)-FIND(",",RawSalesTable6[[#This Row],[Customer_Info]])-1))</f>
        <v>Vancouver</v>
      </c>
      <c r="W558" s="8" t="str">
        <f>TRIM(RIGHT(RawSalesTable6[[#This Row],[Customer_Info]],LEN(RawSalesTable6[[#This Row],[Customer_Info]])-FIND(",",RawSalesTable6[[#This Row],[Customer_Info]],FIND(",",RawSalesTable6[[#This Row],[Customer_Info]])+1)))</f>
        <v>Corporate</v>
      </c>
      <c r="X558" s="8" t="str">
        <f>VLOOKUP(RawSalesTable6[[#This Row],[Product_ID_Clean]],ProductsTable[],2,FALSE)</f>
        <v>Yoga Mat</v>
      </c>
      <c r="Y558" s="8" t="str">
        <f>VLOOKUP(RawSalesTable6[[#This Row],[Product_ID_Clean]],ProductsTable[],3,FALSE)</f>
        <v>Fitness</v>
      </c>
      <c r="Z558" s="8">
        <f>VLOOKUP(RawSalesTable6[[#This Row],[Product_ID_Clean]],ProductsTable[],5,FALSE)</f>
        <v>197.33</v>
      </c>
      <c r="AA558" s="8">
        <f>RawSalesTable6[[#This Row],[Unit_Price]]*RawSalesTable6[[#This Row],[Quantity]]</f>
        <v>924.72</v>
      </c>
      <c r="AB558" s="8">
        <f>RawSalesTable6[[#This Row],[Gross_Sales]]*RawSalesTable6[[#This Row],[Discount_Pct]]</f>
        <v>46.236000000000004</v>
      </c>
      <c r="AC558" s="8">
        <f>RawSalesTable6[[#This Row],[Gross_Sales]]-RawSalesTable6[[#This Row],[Discount_Amount]]</f>
        <v>878.48400000000004</v>
      </c>
      <c r="AD558" s="8">
        <f>RawSalesTable6[[#This Row],[Unit_Cost]]*RawSalesTable6[[#This Row],[Quantity]]</f>
        <v>591.99</v>
      </c>
      <c r="AE558" s="8">
        <f>RawSalesTable6[[#This Row],[Net_Sales]]-RawSalesTable6[[#This Row],[Total_Cost]]</f>
        <v>286.49400000000003</v>
      </c>
      <c r="AF558" s="9">
        <f>RawSalesTable6[[#This Row],[Profit]]/RawSalesTable6[[#This Row],[Net_Sales]]</f>
        <v>0.32612318494133075</v>
      </c>
      <c r="AG558" s="8">
        <f>YEAR(RawSalesTable6[[#This Row],[Order_Date]])</f>
        <v>2025</v>
      </c>
      <c r="AH558" s="8">
        <f>MONTH(RawSalesTable6[[#This Row],[Order_Date]])</f>
        <v>4</v>
      </c>
      <c r="AI558" s="8" t="str">
        <f>TEXT(RawSalesTable6[[#This Row],[Order_Date]],"mmmm")</f>
        <v>avril</v>
      </c>
      <c r="AJ558" s="8" t="str">
        <f>IF(RawSalesTable6[[#This Row],[Month_Number]]&lt;=3,"Q1",IF(RawSalesTable6[[#This Row],[Month_Number]]&lt;=6,"Q2",IF(RawSalesTable6[[#This Row],[Month_Number]]&lt;=9,"Q3","Q4")))</f>
        <v>Q2</v>
      </c>
      <c r="AK558" s="8" t="str">
        <f>VLOOKUP(RawSalesTable6[[#This Row],[Customer_ID_Clean]],CustomersTable[],4,FALSE)</f>
        <v>British Columbia</v>
      </c>
      <c r="AL558" s="8">
        <f>IF(RawSalesTable6[[#This Row],[Return_Status]]="Yes",1,0)</f>
        <v>0</v>
      </c>
    </row>
    <row r="559" spans="1:38">
      <c r="A559" t="s">
        <v>996</v>
      </c>
      <c r="B559" s="3">
        <v>46005</v>
      </c>
      <c r="C559" t="s">
        <v>180</v>
      </c>
      <c r="D559" t="s">
        <v>249</v>
      </c>
      <c r="E559" t="s">
        <v>182</v>
      </c>
      <c r="F559" t="s">
        <v>116</v>
      </c>
      <c r="G559" t="s">
        <v>117</v>
      </c>
      <c r="H559" t="s">
        <v>89</v>
      </c>
      <c r="I559">
        <v>1</v>
      </c>
      <c r="J559" s="2">
        <v>428.94</v>
      </c>
      <c r="K559" s="4">
        <v>0</v>
      </c>
      <c r="L559" t="s">
        <v>106</v>
      </c>
      <c r="M559">
        <v>4</v>
      </c>
      <c r="N559" t="s">
        <v>91</v>
      </c>
      <c r="O559" t="str">
        <f>SUBSTITUTE(PROPER(TRIM(RawSalesTable6[[#This Row],[Channel_Raw]])),"Market Place","Marketplace")</f>
        <v>Online</v>
      </c>
      <c r="P559" t="str">
        <f>TRIM(RawSalesTable6[[#This Row],[Product_ID]])</f>
        <v>P1022</v>
      </c>
      <c r="Q559" t="str">
        <f>TRIM(RawSalesTable6[[#This Row],[Customer_ID]])</f>
        <v>C0085</v>
      </c>
      <c r="R559" s="8" t="str">
        <f>PROPER(TRIM(RawSalesTable6[[#This Row],[Store_Raw]]))</f>
        <v>Toronto Downtown</v>
      </c>
      <c r="S559" s="8" t="str">
        <f>IF(TRIM(RawSalesTable6[[#This Row],[Payment_Method_Raw]])="","Non renseigné",SUBSTITUTE(PROPER(TRIM(RawSalesTable6[[#This Row],[Payment_Method_Raw]])),"Cc","Credit Card"))</f>
        <v>Credit Card</v>
      </c>
      <c r="T559" s="8">
        <f>COUNTIF(A:A,RawSalesTable6[[#This Row],[Order_ID]])</f>
        <v>1</v>
      </c>
      <c r="U559" s="8" t="str">
        <f>TRIM(LEFT(RawSalesTable6[[#This Row],[Customer_Info]],FIND(",",RawSalesTable6[[#This Row],[Customer_Info]])-1))</f>
        <v>Yasmine Clark</v>
      </c>
      <c r="V559" s="8" t="str">
        <f>TRIM(MID(RawSalesTable6[[#This Row],[Customer_Info]],FIND(",",RawSalesTable6[[#This Row],[Customer_Info]])+1,FIND(",",RawSalesTable6[[#This Row],[Customer_Info]],FIND(",",RawSalesTable6[[#This Row],[Customer_Info]])+1)-FIND(",",RawSalesTable6[[#This Row],[Customer_Info]])-1))</f>
        <v>Calgary</v>
      </c>
      <c r="W559" s="8" t="str">
        <f>TRIM(RIGHT(RawSalesTable6[[#This Row],[Customer_Info]],LEN(RawSalesTable6[[#This Row],[Customer_Info]])-FIND(",",RawSalesTable6[[#This Row],[Customer_Info]],FIND(",",RawSalesTable6[[#This Row],[Customer_Info]])+1)))</f>
        <v>Consumer</v>
      </c>
      <c r="X559" s="8" t="str">
        <f>VLOOKUP(RawSalesTable6[[#This Row],[Product_ID_Clean]],ProductsTable[],2,FALSE)</f>
        <v>Humidifier</v>
      </c>
      <c r="Y559" s="8" t="str">
        <f>VLOOKUP(RawSalesTable6[[#This Row],[Product_ID_Clean]],ProductsTable[],3,FALSE)</f>
        <v>Home</v>
      </c>
      <c r="Z559" s="8">
        <f>VLOOKUP(RawSalesTable6[[#This Row],[Product_ID_Clean]],ProductsTable[],5,FALSE)</f>
        <v>239.67</v>
      </c>
      <c r="AA559" s="8">
        <f>RawSalesTable6[[#This Row],[Unit_Price]]*RawSalesTable6[[#This Row],[Quantity]]</f>
        <v>428.94</v>
      </c>
      <c r="AB559" s="8">
        <f>RawSalesTable6[[#This Row],[Gross_Sales]]*RawSalesTable6[[#This Row],[Discount_Pct]]</f>
        <v>0</v>
      </c>
      <c r="AC559" s="8">
        <f>RawSalesTable6[[#This Row],[Gross_Sales]]-RawSalesTable6[[#This Row],[Discount_Amount]]</f>
        <v>428.94</v>
      </c>
      <c r="AD559" s="8">
        <f>RawSalesTable6[[#This Row],[Unit_Cost]]*RawSalesTable6[[#This Row],[Quantity]]</f>
        <v>239.67</v>
      </c>
      <c r="AE559" s="8">
        <f>RawSalesTable6[[#This Row],[Net_Sales]]-RawSalesTable6[[#This Row],[Total_Cost]]</f>
        <v>189.27</v>
      </c>
      <c r="AF559" s="9">
        <f>RawSalesTable6[[#This Row],[Profit]]/RawSalesTable6[[#This Row],[Net_Sales]]</f>
        <v>0.44125052454888797</v>
      </c>
      <c r="AG559" s="8">
        <f>YEAR(RawSalesTable6[[#This Row],[Order_Date]])</f>
        <v>2025</v>
      </c>
      <c r="AH559" s="8">
        <f>MONTH(RawSalesTable6[[#This Row],[Order_Date]])</f>
        <v>12</v>
      </c>
      <c r="AI559" s="8" t="str">
        <f>TEXT(RawSalesTable6[[#This Row],[Order_Date]],"mmmm")</f>
        <v>décembre</v>
      </c>
      <c r="AJ559" s="8" t="str">
        <f>IF(RawSalesTable6[[#This Row],[Month_Number]]&lt;=3,"Q1",IF(RawSalesTable6[[#This Row],[Month_Number]]&lt;=6,"Q2",IF(RawSalesTable6[[#This Row],[Month_Number]]&lt;=9,"Q3","Q4")))</f>
        <v>Q4</v>
      </c>
      <c r="AK559" s="8" t="str">
        <f>VLOOKUP(RawSalesTable6[[#This Row],[Customer_ID_Clean]],CustomersTable[],4,FALSE)</f>
        <v>Alberta</v>
      </c>
      <c r="AL559" s="8">
        <f>IF(RawSalesTable6[[#This Row],[Return_Status]]="Yes",1,0)</f>
        <v>0</v>
      </c>
    </row>
    <row r="560" spans="1:38">
      <c r="A560" t="s">
        <v>997</v>
      </c>
      <c r="B560" s="3">
        <v>45727</v>
      </c>
      <c r="C560" t="s">
        <v>200</v>
      </c>
      <c r="D560" t="s">
        <v>139</v>
      </c>
      <c r="E560" t="s">
        <v>201</v>
      </c>
      <c r="F560" t="s">
        <v>116</v>
      </c>
      <c r="G560" t="s">
        <v>183</v>
      </c>
      <c r="H560" t="s">
        <v>105</v>
      </c>
      <c r="I560">
        <v>1</v>
      </c>
      <c r="J560" s="2">
        <v>83.97</v>
      </c>
      <c r="K560" s="4">
        <v>0.1</v>
      </c>
      <c r="L560" t="s">
        <v>106</v>
      </c>
      <c r="M560">
        <v>5</v>
      </c>
      <c r="N560" t="s">
        <v>91</v>
      </c>
      <c r="O560" t="str">
        <f>SUBSTITUTE(PROPER(TRIM(RawSalesTable6[[#This Row],[Channel_Raw]])),"Market Place","Marketplace")</f>
        <v>Marketplace</v>
      </c>
      <c r="P560" t="str">
        <f>TRIM(RawSalesTable6[[#This Row],[Product_ID]])</f>
        <v>P1012</v>
      </c>
      <c r="Q560" t="str">
        <f>TRIM(RawSalesTable6[[#This Row],[Customer_ID]])</f>
        <v>C0118</v>
      </c>
      <c r="R560" s="8" t="str">
        <f>PROPER(TRIM(RawSalesTable6[[#This Row],[Store_Raw]]))</f>
        <v>Toronto Downtown</v>
      </c>
      <c r="S560" s="8" t="str">
        <f>IF(TRIM(RawSalesTable6[[#This Row],[Payment_Method_Raw]])="","Non renseigné",SUBSTITUTE(PROPER(TRIM(RawSalesTable6[[#This Row],[Payment_Method_Raw]])),"Cc","Credit Card"))</f>
        <v>Credit Card</v>
      </c>
      <c r="T560" s="8">
        <f>COUNTIF(A:A,RawSalesTable6[[#This Row],[Order_ID]])</f>
        <v>1</v>
      </c>
      <c r="U560" s="8" t="str">
        <f>TRIM(LEFT(RawSalesTable6[[#This Row],[Customer_Info]],FIND(",",RawSalesTable6[[#This Row],[Customer_Info]])-1))</f>
        <v>Ryan Smith</v>
      </c>
      <c r="V560" s="8" t="str">
        <f>TRIM(MID(RawSalesTable6[[#This Row],[Customer_Info]],FIND(",",RawSalesTable6[[#This Row],[Customer_Info]])+1,FIND(",",RawSalesTable6[[#This Row],[Customer_Info]],FIND(",",RawSalesTable6[[#This Row],[Customer_Info]])+1)-FIND(",",RawSalesTable6[[#This Row],[Customer_Info]])-1))</f>
        <v>Victoria</v>
      </c>
      <c r="W560" s="8" t="str">
        <f>TRIM(RIGHT(RawSalesTable6[[#This Row],[Customer_Info]],LEN(RawSalesTable6[[#This Row],[Customer_Info]])-FIND(",",RawSalesTable6[[#This Row],[Customer_Info]],FIND(",",RawSalesTable6[[#This Row],[Customer_Info]])+1)))</f>
        <v>Small Business</v>
      </c>
      <c r="X560" s="8" t="str">
        <f>VLOOKUP(RawSalesTable6[[#This Row],[Product_ID_Clean]],ProductsTable[],2,FALSE)</f>
        <v>Standing Desk</v>
      </c>
      <c r="Y560" s="8" t="str">
        <f>VLOOKUP(RawSalesTable6[[#This Row],[Product_ID_Clean]],ProductsTable[],3,FALSE)</f>
        <v>Office</v>
      </c>
      <c r="Z560" s="8">
        <f>VLOOKUP(RawSalesTable6[[#This Row],[Product_ID_Clean]],ProductsTable[],5,FALSE)</f>
        <v>45.17</v>
      </c>
      <c r="AA560" s="8">
        <f>RawSalesTable6[[#This Row],[Unit_Price]]*RawSalesTable6[[#This Row],[Quantity]]</f>
        <v>83.97</v>
      </c>
      <c r="AB560" s="8">
        <f>RawSalesTable6[[#This Row],[Gross_Sales]]*RawSalesTable6[[#This Row],[Discount_Pct]]</f>
        <v>8.3970000000000002</v>
      </c>
      <c r="AC560" s="8">
        <f>RawSalesTable6[[#This Row],[Gross_Sales]]-RawSalesTable6[[#This Row],[Discount_Amount]]</f>
        <v>75.572999999999993</v>
      </c>
      <c r="AD560" s="8">
        <f>RawSalesTable6[[#This Row],[Unit_Cost]]*RawSalesTable6[[#This Row],[Quantity]]</f>
        <v>45.17</v>
      </c>
      <c r="AE560" s="8">
        <f>RawSalesTable6[[#This Row],[Net_Sales]]-RawSalesTable6[[#This Row],[Total_Cost]]</f>
        <v>30.402999999999992</v>
      </c>
      <c r="AF560" s="9">
        <f>RawSalesTable6[[#This Row],[Profit]]/RawSalesTable6[[#This Row],[Net_Sales]]</f>
        <v>0.40229976314292132</v>
      </c>
      <c r="AG560" s="8">
        <f>YEAR(RawSalesTable6[[#This Row],[Order_Date]])</f>
        <v>2025</v>
      </c>
      <c r="AH560" s="8">
        <f>MONTH(RawSalesTable6[[#This Row],[Order_Date]])</f>
        <v>3</v>
      </c>
      <c r="AI560" s="8" t="str">
        <f>TEXT(RawSalesTable6[[#This Row],[Order_Date]],"mmmm")</f>
        <v>mars</v>
      </c>
      <c r="AJ560" s="8" t="str">
        <f>IF(RawSalesTable6[[#This Row],[Month_Number]]&lt;=3,"Q1",IF(RawSalesTable6[[#This Row],[Month_Number]]&lt;=6,"Q2",IF(RawSalesTable6[[#This Row],[Month_Number]]&lt;=9,"Q3","Q4")))</f>
        <v>Q1</v>
      </c>
      <c r="AK560" s="8" t="str">
        <f>VLOOKUP(RawSalesTable6[[#This Row],[Customer_ID_Clean]],CustomersTable[],4,FALSE)</f>
        <v>British Columbia</v>
      </c>
      <c r="AL560" s="8">
        <f>IF(RawSalesTable6[[#This Row],[Return_Status]]="Yes",1,0)</f>
        <v>0</v>
      </c>
    </row>
    <row r="561" spans="1:38">
      <c r="A561" t="s">
        <v>998</v>
      </c>
      <c r="B561" s="3">
        <v>45909</v>
      </c>
      <c r="C561" t="s">
        <v>349</v>
      </c>
      <c r="D561" t="s">
        <v>143</v>
      </c>
      <c r="E561" t="s">
        <v>350</v>
      </c>
      <c r="F561" t="s">
        <v>103</v>
      </c>
      <c r="G561" t="s">
        <v>117</v>
      </c>
      <c r="H561" t="s">
        <v>97</v>
      </c>
      <c r="I561">
        <v>2</v>
      </c>
      <c r="J561" s="2">
        <v>260.72000000000003</v>
      </c>
      <c r="K561" s="4">
        <v>0.05</v>
      </c>
      <c r="L561" t="s">
        <v>441</v>
      </c>
      <c r="M561">
        <v>4</v>
      </c>
      <c r="N561" t="s">
        <v>147</v>
      </c>
      <c r="O561" t="str">
        <f>SUBSTITUTE(PROPER(TRIM(RawSalesTable6[[#This Row],[Channel_Raw]])),"Market Place","Marketplace")</f>
        <v>Retail Store</v>
      </c>
      <c r="P561" t="str">
        <f>TRIM(RawSalesTable6[[#This Row],[Product_ID]])</f>
        <v>P1038</v>
      </c>
      <c r="Q561" t="str">
        <f>TRIM(RawSalesTable6[[#This Row],[Customer_ID]])</f>
        <v>C0088</v>
      </c>
      <c r="R561" s="8" t="str">
        <f>PROPER(TRIM(RawSalesTable6[[#This Row],[Store_Raw]]))</f>
        <v>Vancouver West</v>
      </c>
      <c r="S561" s="8" t="str">
        <f>IF(TRIM(RawSalesTable6[[#This Row],[Payment_Method_Raw]])="","Non renseigné",SUBSTITUTE(PROPER(TRIM(RawSalesTable6[[#This Row],[Payment_Method_Raw]])),"Cc","Credit Card"))</f>
        <v>Credit Card</v>
      </c>
      <c r="T561" s="8">
        <f>COUNTIF(A:A,RawSalesTable6[[#This Row],[Order_ID]])</f>
        <v>1</v>
      </c>
      <c r="U561" s="8" t="str">
        <f>TRIM(LEFT(RawSalesTable6[[#This Row],[Customer_Info]],FIND(",",RawSalesTable6[[#This Row],[Customer_Info]])-1))</f>
        <v>Olivia Bennett</v>
      </c>
      <c r="V561" s="8" t="str">
        <f>TRIM(MID(RawSalesTable6[[#This Row],[Customer_Info]],FIND(",",RawSalesTable6[[#This Row],[Customer_Info]])+1,FIND(",",RawSalesTable6[[#This Row],[Customer_Info]],FIND(",",RawSalesTable6[[#This Row],[Customer_Info]])+1)-FIND(",",RawSalesTable6[[#This Row],[Customer_Info]])-1))</f>
        <v>Vancouver</v>
      </c>
      <c r="W561" s="8" t="str">
        <f>TRIM(RIGHT(RawSalesTable6[[#This Row],[Customer_Info]],LEN(RawSalesTable6[[#This Row],[Customer_Info]])-FIND(",",RawSalesTable6[[#This Row],[Customer_Info]],FIND(",",RawSalesTable6[[#This Row],[Customer_Info]])+1)))</f>
        <v>Small Business</v>
      </c>
      <c r="X561" s="8" t="str">
        <f>VLOOKUP(RawSalesTable6[[#This Row],[Product_ID_Clean]],ProductsTable[],2,FALSE)</f>
        <v>Water Bottle</v>
      </c>
      <c r="Y561" s="8" t="str">
        <f>VLOOKUP(RawSalesTable6[[#This Row],[Product_ID_Clean]],ProductsTable[],3,FALSE)</f>
        <v>Accessories</v>
      </c>
      <c r="Z561" s="8">
        <f>VLOOKUP(RawSalesTable6[[#This Row],[Product_ID_Clean]],ProductsTable[],5,FALSE)</f>
        <v>119.16</v>
      </c>
      <c r="AA561" s="8">
        <f>RawSalesTable6[[#This Row],[Unit_Price]]*RawSalesTable6[[#This Row],[Quantity]]</f>
        <v>521.44000000000005</v>
      </c>
      <c r="AB561" s="8">
        <f>RawSalesTable6[[#This Row],[Gross_Sales]]*RawSalesTable6[[#This Row],[Discount_Pct]]</f>
        <v>26.072000000000003</v>
      </c>
      <c r="AC561" s="8">
        <f>RawSalesTable6[[#This Row],[Gross_Sales]]-RawSalesTable6[[#This Row],[Discount_Amount]]</f>
        <v>495.36800000000005</v>
      </c>
      <c r="AD561" s="8">
        <f>RawSalesTable6[[#This Row],[Unit_Cost]]*RawSalesTable6[[#This Row],[Quantity]]</f>
        <v>238.32</v>
      </c>
      <c r="AE561" s="8">
        <f>RawSalesTable6[[#This Row],[Net_Sales]]-RawSalesTable6[[#This Row],[Total_Cost]]</f>
        <v>257.04800000000006</v>
      </c>
      <c r="AF561" s="9">
        <f>RawSalesTable6[[#This Row],[Profit]]/RawSalesTable6[[#This Row],[Net_Sales]]</f>
        <v>0.51890311848968851</v>
      </c>
      <c r="AG561" s="8">
        <f>YEAR(RawSalesTable6[[#This Row],[Order_Date]])</f>
        <v>2025</v>
      </c>
      <c r="AH561" s="8">
        <f>MONTH(RawSalesTable6[[#This Row],[Order_Date]])</f>
        <v>9</v>
      </c>
      <c r="AI561" s="8" t="str">
        <f>TEXT(RawSalesTable6[[#This Row],[Order_Date]],"mmmm")</f>
        <v>septembre</v>
      </c>
      <c r="AJ561" s="8" t="str">
        <f>IF(RawSalesTable6[[#This Row],[Month_Number]]&lt;=3,"Q1",IF(RawSalesTable6[[#This Row],[Month_Number]]&lt;=6,"Q2",IF(RawSalesTable6[[#This Row],[Month_Number]]&lt;=9,"Q3","Q4")))</f>
        <v>Q3</v>
      </c>
      <c r="AK561" s="8" t="str">
        <f>VLOOKUP(RawSalesTable6[[#This Row],[Customer_ID_Clean]],CustomersTable[],4,FALSE)</f>
        <v>British Columbia</v>
      </c>
      <c r="AL561" s="8">
        <f>IF(RawSalesTable6[[#This Row],[Return_Status]]="Yes",1,0)</f>
        <v>1</v>
      </c>
    </row>
    <row r="562" spans="1:38">
      <c r="A562" t="s">
        <v>999</v>
      </c>
      <c r="B562" s="3">
        <v>46004</v>
      </c>
      <c r="C562" t="s">
        <v>290</v>
      </c>
      <c r="D562" t="s">
        <v>139</v>
      </c>
      <c r="E562" t="s">
        <v>291</v>
      </c>
      <c r="F562" t="s">
        <v>116</v>
      </c>
      <c r="G562" t="s">
        <v>117</v>
      </c>
      <c r="H562" t="s">
        <v>105</v>
      </c>
      <c r="I562">
        <v>3</v>
      </c>
      <c r="J562" s="2">
        <v>81.14</v>
      </c>
      <c r="K562" s="4">
        <v>0</v>
      </c>
      <c r="L562" t="s">
        <v>90</v>
      </c>
      <c r="M562">
        <v>6</v>
      </c>
      <c r="N562" t="s">
        <v>91</v>
      </c>
      <c r="O562" t="str">
        <f>SUBSTITUTE(PROPER(TRIM(RawSalesTable6[[#This Row],[Channel_Raw]])),"Market Place","Marketplace")</f>
        <v>Marketplace</v>
      </c>
      <c r="P562" t="str">
        <f>TRIM(RawSalesTable6[[#This Row],[Product_ID]])</f>
        <v>P1012</v>
      </c>
      <c r="Q562" t="str">
        <f>TRIM(RawSalesTable6[[#This Row],[Customer_ID]])</f>
        <v>C0116</v>
      </c>
      <c r="R562" s="8" t="str">
        <f>PROPER(TRIM(RawSalesTable6[[#This Row],[Store_Raw]]))</f>
        <v>Toronto Downtown</v>
      </c>
      <c r="S562" s="8" t="str">
        <f>IF(TRIM(RawSalesTable6[[#This Row],[Payment_Method_Raw]])="","Non renseigné",SUBSTITUTE(PROPER(TRIM(RawSalesTable6[[#This Row],[Payment_Method_Raw]])),"Cc","Credit Card"))</f>
        <v>Paypal</v>
      </c>
      <c r="T562" s="8">
        <f>COUNTIF(A:A,RawSalesTable6[[#This Row],[Order_ID]])</f>
        <v>1</v>
      </c>
      <c r="U562" s="8" t="str">
        <f>TRIM(LEFT(RawSalesTable6[[#This Row],[Customer_Info]],FIND(",",RawSalesTable6[[#This Row],[Customer_Info]])-1))</f>
        <v>Lucas Brown</v>
      </c>
      <c r="V562" s="8" t="str">
        <f>TRIM(MID(RawSalesTable6[[#This Row],[Customer_Info]],FIND(",",RawSalesTable6[[#This Row],[Customer_Info]])+1,FIND(",",RawSalesTable6[[#This Row],[Customer_Info]],FIND(",",RawSalesTable6[[#This Row],[Customer_Info]])+1)-FIND(",",RawSalesTable6[[#This Row],[Customer_Info]])-1))</f>
        <v>Mississauga</v>
      </c>
      <c r="W562" s="8" t="str">
        <f>TRIM(RIGHT(RawSalesTable6[[#This Row],[Customer_Info]],LEN(RawSalesTable6[[#This Row],[Customer_Info]])-FIND(",",RawSalesTable6[[#This Row],[Customer_Info]],FIND(",",RawSalesTable6[[#This Row],[Customer_Info]])+1)))</f>
        <v>Corporate</v>
      </c>
      <c r="X562" s="8" t="str">
        <f>VLOOKUP(RawSalesTable6[[#This Row],[Product_ID_Clean]],ProductsTable[],2,FALSE)</f>
        <v>Standing Desk</v>
      </c>
      <c r="Y562" s="8" t="str">
        <f>VLOOKUP(RawSalesTable6[[#This Row],[Product_ID_Clean]],ProductsTable[],3,FALSE)</f>
        <v>Office</v>
      </c>
      <c r="Z562" s="8">
        <f>VLOOKUP(RawSalesTable6[[#This Row],[Product_ID_Clean]],ProductsTable[],5,FALSE)</f>
        <v>45.17</v>
      </c>
      <c r="AA562" s="8">
        <f>RawSalesTable6[[#This Row],[Unit_Price]]*RawSalesTable6[[#This Row],[Quantity]]</f>
        <v>243.42000000000002</v>
      </c>
      <c r="AB562" s="8">
        <f>RawSalesTable6[[#This Row],[Gross_Sales]]*RawSalesTable6[[#This Row],[Discount_Pct]]</f>
        <v>0</v>
      </c>
      <c r="AC562" s="8">
        <f>RawSalesTable6[[#This Row],[Gross_Sales]]-RawSalesTable6[[#This Row],[Discount_Amount]]</f>
        <v>243.42000000000002</v>
      </c>
      <c r="AD562" s="8">
        <f>RawSalesTable6[[#This Row],[Unit_Cost]]*RawSalesTable6[[#This Row],[Quantity]]</f>
        <v>135.51</v>
      </c>
      <c r="AE562" s="8">
        <f>RawSalesTable6[[#This Row],[Net_Sales]]-RawSalesTable6[[#This Row],[Total_Cost]]</f>
        <v>107.91000000000003</v>
      </c>
      <c r="AF562" s="9">
        <f>RawSalesTable6[[#This Row],[Profit]]/RawSalesTable6[[#This Row],[Net_Sales]]</f>
        <v>0.44330786295292096</v>
      </c>
      <c r="AG562" s="8">
        <f>YEAR(RawSalesTable6[[#This Row],[Order_Date]])</f>
        <v>2025</v>
      </c>
      <c r="AH562" s="8">
        <f>MONTH(RawSalesTable6[[#This Row],[Order_Date]])</f>
        <v>12</v>
      </c>
      <c r="AI562" s="8" t="str">
        <f>TEXT(RawSalesTable6[[#This Row],[Order_Date]],"mmmm")</f>
        <v>décembre</v>
      </c>
      <c r="AJ562" s="8" t="str">
        <f>IF(RawSalesTable6[[#This Row],[Month_Number]]&lt;=3,"Q1",IF(RawSalesTable6[[#This Row],[Month_Number]]&lt;=6,"Q2",IF(RawSalesTable6[[#This Row],[Month_Number]]&lt;=9,"Q3","Q4")))</f>
        <v>Q4</v>
      </c>
      <c r="AK562" s="8" t="str">
        <f>VLOOKUP(RawSalesTable6[[#This Row],[Customer_ID_Clean]],CustomersTable[],4,FALSE)</f>
        <v>Ontario</v>
      </c>
      <c r="AL562" s="8">
        <f>IF(RawSalesTable6[[#This Row],[Return_Status]]="Yes",1,0)</f>
        <v>0</v>
      </c>
    </row>
    <row r="563" spans="1:38">
      <c r="A563" t="s">
        <v>1000</v>
      </c>
      <c r="B563" s="3">
        <v>45697</v>
      </c>
      <c r="C563" t="s">
        <v>695</v>
      </c>
      <c r="D563" t="s">
        <v>181</v>
      </c>
      <c r="E563" t="s">
        <v>696</v>
      </c>
      <c r="F563" t="s">
        <v>87</v>
      </c>
      <c r="G563" t="s">
        <v>183</v>
      </c>
      <c r="H563" t="s">
        <v>89</v>
      </c>
      <c r="I563">
        <v>2</v>
      </c>
      <c r="J563" s="2">
        <v>367.23</v>
      </c>
      <c r="K563" s="4">
        <v>0.05</v>
      </c>
      <c r="L563" t="s">
        <v>90</v>
      </c>
      <c r="M563">
        <v>6</v>
      </c>
      <c r="N563" t="s">
        <v>91</v>
      </c>
      <c r="O563" t="str">
        <f>SUBSTITUTE(PROPER(TRIM(RawSalesTable6[[#This Row],[Channel_Raw]])),"Market Place","Marketplace")</f>
        <v>Online</v>
      </c>
      <c r="P563" t="str">
        <f>TRIM(RawSalesTable6[[#This Row],[Product_ID]])</f>
        <v>P1007</v>
      </c>
      <c r="Q563" t="str">
        <f>TRIM(RawSalesTable6[[#This Row],[Customer_ID]])</f>
        <v>C0019</v>
      </c>
      <c r="R563" s="8" t="str">
        <f>PROPER(TRIM(RawSalesTable6[[#This Row],[Store_Raw]]))</f>
        <v>Online Fulfillment</v>
      </c>
      <c r="S563" s="8" t="str">
        <f>IF(TRIM(RawSalesTable6[[#This Row],[Payment_Method_Raw]])="","Non renseigné",SUBSTITUTE(PROPER(TRIM(RawSalesTable6[[#This Row],[Payment_Method_Raw]])),"Cc","Credit Card"))</f>
        <v>Paypal</v>
      </c>
      <c r="T563" s="8">
        <f>COUNTIF(A:A,RawSalesTable6[[#This Row],[Order_ID]])</f>
        <v>1</v>
      </c>
      <c r="U563" s="8" t="str">
        <f>TRIM(LEFT(RawSalesTable6[[#This Row],[Customer_Info]],FIND(",",RawSalesTable6[[#This Row],[Customer_Info]])-1))</f>
        <v>Lucas Taylor</v>
      </c>
      <c r="V563" s="8" t="str">
        <f>TRIM(MID(RawSalesTable6[[#This Row],[Customer_Info]],FIND(",",RawSalesTable6[[#This Row],[Customer_Info]])+1,FIND(",",RawSalesTable6[[#This Row],[Customer_Info]],FIND(",",RawSalesTable6[[#This Row],[Customer_Info]])+1)-FIND(",",RawSalesTable6[[#This Row],[Customer_Info]])-1))</f>
        <v>Montreal</v>
      </c>
      <c r="W563" s="8" t="str">
        <f>TRIM(RIGHT(RawSalesTable6[[#This Row],[Customer_Info]],LEN(RawSalesTable6[[#This Row],[Customer_Info]])-FIND(",",RawSalesTable6[[#This Row],[Customer_Info]],FIND(",",RawSalesTable6[[#This Row],[Customer_Info]])+1)))</f>
        <v>Small Business</v>
      </c>
      <c r="X563" s="8" t="str">
        <f>VLOOKUP(RawSalesTable6[[#This Row],[Product_ID_Clean]],ProductsTable[],2,FALSE)</f>
        <v>Monitor</v>
      </c>
      <c r="Y563" s="8" t="str">
        <f>VLOOKUP(RawSalesTable6[[#This Row],[Product_ID_Clean]],ProductsTable[],3,FALSE)</f>
        <v>Electronics</v>
      </c>
      <c r="Z563" s="8">
        <f>VLOOKUP(RawSalesTable6[[#This Row],[Product_ID_Clean]],ProductsTable[],5,FALSE)</f>
        <v>224.47</v>
      </c>
      <c r="AA563" s="8">
        <f>RawSalesTable6[[#This Row],[Unit_Price]]*RawSalesTable6[[#This Row],[Quantity]]</f>
        <v>734.46</v>
      </c>
      <c r="AB563" s="8">
        <f>RawSalesTable6[[#This Row],[Gross_Sales]]*RawSalesTable6[[#This Row],[Discount_Pct]]</f>
        <v>36.723000000000006</v>
      </c>
      <c r="AC563" s="8">
        <f>RawSalesTable6[[#This Row],[Gross_Sales]]-RawSalesTable6[[#This Row],[Discount_Amount]]</f>
        <v>697.73700000000008</v>
      </c>
      <c r="AD563" s="8">
        <f>RawSalesTable6[[#This Row],[Unit_Cost]]*RawSalesTable6[[#This Row],[Quantity]]</f>
        <v>448.94</v>
      </c>
      <c r="AE563" s="8">
        <f>RawSalesTable6[[#This Row],[Net_Sales]]-RawSalesTable6[[#This Row],[Total_Cost]]</f>
        <v>248.79700000000008</v>
      </c>
      <c r="AF563" s="9">
        <f>RawSalesTable6[[#This Row],[Profit]]/RawSalesTable6[[#This Row],[Net_Sales]]</f>
        <v>0.35657704837209442</v>
      </c>
      <c r="AG563" s="8">
        <f>YEAR(RawSalesTable6[[#This Row],[Order_Date]])</f>
        <v>2025</v>
      </c>
      <c r="AH563" s="8">
        <f>MONTH(RawSalesTable6[[#This Row],[Order_Date]])</f>
        <v>2</v>
      </c>
      <c r="AI563" s="8" t="str">
        <f>TEXT(RawSalesTable6[[#This Row],[Order_Date]],"mmmm")</f>
        <v>février</v>
      </c>
      <c r="AJ563" s="8" t="str">
        <f>IF(RawSalesTable6[[#This Row],[Month_Number]]&lt;=3,"Q1",IF(RawSalesTable6[[#This Row],[Month_Number]]&lt;=6,"Q2",IF(RawSalesTable6[[#This Row],[Month_Number]]&lt;=9,"Q3","Q4")))</f>
        <v>Q1</v>
      </c>
      <c r="AK563" s="8" t="str">
        <f>VLOOKUP(RawSalesTable6[[#This Row],[Customer_ID_Clean]],CustomersTable[],4,FALSE)</f>
        <v>Quebec</v>
      </c>
      <c r="AL563" s="8">
        <f>IF(RawSalesTable6[[#This Row],[Return_Status]]="Yes",1,0)</f>
        <v>0</v>
      </c>
    </row>
    <row r="564" spans="1:38">
      <c r="A564" t="s">
        <v>1001</v>
      </c>
      <c r="B564" s="3">
        <v>46000</v>
      </c>
      <c r="C564" t="s">
        <v>670</v>
      </c>
      <c r="D564" t="s">
        <v>469</v>
      </c>
      <c r="E564" t="s">
        <v>671</v>
      </c>
      <c r="F564" t="s">
        <v>116</v>
      </c>
      <c r="G564" t="s">
        <v>96</v>
      </c>
      <c r="H564" t="s">
        <v>89</v>
      </c>
      <c r="I564">
        <v>1</v>
      </c>
      <c r="J564" s="2">
        <v>80.66</v>
      </c>
      <c r="K564" s="4">
        <v>0.1</v>
      </c>
      <c r="L564" t="s">
        <v>106</v>
      </c>
      <c r="M564">
        <v>1</v>
      </c>
      <c r="N564" t="s">
        <v>91</v>
      </c>
      <c r="O564" t="str">
        <f>SUBSTITUTE(PROPER(TRIM(RawSalesTable6[[#This Row],[Channel_Raw]])),"Market Place","Marketplace")</f>
        <v>Online</v>
      </c>
      <c r="P564" t="str">
        <f>TRIM(RawSalesTable6[[#This Row],[Product_ID]])</f>
        <v>P1035</v>
      </c>
      <c r="Q564" t="str">
        <f>TRIM(RawSalesTable6[[#This Row],[Customer_ID]])</f>
        <v>C0107</v>
      </c>
      <c r="R564" s="8" t="str">
        <f>PROPER(TRIM(RawSalesTable6[[#This Row],[Store_Raw]]))</f>
        <v>Toronto Downtown</v>
      </c>
      <c r="S564" s="8" t="str">
        <f>IF(TRIM(RawSalesTable6[[#This Row],[Payment_Method_Raw]])="","Non renseigné",SUBSTITUTE(PROPER(TRIM(RawSalesTable6[[#This Row],[Payment_Method_Raw]])),"Cc","Credit Card"))</f>
        <v>Credit Card</v>
      </c>
      <c r="T564" s="8">
        <f>COUNTIF(A:A,RawSalesTable6[[#This Row],[Order_ID]])</f>
        <v>1</v>
      </c>
      <c r="U564" s="8" t="str">
        <f>TRIM(LEFT(RawSalesTable6[[#This Row],[Customer_Info]],FIND(",",RawSalesTable6[[#This Row],[Customer_Info]])-1))</f>
        <v>Ava Lee</v>
      </c>
      <c r="V564" s="8" t="str">
        <f>TRIM(MID(RawSalesTable6[[#This Row],[Customer_Info]],FIND(",",RawSalesTable6[[#This Row],[Customer_Info]])+1,FIND(",",RawSalesTable6[[#This Row],[Customer_Info]],FIND(",",RawSalesTable6[[#This Row],[Customer_Info]])+1)-FIND(",",RawSalesTable6[[#This Row],[Customer_Info]])-1))</f>
        <v>Calgary</v>
      </c>
      <c r="W564" s="8" t="str">
        <f>TRIM(RIGHT(RawSalesTable6[[#This Row],[Customer_Info]],LEN(RawSalesTable6[[#This Row],[Customer_Info]])-FIND(",",RawSalesTable6[[#This Row],[Customer_Info]],FIND(",",RawSalesTable6[[#This Row],[Customer_Info]])+1)))</f>
        <v>Small Business</v>
      </c>
      <c r="X564" s="8" t="str">
        <f>VLOOKUP(RawSalesTable6[[#This Row],[Product_ID_Clean]],ProductsTable[],2,FALSE)</f>
        <v>Phone Stand</v>
      </c>
      <c r="Y564" s="8" t="str">
        <f>VLOOKUP(RawSalesTable6[[#This Row],[Product_ID_Clean]],ProductsTable[],3,FALSE)</f>
        <v>Accessories</v>
      </c>
      <c r="Z564" s="8">
        <f>VLOOKUP(RawSalesTable6[[#This Row],[Product_ID_Clean]],ProductsTable[],5,FALSE)</f>
        <v>59.85</v>
      </c>
      <c r="AA564" s="8">
        <f>RawSalesTable6[[#This Row],[Unit_Price]]*RawSalesTable6[[#This Row],[Quantity]]</f>
        <v>80.66</v>
      </c>
      <c r="AB564" s="8">
        <f>RawSalesTable6[[#This Row],[Gross_Sales]]*RawSalesTable6[[#This Row],[Discount_Pct]]</f>
        <v>8.0660000000000007</v>
      </c>
      <c r="AC564" s="8">
        <f>RawSalesTable6[[#This Row],[Gross_Sales]]-RawSalesTable6[[#This Row],[Discount_Amount]]</f>
        <v>72.593999999999994</v>
      </c>
      <c r="AD564" s="8">
        <f>RawSalesTable6[[#This Row],[Unit_Cost]]*RawSalesTable6[[#This Row],[Quantity]]</f>
        <v>59.85</v>
      </c>
      <c r="AE564" s="8">
        <f>RawSalesTable6[[#This Row],[Net_Sales]]-RawSalesTable6[[#This Row],[Total_Cost]]</f>
        <v>12.743999999999993</v>
      </c>
      <c r="AF564" s="9">
        <f>RawSalesTable6[[#This Row],[Profit]]/RawSalesTable6[[#This Row],[Net_Sales]]</f>
        <v>0.17555169848747823</v>
      </c>
      <c r="AG564" s="8">
        <f>YEAR(RawSalesTable6[[#This Row],[Order_Date]])</f>
        <v>2025</v>
      </c>
      <c r="AH564" s="8">
        <f>MONTH(RawSalesTable6[[#This Row],[Order_Date]])</f>
        <v>12</v>
      </c>
      <c r="AI564" s="8" t="str">
        <f>TEXT(RawSalesTable6[[#This Row],[Order_Date]],"mmmm")</f>
        <v>décembre</v>
      </c>
      <c r="AJ564" s="8" t="str">
        <f>IF(RawSalesTable6[[#This Row],[Month_Number]]&lt;=3,"Q1",IF(RawSalesTable6[[#This Row],[Month_Number]]&lt;=6,"Q2",IF(RawSalesTable6[[#This Row],[Month_Number]]&lt;=9,"Q3","Q4")))</f>
        <v>Q4</v>
      </c>
      <c r="AK564" s="8" t="str">
        <f>VLOOKUP(RawSalesTable6[[#This Row],[Customer_ID_Clean]],CustomersTable[],4,FALSE)</f>
        <v>Alberta</v>
      </c>
      <c r="AL564" s="8">
        <f>IF(RawSalesTable6[[#This Row],[Return_Status]]="Yes",1,0)</f>
        <v>0</v>
      </c>
    </row>
    <row r="565" spans="1:38">
      <c r="A565" t="s">
        <v>1002</v>
      </c>
      <c r="B565" s="3">
        <v>45858</v>
      </c>
      <c r="C565" t="s">
        <v>406</v>
      </c>
      <c r="D565" t="s">
        <v>85</v>
      </c>
      <c r="E565" t="s">
        <v>407</v>
      </c>
      <c r="F565" t="s">
        <v>111</v>
      </c>
      <c r="G565" t="s">
        <v>96</v>
      </c>
      <c r="H565" t="s">
        <v>89</v>
      </c>
      <c r="I565">
        <v>1</v>
      </c>
      <c r="J565" s="2">
        <v>301.2</v>
      </c>
      <c r="K565" s="4">
        <v>0</v>
      </c>
      <c r="L565" t="s">
        <v>90</v>
      </c>
      <c r="M565">
        <v>1</v>
      </c>
      <c r="N565" t="s">
        <v>91</v>
      </c>
      <c r="O565" t="str">
        <f>SUBSTITUTE(PROPER(TRIM(RawSalesTable6[[#This Row],[Channel_Raw]])),"Market Place","Marketplace")</f>
        <v>Online</v>
      </c>
      <c r="P565" t="str">
        <f>TRIM(RawSalesTable6[[#This Row],[Product_ID]])</f>
        <v>P1025</v>
      </c>
      <c r="Q565" t="str">
        <f>TRIM(RawSalesTable6[[#This Row],[Customer_ID]])</f>
        <v>C0038</v>
      </c>
      <c r="R565" s="8" t="str">
        <f>PROPER(TRIM(RawSalesTable6[[#This Row],[Store_Raw]]))</f>
        <v>Montreal Central</v>
      </c>
      <c r="S565" s="8" t="str">
        <f>IF(TRIM(RawSalesTable6[[#This Row],[Payment_Method_Raw]])="","Non renseigné",SUBSTITUTE(PROPER(TRIM(RawSalesTable6[[#This Row],[Payment_Method_Raw]])),"Cc","Credit Card"))</f>
        <v>Paypal</v>
      </c>
      <c r="T565" s="8">
        <f>COUNTIF(A:A,RawSalesTable6[[#This Row],[Order_ID]])</f>
        <v>1</v>
      </c>
      <c r="U565" s="8" t="str">
        <f>TRIM(LEFT(RawSalesTable6[[#This Row],[Customer_Info]],FIND(",",RawSalesTable6[[#This Row],[Customer_Info]])-1))</f>
        <v>Noah Brown</v>
      </c>
      <c r="V565" s="8" t="str">
        <f>TRIM(MID(RawSalesTable6[[#This Row],[Customer_Info]],FIND(",",RawSalesTable6[[#This Row],[Customer_Info]])+1,FIND(",",RawSalesTable6[[#This Row],[Customer_Info]],FIND(",",RawSalesTable6[[#This Row],[Customer_Info]])+1)-FIND(",",RawSalesTable6[[#This Row],[Customer_Info]])-1))</f>
        <v>Montreal</v>
      </c>
      <c r="W565" s="8" t="str">
        <f>TRIM(RIGHT(RawSalesTable6[[#This Row],[Customer_Info]],LEN(RawSalesTable6[[#This Row],[Customer_Info]])-FIND(",",RawSalesTable6[[#This Row],[Customer_Info]],FIND(",",RawSalesTable6[[#This Row],[Customer_Info]])+1)))</f>
        <v>Consumer</v>
      </c>
      <c r="X565" s="8" t="str">
        <f>VLOOKUP(RawSalesTable6[[#This Row],[Product_ID_Clean]],ProductsTable[],2,FALSE)</f>
        <v>Yoga Mat</v>
      </c>
      <c r="Y565" s="8" t="str">
        <f>VLOOKUP(RawSalesTable6[[#This Row],[Product_ID_Clean]],ProductsTable[],3,FALSE)</f>
        <v>Fitness</v>
      </c>
      <c r="Z565" s="8">
        <f>VLOOKUP(RawSalesTable6[[#This Row],[Product_ID_Clean]],ProductsTable[],5,FALSE)</f>
        <v>197.33</v>
      </c>
      <c r="AA565" s="8">
        <f>RawSalesTable6[[#This Row],[Unit_Price]]*RawSalesTable6[[#This Row],[Quantity]]</f>
        <v>301.2</v>
      </c>
      <c r="AB565" s="8">
        <f>RawSalesTable6[[#This Row],[Gross_Sales]]*RawSalesTable6[[#This Row],[Discount_Pct]]</f>
        <v>0</v>
      </c>
      <c r="AC565" s="8">
        <f>RawSalesTable6[[#This Row],[Gross_Sales]]-RawSalesTable6[[#This Row],[Discount_Amount]]</f>
        <v>301.2</v>
      </c>
      <c r="AD565" s="8">
        <f>RawSalesTable6[[#This Row],[Unit_Cost]]*RawSalesTable6[[#This Row],[Quantity]]</f>
        <v>197.33</v>
      </c>
      <c r="AE565" s="8">
        <f>RawSalesTable6[[#This Row],[Net_Sales]]-RawSalesTable6[[#This Row],[Total_Cost]]</f>
        <v>103.86999999999998</v>
      </c>
      <c r="AF565" s="9">
        <f>RawSalesTable6[[#This Row],[Profit]]/RawSalesTable6[[#This Row],[Net_Sales]]</f>
        <v>0.34485391766268253</v>
      </c>
      <c r="AG565" s="8">
        <f>YEAR(RawSalesTable6[[#This Row],[Order_Date]])</f>
        <v>2025</v>
      </c>
      <c r="AH565" s="8">
        <f>MONTH(RawSalesTable6[[#This Row],[Order_Date]])</f>
        <v>7</v>
      </c>
      <c r="AI565" s="8" t="str">
        <f>TEXT(RawSalesTable6[[#This Row],[Order_Date]],"mmmm")</f>
        <v>juillet</v>
      </c>
      <c r="AJ565" s="8" t="str">
        <f>IF(RawSalesTable6[[#This Row],[Month_Number]]&lt;=3,"Q1",IF(RawSalesTable6[[#This Row],[Month_Number]]&lt;=6,"Q2",IF(RawSalesTable6[[#This Row],[Month_Number]]&lt;=9,"Q3","Q4")))</f>
        <v>Q3</v>
      </c>
      <c r="AK565" s="8" t="str">
        <f>VLOOKUP(RawSalesTable6[[#This Row],[Customer_ID_Clean]],CustomersTable[],4,FALSE)</f>
        <v>Quebec</v>
      </c>
      <c r="AL565" s="8">
        <f>IF(RawSalesTable6[[#This Row],[Return_Status]]="Yes",1,0)</f>
        <v>0</v>
      </c>
    </row>
    <row r="566" spans="1:38">
      <c r="A566" t="s">
        <v>1003</v>
      </c>
      <c r="B566" s="3">
        <v>45722</v>
      </c>
      <c r="C566" t="s">
        <v>427</v>
      </c>
      <c r="D566" t="s">
        <v>231</v>
      </c>
      <c r="E566" t="s">
        <v>428</v>
      </c>
      <c r="F566" t="s">
        <v>849</v>
      </c>
      <c r="G566" t="s">
        <v>130</v>
      </c>
      <c r="H566" t="s">
        <v>89</v>
      </c>
      <c r="I566">
        <v>1</v>
      </c>
      <c r="J566" s="2">
        <v>348.97</v>
      </c>
      <c r="K566" s="4">
        <v>0</v>
      </c>
      <c r="L566" t="s">
        <v>106</v>
      </c>
      <c r="M566">
        <v>5</v>
      </c>
      <c r="N566" t="s">
        <v>91</v>
      </c>
      <c r="O566" t="str">
        <f>SUBSTITUTE(PROPER(TRIM(RawSalesTable6[[#This Row],[Channel_Raw]])),"Market Place","Marketplace")</f>
        <v>Online</v>
      </c>
      <c r="P566" t="str">
        <f>TRIM(RawSalesTable6[[#This Row],[Product_ID]])</f>
        <v>P1037</v>
      </c>
      <c r="Q566" t="str">
        <f>TRIM(RawSalesTable6[[#This Row],[Customer_ID]])</f>
        <v>C0062</v>
      </c>
      <c r="R566" s="8" t="str">
        <f>PROPER(TRIM(RawSalesTable6[[#This Row],[Store_Raw]]))</f>
        <v>Calgary North</v>
      </c>
      <c r="S566" s="8" t="str">
        <f>IF(TRIM(RawSalesTable6[[#This Row],[Payment_Method_Raw]])="","Non renseigné",SUBSTITUTE(PROPER(TRIM(RawSalesTable6[[#This Row],[Payment_Method_Raw]])),"Cc","Credit Card"))</f>
        <v>Credit Card</v>
      </c>
      <c r="T566" s="8">
        <f>COUNTIF(A:A,RawSalesTable6[[#This Row],[Order_ID]])</f>
        <v>1</v>
      </c>
      <c r="U566" s="8" t="str">
        <f>TRIM(LEFT(RawSalesTable6[[#This Row],[Customer_Info]],FIND(",",RawSalesTable6[[#This Row],[Customer_Info]])-1))</f>
        <v>Yasmine Scott</v>
      </c>
      <c r="V566" s="8" t="str">
        <f>TRIM(MID(RawSalesTable6[[#This Row],[Customer_Info]],FIND(",",RawSalesTable6[[#This Row],[Customer_Info]])+1,FIND(",",RawSalesTable6[[#This Row],[Customer_Info]],FIND(",",RawSalesTable6[[#This Row],[Customer_Info]])+1)-FIND(",",RawSalesTable6[[#This Row],[Customer_Info]])-1))</f>
        <v>Toronto</v>
      </c>
      <c r="W566" s="8" t="str">
        <f>TRIM(RIGHT(RawSalesTable6[[#This Row],[Customer_Info]],LEN(RawSalesTable6[[#This Row],[Customer_Info]])-FIND(",",RawSalesTable6[[#This Row],[Customer_Info]],FIND(",",RawSalesTable6[[#This Row],[Customer_Info]])+1)))</f>
        <v>Consumer</v>
      </c>
      <c r="X566" s="8" t="str">
        <f>VLOOKUP(RawSalesTable6[[#This Row],[Product_ID_Clean]],ProductsTable[],2,FALSE)</f>
        <v>Cable Set</v>
      </c>
      <c r="Y566" s="8" t="str">
        <f>VLOOKUP(RawSalesTable6[[#This Row],[Product_ID_Clean]],ProductsTable[],3,FALSE)</f>
        <v>Accessories</v>
      </c>
      <c r="Z566" s="8">
        <f>VLOOKUP(RawSalesTable6[[#This Row],[Product_ID_Clean]],ProductsTable[],5,FALSE)</f>
        <v>200.16</v>
      </c>
      <c r="AA566" s="8">
        <f>RawSalesTable6[[#This Row],[Unit_Price]]*RawSalesTable6[[#This Row],[Quantity]]</f>
        <v>348.97</v>
      </c>
      <c r="AB566" s="8">
        <f>RawSalesTable6[[#This Row],[Gross_Sales]]*RawSalesTable6[[#This Row],[Discount_Pct]]</f>
        <v>0</v>
      </c>
      <c r="AC566" s="8">
        <f>RawSalesTable6[[#This Row],[Gross_Sales]]-RawSalesTable6[[#This Row],[Discount_Amount]]</f>
        <v>348.97</v>
      </c>
      <c r="AD566" s="8">
        <f>RawSalesTable6[[#This Row],[Unit_Cost]]*RawSalesTable6[[#This Row],[Quantity]]</f>
        <v>200.16</v>
      </c>
      <c r="AE566" s="8">
        <f>RawSalesTable6[[#This Row],[Net_Sales]]-RawSalesTable6[[#This Row],[Total_Cost]]</f>
        <v>148.81000000000003</v>
      </c>
      <c r="AF566" s="9">
        <f>RawSalesTable6[[#This Row],[Profit]]/RawSalesTable6[[#This Row],[Net_Sales]]</f>
        <v>0.42642634037309801</v>
      </c>
      <c r="AG566" s="8">
        <f>YEAR(RawSalesTable6[[#This Row],[Order_Date]])</f>
        <v>2025</v>
      </c>
      <c r="AH566" s="8">
        <f>MONTH(RawSalesTable6[[#This Row],[Order_Date]])</f>
        <v>3</v>
      </c>
      <c r="AI566" s="8" t="str">
        <f>TEXT(RawSalesTable6[[#This Row],[Order_Date]],"mmmm")</f>
        <v>mars</v>
      </c>
      <c r="AJ566" s="8" t="str">
        <f>IF(RawSalesTable6[[#This Row],[Month_Number]]&lt;=3,"Q1",IF(RawSalesTable6[[#This Row],[Month_Number]]&lt;=6,"Q2",IF(RawSalesTable6[[#This Row],[Month_Number]]&lt;=9,"Q3","Q4")))</f>
        <v>Q1</v>
      </c>
      <c r="AK566" s="8" t="str">
        <f>VLOOKUP(RawSalesTable6[[#This Row],[Customer_ID_Clean]],CustomersTable[],4,FALSE)</f>
        <v>Ontario</v>
      </c>
      <c r="AL566" s="8">
        <f>IF(RawSalesTable6[[#This Row],[Return_Status]]="Yes",1,0)</f>
        <v>0</v>
      </c>
    </row>
    <row r="567" spans="1:38">
      <c r="A567" t="s">
        <v>1004</v>
      </c>
      <c r="B567" s="3">
        <v>46009</v>
      </c>
      <c r="C567" t="s">
        <v>500</v>
      </c>
      <c r="D567" t="s">
        <v>149</v>
      </c>
      <c r="E567" t="s">
        <v>501</v>
      </c>
      <c r="F567" t="s">
        <v>103</v>
      </c>
      <c r="G567" t="s">
        <v>104</v>
      </c>
      <c r="H567" t="s">
        <v>105</v>
      </c>
      <c r="I567">
        <v>1</v>
      </c>
      <c r="J567" s="2">
        <v>83.93</v>
      </c>
      <c r="K567" s="4">
        <v>0.15</v>
      </c>
      <c r="L567" t="s">
        <v>441</v>
      </c>
      <c r="M567">
        <v>1</v>
      </c>
      <c r="N567" t="s">
        <v>91</v>
      </c>
      <c r="O567" t="str">
        <f>SUBSTITUTE(PROPER(TRIM(RawSalesTable6[[#This Row],[Channel_Raw]])),"Market Place","Marketplace")</f>
        <v>Marketplace</v>
      </c>
      <c r="P567" t="str">
        <f>TRIM(RawSalesTable6[[#This Row],[Product_ID]])</f>
        <v>P1011</v>
      </c>
      <c r="Q567" t="str">
        <f>TRIM(RawSalesTable6[[#This Row],[Customer_ID]])</f>
        <v>C0059</v>
      </c>
      <c r="R567" s="8" t="str">
        <f>PROPER(TRIM(RawSalesTable6[[#This Row],[Store_Raw]]))</f>
        <v>Vancouver West</v>
      </c>
      <c r="S567" s="8" t="str">
        <f>IF(TRIM(RawSalesTable6[[#This Row],[Payment_Method_Raw]])="","Non renseigné",SUBSTITUTE(PROPER(TRIM(RawSalesTable6[[#This Row],[Payment_Method_Raw]])),"Cc","Credit Card"))</f>
        <v>Credit Card</v>
      </c>
      <c r="T567" s="8">
        <f>COUNTIF(A:A,RawSalesTable6[[#This Row],[Order_ID]])</f>
        <v>1</v>
      </c>
      <c r="U567" s="8" t="str">
        <f>TRIM(LEFT(RawSalesTable6[[#This Row],[Customer_Info]],FIND(",",RawSalesTable6[[#This Row],[Customer_Info]])-1))</f>
        <v>Lucas Chen</v>
      </c>
      <c r="V567" s="8" t="str">
        <f>TRIM(MID(RawSalesTable6[[#This Row],[Customer_Info]],FIND(",",RawSalesTable6[[#This Row],[Customer_Info]])+1,FIND(",",RawSalesTable6[[#This Row],[Customer_Info]],FIND(",",RawSalesTable6[[#This Row],[Customer_Info]])+1)-FIND(",",RawSalesTable6[[#This Row],[Customer_Info]])-1))</f>
        <v>Vancouver</v>
      </c>
      <c r="W567" s="8" t="str">
        <f>TRIM(RIGHT(RawSalesTable6[[#This Row],[Customer_Info]],LEN(RawSalesTable6[[#This Row],[Customer_Info]])-FIND(",",RawSalesTable6[[#This Row],[Customer_Info]],FIND(",",RawSalesTable6[[#This Row],[Customer_Info]])+1)))</f>
        <v>Corporate</v>
      </c>
      <c r="X567" s="8" t="str">
        <f>VLOOKUP(RawSalesTable6[[#This Row],[Product_ID_Clean]],ProductsTable[],2,FALSE)</f>
        <v>Office Chair</v>
      </c>
      <c r="Y567" s="8" t="str">
        <f>VLOOKUP(RawSalesTable6[[#This Row],[Product_ID_Clean]],ProductsTable[],3,FALSE)</f>
        <v>Office</v>
      </c>
      <c r="Z567" s="8">
        <f>VLOOKUP(RawSalesTable6[[#This Row],[Product_ID_Clean]],ProductsTable[],5,FALSE)</f>
        <v>39.26</v>
      </c>
      <c r="AA567" s="8">
        <f>RawSalesTable6[[#This Row],[Unit_Price]]*RawSalesTable6[[#This Row],[Quantity]]</f>
        <v>83.93</v>
      </c>
      <c r="AB567" s="8">
        <f>RawSalesTable6[[#This Row],[Gross_Sales]]*RawSalesTable6[[#This Row],[Discount_Pct]]</f>
        <v>12.589500000000001</v>
      </c>
      <c r="AC567" s="8">
        <f>RawSalesTable6[[#This Row],[Gross_Sales]]-RawSalesTable6[[#This Row],[Discount_Amount]]</f>
        <v>71.340500000000006</v>
      </c>
      <c r="AD567" s="8">
        <f>RawSalesTable6[[#This Row],[Unit_Cost]]*RawSalesTable6[[#This Row],[Quantity]]</f>
        <v>39.26</v>
      </c>
      <c r="AE567" s="8">
        <f>RawSalesTable6[[#This Row],[Net_Sales]]-RawSalesTable6[[#This Row],[Total_Cost]]</f>
        <v>32.080500000000008</v>
      </c>
      <c r="AF567" s="9">
        <f>RawSalesTable6[[#This Row],[Profit]]/RawSalesTable6[[#This Row],[Net_Sales]]</f>
        <v>0.449681457236773</v>
      </c>
      <c r="AG567" s="8">
        <f>YEAR(RawSalesTable6[[#This Row],[Order_Date]])</f>
        <v>2025</v>
      </c>
      <c r="AH567" s="8">
        <f>MONTH(RawSalesTable6[[#This Row],[Order_Date]])</f>
        <v>12</v>
      </c>
      <c r="AI567" s="8" t="str">
        <f>TEXT(RawSalesTable6[[#This Row],[Order_Date]],"mmmm")</f>
        <v>décembre</v>
      </c>
      <c r="AJ567" s="8" t="str">
        <f>IF(RawSalesTable6[[#This Row],[Month_Number]]&lt;=3,"Q1",IF(RawSalesTable6[[#This Row],[Month_Number]]&lt;=6,"Q2",IF(RawSalesTable6[[#This Row],[Month_Number]]&lt;=9,"Q3","Q4")))</f>
        <v>Q4</v>
      </c>
      <c r="AK567" s="8" t="str">
        <f>VLOOKUP(RawSalesTable6[[#This Row],[Customer_ID_Clean]],CustomersTable[],4,FALSE)</f>
        <v>British Columbia</v>
      </c>
      <c r="AL567" s="8">
        <f>IF(RawSalesTable6[[#This Row],[Return_Status]]="Yes",1,0)</f>
        <v>0</v>
      </c>
    </row>
    <row r="568" spans="1:38">
      <c r="A568" t="s">
        <v>1005</v>
      </c>
      <c r="B568" s="3">
        <v>45801</v>
      </c>
      <c r="C568" t="s">
        <v>402</v>
      </c>
      <c r="D568" t="s">
        <v>520</v>
      </c>
      <c r="E568" t="s">
        <v>1006</v>
      </c>
      <c r="F568" t="s">
        <v>116</v>
      </c>
      <c r="G568" t="s">
        <v>88</v>
      </c>
      <c r="H568" t="s">
        <v>89</v>
      </c>
      <c r="I568">
        <v>2</v>
      </c>
      <c r="J568" s="2">
        <v>384</v>
      </c>
      <c r="K568" s="4">
        <v>0</v>
      </c>
      <c r="L568" t="s">
        <v>98</v>
      </c>
      <c r="M568">
        <v>4</v>
      </c>
      <c r="N568" t="s">
        <v>91</v>
      </c>
      <c r="O568" t="str">
        <f>SUBSTITUTE(PROPER(TRIM(RawSalesTable6[[#This Row],[Channel_Raw]])),"Market Place","Marketplace")</f>
        <v>Online</v>
      </c>
      <c r="P568" t="str">
        <f>TRIM(RawSalesTable6[[#This Row],[Product_ID]])</f>
        <v>P1017</v>
      </c>
      <c r="Q568" t="str">
        <f>TRIM(RawSalesTable6[[#This Row],[Customer_ID]])</f>
        <v>C0010</v>
      </c>
      <c r="R568" s="8" t="str">
        <f>PROPER(TRIM(RawSalesTable6[[#This Row],[Store_Raw]]))</f>
        <v>Toronto Downtown</v>
      </c>
      <c r="S568" s="8" t="str">
        <f>IF(TRIM(RawSalesTable6[[#This Row],[Payment_Method_Raw]])="","Non renseigné",SUBSTITUTE(PROPER(TRIM(RawSalesTable6[[#This Row],[Payment_Method_Raw]])),"Cc","Credit Card"))</f>
        <v>Debit Card</v>
      </c>
      <c r="T568" s="8">
        <f>COUNTIF(A:A,RawSalesTable6[[#This Row],[Order_ID]])</f>
        <v>1</v>
      </c>
      <c r="U568" s="8" t="str">
        <f>TRIM(LEFT(RawSalesTable6[[#This Row],[Customer_Info]],FIND(",",RawSalesTable6[[#This Row],[Customer_Info]])-1))</f>
        <v>Ethan Martin</v>
      </c>
      <c r="V568" s="8" t="str">
        <f>TRIM(MID(RawSalesTable6[[#This Row],[Customer_Info]],FIND(",",RawSalesTable6[[#This Row],[Customer_Info]])+1,FIND(",",RawSalesTable6[[#This Row],[Customer_Info]],FIND(",",RawSalesTable6[[#This Row],[Customer_Info]])+1)-FIND(",",RawSalesTable6[[#This Row],[Customer_Info]])-1))</f>
        <v>Victoria</v>
      </c>
      <c r="W568" s="8" t="str">
        <f>TRIM(RIGHT(RawSalesTable6[[#This Row],[Customer_Info]],LEN(RawSalesTable6[[#This Row],[Customer_Info]])-FIND(",",RawSalesTable6[[#This Row],[Customer_Info]],FIND(",",RawSalesTable6[[#This Row],[Customer_Info]])+1)))</f>
        <v>Corporate</v>
      </c>
      <c r="X568" s="8" t="str">
        <f>VLOOKUP(RawSalesTable6[[#This Row],[Product_ID_Clean]],ProductsTable[],2,FALSE)</f>
        <v>Coffee Maker</v>
      </c>
      <c r="Y568" s="8" t="str">
        <f>VLOOKUP(RawSalesTable6[[#This Row],[Product_ID_Clean]],ProductsTable[],3,FALSE)</f>
        <v>Home</v>
      </c>
      <c r="Z568" s="8">
        <f>VLOOKUP(RawSalesTable6[[#This Row],[Product_ID_Clean]],ProductsTable[],5,FALSE)</f>
        <v>241.16</v>
      </c>
      <c r="AA568" s="8">
        <f>RawSalesTable6[[#This Row],[Unit_Price]]*RawSalesTable6[[#This Row],[Quantity]]</f>
        <v>768</v>
      </c>
      <c r="AB568" s="8">
        <f>RawSalesTable6[[#This Row],[Gross_Sales]]*RawSalesTable6[[#This Row],[Discount_Pct]]</f>
        <v>0</v>
      </c>
      <c r="AC568" s="8">
        <f>RawSalesTable6[[#This Row],[Gross_Sales]]-RawSalesTable6[[#This Row],[Discount_Amount]]</f>
        <v>768</v>
      </c>
      <c r="AD568" s="8">
        <f>RawSalesTable6[[#This Row],[Unit_Cost]]*RawSalesTable6[[#This Row],[Quantity]]</f>
        <v>482.32</v>
      </c>
      <c r="AE568" s="8">
        <f>RawSalesTable6[[#This Row],[Net_Sales]]-RawSalesTable6[[#This Row],[Total_Cost]]</f>
        <v>285.68</v>
      </c>
      <c r="AF568" s="9">
        <f>RawSalesTable6[[#This Row],[Profit]]/RawSalesTable6[[#This Row],[Net_Sales]]</f>
        <v>0.37197916666666669</v>
      </c>
      <c r="AG568" s="8">
        <f>YEAR(RawSalesTable6[[#This Row],[Order_Date]])</f>
        <v>2025</v>
      </c>
      <c r="AH568" s="8">
        <f>MONTH(RawSalesTable6[[#This Row],[Order_Date]])</f>
        <v>5</v>
      </c>
      <c r="AI568" s="8" t="str">
        <f>TEXT(RawSalesTable6[[#This Row],[Order_Date]],"mmmm")</f>
        <v>mai</v>
      </c>
      <c r="AJ568" s="8" t="str">
        <f>IF(RawSalesTable6[[#This Row],[Month_Number]]&lt;=3,"Q1",IF(RawSalesTable6[[#This Row],[Month_Number]]&lt;=6,"Q2",IF(RawSalesTable6[[#This Row],[Month_Number]]&lt;=9,"Q3","Q4")))</f>
        <v>Q2</v>
      </c>
      <c r="AK568" s="8" t="str">
        <f>VLOOKUP(RawSalesTable6[[#This Row],[Customer_ID_Clean]],CustomersTable[],4,FALSE)</f>
        <v>British Columbia</v>
      </c>
      <c r="AL568" s="8">
        <f>IF(RawSalesTable6[[#This Row],[Return_Status]]="Yes",1,0)</f>
        <v>0</v>
      </c>
    </row>
    <row r="569" spans="1:38">
      <c r="A569" t="s">
        <v>1007</v>
      </c>
      <c r="B569" s="3">
        <v>45662</v>
      </c>
      <c r="C569" t="s">
        <v>374</v>
      </c>
      <c r="D569" t="s">
        <v>249</v>
      </c>
      <c r="E569" t="s">
        <v>375</v>
      </c>
      <c r="F569" t="s">
        <v>111</v>
      </c>
      <c r="G569" t="s">
        <v>96</v>
      </c>
      <c r="H569" t="s">
        <v>167</v>
      </c>
      <c r="I569">
        <v>2</v>
      </c>
      <c r="J569" s="2">
        <v>414.63</v>
      </c>
      <c r="K569" s="4">
        <v>0.15</v>
      </c>
      <c r="L569" t="s">
        <v>106</v>
      </c>
      <c r="M569">
        <v>5</v>
      </c>
      <c r="N569" t="s">
        <v>91</v>
      </c>
      <c r="O569" t="str">
        <f>SUBSTITUTE(PROPER(TRIM(RawSalesTable6[[#This Row],[Channel_Raw]])),"Market Place","Marketplace")</f>
        <v>Marketplace</v>
      </c>
      <c r="P569" t="str">
        <f>TRIM(RawSalesTable6[[#This Row],[Product_ID]])</f>
        <v>P1022</v>
      </c>
      <c r="Q569" t="str">
        <f>TRIM(RawSalesTable6[[#This Row],[Customer_ID]])</f>
        <v>C0035</v>
      </c>
      <c r="R569" s="8" t="str">
        <f>PROPER(TRIM(RawSalesTable6[[#This Row],[Store_Raw]]))</f>
        <v>Montreal Central</v>
      </c>
      <c r="S569" s="8" t="str">
        <f>IF(TRIM(RawSalesTable6[[#This Row],[Payment_Method_Raw]])="","Non renseigné",SUBSTITUTE(PROPER(TRIM(RawSalesTable6[[#This Row],[Payment_Method_Raw]])),"Cc","Credit Card"))</f>
        <v>Credit Card</v>
      </c>
      <c r="T569" s="8">
        <f>COUNTIF(A:A,RawSalesTable6[[#This Row],[Order_ID]])</f>
        <v>1</v>
      </c>
      <c r="U569" s="8" t="str">
        <f>TRIM(LEFT(RawSalesTable6[[#This Row],[Customer_Info]],FIND(",",RawSalesTable6[[#This Row],[Customer_Info]])-1))</f>
        <v>Amelia Scott</v>
      </c>
      <c r="V569" s="8" t="str">
        <f>TRIM(MID(RawSalesTable6[[#This Row],[Customer_Info]],FIND(",",RawSalesTable6[[#This Row],[Customer_Info]])+1,FIND(",",RawSalesTable6[[#This Row],[Customer_Info]],FIND(",",RawSalesTable6[[#This Row],[Customer_Info]])+1)-FIND(",",RawSalesTable6[[#This Row],[Customer_Info]])-1))</f>
        <v>Edmonton</v>
      </c>
      <c r="W569" s="8" t="str">
        <f>TRIM(RIGHT(RawSalesTable6[[#This Row],[Customer_Info]],LEN(RawSalesTable6[[#This Row],[Customer_Info]])-FIND(",",RawSalesTable6[[#This Row],[Customer_Info]],FIND(",",RawSalesTable6[[#This Row],[Customer_Info]])+1)))</f>
        <v>Small Business</v>
      </c>
      <c r="X569" s="8" t="str">
        <f>VLOOKUP(RawSalesTable6[[#This Row],[Product_ID_Clean]],ProductsTable[],2,FALSE)</f>
        <v>Humidifier</v>
      </c>
      <c r="Y569" s="8" t="str">
        <f>VLOOKUP(RawSalesTable6[[#This Row],[Product_ID_Clean]],ProductsTable[],3,FALSE)</f>
        <v>Home</v>
      </c>
      <c r="Z569" s="8">
        <f>VLOOKUP(RawSalesTable6[[#This Row],[Product_ID_Clean]],ProductsTable[],5,FALSE)</f>
        <v>239.67</v>
      </c>
      <c r="AA569" s="8">
        <f>RawSalesTable6[[#This Row],[Unit_Price]]*RawSalesTable6[[#This Row],[Quantity]]</f>
        <v>829.26</v>
      </c>
      <c r="AB569" s="8">
        <f>RawSalesTable6[[#This Row],[Gross_Sales]]*RawSalesTable6[[#This Row],[Discount_Pct]]</f>
        <v>124.389</v>
      </c>
      <c r="AC569" s="8">
        <f>RawSalesTable6[[#This Row],[Gross_Sales]]-RawSalesTable6[[#This Row],[Discount_Amount]]</f>
        <v>704.87099999999998</v>
      </c>
      <c r="AD569" s="8">
        <f>RawSalesTable6[[#This Row],[Unit_Cost]]*RawSalesTable6[[#This Row],[Quantity]]</f>
        <v>479.34</v>
      </c>
      <c r="AE569" s="8">
        <f>RawSalesTable6[[#This Row],[Net_Sales]]-RawSalesTable6[[#This Row],[Total_Cost]]</f>
        <v>225.53100000000001</v>
      </c>
      <c r="AF569" s="9">
        <f>RawSalesTable6[[#This Row],[Profit]]/RawSalesTable6[[#This Row],[Net_Sales]]</f>
        <v>0.31996067365517949</v>
      </c>
      <c r="AG569" s="8">
        <f>YEAR(RawSalesTable6[[#This Row],[Order_Date]])</f>
        <v>2025</v>
      </c>
      <c r="AH569" s="8">
        <f>MONTH(RawSalesTable6[[#This Row],[Order_Date]])</f>
        <v>1</v>
      </c>
      <c r="AI569" s="8" t="str">
        <f>TEXT(RawSalesTable6[[#This Row],[Order_Date]],"mmmm")</f>
        <v>janvier</v>
      </c>
      <c r="AJ569" s="8" t="str">
        <f>IF(RawSalesTable6[[#This Row],[Month_Number]]&lt;=3,"Q1",IF(RawSalesTable6[[#This Row],[Month_Number]]&lt;=6,"Q2",IF(RawSalesTable6[[#This Row],[Month_Number]]&lt;=9,"Q3","Q4")))</f>
        <v>Q1</v>
      </c>
      <c r="AK569" s="8" t="str">
        <f>VLOOKUP(RawSalesTable6[[#This Row],[Customer_ID_Clean]],CustomersTable[],4,FALSE)</f>
        <v>Alberta</v>
      </c>
      <c r="AL569" s="8">
        <f>IF(RawSalesTable6[[#This Row],[Return_Status]]="Yes",1,0)</f>
        <v>0</v>
      </c>
    </row>
    <row r="570" spans="1:38">
      <c r="A570" t="s">
        <v>1008</v>
      </c>
      <c r="B570" s="3">
        <v>45817</v>
      </c>
      <c r="C570" t="s">
        <v>594</v>
      </c>
      <c r="D570" t="s">
        <v>174</v>
      </c>
      <c r="E570" t="s">
        <v>595</v>
      </c>
      <c r="F570" t="s">
        <v>87</v>
      </c>
      <c r="G570" t="s">
        <v>117</v>
      </c>
      <c r="H570" t="s">
        <v>89</v>
      </c>
      <c r="I570">
        <v>3</v>
      </c>
      <c r="J570" s="2">
        <v>39.950000000000003</v>
      </c>
      <c r="K570" s="4">
        <v>0</v>
      </c>
      <c r="L570" t="s">
        <v>422</v>
      </c>
      <c r="M570">
        <v>8</v>
      </c>
      <c r="N570" t="s">
        <v>91</v>
      </c>
      <c r="O570" t="str">
        <f>SUBSTITUTE(PROPER(TRIM(RawSalesTable6[[#This Row],[Channel_Raw]])),"Market Place","Marketplace")</f>
        <v>Online</v>
      </c>
      <c r="P570" t="str">
        <f>TRIM(RawSalesTable6[[#This Row],[Product_ID]])</f>
        <v>P1002</v>
      </c>
      <c r="Q570" t="str">
        <f>TRIM(RawSalesTable6[[#This Row],[Customer_ID]])</f>
        <v>C0027</v>
      </c>
      <c r="R570" s="8" t="str">
        <f>PROPER(TRIM(RawSalesTable6[[#This Row],[Store_Raw]]))</f>
        <v>Online Fulfillment</v>
      </c>
      <c r="S570" s="8" t="str">
        <f>IF(TRIM(RawSalesTable6[[#This Row],[Payment_Method_Raw]])="","Non renseigné",SUBSTITUTE(PROPER(TRIM(RawSalesTable6[[#This Row],[Payment_Method_Raw]])),"Cc","Credit Card"))</f>
        <v>Gift Card</v>
      </c>
      <c r="T570" s="8">
        <f>COUNTIF(A:A,RawSalesTable6[[#This Row],[Order_ID]])</f>
        <v>1</v>
      </c>
      <c r="U570" s="8" t="str">
        <f>TRIM(LEFT(RawSalesTable6[[#This Row],[Customer_Info]],FIND(",",RawSalesTable6[[#This Row],[Customer_Info]])-1))</f>
        <v>Nora Wilson</v>
      </c>
      <c r="V570" s="8" t="str">
        <f>TRIM(MID(RawSalesTable6[[#This Row],[Customer_Info]],FIND(",",RawSalesTable6[[#This Row],[Customer_Info]])+1,FIND(",",RawSalesTable6[[#This Row],[Customer_Info]],FIND(",",RawSalesTable6[[#This Row],[Customer_Info]])+1)-FIND(",",RawSalesTable6[[#This Row],[Customer_Info]])-1))</f>
        <v>Toronto</v>
      </c>
      <c r="W570" s="8" t="str">
        <f>TRIM(RIGHT(RawSalesTable6[[#This Row],[Customer_Info]],LEN(RawSalesTable6[[#This Row],[Customer_Info]])-FIND(",",RawSalesTable6[[#This Row],[Customer_Info]],FIND(",",RawSalesTable6[[#This Row],[Customer_Info]])+1)))</f>
        <v>Small Business</v>
      </c>
      <c r="X570" s="8" t="str">
        <f>VLOOKUP(RawSalesTable6[[#This Row],[Product_ID_Clean]],ProductsTable[],2,FALSE)</f>
        <v>Keyboard</v>
      </c>
      <c r="Y570" s="8" t="str">
        <f>VLOOKUP(RawSalesTable6[[#This Row],[Product_ID_Clean]],ProductsTable[],3,FALSE)</f>
        <v>Electronics</v>
      </c>
      <c r="Z570" s="8">
        <f>VLOOKUP(RawSalesTable6[[#This Row],[Product_ID_Clean]],ProductsTable[],5,FALSE)</f>
        <v>23.5</v>
      </c>
      <c r="AA570" s="8">
        <f>RawSalesTable6[[#This Row],[Unit_Price]]*RawSalesTable6[[#This Row],[Quantity]]</f>
        <v>119.85000000000001</v>
      </c>
      <c r="AB570" s="8">
        <f>RawSalesTable6[[#This Row],[Gross_Sales]]*RawSalesTable6[[#This Row],[Discount_Pct]]</f>
        <v>0</v>
      </c>
      <c r="AC570" s="8">
        <f>RawSalesTable6[[#This Row],[Gross_Sales]]-RawSalesTable6[[#This Row],[Discount_Amount]]</f>
        <v>119.85000000000001</v>
      </c>
      <c r="AD570" s="8">
        <f>RawSalesTable6[[#This Row],[Unit_Cost]]*RawSalesTable6[[#This Row],[Quantity]]</f>
        <v>70.5</v>
      </c>
      <c r="AE570" s="8">
        <f>RawSalesTable6[[#This Row],[Net_Sales]]-RawSalesTable6[[#This Row],[Total_Cost]]</f>
        <v>49.350000000000009</v>
      </c>
      <c r="AF570" s="9">
        <f>RawSalesTable6[[#This Row],[Profit]]/RawSalesTable6[[#This Row],[Net_Sales]]</f>
        <v>0.41176470588235298</v>
      </c>
      <c r="AG570" s="8">
        <f>YEAR(RawSalesTable6[[#This Row],[Order_Date]])</f>
        <v>2025</v>
      </c>
      <c r="AH570" s="8">
        <f>MONTH(RawSalesTable6[[#This Row],[Order_Date]])</f>
        <v>6</v>
      </c>
      <c r="AI570" s="8" t="str">
        <f>TEXT(RawSalesTable6[[#This Row],[Order_Date]],"mmmm")</f>
        <v>juin</v>
      </c>
      <c r="AJ570" s="8" t="str">
        <f>IF(RawSalesTable6[[#This Row],[Month_Number]]&lt;=3,"Q1",IF(RawSalesTable6[[#This Row],[Month_Number]]&lt;=6,"Q2",IF(RawSalesTable6[[#This Row],[Month_Number]]&lt;=9,"Q3","Q4")))</f>
        <v>Q2</v>
      </c>
      <c r="AK570" s="8" t="str">
        <f>VLOOKUP(RawSalesTable6[[#This Row],[Customer_ID_Clean]],CustomersTable[],4,FALSE)</f>
        <v>Ontario</v>
      </c>
      <c r="AL570" s="8">
        <f>IF(RawSalesTable6[[#This Row],[Return_Status]]="Yes",1,0)</f>
        <v>0</v>
      </c>
    </row>
    <row r="571" spans="1:38">
      <c r="A571" t="s">
        <v>1009</v>
      </c>
      <c r="B571" s="3">
        <v>45796</v>
      </c>
      <c r="C571" t="s">
        <v>647</v>
      </c>
      <c r="D571" t="s">
        <v>109</v>
      </c>
      <c r="E571" t="s">
        <v>648</v>
      </c>
      <c r="F571" t="s">
        <v>103</v>
      </c>
      <c r="G571" t="s">
        <v>183</v>
      </c>
      <c r="H571" t="s">
        <v>97</v>
      </c>
      <c r="I571">
        <v>1</v>
      </c>
      <c r="J571" s="2">
        <v>189.83</v>
      </c>
      <c r="K571" s="4">
        <v>0.2</v>
      </c>
      <c r="L571" t="s">
        <v>90</v>
      </c>
      <c r="M571">
        <v>3</v>
      </c>
      <c r="N571" t="s">
        <v>91</v>
      </c>
      <c r="O571" t="str">
        <f>SUBSTITUTE(PROPER(TRIM(RawSalesTable6[[#This Row],[Channel_Raw]])),"Market Place","Marketplace")</f>
        <v>Retail Store</v>
      </c>
      <c r="P571" t="str">
        <f>TRIM(RawSalesTable6[[#This Row],[Product_ID]])</f>
        <v>P1032</v>
      </c>
      <c r="Q571" t="str">
        <f>TRIM(RawSalesTable6[[#This Row],[Customer_ID]])</f>
        <v>C0050</v>
      </c>
      <c r="R571" s="8" t="str">
        <f>PROPER(TRIM(RawSalesTable6[[#This Row],[Store_Raw]]))</f>
        <v>Vancouver West</v>
      </c>
      <c r="S571" s="8" t="str">
        <f>IF(TRIM(RawSalesTable6[[#This Row],[Payment_Method_Raw]])="","Non renseigné",SUBSTITUTE(PROPER(TRIM(RawSalesTable6[[#This Row],[Payment_Method_Raw]])),"Cc","Credit Card"))</f>
        <v>Paypal</v>
      </c>
      <c r="T571" s="8">
        <f>COUNTIF(A:A,RawSalesTable6[[#This Row],[Order_ID]])</f>
        <v>1</v>
      </c>
      <c r="U571" s="8" t="str">
        <f>TRIM(LEFT(RawSalesTable6[[#This Row],[Customer_Info]],FIND(",",RawSalesTable6[[#This Row],[Customer_Info]])-1))</f>
        <v>Sarah Singh</v>
      </c>
      <c r="V571" s="8" t="str">
        <f>TRIM(MID(RawSalesTable6[[#This Row],[Customer_Info]],FIND(",",RawSalesTable6[[#This Row],[Customer_Info]])+1,FIND(",",RawSalesTable6[[#This Row],[Customer_Info]],FIND(",",RawSalesTable6[[#This Row],[Customer_Info]])+1)-FIND(",",RawSalesTable6[[#This Row],[Customer_Info]])-1))</f>
        <v>Mississauga</v>
      </c>
      <c r="W571" s="8" t="str">
        <f>TRIM(RIGHT(RawSalesTable6[[#This Row],[Customer_Info]],LEN(RawSalesTable6[[#This Row],[Customer_Info]])-FIND(",",RawSalesTable6[[#This Row],[Customer_Info]],FIND(",",RawSalesTable6[[#This Row],[Customer_Info]])+1)))</f>
        <v>Consumer</v>
      </c>
      <c r="X571" s="8" t="str">
        <f>VLOOKUP(RawSalesTable6[[#This Row],[Product_ID_Clean]],ProductsTable[],2,FALSE)</f>
        <v>Gym Bag</v>
      </c>
      <c r="Y571" s="8" t="str">
        <f>VLOOKUP(RawSalesTable6[[#This Row],[Product_ID_Clean]],ProductsTable[],3,FALSE)</f>
        <v>Fitness</v>
      </c>
      <c r="Z571" s="8">
        <f>VLOOKUP(RawSalesTable6[[#This Row],[Product_ID_Clean]],ProductsTable[],5,FALSE)</f>
        <v>132.72</v>
      </c>
      <c r="AA571" s="8">
        <f>RawSalesTable6[[#This Row],[Unit_Price]]*RawSalesTable6[[#This Row],[Quantity]]</f>
        <v>189.83</v>
      </c>
      <c r="AB571" s="8">
        <f>RawSalesTable6[[#This Row],[Gross_Sales]]*RawSalesTable6[[#This Row],[Discount_Pct]]</f>
        <v>37.966000000000001</v>
      </c>
      <c r="AC571" s="8">
        <f>RawSalesTable6[[#This Row],[Gross_Sales]]-RawSalesTable6[[#This Row],[Discount_Amount]]</f>
        <v>151.864</v>
      </c>
      <c r="AD571" s="8">
        <f>RawSalesTable6[[#This Row],[Unit_Cost]]*RawSalesTable6[[#This Row],[Quantity]]</f>
        <v>132.72</v>
      </c>
      <c r="AE571" s="8">
        <f>RawSalesTable6[[#This Row],[Net_Sales]]-RawSalesTable6[[#This Row],[Total_Cost]]</f>
        <v>19.144000000000005</v>
      </c>
      <c r="AF571" s="9">
        <f>RawSalesTable6[[#This Row],[Profit]]/RawSalesTable6[[#This Row],[Net_Sales]]</f>
        <v>0.12606015908971188</v>
      </c>
      <c r="AG571" s="8">
        <f>YEAR(RawSalesTable6[[#This Row],[Order_Date]])</f>
        <v>2025</v>
      </c>
      <c r="AH571" s="8">
        <f>MONTH(RawSalesTable6[[#This Row],[Order_Date]])</f>
        <v>5</v>
      </c>
      <c r="AI571" s="8" t="str">
        <f>TEXT(RawSalesTable6[[#This Row],[Order_Date]],"mmmm")</f>
        <v>mai</v>
      </c>
      <c r="AJ571" s="8" t="str">
        <f>IF(RawSalesTable6[[#This Row],[Month_Number]]&lt;=3,"Q1",IF(RawSalesTable6[[#This Row],[Month_Number]]&lt;=6,"Q2",IF(RawSalesTable6[[#This Row],[Month_Number]]&lt;=9,"Q3","Q4")))</f>
        <v>Q2</v>
      </c>
      <c r="AK571" s="8" t="str">
        <f>VLOOKUP(RawSalesTable6[[#This Row],[Customer_ID_Clean]],CustomersTable[],4,FALSE)</f>
        <v>Ontario</v>
      </c>
      <c r="AL571" s="8">
        <f>IF(RawSalesTable6[[#This Row],[Return_Status]]="Yes",1,0)</f>
        <v>0</v>
      </c>
    </row>
    <row r="572" spans="1:38">
      <c r="A572" t="s">
        <v>1010</v>
      </c>
      <c r="B572" s="3">
        <v>45719</v>
      </c>
      <c r="C572" t="s">
        <v>438</v>
      </c>
      <c r="D572" t="s">
        <v>503</v>
      </c>
      <c r="E572" t="s">
        <v>439</v>
      </c>
      <c r="F572" t="s">
        <v>116</v>
      </c>
      <c r="G572" t="s">
        <v>96</v>
      </c>
      <c r="H572" t="s">
        <v>89</v>
      </c>
      <c r="I572">
        <v>3</v>
      </c>
      <c r="J572" s="2">
        <v>119.26</v>
      </c>
      <c r="K572" s="4">
        <v>0</v>
      </c>
      <c r="L572" t="s">
        <v>106</v>
      </c>
      <c r="M572">
        <v>2</v>
      </c>
      <c r="N572" t="s">
        <v>91</v>
      </c>
      <c r="O572" t="str">
        <f>SUBSTITUTE(PROPER(TRIM(RawSalesTable6[[#This Row],[Channel_Raw]])),"Market Place","Marketplace")</f>
        <v>Online</v>
      </c>
      <c r="P572" t="str">
        <f>TRIM(RawSalesTable6[[#This Row],[Product_ID]])</f>
        <v>P1013</v>
      </c>
      <c r="Q572" t="str">
        <f>TRIM(RawSalesTable6[[#This Row],[Customer_ID]])</f>
        <v>C0028</v>
      </c>
      <c r="R572" s="8" t="str">
        <f>PROPER(TRIM(RawSalesTable6[[#This Row],[Store_Raw]]))</f>
        <v>Toronto Downtown</v>
      </c>
      <c r="S572" s="8" t="str">
        <f>IF(TRIM(RawSalesTable6[[#This Row],[Payment_Method_Raw]])="","Non renseigné",SUBSTITUTE(PROPER(TRIM(RawSalesTable6[[#This Row],[Payment_Method_Raw]])),"Cc","Credit Card"))</f>
        <v>Credit Card</v>
      </c>
      <c r="T572" s="8">
        <f>COUNTIF(A:A,RawSalesTable6[[#This Row],[Order_ID]])</f>
        <v>1</v>
      </c>
      <c r="U572" s="8" t="str">
        <f>TRIM(LEFT(RawSalesTable6[[#This Row],[Customer_Info]],FIND(",",RawSalesTable6[[#This Row],[Customer_Info]])-1))</f>
        <v>Mia Clark</v>
      </c>
      <c r="V572" s="8" t="str">
        <f>TRIM(MID(RawSalesTable6[[#This Row],[Customer_Info]],FIND(",",RawSalesTable6[[#This Row],[Customer_Info]])+1,FIND(",",RawSalesTable6[[#This Row],[Customer_Info]],FIND(",",RawSalesTable6[[#This Row],[Customer_Info]])+1)-FIND(",",RawSalesTable6[[#This Row],[Customer_Info]])-1))</f>
        <v>Victoria</v>
      </c>
      <c r="W572" s="8" t="str">
        <f>TRIM(RIGHT(RawSalesTable6[[#This Row],[Customer_Info]],LEN(RawSalesTable6[[#This Row],[Customer_Info]])-FIND(",",RawSalesTable6[[#This Row],[Customer_Info]],FIND(",",RawSalesTable6[[#This Row],[Customer_Info]])+1)))</f>
        <v>Consumer</v>
      </c>
      <c r="X572" s="8" t="str">
        <f>VLOOKUP(RawSalesTable6[[#This Row],[Product_ID_Clean]],ProductsTable[],2,FALSE)</f>
        <v>Whiteboard</v>
      </c>
      <c r="Y572" s="8" t="str">
        <f>VLOOKUP(RawSalesTable6[[#This Row],[Product_ID_Clean]],ProductsTable[],3,FALSE)</f>
        <v>Office</v>
      </c>
      <c r="Z572" s="8">
        <f>VLOOKUP(RawSalesTable6[[#This Row],[Product_ID_Clean]],ProductsTable[],5,FALSE)</f>
        <v>85.73</v>
      </c>
      <c r="AA572" s="8">
        <f>RawSalesTable6[[#This Row],[Unit_Price]]*RawSalesTable6[[#This Row],[Quantity]]</f>
        <v>357.78000000000003</v>
      </c>
      <c r="AB572" s="8">
        <f>RawSalesTable6[[#This Row],[Gross_Sales]]*RawSalesTable6[[#This Row],[Discount_Pct]]</f>
        <v>0</v>
      </c>
      <c r="AC572" s="8">
        <f>RawSalesTable6[[#This Row],[Gross_Sales]]-RawSalesTable6[[#This Row],[Discount_Amount]]</f>
        <v>357.78000000000003</v>
      </c>
      <c r="AD572" s="8">
        <f>RawSalesTable6[[#This Row],[Unit_Cost]]*RawSalesTable6[[#This Row],[Quantity]]</f>
        <v>257.19</v>
      </c>
      <c r="AE572" s="8">
        <f>RawSalesTable6[[#This Row],[Net_Sales]]-RawSalesTable6[[#This Row],[Total_Cost]]</f>
        <v>100.59000000000003</v>
      </c>
      <c r="AF572" s="9">
        <f>RawSalesTable6[[#This Row],[Profit]]/RawSalesTable6[[#This Row],[Net_Sales]]</f>
        <v>0.28115042763709547</v>
      </c>
      <c r="AG572" s="8">
        <f>YEAR(RawSalesTable6[[#This Row],[Order_Date]])</f>
        <v>2025</v>
      </c>
      <c r="AH572" s="8">
        <f>MONTH(RawSalesTable6[[#This Row],[Order_Date]])</f>
        <v>3</v>
      </c>
      <c r="AI572" s="8" t="str">
        <f>TEXT(RawSalesTable6[[#This Row],[Order_Date]],"mmmm")</f>
        <v>mars</v>
      </c>
      <c r="AJ572" s="8" t="str">
        <f>IF(RawSalesTable6[[#This Row],[Month_Number]]&lt;=3,"Q1",IF(RawSalesTable6[[#This Row],[Month_Number]]&lt;=6,"Q2",IF(RawSalesTable6[[#This Row],[Month_Number]]&lt;=9,"Q3","Q4")))</f>
        <v>Q1</v>
      </c>
      <c r="AK572" s="8" t="str">
        <f>VLOOKUP(RawSalesTable6[[#This Row],[Customer_ID_Clean]],CustomersTable[],4,FALSE)</f>
        <v>British Columbia</v>
      </c>
      <c r="AL572" s="8">
        <f>IF(RawSalesTable6[[#This Row],[Return_Status]]="Yes",1,0)</f>
        <v>0</v>
      </c>
    </row>
    <row r="573" spans="1:38">
      <c r="A573" t="s">
        <v>1011</v>
      </c>
      <c r="B573" s="3">
        <v>45746</v>
      </c>
      <c r="C573" t="s">
        <v>164</v>
      </c>
      <c r="D573" t="s">
        <v>101</v>
      </c>
      <c r="E573" t="s">
        <v>166</v>
      </c>
      <c r="F573" t="s">
        <v>87</v>
      </c>
      <c r="G573" t="s">
        <v>122</v>
      </c>
      <c r="H573" t="s">
        <v>89</v>
      </c>
      <c r="I573">
        <v>1</v>
      </c>
      <c r="J573" s="2">
        <v>298.7</v>
      </c>
      <c r="K573" s="4">
        <v>0</v>
      </c>
      <c r="L573" t="s">
        <v>504</v>
      </c>
      <c r="M573">
        <v>6</v>
      </c>
      <c r="N573" t="s">
        <v>91</v>
      </c>
      <c r="O573" t="str">
        <f>SUBSTITUTE(PROPER(TRIM(RawSalesTable6[[#This Row],[Channel_Raw]])),"Market Place","Marketplace")</f>
        <v>Online</v>
      </c>
      <c r="P573" t="str">
        <f>TRIM(RawSalesTable6[[#This Row],[Product_ID]])</f>
        <v>P1021</v>
      </c>
      <c r="Q573" t="str">
        <f>TRIM(RawSalesTable6[[#This Row],[Customer_ID]])</f>
        <v>C0032</v>
      </c>
      <c r="R573" s="8" t="str">
        <f>PROPER(TRIM(RawSalesTable6[[#This Row],[Store_Raw]]))</f>
        <v>Online Fulfillment</v>
      </c>
      <c r="S573" s="8" t="str">
        <f>IF(TRIM(RawSalesTable6[[#This Row],[Payment_Method_Raw]])="","Non renseigné",SUBSTITUTE(PROPER(TRIM(RawSalesTable6[[#This Row],[Payment_Method_Raw]])),"Cc","Credit Card"))</f>
        <v>Debit Card</v>
      </c>
      <c r="T573" s="8">
        <f>COUNTIF(A:A,RawSalesTable6[[#This Row],[Order_ID]])</f>
        <v>1</v>
      </c>
      <c r="U573" s="8" t="str">
        <f>TRIM(LEFT(RawSalesTable6[[#This Row],[Customer_Info]],FIND(",",RawSalesTable6[[#This Row],[Customer_Info]])-1))</f>
        <v>Nora Bennett</v>
      </c>
      <c r="V573" s="8" t="str">
        <f>TRIM(MID(RawSalesTable6[[#This Row],[Customer_Info]],FIND(",",RawSalesTable6[[#This Row],[Customer_Info]])+1,FIND(",",RawSalesTable6[[#This Row],[Customer_Info]],FIND(",",RawSalesTable6[[#This Row],[Customer_Info]])+1)-FIND(",",RawSalesTable6[[#This Row],[Customer_Info]])-1))</f>
        <v>Surrey</v>
      </c>
      <c r="W573" s="8" t="str">
        <f>TRIM(RIGHT(RawSalesTable6[[#This Row],[Customer_Info]],LEN(RawSalesTable6[[#This Row],[Customer_Info]])-FIND(",",RawSalesTable6[[#This Row],[Customer_Info]],FIND(",",RawSalesTable6[[#This Row],[Customer_Info]])+1)))</f>
        <v>Consumer</v>
      </c>
      <c r="X573" s="8" t="str">
        <f>VLOOKUP(RawSalesTable6[[#This Row],[Product_ID_Clean]],ProductsTable[],2,FALSE)</f>
        <v>Kettle</v>
      </c>
      <c r="Y573" s="8" t="str">
        <f>VLOOKUP(RawSalesTable6[[#This Row],[Product_ID_Clean]],ProductsTable[],3,FALSE)</f>
        <v>Home</v>
      </c>
      <c r="Z573" s="8">
        <f>VLOOKUP(RawSalesTable6[[#This Row],[Product_ID_Clean]],ProductsTable[],5,FALSE)</f>
        <v>139.86000000000001</v>
      </c>
      <c r="AA573" s="8">
        <f>RawSalesTable6[[#This Row],[Unit_Price]]*RawSalesTable6[[#This Row],[Quantity]]</f>
        <v>298.7</v>
      </c>
      <c r="AB573" s="8">
        <f>RawSalesTable6[[#This Row],[Gross_Sales]]*RawSalesTable6[[#This Row],[Discount_Pct]]</f>
        <v>0</v>
      </c>
      <c r="AC573" s="8">
        <f>RawSalesTable6[[#This Row],[Gross_Sales]]-RawSalesTable6[[#This Row],[Discount_Amount]]</f>
        <v>298.7</v>
      </c>
      <c r="AD573" s="8">
        <f>RawSalesTable6[[#This Row],[Unit_Cost]]*RawSalesTable6[[#This Row],[Quantity]]</f>
        <v>139.86000000000001</v>
      </c>
      <c r="AE573" s="8">
        <f>RawSalesTable6[[#This Row],[Net_Sales]]-RawSalesTable6[[#This Row],[Total_Cost]]</f>
        <v>158.83999999999997</v>
      </c>
      <c r="AF573" s="9">
        <f>RawSalesTable6[[#This Row],[Profit]]/RawSalesTable6[[#This Row],[Net_Sales]]</f>
        <v>0.53177100770003338</v>
      </c>
      <c r="AG573" s="8">
        <f>YEAR(RawSalesTable6[[#This Row],[Order_Date]])</f>
        <v>2025</v>
      </c>
      <c r="AH573" s="8">
        <f>MONTH(RawSalesTable6[[#This Row],[Order_Date]])</f>
        <v>3</v>
      </c>
      <c r="AI573" s="8" t="str">
        <f>TEXT(RawSalesTable6[[#This Row],[Order_Date]],"mmmm")</f>
        <v>mars</v>
      </c>
      <c r="AJ573" s="8" t="str">
        <f>IF(RawSalesTable6[[#This Row],[Month_Number]]&lt;=3,"Q1",IF(RawSalesTable6[[#This Row],[Month_Number]]&lt;=6,"Q2",IF(RawSalesTable6[[#This Row],[Month_Number]]&lt;=9,"Q3","Q4")))</f>
        <v>Q1</v>
      </c>
      <c r="AK573" s="8" t="str">
        <f>VLOOKUP(RawSalesTable6[[#This Row],[Customer_ID_Clean]],CustomersTable[],4,FALSE)</f>
        <v>British Columbia</v>
      </c>
      <c r="AL573" s="8">
        <f>IF(RawSalesTable6[[#This Row],[Return_Status]]="Yes",1,0)</f>
        <v>0</v>
      </c>
    </row>
    <row r="574" spans="1:38">
      <c r="A574" t="s">
        <v>1012</v>
      </c>
      <c r="B574" s="3">
        <v>45706</v>
      </c>
      <c r="C574" t="s">
        <v>335</v>
      </c>
      <c r="D574" t="s">
        <v>323</v>
      </c>
      <c r="E574" t="s">
        <v>336</v>
      </c>
      <c r="F574" t="s">
        <v>145</v>
      </c>
      <c r="G574" t="s">
        <v>122</v>
      </c>
      <c r="H574" t="s">
        <v>89</v>
      </c>
      <c r="I574">
        <v>2</v>
      </c>
      <c r="J574" s="2">
        <v>317.93</v>
      </c>
      <c r="K574" s="4">
        <v>0.2</v>
      </c>
      <c r="L574" t="s">
        <v>90</v>
      </c>
      <c r="M574">
        <v>1</v>
      </c>
      <c r="N574" t="s">
        <v>91</v>
      </c>
      <c r="O574" t="str">
        <f>SUBSTITUTE(PROPER(TRIM(RawSalesTable6[[#This Row],[Channel_Raw]])),"Market Place","Marketplace")</f>
        <v>Online</v>
      </c>
      <c r="P574" t="str">
        <f>TRIM(RawSalesTable6[[#This Row],[Product_ID]])</f>
        <v>P1023</v>
      </c>
      <c r="Q574" t="str">
        <f>TRIM(RawSalesTable6[[#This Row],[Customer_ID]])</f>
        <v>C0037</v>
      </c>
      <c r="R574" s="8" t="str">
        <f>PROPER(TRIM(RawSalesTable6[[#This Row],[Store_Raw]]))</f>
        <v>Calgary North</v>
      </c>
      <c r="S574" s="8" t="str">
        <f>IF(TRIM(RawSalesTable6[[#This Row],[Payment_Method_Raw]])="","Non renseigné",SUBSTITUTE(PROPER(TRIM(RawSalesTable6[[#This Row],[Payment_Method_Raw]])),"Cc","Credit Card"))</f>
        <v>Paypal</v>
      </c>
      <c r="T574" s="8">
        <f>COUNTIF(A:A,RawSalesTable6[[#This Row],[Order_ID]])</f>
        <v>1</v>
      </c>
      <c r="U574" s="8" t="str">
        <f>TRIM(LEFT(RawSalesTable6[[#This Row],[Customer_Info]],FIND(",",RawSalesTable6[[#This Row],[Customer_Info]])-1))</f>
        <v>Lucas Scott</v>
      </c>
      <c r="V574" s="8" t="str">
        <f>TRIM(MID(RawSalesTable6[[#This Row],[Customer_Info]],FIND(",",RawSalesTable6[[#This Row],[Customer_Info]])+1,FIND(",",RawSalesTable6[[#This Row],[Customer_Info]],FIND(",",RawSalesTable6[[#This Row],[Customer_Info]])+1)-FIND(",",RawSalesTable6[[#This Row],[Customer_Info]])-1))</f>
        <v>Victoria</v>
      </c>
      <c r="W574" s="8" t="str">
        <f>TRIM(RIGHT(RawSalesTable6[[#This Row],[Customer_Info]],LEN(RawSalesTable6[[#This Row],[Customer_Info]])-FIND(",",RawSalesTable6[[#This Row],[Customer_Info]],FIND(",",RawSalesTable6[[#This Row],[Customer_Info]])+1)))</f>
        <v>Small Business</v>
      </c>
      <c r="X574" s="8" t="str">
        <f>VLOOKUP(RawSalesTable6[[#This Row],[Product_ID_Clean]],ProductsTable[],2,FALSE)</f>
        <v>Toaster</v>
      </c>
      <c r="Y574" s="8" t="str">
        <f>VLOOKUP(RawSalesTable6[[#This Row],[Product_ID_Clean]],ProductsTable[],3,FALSE)</f>
        <v>Home</v>
      </c>
      <c r="Z574" s="8">
        <f>VLOOKUP(RawSalesTable6[[#This Row],[Product_ID_Clean]],ProductsTable[],5,FALSE)</f>
        <v>152.88</v>
      </c>
      <c r="AA574" s="8">
        <f>RawSalesTable6[[#This Row],[Unit_Price]]*RawSalesTable6[[#This Row],[Quantity]]</f>
        <v>635.86</v>
      </c>
      <c r="AB574" s="8">
        <f>RawSalesTable6[[#This Row],[Gross_Sales]]*RawSalesTable6[[#This Row],[Discount_Pct]]</f>
        <v>127.17200000000001</v>
      </c>
      <c r="AC574" s="8">
        <f>RawSalesTable6[[#This Row],[Gross_Sales]]-RawSalesTable6[[#This Row],[Discount_Amount]]</f>
        <v>508.68799999999999</v>
      </c>
      <c r="AD574" s="8">
        <f>RawSalesTable6[[#This Row],[Unit_Cost]]*RawSalesTable6[[#This Row],[Quantity]]</f>
        <v>305.76</v>
      </c>
      <c r="AE574" s="8">
        <f>RawSalesTable6[[#This Row],[Net_Sales]]-RawSalesTable6[[#This Row],[Total_Cost]]</f>
        <v>202.928</v>
      </c>
      <c r="AF574" s="9">
        <f>RawSalesTable6[[#This Row],[Profit]]/RawSalesTable6[[#This Row],[Net_Sales]]</f>
        <v>0.39892429151070991</v>
      </c>
      <c r="AG574" s="8">
        <f>YEAR(RawSalesTable6[[#This Row],[Order_Date]])</f>
        <v>2025</v>
      </c>
      <c r="AH574" s="8">
        <f>MONTH(RawSalesTable6[[#This Row],[Order_Date]])</f>
        <v>2</v>
      </c>
      <c r="AI574" s="8" t="str">
        <f>TEXT(RawSalesTable6[[#This Row],[Order_Date]],"mmmm")</f>
        <v>février</v>
      </c>
      <c r="AJ574" s="8" t="str">
        <f>IF(RawSalesTable6[[#This Row],[Month_Number]]&lt;=3,"Q1",IF(RawSalesTable6[[#This Row],[Month_Number]]&lt;=6,"Q2",IF(RawSalesTable6[[#This Row],[Month_Number]]&lt;=9,"Q3","Q4")))</f>
        <v>Q1</v>
      </c>
      <c r="AK574" s="8" t="str">
        <f>VLOOKUP(RawSalesTable6[[#This Row],[Customer_ID_Clean]],CustomersTable[],4,FALSE)</f>
        <v>British Columbia</v>
      </c>
      <c r="AL574" s="8">
        <f>IF(RawSalesTable6[[#This Row],[Return_Status]]="Yes",1,0)</f>
        <v>0</v>
      </c>
    </row>
    <row r="575" spans="1:38">
      <c r="A575" t="s">
        <v>1013</v>
      </c>
      <c r="B575" s="3">
        <v>45664</v>
      </c>
      <c r="C575" t="s">
        <v>600</v>
      </c>
      <c r="D575" t="s">
        <v>323</v>
      </c>
      <c r="E575" t="s">
        <v>601</v>
      </c>
      <c r="F575" t="s">
        <v>111</v>
      </c>
      <c r="G575" t="s">
        <v>117</v>
      </c>
      <c r="H575" t="s">
        <v>89</v>
      </c>
      <c r="I575">
        <v>4</v>
      </c>
      <c r="J575" s="2">
        <v>330.62</v>
      </c>
      <c r="K575" s="4">
        <v>0</v>
      </c>
      <c r="L575" t="s">
        <v>90</v>
      </c>
      <c r="M575">
        <v>1</v>
      </c>
      <c r="N575" t="s">
        <v>91</v>
      </c>
      <c r="O575" t="str">
        <f>SUBSTITUTE(PROPER(TRIM(RawSalesTable6[[#This Row],[Channel_Raw]])),"Market Place","Marketplace")</f>
        <v>Online</v>
      </c>
      <c r="P575" t="str">
        <f>TRIM(RawSalesTable6[[#This Row],[Product_ID]])</f>
        <v>P1023</v>
      </c>
      <c r="Q575" t="str">
        <f>TRIM(RawSalesTable6[[#This Row],[Customer_ID]])</f>
        <v>C0109</v>
      </c>
      <c r="R575" s="8" t="str">
        <f>PROPER(TRIM(RawSalesTable6[[#This Row],[Store_Raw]]))</f>
        <v>Montreal Central</v>
      </c>
      <c r="S575" s="8" t="str">
        <f>IF(TRIM(RawSalesTable6[[#This Row],[Payment_Method_Raw]])="","Non renseigné",SUBSTITUTE(PROPER(TRIM(RawSalesTable6[[#This Row],[Payment_Method_Raw]])),"Cc","Credit Card"))</f>
        <v>Paypal</v>
      </c>
      <c r="T575" s="8">
        <f>COUNTIF(A:A,RawSalesTable6[[#This Row],[Order_ID]])</f>
        <v>1</v>
      </c>
      <c r="U575" s="8" t="str">
        <f>TRIM(LEFT(RawSalesTable6[[#This Row],[Customer_Info]],FIND(",",RawSalesTable6[[#This Row],[Customer_Info]])-1))</f>
        <v>Emma Wilson</v>
      </c>
      <c r="V575" s="8" t="str">
        <f>TRIM(MID(RawSalesTable6[[#This Row],[Customer_Info]],FIND(",",RawSalesTable6[[#This Row],[Customer_Info]])+1,FIND(",",RawSalesTable6[[#This Row],[Customer_Info]],FIND(",",RawSalesTable6[[#This Row],[Customer_Info]])+1)-FIND(",",RawSalesTable6[[#This Row],[Customer_Info]])-1))</f>
        <v>Victoria</v>
      </c>
      <c r="W575" s="8" t="str">
        <f>TRIM(RIGHT(RawSalesTable6[[#This Row],[Customer_Info]],LEN(RawSalesTable6[[#This Row],[Customer_Info]])-FIND(",",RawSalesTable6[[#This Row],[Customer_Info]],FIND(",",RawSalesTable6[[#This Row],[Customer_Info]])+1)))</f>
        <v>Consumer</v>
      </c>
      <c r="X575" s="8" t="str">
        <f>VLOOKUP(RawSalesTable6[[#This Row],[Product_ID_Clean]],ProductsTable[],2,FALSE)</f>
        <v>Toaster</v>
      </c>
      <c r="Y575" s="8" t="str">
        <f>VLOOKUP(RawSalesTable6[[#This Row],[Product_ID_Clean]],ProductsTable[],3,FALSE)</f>
        <v>Home</v>
      </c>
      <c r="Z575" s="8">
        <f>VLOOKUP(RawSalesTable6[[#This Row],[Product_ID_Clean]],ProductsTable[],5,FALSE)</f>
        <v>152.88</v>
      </c>
      <c r="AA575" s="8">
        <f>RawSalesTable6[[#This Row],[Unit_Price]]*RawSalesTable6[[#This Row],[Quantity]]</f>
        <v>1322.48</v>
      </c>
      <c r="AB575" s="8">
        <f>RawSalesTable6[[#This Row],[Gross_Sales]]*RawSalesTable6[[#This Row],[Discount_Pct]]</f>
        <v>0</v>
      </c>
      <c r="AC575" s="8">
        <f>RawSalesTable6[[#This Row],[Gross_Sales]]-RawSalesTable6[[#This Row],[Discount_Amount]]</f>
        <v>1322.48</v>
      </c>
      <c r="AD575" s="8">
        <f>RawSalesTable6[[#This Row],[Unit_Cost]]*RawSalesTable6[[#This Row],[Quantity]]</f>
        <v>611.52</v>
      </c>
      <c r="AE575" s="8">
        <f>RawSalesTable6[[#This Row],[Net_Sales]]-RawSalesTable6[[#This Row],[Total_Cost]]</f>
        <v>710.96</v>
      </c>
      <c r="AF575" s="9">
        <f>RawSalesTable6[[#This Row],[Profit]]/RawSalesTable6[[#This Row],[Net_Sales]]</f>
        <v>0.53759603169802195</v>
      </c>
      <c r="AG575" s="8">
        <f>YEAR(RawSalesTable6[[#This Row],[Order_Date]])</f>
        <v>2025</v>
      </c>
      <c r="AH575" s="8">
        <f>MONTH(RawSalesTable6[[#This Row],[Order_Date]])</f>
        <v>1</v>
      </c>
      <c r="AI575" s="8" t="str">
        <f>TEXT(RawSalesTable6[[#This Row],[Order_Date]],"mmmm")</f>
        <v>janvier</v>
      </c>
      <c r="AJ575" s="8" t="str">
        <f>IF(RawSalesTable6[[#This Row],[Month_Number]]&lt;=3,"Q1",IF(RawSalesTable6[[#This Row],[Month_Number]]&lt;=6,"Q2",IF(RawSalesTable6[[#This Row],[Month_Number]]&lt;=9,"Q3","Q4")))</f>
        <v>Q1</v>
      </c>
      <c r="AK575" s="8" t="str">
        <f>VLOOKUP(RawSalesTable6[[#This Row],[Customer_ID_Clean]],CustomersTable[],4,FALSE)</f>
        <v>British Columbia</v>
      </c>
      <c r="AL575" s="8">
        <f>IF(RawSalesTable6[[#This Row],[Return_Status]]="Yes",1,0)</f>
        <v>0</v>
      </c>
    </row>
    <row r="576" spans="1:38">
      <c r="A576" t="s">
        <v>1014</v>
      </c>
      <c r="B576" s="3">
        <v>45704</v>
      </c>
      <c r="C576" t="s">
        <v>406</v>
      </c>
      <c r="D576" t="s">
        <v>244</v>
      </c>
      <c r="E576" t="s">
        <v>407</v>
      </c>
      <c r="F576" t="s">
        <v>145</v>
      </c>
      <c r="G576" t="s">
        <v>130</v>
      </c>
      <c r="H576" t="s">
        <v>246</v>
      </c>
      <c r="I576">
        <v>3</v>
      </c>
      <c r="J576" s="2">
        <v>248.18</v>
      </c>
      <c r="K576" s="4">
        <v>0.05</v>
      </c>
      <c r="L576" t="s">
        <v>106</v>
      </c>
      <c r="M576">
        <v>2</v>
      </c>
      <c r="N576" t="s">
        <v>91</v>
      </c>
      <c r="O576" t="str">
        <f>SUBSTITUTE(PROPER(TRIM(RawSalesTable6[[#This Row],[Channel_Raw]])),"Market Place","Marketplace")</f>
        <v>Retail Store</v>
      </c>
      <c r="P576" t="str">
        <f>TRIM(RawSalesTable6[[#This Row],[Product_ID]])</f>
        <v>P1005</v>
      </c>
      <c r="Q576" t="str">
        <f>TRIM(RawSalesTable6[[#This Row],[Customer_ID]])</f>
        <v>C0038</v>
      </c>
      <c r="R576" s="8" t="str">
        <f>PROPER(TRIM(RawSalesTable6[[#This Row],[Store_Raw]]))</f>
        <v>Calgary North</v>
      </c>
      <c r="S576" s="8" t="str">
        <f>IF(TRIM(RawSalesTable6[[#This Row],[Payment_Method_Raw]])="","Non renseigné",SUBSTITUTE(PROPER(TRIM(RawSalesTable6[[#This Row],[Payment_Method_Raw]])),"Cc","Credit Card"))</f>
        <v>Credit Card</v>
      </c>
      <c r="T576" s="8">
        <f>COUNTIF(A:A,RawSalesTable6[[#This Row],[Order_ID]])</f>
        <v>1</v>
      </c>
      <c r="U576" s="8" t="str">
        <f>TRIM(LEFT(RawSalesTable6[[#This Row],[Customer_Info]],FIND(",",RawSalesTable6[[#This Row],[Customer_Info]])-1))</f>
        <v>Noah Brown</v>
      </c>
      <c r="V576" s="8" t="str">
        <f>TRIM(MID(RawSalesTable6[[#This Row],[Customer_Info]],FIND(",",RawSalesTable6[[#This Row],[Customer_Info]])+1,FIND(",",RawSalesTable6[[#This Row],[Customer_Info]],FIND(",",RawSalesTable6[[#This Row],[Customer_Info]])+1)-FIND(",",RawSalesTable6[[#This Row],[Customer_Info]])-1))</f>
        <v>Montreal</v>
      </c>
      <c r="W576" s="8" t="str">
        <f>TRIM(RIGHT(RawSalesTable6[[#This Row],[Customer_Info]],LEN(RawSalesTable6[[#This Row],[Customer_Info]])-FIND(",",RawSalesTable6[[#This Row],[Customer_Info]],FIND(",",RawSalesTable6[[#This Row],[Customer_Info]])+1)))</f>
        <v>Consumer</v>
      </c>
      <c r="X576" s="8" t="str">
        <f>VLOOKUP(RawSalesTable6[[#This Row],[Product_ID_Clean]],ProductsTable[],2,FALSE)</f>
        <v>Portable SSD</v>
      </c>
      <c r="Y576" s="8" t="str">
        <f>VLOOKUP(RawSalesTable6[[#This Row],[Product_ID_Clean]],ProductsTable[],3,FALSE)</f>
        <v>Electronics</v>
      </c>
      <c r="Z576" s="8">
        <f>VLOOKUP(RawSalesTable6[[#This Row],[Product_ID_Clean]],ProductsTable[],5,FALSE)</f>
        <v>131.19</v>
      </c>
      <c r="AA576" s="8">
        <f>RawSalesTable6[[#This Row],[Unit_Price]]*RawSalesTable6[[#This Row],[Quantity]]</f>
        <v>744.54</v>
      </c>
      <c r="AB576" s="8">
        <f>RawSalesTable6[[#This Row],[Gross_Sales]]*RawSalesTable6[[#This Row],[Discount_Pct]]</f>
        <v>37.226999999999997</v>
      </c>
      <c r="AC576" s="8">
        <f>RawSalesTable6[[#This Row],[Gross_Sales]]-RawSalesTable6[[#This Row],[Discount_Amount]]</f>
        <v>707.31299999999999</v>
      </c>
      <c r="AD576" s="8">
        <f>RawSalesTable6[[#This Row],[Unit_Cost]]*RawSalesTable6[[#This Row],[Quantity]]</f>
        <v>393.57</v>
      </c>
      <c r="AE576" s="8">
        <f>RawSalesTable6[[#This Row],[Net_Sales]]-RawSalesTable6[[#This Row],[Total_Cost]]</f>
        <v>313.74299999999999</v>
      </c>
      <c r="AF576" s="9">
        <f>RawSalesTable6[[#This Row],[Profit]]/RawSalesTable6[[#This Row],[Net_Sales]]</f>
        <v>0.44357024400795686</v>
      </c>
      <c r="AG576" s="8">
        <f>YEAR(RawSalesTable6[[#This Row],[Order_Date]])</f>
        <v>2025</v>
      </c>
      <c r="AH576" s="8">
        <f>MONTH(RawSalesTable6[[#This Row],[Order_Date]])</f>
        <v>2</v>
      </c>
      <c r="AI576" s="8" t="str">
        <f>TEXT(RawSalesTable6[[#This Row],[Order_Date]],"mmmm")</f>
        <v>février</v>
      </c>
      <c r="AJ576" s="8" t="str">
        <f>IF(RawSalesTable6[[#This Row],[Month_Number]]&lt;=3,"Q1",IF(RawSalesTable6[[#This Row],[Month_Number]]&lt;=6,"Q2",IF(RawSalesTable6[[#This Row],[Month_Number]]&lt;=9,"Q3","Q4")))</f>
        <v>Q1</v>
      </c>
      <c r="AK576" s="8" t="str">
        <f>VLOOKUP(RawSalesTable6[[#This Row],[Customer_ID_Clean]],CustomersTable[],4,FALSE)</f>
        <v>Quebec</v>
      </c>
      <c r="AL576" s="8">
        <f>IF(RawSalesTable6[[#This Row],[Return_Status]]="Yes",1,0)</f>
        <v>0</v>
      </c>
    </row>
    <row r="577" spans="1:38">
      <c r="A577" t="s">
        <v>1015</v>
      </c>
      <c r="B577" s="3">
        <v>45690</v>
      </c>
      <c r="C577" t="s">
        <v>644</v>
      </c>
      <c r="D577" t="s">
        <v>114</v>
      </c>
      <c r="E577" t="s">
        <v>645</v>
      </c>
      <c r="F577" t="s">
        <v>103</v>
      </c>
      <c r="G577" t="s">
        <v>104</v>
      </c>
      <c r="H577" t="s">
        <v>105</v>
      </c>
      <c r="I577">
        <v>1</v>
      </c>
      <c r="J577" s="2">
        <v>152.36000000000001</v>
      </c>
      <c r="K577" s="4">
        <v>0.05</v>
      </c>
      <c r="L577" t="s">
        <v>106</v>
      </c>
      <c r="M577">
        <v>2</v>
      </c>
      <c r="N577" t="s">
        <v>91</v>
      </c>
      <c r="O577" t="str">
        <f>SUBSTITUTE(PROPER(TRIM(RawSalesTable6[[#This Row],[Channel_Raw]])),"Market Place","Marketplace")</f>
        <v>Marketplace</v>
      </c>
      <c r="P577" t="str">
        <f>TRIM(RawSalesTable6[[#This Row],[Product_ID]])</f>
        <v>P1034</v>
      </c>
      <c r="Q577" t="str">
        <f>TRIM(RawSalesTable6[[#This Row],[Customer_ID]])</f>
        <v>C0011</v>
      </c>
      <c r="R577" s="8" t="str">
        <f>PROPER(TRIM(RawSalesTable6[[#This Row],[Store_Raw]]))</f>
        <v>Vancouver West</v>
      </c>
      <c r="S577" s="8" t="str">
        <f>IF(TRIM(RawSalesTable6[[#This Row],[Payment_Method_Raw]])="","Non renseigné",SUBSTITUTE(PROPER(TRIM(RawSalesTable6[[#This Row],[Payment_Method_Raw]])),"Cc","Credit Card"))</f>
        <v>Credit Card</v>
      </c>
      <c r="T577" s="8">
        <f>COUNTIF(A:A,RawSalesTable6[[#This Row],[Order_ID]])</f>
        <v>1</v>
      </c>
      <c r="U577" s="8" t="str">
        <f>TRIM(LEFT(RawSalesTable6[[#This Row],[Customer_Info]],FIND(",",RawSalesTable6[[#This Row],[Customer_Info]])-1))</f>
        <v>Ethan Hall</v>
      </c>
      <c r="V577" s="8" t="str">
        <f>TRIM(MID(RawSalesTable6[[#This Row],[Customer_Info]],FIND(",",RawSalesTable6[[#This Row],[Customer_Info]])+1,FIND(",",RawSalesTable6[[#This Row],[Customer_Info]],FIND(",",RawSalesTable6[[#This Row],[Customer_Info]])+1)-FIND(",",RawSalesTable6[[#This Row],[Customer_Info]])-1))</f>
        <v>Quebec City</v>
      </c>
      <c r="W577" s="8" t="str">
        <f>TRIM(RIGHT(RawSalesTable6[[#This Row],[Customer_Info]],LEN(RawSalesTable6[[#This Row],[Customer_Info]])-FIND(",",RawSalesTable6[[#This Row],[Customer_Info]],FIND(",",RawSalesTable6[[#This Row],[Customer_Info]])+1)))</f>
        <v>Consumer</v>
      </c>
      <c r="X577" s="8" t="str">
        <f>VLOOKUP(RawSalesTable6[[#This Row],[Product_ID_Clean]],ProductsTable[],2,FALSE)</f>
        <v>Laptop Sleeve</v>
      </c>
      <c r="Y577" s="8" t="str">
        <f>VLOOKUP(RawSalesTable6[[#This Row],[Product_ID_Clean]],ProductsTable[],3,FALSE)</f>
        <v>Accessories</v>
      </c>
      <c r="Z577" s="8">
        <f>VLOOKUP(RawSalesTable6[[#This Row],[Product_ID_Clean]],ProductsTable[],5,FALSE)</f>
        <v>78.95</v>
      </c>
      <c r="AA577" s="8">
        <f>RawSalesTable6[[#This Row],[Unit_Price]]*RawSalesTable6[[#This Row],[Quantity]]</f>
        <v>152.36000000000001</v>
      </c>
      <c r="AB577" s="8">
        <f>RawSalesTable6[[#This Row],[Gross_Sales]]*RawSalesTable6[[#This Row],[Discount_Pct]]</f>
        <v>7.6180000000000012</v>
      </c>
      <c r="AC577" s="8">
        <f>RawSalesTable6[[#This Row],[Gross_Sales]]-RawSalesTable6[[#This Row],[Discount_Amount]]</f>
        <v>144.74200000000002</v>
      </c>
      <c r="AD577" s="8">
        <f>RawSalesTable6[[#This Row],[Unit_Cost]]*RawSalesTable6[[#This Row],[Quantity]]</f>
        <v>78.95</v>
      </c>
      <c r="AE577" s="8">
        <f>RawSalesTable6[[#This Row],[Net_Sales]]-RawSalesTable6[[#This Row],[Total_Cost]]</f>
        <v>65.792000000000016</v>
      </c>
      <c r="AF577" s="9">
        <f>RawSalesTable6[[#This Row],[Profit]]/RawSalesTable6[[#This Row],[Net_Sales]]</f>
        <v>0.45454671069903696</v>
      </c>
      <c r="AG577" s="8">
        <f>YEAR(RawSalesTable6[[#This Row],[Order_Date]])</f>
        <v>2025</v>
      </c>
      <c r="AH577" s="8">
        <f>MONTH(RawSalesTable6[[#This Row],[Order_Date]])</f>
        <v>2</v>
      </c>
      <c r="AI577" s="8" t="str">
        <f>TEXT(RawSalesTable6[[#This Row],[Order_Date]],"mmmm")</f>
        <v>février</v>
      </c>
      <c r="AJ577" s="8" t="str">
        <f>IF(RawSalesTable6[[#This Row],[Month_Number]]&lt;=3,"Q1",IF(RawSalesTable6[[#This Row],[Month_Number]]&lt;=6,"Q2",IF(RawSalesTable6[[#This Row],[Month_Number]]&lt;=9,"Q3","Q4")))</f>
        <v>Q1</v>
      </c>
      <c r="AK577" s="8" t="str">
        <f>VLOOKUP(RawSalesTable6[[#This Row],[Customer_ID_Clean]],CustomersTable[],4,FALSE)</f>
        <v>Quebec</v>
      </c>
      <c r="AL577" s="8">
        <f>IF(RawSalesTable6[[#This Row],[Return_Status]]="Yes",1,0)</f>
        <v>0</v>
      </c>
    </row>
    <row r="578" spans="1:38">
      <c r="A578" t="s">
        <v>1016</v>
      </c>
      <c r="B578" s="3">
        <v>45911</v>
      </c>
      <c r="C578" t="s">
        <v>371</v>
      </c>
      <c r="D578" t="s">
        <v>136</v>
      </c>
      <c r="E578" t="s">
        <v>372</v>
      </c>
      <c r="F578" t="s">
        <v>187</v>
      </c>
      <c r="G578" t="s">
        <v>88</v>
      </c>
      <c r="H578" t="s">
        <v>97</v>
      </c>
      <c r="I578">
        <v>4</v>
      </c>
      <c r="J578" s="2">
        <v>158.27000000000001</v>
      </c>
      <c r="K578" s="4">
        <v>0.15</v>
      </c>
      <c r="L578" t="s">
        <v>98</v>
      </c>
      <c r="M578">
        <v>2</v>
      </c>
      <c r="N578" t="s">
        <v>91</v>
      </c>
      <c r="O578" t="str">
        <f>SUBSTITUTE(PROPER(TRIM(RawSalesTable6[[#This Row],[Channel_Raw]])),"Market Place","Marketplace")</f>
        <v>Retail Store</v>
      </c>
      <c r="P578" t="str">
        <f>TRIM(RawSalesTable6[[#This Row],[Product_ID]])</f>
        <v>P1003</v>
      </c>
      <c r="Q578" t="str">
        <f>TRIM(RawSalesTable6[[#This Row],[Customer_ID]])</f>
        <v>C0049</v>
      </c>
      <c r="R578" s="8" t="str">
        <f>PROPER(TRIM(RawSalesTable6[[#This Row],[Store_Raw]]))</f>
        <v>Vancouver West</v>
      </c>
      <c r="S578" s="8" t="str">
        <f>IF(TRIM(RawSalesTable6[[#This Row],[Payment_Method_Raw]])="","Non renseigné",SUBSTITUTE(PROPER(TRIM(RawSalesTable6[[#This Row],[Payment_Method_Raw]])),"Cc","Credit Card"))</f>
        <v>Debit Card</v>
      </c>
      <c r="T578" s="8">
        <f>COUNTIF(A:A,RawSalesTable6[[#This Row],[Order_ID]])</f>
        <v>1</v>
      </c>
      <c r="U578" s="8" t="str">
        <f>TRIM(LEFT(RawSalesTable6[[#This Row],[Customer_Info]],FIND(",",RawSalesTable6[[#This Row],[Customer_Info]])-1))</f>
        <v>Olivia Scott</v>
      </c>
      <c r="V578" s="8" t="str">
        <f>TRIM(MID(RawSalesTable6[[#This Row],[Customer_Info]],FIND(",",RawSalesTable6[[#This Row],[Customer_Info]])+1,FIND(",",RawSalesTable6[[#This Row],[Customer_Info]],FIND(",",RawSalesTable6[[#This Row],[Customer_Info]])+1)-FIND(",",RawSalesTable6[[#This Row],[Customer_Info]])-1))</f>
        <v>Quebec City</v>
      </c>
      <c r="W578" s="8" t="str">
        <f>TRIM(RIGHT(RawSalesTable6[[#This Row],[Customer_Info]],LEN(RawSalesTable6[[#This Row],[Customer_Info]])-FIND(",",RawSalesTable6[[#This Row],[Customer_Info]],FIND(",",RawSalesTable6[[#This Row],[Customer_Info]])+1)))</f>
        <v>Consumer</v>
      </c>
      <c r="X578" s="8" t="str">
        <f>VLOOKUP(RawSalesTable6[[#This Row],[Product_ID_Clean]],ProductsTable[],2,FALSE)</f>
        <v>Mouse</v>
      </c>
      <c r="Y578" s="8" t="str">
        <f>VLOOKUP(RawSalesTable6[[#This Row],[Product_ID_Clean]],ProductsTable[],3,FALSE)</f>
        <v>Electronics</v>
      </c>
      <c r="Z578" s="8">
        <f>VLOOKUP(RawSalesTable6[[#This Row],[Product_ID_Clean]],ProductsTable[],5,FALSE)</f>
        <v>106.4</v>
      </c>
      <c r="AA578" s="8">
        <f>RawSalesTable6[[#This Row],[Unit_Price]]*RawSalesTable6[[#This Row],[Quantity]]</f>
        <v>633.08000000000004</v>
      </c>
      <c r="AB578" s="8">
        <f>RawSalesTable6[[#This Row],[Gross_Sales]]*RawSalesTable6[[#This Row],[Discount_Pct]]</f>
        <v>94.962000000000003</v>
      </c>
      <c r="AC578" s="8">
        <f>RawSalesTable6[[#This Row],[Gross_Sales]]-RawSalesTable6[[#This Row],[Discount_Amount]]</f>
        <v>538.11800000000005</v>
      </c>
      <c r="AD578" s="8">
        <f>RawSalesTable6[[#This Row],[Unit_Cost]]*RawSalesTable6[[#This Row],[Quantity]]</f>
        <v>425.6</v>
      </c>
      <c r="AE578" s="8">
        <f>RawSalesTable6[[#This Row],[Net_Sales]]-RawSalesTable6[[#This Row],[Total_Cost]]</f>
        <v>112.51800000000003</v>
      </c>
      <c r="AF578" s="9">
        <f>RawSalesTable6[[#This Row],[Profit]]/RawSalesTable6[[#This Row],[Net_Sales]]</f>
        <v>0.20909540286702921</v>
      </c>
      <c r="AG578" s="8">
        <f>YEAR(RawSalesTable6[[#This Row],[Order_Date]])</f>
        <v>2025</v>
      </c>
      <c r="AH578" s="8">
        <f>MONTH(RawSalesTable6[[#This Row],[Order_Date]])</f>
        <v>9</v>
      </c>
      <c r="AI578" s="8" t="str">
        <f>TEXT(RawSalesTable6[[#This Row],[Order_Date]],"mmmm")</f>
        <v>septembre</v>
      </c>
      <c r="AJ578" s="8" t="str">
        <f>IF(RawSalesTable6[[#This Row],[Month_Number]]&lt;=3,"Q1",IF(RawSalesTable6[[#This Row],[Month_Number]]&lt;=6,"Q2",IF(RawSalesTable6[[#This Row],[Month_Number]]&lt;=9,"Q3","Q4")))</f>
        <v>Q3</v>
      </c>
      <c r="AK578" s="8" t="str">
        <f>VLOOKUP(RawSalesTable6[[#This Row],[Customer_ID_Clean]],CustomersTable[],4,FALSE)</f>
        <v>Quebec</v>
      </c>
      <c r="AL578" s="8">
        <f>IF(RawSalesTable6[[#This Row],[Return_Status]]="Yes",1,0)</f>
        <v>0</v>
      </c>
    </row>
    <row r="579" spans="1:38">
      <c r="A579" t="s">
        <v>1017</v>
      </c>
      <c r="B579" s="3">
        <v>45943</v>
      </c>
      <c r="C579" t="s">
        <v>248</v>
      </c>
      <c r="D579" t="s">
        <v>244</v>
      </c>
      <c r="E579" t="s">
        <v>250</v>
      </c>
      <c r="F579" t="s">
        <v>116</v>
      </c>
      <c r="G579" t="s">
        <v>88</v>
      </c>
      <c r="H579" t="s">
        <v>89</v>
      </c>
      <c r="I579">
        <v>1</v>
      </c>
      <c r="J579" s="2">
        <v>237.69</v>
      </c>
      <c r="K579" s="4">
        <v>0.2</v>
      </c>
      <c r="L579" t="s">
        <v>106</v>
      </c>
      <c r="M579">
        <v>7</v>
      </c>
      <c r="N579" t="s">
        <v>147</v>
      </c>
      <c r="O579" t="str">
        <f>SUBSTITUTE(PROPER(TRIM(RawSalesTable6[[#This Row],[Channel_Raw]])),"Market Place","Marketplace")</f>
        <v>Online</v>
      </c>
      <c r="P579" t="str">
        <f>TRIM(RawSalesTable6[[#This Row],[Product_ID]])</f>
        <v>P1005</v>
      </c>
      <c r="Q579" t="str">
        <f>TRIM(RawSalesTable6[[#This Row],[Customer_ID]])</f>
        <v>C0012</v>
      </c>
      <c r="R579" s="8" t="str">
        <f>PROPER(TRIM(RawSalesTable6[[#This Row],[Store_Raw]]))</f>
        <v>Toronto Downtown</v>
      </c>
      <c r="S579" s="8" t="str">
        <f>IF(TRIM(RawSalesTable6[[#This Row],[Payment_Method_Raw]])="","Non renseigné",SUBSTITUTE(PROPER(TRIM(RawSalesTable6[[#This Row],[Payment_Method_Raw]])),"Cc","Credit Card"))</f>
        <v>Credit Card</v>
      </c>
      <c r="T579" s="8">
        <f>COUNTIF(A:A,RawSalesTable6[[#This Row],[Order_ID]])</f>
        <v>1</v>
      </c>
      <c r="U579" s="8" t="str">
        <f>TRIM(LEFT(RawSalesTable6[[#This Row],[Customer_Info]],FIND(",",RawSalesTable6[[#This Row],[Customer_Info]])-1))</f>
        <v>Daniel Taylor</v>
      </c>
      <c r="V579" s="8" t="str">
        <f>TRIM(MID(RawSalesTable6[[#This Row],[Customer_Info]],FIND(",",RawSalesTable6[[#This Row],[Customer_Info]])+1,FIND(",",RawSalesTable6[[#This Row],[Customer_Info]],FIND(",",RawSalesTable6[[#This Row],[Customer_Info]])+1)-FIND(",",RawSalesTable6[[#This Row],[Customer_Info]])-1))</f>
        <v>Victoria</v>
      </c>
      <c r="W579" s="8" t="str">
        <f>TRIM(RIGHT(RawSalesTable6[[#This Row],[Customer_Info]],LEN(RawSalesTable6[[#This Row],[Customer_Info]])-FIND(",",RawSalesTable6[[#This Row],[Customer_Info]],FIND(",",RawSalesTable6[[#This Row],[Customer_Info]])+1)))</f>
        <v>Corporate</v>
      </c>
      <c r="X579" s="8" t="str">
        <f>VLOOKUP(RawSalesTable6[[#This Row],[Product_ID_Clean]],ProductsTable[],2,FALSE)</f>
        <v>Portable SSD</v>
      </c>
      <c r="Y579" s="8" t="str">
        <f>VLOOKUP(RawSalesTable6[[#This Row],[Product_ID_Clean]],ProductsTable[],3,FALSE)</f>
        <v>Electronics</v>
      </c>
      <c r="Z579" s="8">
        <f>VLOOKUP(RawSalesTable6[[#This Row],[Product_ID_Clean]],ProductsTable[],5,FALSE)</f>
        <v>131.19</v>
      </c>
      <c r="AA579" s="8">
        <f>RawSalesTable6[[#This Row],[Unit_Price]]*RawSalesTable6[[#This Row],[Quantity]]</f>
        <v>237.69</v>
      </c>
      <c r="AB579" s="8">
        <f>RawSalesTable6[[#This Row],[Gross_Sales]]*RawSalesTable6[[#This Row],[Discount_Pct]]</f>
        <v>47.538000000000004</v>
      </c>
      <c r="AC579" s="8">
        <f>RawSalesTable6[[#This Row],[Gross_Sales]]-RawSalesTable6[[#This Row],[Discount_Amount]]</f>
        <v>190.15199999999999</v>
      </c>
      <c r="AD579" s="8">
        <f>RawSalesTable6[[#This Row],[Unit_Cost]]*RawSalesTable6[[#This Row],[Quantity]]</f>
        <v>131.19</v>
      </c>
      <c r="AE579" s="8">
        <f>RawSalesTable6[[#This Row],[Net_Sales]]-RawSalesTable6[[#This Row],[Total_Cost]]</f>
        <v>58.961999999999989</v>
      </c>
      <c r="AF579" s="9">
        <f>RawSalesTable6[[#This Row],[Profit]]/RawSalesTable6[[#This Row],[Net_Sales]]</f>
        <v>0.31007825318692411</v>
      </c>
      <c r="AG579" s="8">
        <f>YEAR(RawSalesTable6[[#This Row],[Order_Date]])</f>
        <v>2025</v>
      </c>
      <c r="AH579" s="8">
        <f>MONTH(RawSalesTable6[[#This Row],[Order_Date]])</f>
        <v>10</v>
      </c>
      <c r="AI579" s="8" t="str">
        <f>TEXT(RawSalesTable6[[#This Row],[Order_Date]],"mmmm")</f>
        <v>octobre</v>
      </c>
      <c r="AJ579" s="8" t="str">
        <f>IF(RawSalesTable6[[#This Row],[Month_Number]]&lt;=3,"Q1",IF(RawSalesTable6[[#This Row],[Month_Number]]&lt;=6,"Q2",IF(RawSalesTable6[[#This Row],[Month_Number]]&lt;=9,"Q3","Q4")))</f>
        <v>Q4</v>
      </c>
      <c r="AK579" s="8" t="str">
        <f>VLOOKUP(RawSalesTable6[[#This Row],[Customer_ID_Clean]],CustomersTable[],4,FALSE)</f>
        <v>British Columbia</v>
      </c>
      <c r="AL579" s="8">
        <f>IF(RawSalesTable6[[#This Row],[Return_Status]]="Yes",1,0)</f>
        <v>1</v>
      </c>
    </row>
    <row r="580" spans="1:38">
      <c r="A580" t="s">
        <v>1018</v>
      </c>
      <c r="B580" s="3">
        <v>46001</v>
      </c>
      <c r="C580" t="s">
        <v>410</v>
      </c>
      <c r="D580" t="s">
        <v>190</v>
      </c>
      <c r="E580" t="s">
        <v>411</v>
      </c>
      <c r="F580" t="s">
        <v>116</v>
      </c>
      <c r="G580" t="s">
        <v>183</v>
      </c>
      <c r="H580" t="s">
        <v>89</v>
      </c>
      <c r="I580">
        <v>1</v>
      </c>
      <c r="J580" s="2">
        <v>270.91000000000003</v>
      </c>
      <c r="K580" s="4">
        <v>0.2</v>
      </c>
      <c r="L580" t="s">
        <v>106</v>
      </c>
      <c r="M580">
        <v>3</v>
      </c>
      <c r="N580" t="s">
        <v>91</v>
      </c>
      <c r="O580" t="str">
        <f>SUBSTITUTE(PROPER(TRIM(RawSalesTable6[[#This Row],[Channel_Raw]])),"Market Place","Marketplace")</f>
        <v>Online</v>
      </c>
      <c r="P580" t="str">
        <f>TRIM(RawSalesTable6[[#This Row],[Product_ID]])</f>
        <v>P1004</v>
      </c>
      <c r="Q580" t="str">
        <f>TRIM(RawSalesTable6[[#This Row],[Customer_ID]])</f>
        <v>C0093</v>
      </c>
      <c r="R580" s="8" t="str">
        <f>PROPER(TRIM(RawSalesTable6[[#This Row],[Store_Raw]]))</f>
        <v>Toronto Downtown</v>
      </c>
      <c r="S580" s="8" t="str">
        <f>IF(TRIM(RawSalesTable6[[#This Row],[Payment_Method_Raw]])="","Non renseigné",SUBSTITUTE(PROPER(TRIM(RawSalesTable6[[#This Row],[Payment_Method_Raw]])),"Cc","Credit Card"))</f>
        <v>Credit Card</v>
      </c>
      <c r="T580" s="8">
        <f>COUNTIF(A:A,RawSalesTable6[[#This Row],[Order_ID]])</f>
        <v>1</v>
      </c>
      <c r="U580" s="8" t="str">
        <f>TRIM(LEFT(RawSalesTable6[[#This Row],[Customer_Info]],FIND(",",RawSalesTable6[[#This Row],[Customer_Info]])-1))</f>
        <v>Ethan Roy</v>
      </c>
      <c r="V580" s="8" t="str">
        <f>TRIM(MID(RawSalesTable6[[#This Row],[Customer_Info]],FIND(",",RawSalesTable6[[#This Row],[Customer_Info]])+1,FIND(",",RawSalesTable6[[#This Row],[Customer_Info]],FIND(",",RawSalesTable6[[#This Row],[Customer_Info]])+1)-FIND(",",RawSalesTable6[[#This Row],[Customer_Info]])-1))</f>
        <v>Winnipeg</v>
      </c>
      <c r="W580" s="8" t="str">
        <f>TRIM(RIGHT(RawSalesTable6[[#This Row],[Customer_Info]],LEN(RawSalesTable6[[#This Row],[Customer_Info]])-FIND(",",RawSalesTable6[[#This Row],[Customer_Info]],FIND(",",RawSalesTable6[[#This Row],[Customer_Info]])+1)))</f>
        <v>Consumer</v>
      </c>
      <c r="X580" s="8" t="str">
        <f>VLOOKUP(RawSalesTable6[[#This Row],[Product_ID_Clean]],ProductsTable[],2,FALSE)</f>
        <v>Webcam</v>
      </c>
      <c r="Y580" s="8" t="str">
        <f>VLOOKUP(RawSalesTable6[[#This Row],[Product_ID_Clean]],ProductsTable[],3,FALSE)</f>
        <v>Electronics</v>
      </c>
      <c r="Z580" s="8">
        <f>VLOOKUP(RawSalesTable6[[#This Row],[Product_ID_Clean]],ProductsTable[],5,FALSE)</f>
        <v>154.72999999999999</v>
      </c>
      <c r="AA580" s="8">
        <f>RawSalesTable6[[#This Row],[Unit_Price]]*RawSalesTable6[[#This Row],[Quantity]]</f>
        <v>270.91000000000003</v>
      </c>
      <c r="AB580" s="8">
        <f>RawSalesTable6[[#This Row],[Gross_Sales]]*RawSalesTable6[[#This Row],[Discount_Pct]]</f>
        <v>54.182000000000009</v>
      </c>
      <c r="AC580" s="8">
        <f>RawSalesTable6[[#This Row],[Gross_Sales]]-RawSalesTable6[[#This Row],[Discount_Amount]]</f>
        <v>216.72800000000001</v>
      </c>
      <c r="AD580" s="8">
        <f>RawSalesTable6[[#This Row],[Unit_Cost]]*RawSalesTable6[[#This Row],[Quantity]]</f>
        <v>154.72999999999999</v>
      </c>
      <c r="AE580" s="8">
        <f>RawSalesTable6[[#This Row],[Net_Sales]]-RawSalesTable6[[#This Row],[Total_Cost]]</f>
        <v>61.998000000000019</v>
      </c>
      <c r="AF580" s="9">
        <f>RawSalesTable6[[#This Row],[Profit]]/RawSalesTable6[[#This Row],[Net_Sales]]</f>
        <v>0.28606363737034446</v>
      </c>
      <c r="AG580" s="8">
        <f>YEAR(RawSalesTable6[[#This Row],[Order_Date]])</f>
        <v>2025</v>
      </c>
      <c r="AH580" s="8">
        <f>MONTH(RawSalesTable6[[#This Row],[Order_Date]])</f>
        <v>12</v>
      </c>
      <c r="AI580" s="8" t="str">
        <f>TEXT(RawSalesTable6[[#This Row],[Order_Date]],"mmmm")</f>
        <v>décembre</v>
      </c>
      <c r="AJ580" s="8" t="str">
        <f>IF(RawSalesTable6[[#This Row],[Month_Number]]&lt;=3,"Q1",IF(RawSalesTable6[[#This Row],[Month_Number]]&lt;=6,"Q2",IF(RawSalesTable6[[#This Row],[Month_Number]]&lt;=9,"Q3","Q4")))</f>
        <v>Q4</v>
      </c>
      <c r="AK580" s="8" t="str">
        <f>VLOOKUP(RawSalesTable6[[#This Row],[Customer_ID_Clean]],CustomersTable[],4,FALSE)</f>
        <v>Manitoba</v>
      </c>
      <c r="AL580" s="8">
        <f>IF(RawSalesTable6[[#This Row],[Return_Status]]="Yes",1,0)</f>
        <v>0</v>
      </c>
    </row>
    <row r="581" spans="1:38">
      <c r="A581" t="s">
        <v>1019</v>
      </c>
      <c r="B581" s="3">
        <v>45771</v>
      </c>
      <c r="C581" t="s">
        <v>851</v>
      </c>
      <c r="D581" t="s">
        <v>255</v>
      </c>
      <c r="E581" t="s">
        <v>852</v>
      </c>
      <c r="F581" t="s">
        <v>103</v>
      </c>
      <c r="G581" t="s">
        <v>183</v>
      </c>
      <c r="H581" t="s">
        <v>89</v>
      </c>
      <c r="I581">
        <v>3</v>
      </c>
      <c r="J581" s="2">
        <v>236.49</v>
      </c>
      <c r="K581" s="4">
        <v>0.1</v>
      </c>
      <c r="L581" t="s">
        <v>106</v>
      </c>
      <c r="M581">
        <v>8</v>
      </c>
      <c r="N581" t="s">
        <v>147</v>
      </c>
      <c r="O581" t="str">
        <f>SUBSTITUTE(PROPER(TRIM(RawSalesTable6[[#This Row],[Channel_Raw]])),"Market Place","Marketplace")</f>
        <v>Online</v>
      </c>
      <c r="P581" t="str">
        <f>TRIM(RawSalesTable6[[#This Row],[Product_ID]])</f>
        <v>P1014</v>
      </c>
      <c r="Q581" t="str">
        <f>TRIM(RawSalesTable6[[#This Row],[Customer_ID]])</f>
        <v>C0026</v>
      </c>
      <c r="R581" s="8" t="str">
        <f>PROPER(TRIM(RawSalesTable6[[#This Row],[Store_Raw]]))</f>
        <v>Vancouver West</v>
      </c>
      <c r="S581" s="8" t="str">
        <f>IF(TRIM(RawSalesTable6[[#This Row],[Payment_Method_Raw]])="","Non renseigné",SUBSTITUTE(PROPER(TRIM(RawSalesTable6[[#This Row],[Payment_Method_Raw]])),"Cc","Credit Card"))</f>
        <v>Credit Card</v>
      </c>
      <c r="T581" s="8">
        <f>COUNTIF(A:A,RawSalesTable6[[#This Row],[Order_ID]])</f>
        <v>1</v>
      </c>
      <c r="U581" s="8" t="str">
        <f>TRIM(LEFT(RawSalesTable6[[#This Row],[Customer_Info]],FIND(",",RawSalesTable6[[#This Row],[Customer_Info]])-1))</f>
        <v>Adam Hall</v>
      </c>
      <c r="V581" s="8" t="str">
        <f>TRIM(MID(RawSalesTable6[[#This Row],[Customer_Info]],FIND(",",RawSalesTable6[[#This Row],[Customer_Info]])+1,FIND(",",RawSalesTable6[[#This Row],[Customer_Info]],FIND(",",RawSalesTable6[[#This Row],[Customer_Info]])+1)-FIND(",",RawSalesTable6[[#This Row],[Customer_Info]])-1))</f>
        <v>Surrey</v>
      </c>
      <c r="W581" s="8" t="str">
        <f>TRIM(RIGHT(RawSalesTable6[[#This Row],[Customer_Info]],LEN(RawSalesTable6[[#This Row],[Customer_Info]])-FIND(",",RawSalesTable6[[#This Row],[Customer_Info]],FIND(",",RawSalesTable6[[#This Row],[Customer_Info]])+1)))</f>
        <v>Corporate</v>
      </c>
      <c r="X581" s="8" t="str">
        <f>VLOOKUP(RawSalesTable6[[#This Row],[Product_ID_Clean]],ProductsTable[],2,FALSE)</f>
        <v>Document Shredder</v>
      </c>
      <c r="Y581" s="8" t="str">
        <f>VLOOKUP(RawSalesTable6[[#This Row],[Product_ID_Clean]],ProductsTable[],3,FALSE)</f>
        <v>Office</v>
      </c>
      <c r="Z581" s="8">
        <f>VLOOKUP(RawSalesTable6[[#This Row],[Product_ID_Clean]],ProductsTable[],5,FALSE)</f>
        <v>117.65</v>
      </c>
      <c r="AA581" s="8">
        <f>RawSalesTable6[[#This Row],[Unit_Price]]*RawSalesTable6[[#This Row],[Quantity]]</f>
        <v>709.47</v>
      </c>
      <c r="AB581" s="8">
        <f>RawSalesTable6[[#This Row],[Gross_Sales]]*RawSalesTable6[[#This Row],[Discount_Pct]]</f>
        <v>70.947000000000003</v>
      </c>
      <c r="AC581" s="8">
        <f>RawSalesTable6[[#This Row],[Gross_Sales]]-RawSalesTable6[[#This Row],[Discount_Amount]]</f>
        <v>638.52300000000002</v>
      </c>
      <c r="AD581" s="8">
        <f>RawSalesTable6[[#This Row],[Unit_Cost]]*RawSalesTable6[[#This Row],[Quantity]]</f>
        <v>352.95000000000005</v>
      </c>
      <c r="AE581" s="8">
        <f>RawSalesTable6[[#This Row],[Net_Sales]]-RawSalesTable6[[#This Row],[Total_Cost]]</f>
        <v>285.57299999999998</v>
      </c>
      <c r="AF581" s="9">
        <f>RawSalesTable6[[#This Row],[Profit]]/RawSalesTable6[[#This Row],[Net_Sales]]</f>
        <v>0.44723995846664877</v>
      </c>
      <c r="AG581" s="8">
        <f>YEAR(RawSalesTable6[[#This Row],[Order_Date]])</f>
        <v>2025</v>
      </c>
      <c r="AH581" s="8">
        <f>MONTH(RawSalesTable6[[#This Row],[Order_Date]])</f>
        <v>4</v>
      </c>
      <c r="AI581" s="8" t="str">
        <f>TEXT(RawSalesTable6[[#This Row],[Order_Date]],"mmmm")</f>
        <v>avril</v>
      </c>
      <c r="AJ581" s="8" t="str">
        <f>IF(RawSalesTable6[[#This Row],[Month_Number]]&lt;=3,"Q1",IF(RawSalesTable6[[#This Row],[Month_Number]]&lt;=6,"Q2",IF(RawSalesTable6[[#This Row],[Month_Number]]&lt;=9,"Q3","Q4")))</f>
        <v>Q2</v>
      </c>
      <c r="AK581" s="8" t="str">
        <f>VLOOKUP(RawSalesTable6[[#This Row],[Customer_ID_Clean]],CustomersTable[],4,FALSE)</f>
        <v>British Columbia</v>
      </c>
      <c r="AL581" s="8">
        <f>IF(RawSalesTable6[[#This Row],[Return_Status]]="Yes",1,0)</f>
        <v>1</v>
      </c>
    </row>
    <row r="582" spans="1:38">
      <c r="A582" t="s">
        <v>1020</v>
      </c>
      <c r="B582" s="3">
        <v>45698</v>
      </c>
      <c r="C582" t="s">
        <v>851</v>
      </c>
      <c r="D582" t="s">
        <v>221</v>
      </c>
      <c r="E582" t="s">
        <v>1021</v>
      </c>
      <c r="F582" t="s">
        <v>145</v>
      </c>
      <c r="G582" t="s">
        <v>183</v>
      </c>
      <c r="H582" t="s">
        <v>89</v>
      </c>
      <c r="I582">
        <v>2</v>
      </c>
      <c r="J582" s="2">
        <v>31.95</v>
      </c>
      <c r="K582" s="4">
        <v>0.05</v>
      </c>
      <c r="L582" t="s">
        <v>432</v>
      </c>
      <c r="M582">
        <v>5</v>
      </c>
      <c r="N582" t="s">
        <v>91</v>
      </c>
      <c r="O582" t="str">
        <f>SUBSTITUTE(PROPER(TRIM(RawSalesTable6[[#This Row],[Channel_Raw]])),"Market Place","Marketplace")</f>
        <v>Online</v>
      </c>
      <c r="P582" t="str">
        <f>TRIM(RawSalesTable6[[#This Row],[Product_ID]])</f>
        <v>P1018</v>
      </c>
      <c r="Q582" t="str">
        <f>TRIM(RawSalesTable6[[#This Row],[Customer_ID]])</f>
        <v>C0026</v>
      </c>
      <c r="R582" s="8" t="str">
        <f>PROPER(TRIM(RawSalesTable6[[#This Row],[Store_Raw]]))</f>
        <v>Calgary North</v>
      </c>
      <c r="S582" s="8" t="str">
        <f>IF(TRIM(RawSalesTable6[[#This Row],[Payment_Method_Raw]])="","Non renseigné",SUBSTITUTE(PROPER(TRIM(RawSalesTable6[[#This Row],[Payment_Method_Raw]])),"Cc","Credit Card"))</f>
        <v>Paypal</v>
      </c>
      <c r="T582" s="8">
        <f>COUNTIF(A:A,RawSalesTable6[[#This Row],[Order_ID]])</f>
        <v>1</v>
      </c>
      <c r="U582" s="8" t="str">
        <f>TRIM(LEFT(RawSalesTable6[[#This Row],[Customer_Info]],FIND(",",RawSalesTable6[[#This Row],[Customer_Info]])-1))</f>
        <v>Adam Hall</v>
      </c>
      <c r="V582" s="8" t="str">
        <f>TRIM(MID(RawSalesTable6[[#This Row],[Customer_Info]],FIND(",",RawSalesTable6[[#This Row],[Customer_Info]])+1,FIND(",",RawSalesTable6[[#This Row],[Customer_Info]],FIND(",",RawSalesTable6[[#This Row],[Customer_Info]])+1)-FIND(",",RawSalesTable6[[#This Row],[Customer_Info]])-1))</f>
        <v>Surrey</v>
      </c>
      <c r="W582" s="8" t="str">
        <f>TRIM(RIGHT(RawSalesTable6[[#This Row],[Customer_Info]],LEN(RawSalesTable6[[#This Row],[Customer_Info]])-FIND(",",RawSalesTable6[[#This Row],[Customer_Info]],FIND(",",RawSalesTable6[[#This Row],[Customer_Info]])+1)))</f>
        <v>Corporate</v>
      </c>
      <c r="X582" s="8" t="str">
        <f>VLOOKUP(RawSalesTable6[[#This Row],[Product_ID_Clean]],ProductsTable[],2,FALSE)</f>
        <v>Air Fryer</v>
      </c>
      <c r="Y582" s="8" t="str">
        <f>VLOOKUP(RawSalesTable6[[#This Row],[Product_ID_Clean]],ProductsTable[],3,FALSE)</f>
        <v>Home</v>
      </c>
      <c r="Z582" s="8">
        <f>VLOOKUP(RawSalesTable6[[#This Row],[Product_ID_Clean]],ProductsTable[],5,FALSE)</f>
        <v>14.58</v>
      </c>
      <c r="AA582" s="8">
        <f>RawSalesTable6[[#This Row],[Unit_Price]]*RawSalesTable6[[#This Row],[Quantity]]</f>
        <v>63.9</v>
      </c>
      <c r="AB582" s="8">
        <f>RawSalesTable6[[#This Row],[Gross_Sales]]*RawSalesTable6[[#This Row],[Discount_Pct]]</f>
        <v>3.1950000000000003</v>
      </c>
      <c r="AC582" s="8">
        <f>RawSalesTable6[[#This Row],[Gross_Sales]]-RawSalesTable6[[#This Row],[Discount_Amount]]</f>
        <v>60.704999999999998</v>
      </c>
      <c r="AD582" s="8">
        <f>RawSalesTable6[[#This Row],[Unit_Cost]]*RawSalesTable6[[#This Row],[Quantity]]</f>
        <v>29.16</v>
      </c>
      <c r="AE582" s="8">
        <f>RawSalesTable6[[#This Row],[Net_Sales]]-RawSalesTable6[[#This Row],[Total_Cost]]</f>
        <v>31.544999999999998</v>
      </c>
      <c r="AF582" s="9">
        <f>RawSalesTable6[[#This Row],[Profit]]/RawSalesTable6[[#This Row],[Net_Sales]]</f>
        <v>0.51964418087472197</v>
      </c>
      <c r="AG582" s="8">
        <f>YEAR(RawSalesTable6[[#This Row],[Order_Date]])</f>
        <v>2025</v>
      </c>
      <c r="AH582" s="8">
        <f>MONTH(RawSalesTable6[[#This Row],[Order_Date]])</f>
        <v>2</v>
      </c>
      <c r="AI582" s="8" t="str">
        <f>TEXT(RawSalesTable6[[#This Row],[Order_Date]],"mmmm")</f>
        <v>février</v>
      </c>
      <c r="AJ582" s="8" t="str">
        <f>IF(RawSalesTable6[[#This Row],[Month_Number]]&lt;=3,"Q1",IF(RawSalesTable6[[#This Row],[Month_Number]]&lt;=6,"Q2",IF(RawSalesTable6[[#This Row],[Month_Number]]&lt;=9,"Q3","Q4")))</f>
        <v>Q1</v>
      </c>
      <c r="AK582" s="8" t="str">
        <f>VLOOKUP(RawSalesTable6[[#This Row],[Customer_ID_Clean]],CustomersTable[],4,FALSE)</f>
        <v>British Columbia</v>
      </c>
      <c r="AL582" s="8">
        <f>IF(RawSalesTable6[[#This Row],[Return_Status]]="Yes",1,0)</f>
        <v>0</v>
      </c>
    </row>
    <row r="583" spans="1:38">
      <c r="A583" t="s">
        <v>1022</v>
      </c>
      <c r="B583" s="3">
        <v>46018</v>
      </c>
      <c r="C583" t="s">
        <v>343</v>
      </c>
      <c r="D583" t="s">
        <v>174</v>
      </c>
      <c r="E583" t="s">
        <v>344</v>
      </c>
      <c r="F583" t="s">
        <v>145</v>
      </c>
      <c r="G583" t="s">
        <v>171</v>
      </c>
      <c r="H583" t="s">
        <v>97</v>
      </c>
      <c r="I583">
        <v>1</v>
      </c>
      <c r="J583" s="2">
        <v>39.03</v>
      </c>
      <c r="K583" s="4">
        <v>0.2</v>
      </c>
      <c r="L583" t="s">
        <v>106</v>
      </c>
      <c r="M583">
        <v>0</v>
      </c>
      <c r="N583" t="s">
        <v>91</v>
      </c>
      <c r="O583" t="str">
        <f>SUBSTITUTE(PROPER(TRIM(RawSalesTable6[[#This Row],[Channel_Raw]])),"Market Place","Marketplace")</f>
        <v>Retail Store</v>
      </c>
      <c r="P583" t="str">
        <f>TRIM(RawSalesTable6[[#This Row],[Product_ID]])</f>
        <v>P1002</v>
      </c>
      <c r="Q583" t="str">
        <f>TRIM(RawSalesTable6[[#This Row],[Customer_ID]])</f>
        <v>C0114</v>
      </c>
      <c r="R583" s="8" t="str">
        <f>PROPER(TRIM(RawSalesTable6[[#This Row],[Store_Raw]]))</f>
        <v>Calgary North</v>
      </c>
      <c r="S583" s="8" t="str">
        <f>IF(TRIM(RawSalesTable6[[#This Row],[Payment_Method_Raw]])="","Non renseigné",SUBSTITUTE(PROPER(TRIM(RawSalesTable6[[#This Row],[Payment_Method_Raw]])),"Cc","Credit Card"))</f>
        <v>Credit Card</v>
      </c>
      <c r="T583" s="8">
        <f>COUNTIF(A:A,RawSalesTable6[[#This Row],[Order_ID]])</f>
        <v>1</v>
      </c>
      <c r="U583" s="8" t="str">
        <f>TRIM(LEFT(RawSalesTable6[[#This Row],[Customer_Info]],FIND(",",RawSalesTable6[[#This Row],[Customer_Info]])-1))</f>
        <v>Olivia Johnson</v>
      </c>
      <c r="V583" s="8" t="str">
        <f>TRIM(MID(RawSalesTable6[[#This Row],[Customer_Info]],FIND(",",RawSalesTable6[[#This Row],[Customer_Info]])+1,FIND(",",RawSalesTable6[[#This Row],[Customer_Info]],FIND(",",RawSalesTable6[[#This Row],[Customer_Info]])+1)-FIND(",",RawSalesTable6[[#This Row],[Customer_Info]])-1))</f>
        <v>Ottawa</v>
      </c>
      <c r="W583" s="8" t="str">
        <f>TRIM(RIGHT(RawSalesTable6[[#This Row],[Customer_Info]],LEN(RawSalesTable6[[#This Row],[Customer_Info]])-FIND(",",RawSalesTable6[[#This Row],[Customer_Info]],FIND(",",RawSalesTable6[[#This Row],[Customer_Info]])+1)))</f>
        <v>Consumer</v>
      </c>
      <c r="X583" s="8" t="str">
        <f>VLOOKUP(RawSalesTable6[[#This Row],[Product_ID_Clean]],ProductsTable[],2,FALSE)</f>
        <v>Keyboard</v>
      </c>
      <c r="Y583" s="8" t="str">
        <f>VLOOKUP(RawSalesTable6[[#This Row],[Product_ID_Clean]],ProductsTable[],3,FALSE)</f>
        <v>Electronics</v>
      </c>
      <c r="Z583" s="8">
        <f>VLOOKUP(RawSalesTable6[[#This Row],[Product_ID_Clean]],ProductsTable[],5,FALSE)</f>
        <v>23.5</v>
      </c>
      <c r="AA583" s="8">
        <f>RawSalesTable6[[#This Row],[Unit_Price]]*RawSalesTable6[[#This Row],[Quantity]]</f>
        <v>39.03</v>
      </c>
      <c r="AB583" s="8">
        <f>RawSalesTable6[[#This Row],[Gross_Sales]]*RawSalesTable6[[#This Row],[Discount_Pct]]</f>
        <v>7.8060000000000009</v>
      </c>
      <c r="AC583" s="8">
        <f>RawSalesTable6[[#This Row],[Gross_Sales]]-RawSalesTable6[[#This Row],[Discount_Amount]]</f>
        <v>31.224</v>
      </c>
      <c r="AD583" s="8">
        <f>RawSalesTable6[[#This Row],[Unit_Cost]]*RawSalesTable6[[#This Row],[Quantity]]</f>
        <v>23.5</v>
      </c>
      <c r="AE583" s="8">
        <f>RawSalesTable6[[#This Row],[Net_Sales]]-RawSalesTable6[[#This Row],[Total_Cost]]</f>
        <v>7.7240000000000002</v>
      </c>
      <c r="AF583" s="9">
        <f>RawSalesTable6[[#This Row],[Profit]]/RawSalesTable6[[#This Row],[Net_Sales]]</f>
        <v>0.24737381501409172</v>
      </c>
      <c r="AG583" s="8">
        <f>YEAR(RawSalesTable6[[#This Row],[Order_Date]])</f>
        <v>2025</v>
      </c>
      <c r="AH583" s="8">
        <f>MONTH(RawSalesTable6[[#This Row],[Order_Date]])</f>
        <v>12</v>
      </c>
      <c r="AI583" s="8" t="str">
        <f>TEXT(RawSalesTable6[[#This Row],[Order_Date]],"mmmm")</f>
        <v>décembre</v>
      </c>
      <c r="AJ583" s="8" t="str">
        <f>IF(RawSalesTable6[[#This Row],[Month_Number]]&lt;=3,"Q1",IF(RawSalesTable6[[#This Row],[Month_Number]]&lt;=6,"Q2",IF(RawSalesTable6[[#This Row],[Month_Number]]&lt;=9,"Q3","Q4")))</f>
        <v>Q4</v>
      </c>
      <c r="AK583" s="8" t="str">
        <f>VLOOKUP(RawSalesTable6[[#This Row],[Customer_ID_Clean]],CustomersTable[],4,FALSE)</f>
        <v>Ontario</v>
      </c>
      <c r="AL583" s="8">
        <f>IF(RawSalesTable6[[#This Row],[Return_Status]]="Yes",1,0)</f>
        <v>0</v>
      </c>
    </row>
    <row r="584" spans="1:38">
      <c r="A584" t="s">
        <v>1023</v>
      </c>
      <c r="B584" s="3">
        <v>45785</v>
      </c>
      <c r="C584" t="s">
        <v>374</v>
      </c>
      <c r="D584" t="s">
        <v>418</v>
      </c>
      <c r="E584" t="s">
        <v>375</v>
      </c>
      <c r="F584" t="s">
        <v>103</v>
      </c>
      <c r="G584" t="s">
        <v>122</v>
      </c>
      <c r="H584" t="s">
        <v>89</v>
      </c>
      <c r="I584">
        <v>1</v>
      </c>
      <c r="J584" s="2">
        <v>377.22</v>
      </c>
      <c r="K584" s="4">
        <v>0.05</v>
      </c>
      <c r="L584" t="s">
        <v>98</v>
      </c>
      <c r="M584">
        <v>7</v>
      </c>
      <c r="N584" t="s">
        <v>91</v>
      </c>
      <c r="O584" t="str">
        <f>SUBSTITUTE(PROPER(TRIM(RawSalesTable6[[#This Row],[Channel_Raw]])),"Market Place","Marketplace")</f>
        <v>Online</v>
      </c>
      <c r="P584" t="str">
        <f>TRIM(RawSalesTable6[[#This Row],[Product_ID]])</f>
        <v>P1028</v>
      </c>
      <c r="Q584" t="str">
        <f>TRIM(RawSalesTable6[[#This Row],[Customer_ID]])</f>
        <v>C0035</v>
      </c>
      <c r="R584" s="8" t="str">
        <f>PROPER(TRIM(RawSalesTable6[[#This Row],[Store_Raw]]))</f>
        <v>Vancouver West</v>
      </c>
      <c r="S584" s="8" t="str">
        <f>IF(TRIM(RawSalesTable6[[#This Row],[Payment_Method_Raw]])="","Non renseigné",SUBSTITUTE(PROPER(TRIM(RawSalesTable6[[#This Row],[Payment_Method_Raw]])),"Cc","Credit Card"))</f>
        <v>Debit Card</v>
      </c>
      <c r="T584" s="8">
        <f>COUNTIF(A:A,RawSalesTable6[[#This Row],[Order_ID]])</f>
        <v>1</v>
      </c>
      <c r="U584" s="8" t="str">
        <f>TRIM(LEFT(RawSalesTable6[[#This Row],[Customer_Info]],FIND(",",RawSalesTable6[[#This Row],[Customer_Info]])-1))</f>
        <v>Amelia Scott</v>
      </c>
      <c r="V584" s="8" t="str">
        <f>TRIM(MID(RawSalesTable6[[#This Row],[Customer_Info]],FIND(",",RawSalesTable6[[#This Row],[Customer_Info]])+1,FIND(",",RawSalesTable6[[#This Row],[Customer_Info]],FIND(",",RawSalesTable6[[#This Row],[Customer_Info]])+1)-FIND(",",RawSalesTable6[[#This Row],[Customer_Info]])-1))</f>
        <v>Edmonton</v>
      </c>
      <c r="W584" s="8" t="str">
        <f>TRIM(RIGHT(RawSalesTable6[[#This Row],[Customer_Info]],LEN(RawSalesTable6[[#This Row],[Customer_Info]])-FIND(",",RawSalesTable6[[#This Row],[Customer_Info]],FIND(",",RawSalesTable6[[#This Row],[Customer_Info]])+1)))</f>
        <v>Small Business</v>
      </c>
      <c r="X584" s="8" t="str">
        <f>VLOOKUP(RawSalesTable6[[#This Row],[Product_ID_Clean]],ProductsTable[],2,FALSE)</f>
        <v>Foam Roller</v>
      </c>
      <c r="Y584" s="8" t="str">
        <f>VLOOKUP(RawSalesTable6[[#This Row],[Product_ID_Clean]],ProductsTable[],3,FALSE)</f>
        <v>Fitness</v>
      </c>
      <c r="Z584" s="8">
        <f>VLOOKUP(RawSalesTable6[[#This Row],[Product_ID_Clean]],ProductsTable[],5,FALSE)</f>
        <v>212.02</v>
      </c>
      <c r="AA584" s="8">
        <f>RawSalesTable6[[#This Row],[Unit_Price]]*RawSalesTable6[[#This Row],[Quantity]]</f>
        <v>377.22</v>
      </c>
      <c r="AB584" s="8">
        <f>RawSalesTable6[[#This Row],[Gross_Sales]]*RawSalesTable6[[#This Row],[Discount_Pct]]</f>
        <v>18.861000000000001</v>
      </c>
      <c r="AC584" s="8">
        <f>RawSalesTable6[[#This Row],[Gross_Sales]]-RawSalesTable6[[#This Row],[Discount_Amount]]</f>
        <v>358.35900000000004</v>
      </c>
      <c r="AD584" s="8">
        <f>RawSalesTable6[[#This Row],[Unit_Cost]]*RawSalesTable6[[#This Row],[Quantity]]</f>
        <v>212.02</v>
      </c>
      <c r="AE584" s="8">
        <f>RawSalesTable6[[#This Row],[Net_Sales]]-RawSalesTable6[[#This Row],[Total_Cost]]</f>
        <v>146.33900000000003</v>
      </c>
      <c r="AF584" s="9">
        <f>RawSalesTable6[[#This Row],[Profit]]/RawSalesTable6[[#This Row],[Net_Sales]]</f>
        <v>0.40835865710084024</v>
      </c>
      <c r="AG584" s="8">
        <f>YEAR(RawSalesTable6[[#This Row],[Order_Date]])</f>
        <v>2025</v>
      </c>
      <c r="AH584" s="8">
        <f>MONTH(RawSalesTable6[[#This Row],[Order_Date]])</f>
        <v>5</v>
      </c>
      <c r="AI584" s="8" t="str">
        <f>TEXT(RawSalesTable6[[#This Row],[Order_Date]],"mmmm")</f>
        <v>mai</v>
      </c>
      <c r="AJ584" s="8" t="str">
        <f>IF(RawSalesTable6[[#This Row],[Month_Number]]&lt;=3,"Q1",IF(RawSalesTable6[[#This Row],[Month_Number]]&lt;=6,"Q2",IF(RawSalesTable6[[#This Row],[Month_Number]]&lt;=9,"Q3","Q4")))</f>
        <v>Q2</v>
      </c>
      <c r="AK584" s="8" t="str">
        <f>VLOOKUP(RawSalesTable6[[#This Row],[Customer_ID_Clean]],CustomersTable[],4,FALSE)</f>
        <v>Alberta</v>
      </c>
      <c r="AL584" s="8">
        <f>IF(RawSalesTable6[[#This Row],[Return_Status]]="Yes",1,0)</f>
        <v>0</v>
      </c>
    </row>
    <row r="585" spans="1:38">
      <c r="A585" t="s">
        <v>1024</v>
      </c>
      <c r="B585" s="3">
        <v>45988</v>
      </c>
      <c r="C585" t="s">
        <v>169</v>
      </c>
      <c r="D585" t="s">
        <v>210</v>
      </c>
      <c r="E585" t="s">
        <v>170</v>
      </c>
      <c r="F585" t="s">
        <v>103</v>
      </c>
      <c r="G585" t="s">
        <v>130</v>
      </c>
      <c r="H585" t="s">
        <v>97</v>
      </c>
      <c r="I585">
        <v>3</v>
      </c>
      <c r="J585" s="2">
        <v>292.93</v>
      </c>
      <c r="K585" s="4">
        <v>0.05</v>
      </c>
      <c r="L585" t="s">
        <v>98</v>
      </c>
      <c r="M585">
        <v>0</v>
      </c>
      <c r="N585" t="s">
        <v>91</v>
      </c>
      <c r="O585" t="str">
        <f>SUBSTITUTE(PROPER(TRIM(RawSalesTable6[[#This Row],[Channel_Raw]])),"Market Place","Marketplace")</f>
        <v>Retail Store</v>
      </c>
      <c r="P585" t="str">
        <f>TRIM(RawSalesTable6[[#This Row],[Product_ID]])</f>
        <v>P1040</v>
      </c>
      <c r="Q585" t="str">
        <f>TRIM(RawSalesTable6[[#This Row],[Customer_ID]])</f>
        <v>C0064</v>
      </c>
      <c r="R585" s="8" t="str">
        <f>PROPER(TRIM(RawSalesTable6[[#This Row],[Store_Raw]]))</f>
        <v>Vancouver West</v>
      </c>
      <c r="S585" s="8" t="str">
        <f>IF(TRIM(RawSalesTable6[[#This Row],[Payment_Method_Raw]])="","Non renseigné",SUBSTITUTE(PROPER(TRIM(RawSalesTable6[[#This Row],[Payment_Method_Raw]])),"Cc","Credit Card"))</f>
        <v>Debit Card</v>
      </c>
      <c r="T585" s="8">
        <f>COUNTIF(A:A,RawSalesTable6[[#This Row],[Order_ID]])</f>
        <v>1</v>
      </c>
      <c r="U585" s="8" t="str">
        <f>TRIM(LEFT(RawSalesTable6[[#This Row],[Customer_Info]],FIND(",",RawSalesTable6[[#This Row],[Customer_Info]])-1))</f>
        <v>Amine Khan</v>
      </c>
      <c r="V585" s="8" t="str">
        <f>TRIM(MID(RawSalesTable6[[#This Row],[Customer_Info]],FIND(",",RawSalesTable6[[#This Row],[Customer_Info]])+1,FIND(",",RawSalesTable6[[#This Row],[Customer_Info]],FIND(",",RawSalesTable6[[#This Row],[Customer_Info]])+1)-FIND(",",RawSalesTable6[[#This Row],[Customer_Info]])-1))</f>
        <v>Edmonton</v>
      </c>
      <c r="W585" s="8" t="str">
        <f>TRIM(RIGHT(RawSalesTable6[[#This Row],[Customer_Info]],LEN(RawSalesTable6[[#This Row],[Customer_Info]])-FIND(",",RawSalesTable6[[#This Row],[Customer_Info]],FIND(",",RawSalesTable6[[#This Row],[Customer_Info]])+1)))</f>
        <v>Consumer</v>
      </c>
      <c r="X585" s="8" t="str">
        <f>VLOOKUP(RawSalesTable6[[#This Row],[Product_ID_Clean]],ProductsTable[],2,FALSE)</f>
        <v>Desk Pad</v>
      </c>
      <c r="Y585" s="8" t="str">
        <f>VLOOKUP(RawSalesTable6[[#This Row],[Product_ID_Clean]],ProductsTable[],3,FALSE)</f>
        <v>Accessories</v>
      </c>
      <c r="Z585" s="8">
        <f>VLOOKUP(RawSalesTable6[[#This Row],[Product_ID_Clean]],ProductsTable[],5,FALSE)</f>
        <v>177.57</v>
      </c>
      <c r="AA585" s="8">
        <f>RawSalesTable6[[#This Row],[Unit_Price]]*RawSalesTable6[[#This Row],[Quantity]]</f>
        <v>878.79</v>
      </c>
      <c r="AB585" s="8">
        <f>RawSalesTable6[[#This Row],[Gross_Sales]]*RawSalesTable6[[#This Row],[Discount_Pct]]</f>
        <v>43.939500000000002</v>
      </c>
      <c r="AC585" s="8">
        <f>RawSalesTable6[[#This Row],[Gross_Sales]]-RawSalesTable6[[#This Row],[Discount_Amount]]</f>
        <v>834.85050000000001</v>
      </c>
      <c r="AD585" s="8">
        <f>RawSalesTable6[[#This Row],[Unit_Cost]]*RawSalesTable6[[#This Row],[Quantity]]</f>
        <v>532.71</v>
      </c>
      <c r="AE585" s="8">
        <f>RawSalesTable6[[#This Row],[Net_Sales]]-RawSalesTable6[[#This Row],[Total_Cost]]</f>
        <v>302.14049999999997</v>
      </c>
      <c r="AF585" s="9">
        <f>RawSalesTable6[[#This Row],[Profit]]/RawSalesTable6[[#This Row],[Net_Sales]]</f>
        <v>0.36190970718709514</v>
      </c>
      <c r="AG585" s="8">
        <f>YEAR(RawSalesTable6[[#This Row],[Order_Date]])</f>
        <v>2025</v>
      </c>
      <c r="AH585" s="8">
        <f>MONTH(RawSalesTable6[[#This Row],[Order_Date]])</f>
        <v>11</v>
      </c>
      <c r="AI585" s="8" t="str">
        <f>TEXT(RawSalesTable6[[#This Row],[Order_Date]],"mmmm")</f>
        <v>novembre</v>
      </c>
      <c r="AJ585" s="8" t="str">
        <f>IF(RawSalesTable6[[#This Row],[Month_Number]]&lt;=3,"Q1",IF(RawSalesTable6[[#This Row],[Month_Number]]&lt;=6,"Q2",IF(RawSalesTable6[[#This Row],[Month_Number]]&lt;=9,"Q3","Q4")))</f>
        <v>Q4</v>
      </c>
      <c r="AK585" s="8" t="str">
        <f>VLOOKUP(RawSalesTable6[[#This Row],[Customer_ID_Clean]],CustomersTable[],4,FALSE)</f>
        <v>Alberta</v>
      </c>
      <c r="AL585" s="8">
        <f>IF(RawSalesTable6[[#This Row],[Return_Status]]="Yes",1,0)</f>
        <v>0</v>
      </c>
    </row>
    <row r="586" spans="1:38">
      <c r="A586" t="s">
        <v>1025</v>
      </c>
      <c r="B586" s="3">
        <v>45718</v>
      </c>
      <c r="C586" t="s">
        <v>414</v>
      </c>
      <c r="D586" t="s">
        <v>174</v>
      </c>
      <c r="E586" t="s">
        <v>415</v>
      </c>
      <c r="F586" t="s">
        <v>145</v>
      </c>
      <c r="G586" t="s">
        <v>171</v>
      </c>
      <c r="H586" t="s">
        <v>89</v>
      </c>
      <c r="I586">
        <v>1</v>
      </c>
      <c r="J586" s="2">
        <v>36.51</v>
      </c>
      <c r="K586" s="4">
        <v>0</v>
      </c>
      <c r="L586" t="s">
        <v>90</v>
      </c>
      <c r="M586">
        <v>9</v>
      </c>
      <c r="N586" t="s">
        <v>91</v>
      </c>
      <c r="O586" t="str">
        <f>SUBSTITUTE(PROPER(TRIM(RawSalesTable6[[#This Row],[Channel_Raw]])),"Market Place","Marketplace")</f>
        <v>Online</v>
      </c>
      <c r="P586" t="str">
        <f>TRIM(RawSalesTable6[[#This Row],[Product_ID]])</f>
        <v>P1002</v>
      </c>
      <c r="Q586" t="str">
        <f>TRIM(RawSalesTable6[[#This Row],[Customer_ID]])</f>
        <v>C0052</v>
      </c>
      <c r="R586" s="8" t="str">
        <f>PROPER(TRIM(RawSalesTable6[[#This Row],[Store_Raw]]))</f>
        <v>Calgary North</v>
      </c>
      <c r="S586" s="8" t="str">
        <f>IF(TRIM(RawSalesTable6[[#This Row],[Payment_Method_Raw]])="","Non renseigné",SUBSTITUTE(PROPER(TRIM(RawSalesTable6[[#This Row],[Payment_Method_Raw]])),"Cc","Credit Card"))</f>
        <v>Paypal</v>
      </c>
      <c r="T586" s="8">
        <f>COUNTIF(A:A,RawSalesTable6[[#This Row],[Order_ID]])</f>
        <v>1</v>
      </c>
      <c r="U586" s="8" t="str">
        <f>TRIM(LEFT(RawSalesTable6[[#This Row],[Customer_Info]],FIND(",",RawSalesTable6[[#This Row],[Customer_Info]])-1))</f>
        <v>Liam Bennett</v>
      </c>
      <c r="V586" s="8" t="str">
        <f>TRIM(MID(RawSalesTable6[[#This Row],[Customer_Info]],FIND(",",RawSalesTable6[[#This Row],[Customer_Info]])+1,FIND(",",RawSalesTable6[[#This Row],[Customer_Info]],FIND(",",RawSalesTable6[[#This Row],[Customer_Info]])+1)-FIND(",",RawSalesTable6[[#This Row],[Customer_Info]])-1))</f>
        <v>Edmonton</v>
      </c>
      <c r="W586" s="8" t="str">
        <f>TRIM(RIGHT(RawSalesTable6[[#This Row],[Customer_Info]],LEN(RawSalesTable6[[#This Row],[Customer_Info]])-FIND(",",RawSalesTable6[[#This Row],[Customer_Info]],FIND(",",RawSalesTable6[[#This Row],[Customer_Info]])+1)))</f>
        <v>Corporate</v>
      </c>
      <c r="X586" s="8" t="str">
        <f>VLOOKUP(RawSalesTable6[[#This Row],[Product_ID_Clean]],ProductsTable[],2,FALSE)</f>
        <v>Keyboard</v>
      </c>
      <c r="Y586" s="8" t="str">
        <f>VLOOKUP(RawSalesTable6[[#This Row],[Product_ID_Clean]],ProductsTable[],3,FALSE)</f>
        <v>Electronics</v>
      </c>
      <c r="Z586" s="8">
        <f>VLOOKUP(RawSalesTable6[[#This Row],[Product_ID_Clean]],ProductsTable[],5,FALSE)</f>
        <v>23.5</v>
      </c>
      <c r="AA586" s="8">
        <f>RawSalesTable6[[#This Row],[Unit_Price]]*RawSalesTable6[[#This Row],[Quantity]]</f>
        <v>36.51</v>
      </c>
      <c r="AB586" s="8">
        <f>RawSalesTable6[[#This Row],[Gross_Sales]]*RawSalesTable6[[#This Row],[Discount_Pct]]</f>
        <v>0</v>
      </c>
      <c r="AC586" s="8">
        <f>RawSalesTable6[[#This Row],[Gross_Sales]]-RawSalesTable6[[#This Row],[Discount_Amount]]</f>
        <v>36.51</v>
      </c>
      <c r="AD586" s="8">
        <f>RawSalesTable6[[#This Row],[Unit_Cost]]*RawSalesTable6[[#This Row],[Quantity]]</f>
        <v>23.5</v>
      </c>
      <c r="AE586" s="8">
        <f>RawSalesTable6[[#This Row],[Net_Sales]]-RawSalesTable6[[#This Row],[Total_Cost]]</f>
        <v>13.009999999999998</v>
      </c>
      <c r="AF586" s="9">
        <f>RawSalesTable6[[#This Row],[Profit]]/RawSalesTable6[[#This Row],[Net_Sales]]</f>
        <v>0.3563407285675157</v>
      </c>
      <c r="AG586" s="8">
        <f>YEAR(RawSalesTable6[[#This Row],[Order_Date]])</f>
        <v>2025</v>
      </c>
      <c r="AH586" s="8">
        <f>MONTH(RawSalesTable6[[#This Row],[Order_Date]])</f>
        <v>3</v>
      </c>
      <c r="AI586" s="8" t="str">
        <f>TEXT(RawSalesTable6[[#This Row],[Order_Date]],"mmmm")</f>
        <v>mars</v>
      </c>
      <c r="AJ586" s="8" t="str">
        <f>IF(RawSalesTable6[[#This Row],[Month_Number]]&lt;=3,"Q1",IF(RawSalesTable6[[#This Row],[Month_Number]]&lt;=6,"Q2",IF(RawSalesTable6[[#This Row],[Month_Number]]&lt;=9,"Q3","Q4")))</f>
        <v>Q1</v>
      </c>
      <c r="AK586" s="8" t="str">
        <f>VLOOKUP(RawSalesTable6[[#This Row],[Customer_ID_Clean]],CustomersTable[],4,FALSE)</f>
        <v>Alberta</v>
      </c>
      <c r="AL586" s="8">
        <f>IF(RawSalesTable6[[#This Row],[Return_Status]]="Yes",1,0)</f>
        <v>0</v>
      </c>
    </row>
    <row r="587" spans="1:38">
      <c r="A587" t="s">
        <v>1026</v>
      </c>
      <c r="B587" s="3">
        <v>45993</v>
      </c>
      <c r="C587" t="s">
        <v>371</v>
      </c>
      <c r="D587" t="s">
        <v>136</v>
      </c>
      <c r="E587" t="s">
        <v>372</v>
      </c>
      <c r="F587" t="s">
        <v>145</v>
      </c>
      <c r="G587" t="s">
        <v>88</v>
      </c>
      <c r="H587" t="s">
        <v>89</v>
      </c>
      <c r="I587">
        <v>1</v>
      </c>
      <c r="J587" s="2">
        <v>165.55</v>
      </c>
      <c r="K587" s="4">
        <v>0.05</v>
      </c>
      <c r="L587" t="s">
        <v>106</v>
      </c>
      <c r="M587">
        <v>7</v>
      </c>
      <c r="N587" t="s">
        <v>91</v>
      </c>
      <c r="O587" t="str">
        <f>SUBSTITUTE(PROPER(TRIM(RawSalesTable6[[#This Row],[Channel_Raw]])),"Market Place","Marketplace")</f>
        <v>Online</v>
      </c>
      <c r="P587" t="str">
        <f>TRIM(RawSalesTable6[[#This Row],[Product_ID]])</f>
        <v>P1003</v>
      </c>
      <c r="Q587" t="str">
        <f>TRIM(RawSalesTable6[[#This Row],[Customer_ID]])</f>
        <v>C0049</v>
      </c>
      <c r="R587" s="8" t="str">
        <f>PROPER(TRIM(RawSalesTable6[[#This Row],[Store_Raw]]))</f>
        <v>Calgary North</v>
      </c>
      <c r="S587" s="8" t="str">
        <f>IF(TRIM(RawSalesTable6[[#This Row],[Payment_Method_Raw]])="","Non renseigné",SUBSTITUTE(PROPER(TRIM(RawSalesTable6[[#This Row],[Payment_Method_Raw]])),"Cc","Credit Card"))</f>
        <v>Credit Card</v>
      </c>
      <c r="T587" s="8">
        <f>COUNTIF(A:A,RawSalesTable6[[#This Row],[Order_ID]])</f>
        <v>1</v>
      </c>
      <c r="U587" s="8" t="str">
        <f>TRIM(LEFT(RawSalesTable6[[#This Row],[Customer_Info]],FIND(",",RawSalesTable6[[#This Row],[Customer_Info]])-1))</f>
        <v>Olivia Scott</v>
      </c>
      <c r="V587" s="8" t="str">
        <f>TRIM(MID(RawSalesTable6[[#This Row],[Customer_Info]],FIND(",",RawSalesTable6[[#This Row],[Customer_Info]])+1,FIND(",",RawSalesTable6[[#This Row],[Customer_Info]],FIND(",",RawSalesTable6[[#This Row],[Customer_Info]])+1)-FIND(",",RawSalesTable6[[#This Row],[Customer_Info]])-1))</f>
        <v>Quebec City</v>
      </c>
      <c r="W587" s="8" t="str">
        <f>TRIM(RIGHT(RawSalesTable6[[#This Row],[Customer_Info]],LEN(RawSalesTable6[[#This Row],[Customer_Info]])-FIND(",",RawSalesTable6[[#This Row],[Customer_Info]],FIND(",",RawSalesTable6[[#This Row],[Customer_Info]])+1)))</f>
        <v>Consumer</v>
      </c>
      <c r="X587" s="8" t="str">
        <f>VLOOKUP(RawSalesTable6[[#This Row],[Product_ID_Clean]],ProductsTable[],2,FALSE)</f>
        <v>Mouse</v>
      </c>
      <c r="Y587" s="8" t="str">
        <f>VLOOKUP(RawSalesTable6[[#This Row],[Product_ID_Clean]],ProductsTable[],3,FALSE)</f>
        <v>Electronics</v>
      </c>
      <c r="Z587" s="8">
        <f>VLOOKUP(RawSalesTable6[[#This Row],[Product_ID_Clean]],ProductsTable[],5,FALSE)</f>
        <v>106.4</v>
      </c>
      <c r="AA587" s="8">
        <f>RawSalesTable6[[#This Row],[Unit_Price]]*RawSalesTable6[[#This Row],[Quantity]]</f>
        <v>165.55</v>
      </c>
      <c r="AB587" s="8">
        <f>RawSalesTable6[[#This Row],[Gross_Sales]]*RawSalesTable6[[#This Row],[Discount_Pct]]</f>
        <v>8.2775000000000016</v>
      </c>
      <c r="AC587" s="8">
        <f>RawSalesTable6[[#This Row],[Gross_Sales]]-RawSalesTable6[[#This Row],[Discount_Amount]]</f>
        <v>157.27250000000001</v>
      </c>
      <c r="AD587" s="8">
        <f>RawSalesTable6[[#This Row],[Unit_Cost]]*RawSalesTable6[[#This Row],[Quantity]]</f>
        <v>106.4</v>
      </c>
      <c r="AE587" s="8">
        <f>RawSalesTable6[[#This Row],[Net_Sales]]-RawSalesTable6[[#This Row],[Total_Cost]]</f>
        <v>50.872500000000002</v>
      </c>
      <c r="AF587" s="9">
        <f>RawSalesTable6[[#This Row],[Profit]]/RawSalesTable6[[#This Row],[Net_Sales]]</f>
        <v>0.32346723044397463</v>
      </c>
      <c r="AG587" s="8">
        <f>YEAR(RawSalesTable6[[#This Row],[Order_Date]])</f>
        <v>2025</v>
      </c>
      <c r="AH587" s="8">
        <f>MONTH(RawSalesTable6[[#This Row],[Order_Date]])</f>
        <v>12</v>
      </c>
      <c r="AI587" s="8" t="str">
        <f>TEXT(RawSalesTable6[[#This Row],[Order_Date]],"mmmm")</f>
        <v>décembre</v>
      </c>
      <c r="AJ587" s="8" t="str">
        <f>IF(RawSalesTable6[[#This Row],[Month_Number]]&lt;=3,"Q1",IF(RawSalesTable6[[#This Row],[Month_Number]]&lt;=6,"Q2",IF(RawSalesTable6[[#This Row],[Month_Number]]&lt;=9,"Q3","Q4")))</f>
        <v>Q4</v>
      </c>
      <c r="AK587" s="8" t="str">
        <f>VLOOKUP(RawSalesTable6[[#This Row],[Customer_ID_Clean]],CustomersTable[],4,FALSE)</f>
        <v>Quebec</v>
      </c>
      <c r="AL587" s="8">
        <f>IF(RawSalesTable6[[#This Row],[Return_Status]]="Yes",1,0)</f>
        <v>0</v>
      </c>
    </row>
    <row r="588" spans="1:38">
      <c r="A588" t="s">
        <v>1027</v>
      </c>
      <c r="B588" s="3">
        <v>45979</v>
      </c>
      <c r="C588" t="s">
        <v>180</v>
      </c>
      <c r="D588" t="s">
        <v>261</v>
      </c>
      <c r="E588" t="s">
        <v>182</v>
      </c>
      <c r="F588" t="s">
        <v>111</v>
      </c>
      <c r="G588" t="s">
        <v>122</v>
      </c>
      <c r="H588" t="s">
        <v>97</v>
      </c>
      <c r="I588">
        <v>1</v>
      </c>
      <c r="J588" s="2">
        <v>242.19</v>
      </c>
      <c r="K588" s="4">
        <v>0</v>
      </c>
      <c r="L588" t="s">
        <v>154</v>
      </c>
      <c r="M588">
        <v>1</v>
      </c>
      <c r="N588" t="s">
        <v>91</v>
      </c>
      <c r="O588" t="str">
        <f>SUBSTITUTE(PROPER(TRIM(RawSalesTable6[[#This Row],[Channel_Raw]])),"Market Place","Marketplace")</f>
        <v>Retail Store</v>
      </c>
      <c r="P588" t="str">
        <f>TRIM(RawSalesTable6[[#This Row],[Product_ID]])</f>
        <v>P1031</v>
      </c>
      <c r="Q588" t="str">
        <f>TRIM(RawSalesTable6[[#This Row],[Customer_ID]])</f>
        <v>C0085</v>
      </c>
      <c r="R588" s="8" t="str">
        <f>PROPER(TRIM(RawSalesTable6[[#This Row],[Store_Raw]]))</f>
        <v>Montreal Central</v>
      </c>
      <c r="S588" s="8" t="str">
        <f>IF(TRIM(RawSalesTable6[[#This Row],[Payment_Method_Raw]])="","Non renseigné",SUBSTITUTE(PROPER(TRIM(RawSalesTable6[[#This Row],[Payment_Method_Raw]])),"Cc","Credit Card"))</f>
        <v>Gift Card</v>
      </c>
      <c r="T588" s="8">
        <f>COUNTIF(A:A,RawSalesTable6[[#This Row],[Order_ID]])</f>
        <v>1</v>
      </c>
      <c r="U588" s="8" t="str">
        <f>TRIM(LEFT(RawSalesTable6[[#This Row],[Customer_Info]],FIND(",",RawSalesTable6[[#This Row],[Customer_Info]])-1))</f>
        <v>Yasmine Clark</v>
      </c>
      <c r="V588" s="8" t="str">
        <f>TRIM(MID(RawSalesTable6[[#This Row],[Customer_Info]],FIND(",",RawSalesTable6[[#This Row],[Customer_Info]])+1,FIND(",",RawSalesTable6[[#This Row],[Customer_Info]],FIND(",",RawSalesTable6[[#This Row],[Customer_Info]])+1)-FIND(",",RawSalesTable6[[#This Row],[Customer_Info]])-1))</f>
        <v>Calgary</v>
      </c>
      <c r="W588" s="8" t="str">
        <f>TRIM(RIGHT(RawSalesTable6[[#This Row],[Customer_Info]],LEN(RawSalesTable6[[#This Row],[Customer_Info]])-FIND(",",RawSalesTable6[[#This Row],[Customer_Info]],FIND(",",RawSalesTable6[[#This Row],[Customer_Info]])+1)))</f>
        <v>Consumer</v>
      </c>
      <c r="X588" s="8" t="str">
        <f>VLOOKUP(RawSalesTable6[[#This Row],[Product_ID_Clean]],ProductsTable[],2,FALSE)</f>
        <v>Dumbbell Set</v>
      </c>
      <c r="Y588" s="8" t="str">
        <f>VLOOKUP(RawSalesTable6[[#This Row],[Product_ID_Clean]],ProductsTable[],3,FALSE)</f>
        <v>Fitness</v>
      </c>
      <c r="Z588" s="8">
        <f>VLOOKUP(RawSalesTable6[[#This Row],[Product_ID_Clean]],ProductsTable[],5,FALSE)</f>
        <v>131.72999999999999</v>
      </c>
      <c r="AA588" s="8">
        <f>RawSalesTable6[[#This Row],[Unit_Price]]*RawSalesTable6[[#This Row],[Quantity]]</f>
        <v>242.19</v>
      </c>
      <c r="AB588" s="8">
        <f>RawSalesTable6[[#This Row],[Gross_Sales]]*RawSalesTable6[[#This Row],[Discount_Pct]]</f>
        <v>0</v>
      </c>
      <c r="AC588" s="8">
        <f>RawSalesTable6[[#This Row],[Gross_Sales]]-RawSalesTable6[[#This Row],[Discount_Amount]]</f>
        <v>242.19</v>
      </c>
      <c r="AD588" s="8">
        <f>RawSalesTable6[[#This Row],[Unit_Cost]]*RawSalesTable6[[#This Row],[Quantity]]</f>
        <v>131.72999999999999</v>
      </c>
      <c r="AE588" s="8">
        <f>RawSalesTable6[[#This Row],[Net_Sales]]-RawSalesTable6[[#This Row],[Total_Cost]]</f>
        <v>110.46000000000001</v>
      </c>
      <c r="AF588" s="9">
        <f>RawSalesTable6[[#This Row],[Profit]]/RawSalesTable6[[#This Row],[Net_Sales]]</f>
        <v>0.45608819521863003</v>
      </c>
      <c r="AG588" s="8">
        <f>YEAR(RawSalesTable6[[#This Row],[Order_Date]])</f>
        <v>2025</v>
      </c>
      <c r="AH588" s="8">
        <f>MONTH(RawSalesTable6[[#This Row],[Order_Date]])</f>
        <v>11</v>
      </c>
      <c r="AI588" s="8" t="str">
        <f>TEXT(RawSalesTable6[[#This Row],[Order_Date]],"mmmm")</f>
        <v>novembre</v>
      </c>
      <c r="AJ588" s="8" t="str">
        <f>IF(RawSalesTable6[[#This Row],[Month_Number]]&lt;=3,"Q1",IF(RawSalesTable6[[#This Row],[Month_Number]]&lt;=6,"Q2",IF(RawSalesTable6[[#This Row],[Month_Number]]&lt;=9,"Q3","Q4")))</f>
        <v>Q4</v>
      </c>
      <c r="AK588" s="8" t="str">
        <f>VLOOKUP(RawSalesTable6[[#This Row],[Customer_ID_Clean]],CustomersTable[],4,FALSE)</f>
        <v>Alberta</v>
      </c>
      <c r="AL588" s="8">
        <f>IF(RawSalesTable6[[#This Row],[Return_Status]]="Yes",1,0)</f>
        <v>0</v>
      </c>
    </row>
    <row r="589" spans="1:38">
      <c r="A589" t="s">
        <v>1028</v>
      </c>
      <c r="B589" s="3">
        <v>45846</v>
      </c>
      <c r="C589" t="s">
        <v>197</v>
      </c>
      <c r="D589" t="s">
        <v>165</v>
      </c>
      <c r="E589" t="s">
        <v>198</v>
      </c>
      <c r="F589" t="s">
        <v>103</v>
      </c>
      <c r="G589" t="s">
        <v>171</v>
      </c>
      <c r="H589" t="s">
        <v>105</v>
      </c>
      <c r="I589">
        <v>1</v>
      </c>
      <c r="J589" s="2">
        <v>102.63</v>
      </c>
      <c r="K589" s="4">
        <v>0.05</v>
      </c>
      <c r="L589" t="s">
        <v>90</v>
      </c>
      <c r="M589">
        <v>3</v>
      </c>
      <c r="N589" t="s">
        <v>91</v>
      </c>
      <c r="O589" t="str">
        <f>SUBSTITUTE(PROPER(TRIM(RawSalesTable6[[#This Row],[Channel_Raw]])),"Market Place","Marketplace")</f>
        <v>Marketplace</v>
      </c>
      <c r="P589" t="str">
        <f>TRIM(RawSalesTable6[[#This Row],[Product_ID]])</f>
        <v>P1024</v>
      </c>
      <c r="Q589" t="str">
        <f>TRIM(RawSalesTable6[[#This Row],[Customer_ID]])</f>
        <v>C0091</v>
      </c>
      <c r="R589" s="8" t="str">
        <f>PROPER(TRIM(RawSalesTable6[[#This Row],[Store_Raw]]))</f>
        <v>Vancouver West</v>
      </c>
      <c r="S589" s="8" t="str">
        <f>IF(TRIM(RawSalesTable6[[#This Row],[Payment_Method_Raw]])="","Non renseigné",SUBSTITUTE(PROPER(TRIM(RawSalesTable6[[#This Row],[Payment_Method_Raw]])),"Cc","Credit Card"))</f>
        <v>Paypal</v>
      </c>
      <c r="T589" s="8">
        <f>COUNTIF(A:A,RawSalesTable6[[#This Row],[Order_ID]])</f>
        <v>1</v>
      </c>
      <c r="U589" s="8" t="str">
        <f>TRIM(LEFT(RawSalesTable6[[#This Row],[Customer_Info]],FIND(",",RawSalesTable6[[#This Row],[Customer_Info]])-1))</f>
        <v>Leo Taylor</v>
      </c>
      <c r="V589" s="8" t="str">
        <f>TRIM(MID(RawSalesTable6[[#This Row],[Customer_Info]],FIND(",",RawSalesTable6[[#This Row],[Customer_Info]])+1,FIND(",",RawSalesTable6[[#This Row],[Customer_Info]],FIND(",",RawSalesTable6[[#This Row],[Customer_Info]])+1)-FIND(",",RawSalesTable6[[#This Row],[Customer_Info]])-1))</f>
        <v>Victoria</v>
      </c>
      <c r="W589" s="8" t="str">
        <f>TRIM(RIGHT(RawSalesTable6[[#This Row],[Customer_Info]],LEN(RawSalesTable6[[#This Row],[Customer_Info]])-FIND(",",RawSalesTable6[[#This Row],[Customer_Info]],FIND(",",RawSalesTable6[[#This Row],[Customer_Info]])+1)))</f>
        <v>Small Business</v>
      </c>
      <c r="X589" s="8" t="str">
        <f>VLOOKUP(RawSalesTable6[[#This Row],[Product_ID_Clean]],ProductsTable[],2,FALSE)</f>
        <v>Food Scale</v>
      </c>
      <c r="Y589" s="8" t="str">
        <f>VLOOKUP(RawSalesTable6[[#This Row],[Product_ID_Clean]],ProductsTable[],3,FALSE)</f>
        <v>Home</v>
      </c>
      <c r="Z589" s="8">
        <f>VLOOKUP(RawSalesTable6[[#This Row],[Product_ID_Clean]],ProductsTable[],5,FALSE)</f>
        <v>46.07</v>
      </c>
      <c r="AA589" s="8">
        <f>RawSalesTable6[[#This Row],[Unit_Price]]*RawSalesTable6[[#This Row],[Quantity]]</f>
        <v>102.63</v>
      </c>
      <c r="AB589" s="8">
        <f>RawSalesTable6[[#This Row],[Gross_Sales]]*RawSalesTable6[[#This Row],[Discount_Pct]]</f>
        <v>5.1315</v>
      </c>
      <c r="AC589" s="8">
        <f>RawSalesTable6[[#This Row],[Gross_Sales]]-RawSalesTable6[[#This Row],[Discount_Amount]]</f>
        <v>97.498499999999993</v>
      </c>
      <c r="AD589" s="8">
        <f>RawSalesTable6[[#This Row],[Unit_Cost]]*RawSalesTable6[[#This Row],[Quantity]]</f>
        <v>46.07</v>
      </c>
      <c r="AE589" s="8">
        <f>RawSalesTable6[[#This Row],[Net_Sales]]-RawSalesTable6[[#This Row],[Total_Cost]]</f>
        <v>51.428499999999993</v>
      </c>
      <c r="AF589" s="9">
        <f>RawSalesTable6[[#This Row],[Profit]]/RawSalesTable6[[#This Row],[Net_Sales]]</f>
        <v>0.52747990994733251</v>
      </c>
      <c r="AG589" s="8">
        <f>YEAR(RawSalesTable6[[#This Row],[Order_Date]])</f>
        <v>2025</v>
      </c>
      <c r="AH589" s="8">
        <f>MONTH(RawSalesTable6[[#This Row],[Order_Date]])</f>
        <v>7</v>
      </c>
      <c r="AI589" s="8" t="str">
        <f>TEXT(RawSalesTable6[[#This Row],[Order_Date]],"mmmm")</f>
        <v>juillet</v>
      </c>
      <c r="AJ589" s="8" t="str">
        <f>IF(RawSalesTable6[[#This Row],[Month_Number]]&lt;=3,"Q1",IF(RawSalesTable6[[#This Row],[Month_Number]]&lt;=6,"Q2",IF(RawSalesTable6[[#This Row],[Month_Number]]&lt;=9,"Q3","Q4")))</f>
        <v>Q3</v>
      </c>
      <c r="AK589" s="8" t="str">
        <f>VLOOKUP(RawSalesTable6[[#This Row],[Customer_ID_Clean]],CustomersTable[],4,FALSE)</f>
        <v>British Columbia</v>
      </c>
      <c r="AL589" s="8">
        <f>IF(RawSalesTable6[[#This Row],[Return_Status]]="Yes",1,0)</f>
        <v>0</v>
      </c>
    </row>
    <row r="590" spans="1:38">
      <c r="A590" t="s">
        <v>1029</v>
      </c>
      <c r="B590" s="3">
        <v>45664</v>
      </c>
      <c r="C590" t="s">
        <v>243</v>
      </c>
      <c r="D590" t="s">
        <v>261</v>
      </c>
      <c r="E590" t="s">
        <v>245</v>
      </c>
      <c r="F590" t="s">
        <v>116</v>
      </c>
      <c r="G590" t="s">
        <v>122</v>
      </c>
      <c r="H590" t="s">
        <v>89</v>
      </c>
      <c r="I590">
        <v>2</v>
      </c>
      <c r="J590" s="2">
        <v>250.16</v>
      </c>
      <c r="K590" s="4">
        <v>0</v>
      </c>
      <c r="L590" t="s">
        <v>504</v>
      </c>
      <c r="M590">
        <v>7</v>
      </c>
      <c r="N590" t="s">
        <v>91</v>
      </c>
      <c r="O590" t="str">
        <f>SUBSTITUTE(PROPER(TRIM(RawSalesTable6[[#This Row],[Channel_Raw]])),"Market Place","Marketplace")</f>
        <v>Online</v>
      </c>
      <c r="P590" t="str">
        <f>TRIM(RawSalesTable6[[#This Row],[Product_ID]])</f>
        <v>P1031</v>
      </c>
      <c r="Q590" t="str">
        <f>TRIM(RawSalesTable6[[#This Row],[Customer_ID]])</f>
        <v>C0048</v>
      </c>
      <c r="R590" s="8" t="str">
        <f>PROPER(TRIM(RawSalesTable6[[#This Row],[Store_Raw]]))</f>
        <v>Toronto Downtown</v>
      </c>
      <c r="S590" s="8" t="str">
        <f>IF(TRIM(RawSalesTable6[[#This Row],[Payment_Method_Raw]])="","Non renseigné",SUBSTITUTE(PROPER(TRIM(RawSalesTable6[[#This Row],[Payment_Method_Raw]])),"Cc","Credit Card"))</f>
        <v>Debit Card</v>
      </c>
      <c r="T590" s="8">
        <f>COUNTIF(A:A,RawSalesTable6[[#This Row],[Order_ID]])</f>
        <v>1</v>
      </c>
      <c r="U590" s="8" t="str">
        <f>TRIM(LEFT(RawSalesTable6[[#This Row],[Customer_Info]],FIND(",",RawSalesTable6[[#This Row],[Customer_Info]])-1))</f>
        <v>Amelia Brown</v>
      </c>
      <c r="V590" s="8" t="str">
        <f>TRIM(MID(RawSalesTable6[[#This Row],[Customer_Info]],FIND(",",RawSalesTable6[[#This Row],[Customer_Info]])+1,FIND(",",RawSalesTable6[[#This Row],[Customer_Info]],FIND(",",RawSalesTable6[[#This Row],[Customer_Info]])+1)-FIND(",",RawSalesTable6[[#This Row],[Customer_Info]])-1))</f>
        <v>Quebec City</v>
      </c>
      <c r="W590" s="8" t="str">
        <f>TRIM(RIGHT(RawSalesTable6[[#This Row],[Customer_Info]],LEN(RawSalesTable6[[#This Row],[Customer_Info]])-FIND(",",RawSalesTable6[[#This Row],[Customer_Info]],FIND(",",RawSalesTable6[[#This Row],[Customer_Info]])+1)))</f>
        <v>Corporate</v>
      </c>
      <c r="X590" s="8" t="str">
        <f>VLOOKUP(RawSalesTable6[[#This Row],[Product_ID_Clean]],ProductsTable[],2,FALSE)</f>
        <v>Dumbbell Set</v>
      </c>
      <c r="Y590" s="8" t="str">
        <f>VLOOKUP(RawSalesTable6[[#This Row],[Product_ID_Clean]],ProductsTable[],3,FALSE)</f>
        <v>Fitness</v>
      </c>
      <c r="Z590" s="8">
        <f>VLOOKUP(RawSalesTable6[[#This Row],[Product_ID_Clean]],ProductsTable[],5,FALSE)</f>
        <v>131.72999999999999</v>
      </c>
      <c r="AA590" s="8">
        <f>RawSalesTable6[[#This Row],[Unit_Price]]*RawSalesTable6[[#This Row],[Quantity]]</f>
        <v>500.32</v>
      </c>
      <c r="AB590" s="8">
        <f>RawSalesTable6[[#This Row],[Gross_Sales]]*RawSalesTable6[[#This Row],[Discount_Pct]]</f>
        <v>0</v>
      </c>
      <c r="AC590" s="8">
        <f>RawSalesTable6[[#This Row],[Gross_Sales]]-RawSalesTable6[[#This Row],[Discount_Amount]]</f>
        <v>500.32</v>
      </c>
      <c r="AD590" s="8">
        <f>RawSalesTable6[[#This Row],[Unit_Cost]]*RawSalesTable6[[#This Row],[Quantity]]</f>
        <v>263.45999999999998</v>
      </c>
      <c r="AE590" s="8">
        <f>RawSalesTable6[[#This Row],[Net_Sales]]-RawSalesTable6[[#This Row],[Total_Cost]]</f>
        <v>236.86</v>
      </c>
      <c r="AF590" s="9">
        <f>RawSalesTable6[[#This Row],[Profit]]/RawSalesTable6[[#This Row],[Net_Sales]]</f>
        <v>0.47341701311160861</v>
      </c>
      <c r="AG590" s="8">
        <f>YEAR(RawSalesTable6[[#This Row],[Order_Date]])</f>
        <v>2025</v>
      </c>
      <c r="AH590" s="8">
        <f>MONTH(RawSalesTable6[[#This Row],[Order_Date]])</f>
        <v>1</v>
      </c>
      <c r="AI590" s="8" t="str">
        <f>TEXT(RawSalesTable6[[#This Row],[Order_Date]],"mmmm")</f>
        <v>janvier</v>
      </c>
      <c r="AJ590" s="8" t="str">
        <f>IF(RawSalesTable6[[#This Row],[Month_Number]]&lt;=3,"Q1",IF(RawSalesTable6[[#This Row],[Month_Number]]&lt;=6,"Q2",IF(RawSalesTable6[[#This Row],[Month_Number]]&lt;=9,"Q3","Q4")))</f>
        <v>Q1</v>
      </c>
      <c r="AK590" s="8" t="str">
        <f>VLOOKUP(RawSalesTable6[[#This Row],[Customer_ID_Clean]],CustomersTable[],4,FALSE)</f>
        <v>Quebec</v>
      </c>
      <c r="AL590" s="8">
        <f>IF(RawSalesTable6[[#This Row],[Return_Status]]="Yes",1,0)</f>
        <v>0</v>
      </c>
    </row>
    <row r="591" spans="1:38">
      <c r="A591" t="s">
        <v>1030</v>
      </c>
      <c r="B591" s="3">
        <v>45705</v>
      </c>
      <c r="C591" t="s">
        <v>338</v>
      </c>
      <c r="D591" t="s">
        <v>252</v>
      </c>
      <c r="E591" t="s">
        <v>339</v>
      </c>
      <c r="F591" t="s">
        <v>111</v>
      </c>
      <c r="G591" t="s">
        <v>183</v>
      </c>
      <c r="H591" t="s">
        <v>228</v>
      </c>
      <c r="I591">
        <v>1</v>
      </c>
      <c r="J591" s="2">
        <v>285.14999999999998</v>
      </c>
      <c r="K591" s="4">
        <v>0.05</v>
      </c>
      <c r="L591" t="s">
        <v>98</v>
      </c>
      <c r="M591">
        <v>5</v>
      </c>
      <c r="N591" t="s">
        <v>91</v>
      </c>
      <c r="O591" t="str">
        <f>SUBSTITUTE(PROPER(TRIM(RawSalesTable6[[#This Row],[Channel_Raw]])),"Market Place","Marketplace")</f>
        <v>Online</v>
      </c>
      <c r="P591" t="str">
        <f>TRIM(RawSalesTable6[[#This Row],[Product_ID]])</f>
        <v>P1019</v>
      </c>
      <c r="Q591" t="str">
        <f>TRIM(RawSalesTable6[[#This Row],[Customer_ID]])</f>
        <v>C0047</v>
      </c>
      <c r="R591" s="8" t="str">
        <f>PROPER(TRIM(RawSalesTable6[[#This Row],[Store_Raw]]))</f>
        <v>Montreal Central</v>
      </c>
      <c r="S591" s="8" t="str">
        <f>IF(TRIM(RawSalesTable6[[#This Row],[Payment_Method_Raw]])="","Non renseigné",SUBSTITUTE(PROPER(TRIM(RawSalesTable6[[#This Row],[Payment_Method_Raw]])),"Cc","Credit Card"))</f>
        <v>Debit Card</v>
      </c>
      <c r="T591" s="8">
        <f>COUNTIF(A:A,RawSalesTable6[[#This Row],[Order_ID]])</f>
        <v>1</v>
      </c>
      <c r="U591" s="8" t="str">
        <f>TRIM(LEFT(RawSalesTable6[[#This Row],[Customer_Info]],FIND(",",RawSalesTable6[[#This Row],[Customer_Info]])-1))</f>
        <v>Amine King</v>
      </c>
      <c r="V591" s="8" t="str">
        <f>TRIM(MID(RawSalesTable6[[#This Row],[Customer_Info]],FIND(",",RawSalesTable6[[#This Row],[Customer_Info]])+1,FIND(",",RawSalesTable6[[#This Row],[Customer_Info]],FIND(",",RawSalesTable6[[#This Row],[Customer_Info]])+1)-FIND(",",RawSalesTable6[[#This Row],[Customer_Info]])-1))</f>
        <v>Victoria</v>
      </c>
      <c r="W591" s="8" t="str">
        <f>TRIM(RIGHT(RawSalesTable6[[#This Row],[Customer_Info]],LEN(RawSalesTable6[[#This Row],[Customer_Info]])-FIND(",",RawSalesTable6[[#This Row],[Customer_Info]],FIND(",",RawSalesTable6[[#This Row],[Customer_Info]])+1)))</f>
        <v>Consumer</v>
      </c>
      <c r="X591" s="8" t="str">
        <f>VLOOKUP(RawSalesTable6[[#This Row],[Product_ID_Clean]],ProductsTable[],2,FALSE)</f>
        <v>Vacuum</v>
      </c>
      <c r="Y591" s="8" t="str">
        <f>VLOOKUP(RawSalesTable6[[#This Row],[Product_ID_Clean]],ProductsTable[],3,FALSE)</f>
        <v>Home</v>
      </c>
      <c r="Z591" s="8">
        <f>VLOOKUP(RawSalesTable6[[#This Row],[Product_ID_Clean]],ProductsTable[],5,FALSE)</f>
        <v>186.94</v>
      </c>
      <c r="AA591" s="8">
        <f>RawSalesTable6[[#This Row],[Unit_Price]]*RawSalesTable6[[#This Row],[Quantity]]</f>
        <v>285.14999999999998</v>
      </c>
      <c r="AB591" s="8">
        <f>RawSalesTable6[[#This Row],[Gross_Sales]]*RawSalesTable6[[#This Row],[Discount_Pct]]</f>
        <v>14.2575</v>
      </c>
      <c r="AC591" s="8">
        <f>RawSalesTable6[[#This Row],[Gross_Sales]]-RawSalesTable6[[#This Row],[Discount_Amount]]</f>
        <v>270.89249999999998</v>
      </c>
      <c r="AD591" s="8">
        <f>RawSalesTable6[[#This Row],[Unit_Cost]]*RawSalesTable6[[#This Row],[Quantity]]</f>
        <v>186.94</v>
      </c>
      <c r="AE591" s="8">
        <f>RawSalesTable6[[#This Row],[Net_Sales]]-RawSalesTable6[[#This Row],[Total_Cost]]</f>
        <v>83.952499999999986</v>
      </c>
      <c r="AF591" s="9">
        <f>RawSalesTable6[[#This Row],[Profit]]/RawSalesTable6[[#This Row],[Net_Sales]]</f>
        <v>0.30991075795749234</v>
      </c>
      <c r="AG591" s="8">
        <f>YEAR(RawSalesTable6[[#This Row],[Order_Date]])</f>
        <v>2025</v>
      </c>
      <c r="AH591" s="8">
        <f>MONTH(RawSalesTable6[[#This Row],[Order_Date]])</f>
        <v>2</v>
      </c>
      <c r="AI591" s="8" t="str">
        <f>TEXT(RawSalesTable6[[#This Row],[Order_Date]],"mmmm")</f>
        <v>février</v>
      </c>
      <c r="AJ591" s="8" t="str">
        <f>IF(RawSalesTable6[[#This Row],[Month_Number]]&lt;=3,"Q1",IF(RawSalesTable6[[#This Row],[Month_Number]]&lt;=6,"Q2",IF(RawSalesTable6[[#This Row],[Month_Number]]&lt;=9,"Q3","Q4")))</f>
        <v>Q1</v>
      </c>
      <c r="AK591" s="8" t="str">
        <f>VLOOKUP(RawSalesTable6[[#This Row],[Customer_ID_Clean]],CustomersTable[],4,FALSE)</f>
        <v>British Columbia</v>
      </c>
      <c r="AL591" s="8">
        <f>IF(RawSalesTable6[[#This Row],[Return_Status]]="Yes",1,0)</f>
        <v>0</v>
      </c>
    </row>
    <row r="592" spans="1:38">
      <c r="A592" t="s">
        <v>1031</v>
      </c>
      <c r="B592" s="3">
        <v>45775</v>
      </c>
      <c r="C592" t="s">
        <v>497</v>
      </c>
      <c r="D592" t="s">
        <v>738</v>
      </c>
      <c r="E592" t="s">
        <v>1032</v>
      </c>
      <c r="F592" t="s">
        <v>116</v>
      </c>
      <c r="G592" t="s">
        <v>88</v>
      </c>
      <c r="H592" t="s">
        <v>97</v>
      </c>
      <c r="I592">
        <v>2</v>
      </c>
      <c r="J592" s="2">
        <v>334.51</v>
      </c>
      <c r="K592" s="4">
        <v>0.15</v>
      </c>
      <c r="L592" t="s">
        <v>253</v>
      </c>
      <c r="M592">
        <v>1</v>
      </c>
      <c r="N592" t="s">
        <v>91</v>
      </c>
      <c r="O592" t="str">
        <f>SUBSTITUTE(PROPER(TRIM(RawSalesTable6[[#This Row],[Channel_Raw]])),"Market Place","Marketplace")</f>
        <v>Retail Store</v>
      </c>
      <c r="P592" t="str">
        <f>TRIM(RawSalesTable6[[#This Row],[Product_ID]])</f>
        <v>P1016</v>
      </c>
      <c r="Q592" t="str">
        <f>TRIM(RawSalesTable6[[#This Row],[Customer_ID]])</f>
        <v>C0022</v>
      </c>
      <c r="R592" s="8" t="str">
        <f>PROPER(TRIM(RawSalesTable6[[#This Row],[Store_Raw]]))</f>
        <v>Toronto Downtown</v>
      </c>
      <c r="S592" s="8" t="str">
        <f>IF(TRIM(RawSalesTable6[[#This Row],[Payment_Method_Raw]])="","Non renseigné",SUBSTITUTE(PROPER(TRIM(RawSalesTable6[[#This Row],[Payment_Method_Raw]])),"Cc","Credit Card"))</f>
        <v>Credit Card</v>
      </c>
      <c r="T592" s="8">
        <f>COUNTIF(A:A,RawSalesTable6[[#This Row],[Order_ID]])</f>
        <v>1</v>
      </c>
      <c r="U592" s="8" t="str">
        <f>TRIM(LEFT(RawSalesTable6[[#This Row],[Customer_Info]],FIND(",",RawSalesTable6[[#This Row],[Customer_Info]])-1))</f>
        <v>Adam White</v>
      </c>
      <c r="V592" s="8" t="str">
        <f>TRIM(MID(RawSalesTable6[[#This Row],[Customer_Info]],FIND(",",RawSalesTable6[[#This Row],[Customer_Info]])+1,FIND(",",RawSalesTable6[[#This Row],[Customer_Info]],FIND(",",RawSalesTable6[[#This Row],[Customer_Info]])+1)-FIND(",",RawSalesTable6[[#This Row],[Customer_Info]])-1))</f>
        <v>Victoria</v>
      </c>
      <c r="W592" s="8" t="str">
        <f>TRIM(RIGHT(RawSalesTable6[[#This Row],[Customer_Info]],LEN(RawSalesTable6[[#This Row],[Customer_Info]])-FIND(",",RawSalesTable6[[#This Row],[Customer_Info]],FIND(",",RawSalesTable6[[#This Row],[Customer_Info]])+1)))</f>
        <v>Consumer</v>
      </c>
      <c r="X592" s="8" t="str">
        <f>VLOOKUP(RawSalesTable6[[#This Row],[Product_ID_Clean]],ProductsTable[],2,FALSE)</f>
        <v>Printer</v>
      </c>
      <c r="Y592" s="8" t="str">
        <f>VLOOKUP(RawSalesTable6[[#This Row],[Product_ID_Clean]],ProductsTable[],3,FALSE)</f>
        <v>Office</v>
      </c>
      <c r="Z592" s="8">
        <f>VLOOKUP(RawSalesTable6[[#This Row],[Product_ID_Clean]],ProductsTable[],5,FALSE)</f>
        <v>156.75</v>
      </c>
      <c r="AA592" s="8">
        <f>RawSalesTable6[[#This Row],[Unit_Price]]*RawSalesTable6[[#This Row],[Quantity]]</f>
        <v>669.02</v>
      </c>
      <c r="AB592" s="8">
        <f>RawSalesTable6[[#This Row],[Gross_Sales]]*RawSalesTable6[[#This Row],[Discount_Pct]]</f>
        <v>100.35299999999999</v>
      </c>
      <c r="AC592" s="8">
        <f>RawSalesTable6[[#This Row],[Gross_Sales]]-RawSalesTable6[[#This Row],[Discount_Amount]]</f>
        <v>568.66700000000003</v>
      </c>
      <c r="AD592" s="8">
        <f>RawSalesTable6[[#This Row],[Unit_Cost]]*RawSalesTable6[[#This Row],[Quantity]]</f>
        <v>313.5</v>
      </c>
      <c r="AE592" s="8">
        <f>RawSalesTable6[[#This Row],[Net_Sales]]-RawSalesTable6[[#This Row],[Total_Cost]]</f>
        <v>255.16700000000003</v>
      </c>
      <c r="AF592" s="9">
        <f>RawSalesTable6[[#This Row],[Profit]]/RawSalesTable6[[#This Row],[Net_Sales]]</f>
        <v>0.44871075691045903</v>
      </c>
      <c r="AG592" s="8">
        <f>YEAR(RawSalesTable6[[#This Row],[Order_Date]])</f>
        <v>2025</v>
      </c>
      <c r="AH592" s="8">
        <f>MONTH(RawSalesTable6[[#This Row],[Order_Date]])</f>
        <v>4</v>
      </c>
      <c r="AI592" s="8" t="str">
        <f>TEXT(RawSalesTable6[[#This Row],[Order_Date]],"mmmm")</f>
        <v>avril</v>
      </c>
      <c r="AJ592" s="8" t="str">
        <f>IF(RawSalesTable6[[#This Row],[Month_Number]]&lt;=3,"Q1",IF(RawSalesTable6[[#This Row],[Month_Number]]&lt;=6,"Q2",IF(RawSalesTable6[[#This Row],[Month_Number]]&lt;=9,"Q3","Q4")))</f>
        <v>Q2</v>
      </c>
      <c r="AK592" s="8" t="str">
        <f>VLOOKUP(RawSalesTable6[[#This Row],[Customer_ID_Clean]],CustomersTable[],4,FALSE)</f>
        <v>British Columbia</v>
      </c>
      <c r="AL592" s="8">
        <f>IF(RawSalesTable6[[#This Row],[Return_Status]]="Yes",1,0)</f>
        <v>0</v>
      </c>
    </row>
    <row r="593" spans="1:38">
      <c r="A593" t="s">
        <v>1033</v>
      </c>
      <c r="B593" s="3">
        <v>45849</v>
      </c>
      <c r="C593" t="s">
        <v>239</v>
      </c>
      <c r="D593" t="s">
        <v>190</v>
      </c>
      <c r="E593" t="s">
        <v>240</v>
      </c>
      <c r="F593" t="s">
        <v>87</v>
      </c>
      <c r="G593" t="s">
        <v>88</v>
      </c>
      <c r="H593" t="s">
        <v>308</v>
      </c>
      <c r="I593">
        <v>3</v>
      </c>
      <c r="J593" s="2">
        <v>286.7</v>
      </c>
      <c r="K593" s="4">
        <v>0</v>
      </c>
      <c r="L593" t="s">
        <v>90</v>
      </c>
      <c r="M593">
        <v>6</v>
      </c>
      <c r="N593" t="s">
        <v>91</v>
      </c>
      <c r="O593" t="str">
        <f>SUBSTITUTE(PROPER(TRIM(RawSalesTable6[[#This Row],[Channel_Raw]])),"Market Place","Marketplace")</f>
        <v>Online</v>
      </c>
      <c r="P593" t="str">
        <f>TRIM(RawSalesTable6[[#This Row],[Product_ID]])</f>
        <v>P1004</v>
      </c>
      <c r="Q593" t="str">
        <f>TRIM(RawSalesTable6[[#This Row],[Customer_ID]])</f>
        <v>C0089</v>
      </c>
      <c r="R593" s="8" t="str">
        <f>PROPER(TRIM(RawSalesTable6[[#This Row],[Store_Raw]]))</f>
        <v>Online Fulfillment</v>
      </c>
      <c r="S593" s="8" t="str">
        <f>IF(TRIM(RawSalesTable6[[#This Row],[Payment_Method_Raw]])="","Non renseigné",SUBSTITUTE(PROPER(TRIM(RawSalesTable6[[#This Row],[Payment_Method_Raw]])),"Cc","Credit Card"))</f>
        <v>Paypal</v>
      </c>
      <c r="T593" s="8">
        <f>COUNTIF(A:A,RawSalesTable6[[#This Row],[Order_ID]])</f>
        <v>1</v>
      </c>
      <c r="U593" s="8" t="str">
        <f>TRIM(LEFT(RawSalesTable6[[#This Row],[Customer_Info]],FIND(",",RawSalesTable6[[#This Row],[Customer_Info]])-1))</f>
        <v>Lucas Martin</v>
      </c>
      <c r="V593" s="8" t="str">
        <f>TRIM(MID(RawSalesTable6[[#This Row],[Customer_Info]],FIND(",",RawSalesTable6[[#This Row],[Customer_Info]])+1,FIND(",",RawSalesTable6[[#This Row],[Customer_Info]],FIND(",",RawSalesTable6[[#This Row],[Customer_Info]])+1)-FIND(",",RawSalesTable6[[#This Row],[Customer_Info]])-1))</f>
        <v>Vancouver</v>
      </c>
      <c r="W593" s="8" t="str">
        <f>TRIM(RIGHT(RawSalesTable6[[#This Row],[Customer_Info]],LEN(RawSalesTable6[[#This Row],[Customer_Info]])-FIND(",",RawSalesTable6[[#This Row],[Customer_Info]],FIND(",",RawSalesTable6[[#This Row],[Customer_Info]])+1)))</f>
        <v>Consumer</v>
      </c>
      <c r="X593" s="8" t="str">
        <f>VLOOKUP(RawSalesTable6[[#This Row],[Product_ID_Clean]],ProductsTable[],2,FALSE)</f>
        <v>Webcam</v>
      </c>
      <c r="Y593" s="8" t="str">
        <f>VLOOKUP(RawSalesTable6[[#This Row],[Product_ID_Clean]],ProductsTable[],3,FALSE)</f>
        <v>Electronics</v>
      </c>
      <c r="Z593" s="8">
        <f>VLOOKUP(RawSalesTable6[[#This Row],[Product_ID_Clean]],ProductsTable[],5,FALSE)</f>
        <v>154.72999999999999</v>
      </c>
      <c r="AA593" s="8">
        <f>RawSalesTable6[[#This Row],[Unit_Price]]*RawSalesTable6[[#This Row],[Quantity]]</f>
        <v>860.09999999999991</v>
      </c>
      <c r="AB593" s="8">
        <f>RawSalesTable6[[#This Row],[Gross_Sales]]*RawSalesTable6[[#This Row],[Discount_Pct]]</f>
        <v>0</v>
      </c>
      <c r="AC593" s="8">
        <f>RawSalesTable6[[#This Row],[Gross_Sales]]-RawSalesTable6[[#This Row],[Discount_Amount]]</f>
        <v>860.09999999999991</v>
      </c>
      <c r="AD593" s="8">
        <f>RawSalesTable6[[#This Row],[Unit_Cost]]*RawSalesTable6[[#This Row],[Quantity]]</f>
        <v>464.18999999999994</v>
      </c>
      <c r="AE593" s="8">
        <f>RawSalesTable6[[#This Row],[Net_Sales]]-RawSalesTable6[[#This Row],[Total_Cost]]</f>
        <v>395.90999999999997</v>
      </c>
      <c r="AF593" s="9">
        <f>RawSalesTable6[[#This Row],[Profit]]/RawSalesTable6[[#This Row],[Net_Sales]]</f>
        <v>0.46030694105336589</v>
      </c>
      <c r="AG593" s="8">
        <f>YEAR(RawSalesTable6[[#This Row],[Order_Date]])</f>
        <v>2025</v>
      </c>
      <c r="AH593" s="8">
        <f>MONTH(RawSalesTable6[[#This Row],[Order_Date]])</f>
        <v>7</v>
      </c>
      <c r="AI593" s="8" t="str">
        <f>TEXT(RawSalesTable6[[#This Row],[Order_Date]],"mmmm")</f>
        <v>juillet</v>
      </c>
      <c r="AJ593" s="8" t="str">
        <f>IF(RawSalesTable6[[#This Row],[Month_Number]]&lt;=3,"Q1",IF(RawSalesTable6[[#This Row],[Month_Number]]&lt;=6,"Q2",IF(RawSalesTable6[[#This Row],[Month_Number]]&lt;=9,"Q3","Q4")))</f>
        <v>Q3</v>
      </c>
      <c r="AK593" s="8" t="str">
        <f>VLOOKUP(RawSalesTable6[[#This Row],[Customer_ID_Clean]],CustomersTable[],4,FALSE)</f>
        <v>British Columbia</v>
      </c>
      <c r="AL593" s="8">
        <f>IF(RawSalesTable6[[#This Row],[Return_Status]]="Yes",1,0)</f>
        <v>0</v>
      </c>
    </row>
    <row r="594" spans="1:38">
      <c r="A594" t="s">
        <v>1034</v>
      </c>
      <c r="B594" s="3">
        <v>45747</v>
      </c>
      <c r="C594" t="s">
        <v>265</v>
      </c>
      <c r="D594" t="s">
        <v>255</v>
      </c>
      <c r="E594" t="s">
        <v>266</v>
      </c>
      <c r="F594" t="s">
        <v>87</v>
      </c>
      <c r="G594" t="s">
        <v>88</v>
      </c>
      <c r="H594" t="s">
        <v>89</v>
      </c>
      <c r="I594">
        <v>1</v>
      </c>
      <c r="J594" s="2">
        <v>227.24</v>
      </c>
      <c r="K594" s="4">
        <v>0.1</v>
      </c>
      <c r="L594" t="s">
        <v>521</v>
      </c>
      <c r="M594">
        <v>5</v>
      </c>
      <c r="N594" t="s">
        <v>91</v>
      </c>
      <c r="O594" t="str">
        <f>SUBSTITUTE(PROPER(TRIM(RawSalesTable6[[#This Row],[Channel_Raw]])),"Market Place","Marketplace")</f>
        <v>Online</v>
      </c>
      <c r="P594" t="str">
        <f>TRIM(RawSalesTable6[[#This Row],[Product_ID]])</f>
        <v>P1014</v>
      </c>
      <c r="Q594" t="str">
        <f>TRIM(RawSalesTable6[[#This Row],[Customer_ID]])</f>
        <v>C0020</v>
      </c>
      <c r="R594" s="8" t="str">
        <f>PROPER(TRIM(RawSalesTable6[[#This Row],[Store_Raw]]))</f>
        <v>Online Fulfillment</v>
      </c>
      <c r="S594" s="8" t="str">
        <f>IF(TRIM(RawSalesTable6[[#This Row],[Payment_Method_Raw]])="","Non renseigné",SUBSTITUTE(PROPER(TRIM(RawSalesTable6[[#This Row],[Payment_Method_Raw]])),"Cc","Credit Card"))</f>
        <v>Debit Card</v>
      </c>
      <c r="T594" s="8">
        <f>COUNTIF(A:A,RawSalesTable6[[#This Row],[Order_ID]])</f>
        <v>1</v>
      </c>
      <c r="U594" s="8" t="str">
        <f>TRIM(LEFT(RawSalesTable6[[#This Row],[Customer_Info]],FIND(",",RawSalesTable6[[#This Row],[Customer_Info]])-1))</f>
        <v>Nora Khan</v>
      </c>
      <c r="V594" s="8" t="str">
        <f>TRIM(MID(RawSalesTable6[[#This Row],[Customer_Info]],FIND(",",RawSalesTable6[[#This Row],[Customer_Info]])+1,FIND(",",RawSalesTable6[[#This Row],[Customer_Info]],FIND(",",RawSalesTable6[[#This Row],[Customer_Info]])+1)-FIND(",",RawSalesTable6[[#This Row],[Customer_Info]])-1))</f>
        <v>Mississauga</v>
      </c>
      <c r="W594" s="8" t="str">
        <f>TRIM(RIGHT(RawSalesTable6[[#This Row],[Customer_Info]],LEN(RawSalesTable6[[#This Row],[Customer_Info]])-FIND(",",RawSalesTable6[[#This Row],[Customer_Info]],FIND(",",RawSalesTable6[[#This Row],[Customer_Info]])+1)))</f>
        <v>Consumer</v>
      </c>
      <c r="X594" s="8" t="str">
        <f>VLOOKUP(RawSalesTable6[[#This Row],[Product_ID_Clean]],ProductsTable[],2,FALSE)</f>
        <v>Document Shredder</v>
      </c>
      <c r="Y594" s="8" t="str">
        <f>VLOOKUP(RawSalesTable6[[#This Row],[Product_ID_Clean]],ProductsTable[],3,FALSE)</f>
        <v>Office</v>
      </c>
      <c r="Z594" s="8">
        <f>VLOOKUP(RawSalesTable6[[#This Row],[Product_ID_Clean]],ProductsTable[],5,FALSE)</f>
        <v>117.65</v>
      </c>
      <c r="AA594" s="8">
        <f>RawSalesTable6[[#This Row],[Unit_Price]]*RawSalesTable6[[#This Row],[Quantity]]</f>
        <v>227.24</v>
      </c>
      <c r="AB594" s="8">
        <f>RawSalesTable6[[#This Row],[Gross_Sales]]*RawSalesTable6[[#This Row],[Discount_Pct]]</f>
        <v>22.724000000000004</v>
      </c>
      <c r="AC594" s="8">
        <f>RawSalesTable6[[#This Row],[Gross_Sales]]-RawSalesTable6[[#This Row],[Discount_Amount]]</f>
        <v>204.51600000000002</v>
      </c>
      <c r="AD594" s="8">
        <f>RawSalesTable6[[#This Row],[Unit_Cost]]*RawSalesTable6[[#This Row],[Quantity]]</f>
        <v>117.65</v>
      </c>
      <c r="AE594" s="8">
        <f>RawSalesTable6[[#This Row],[Net_Sales]]-RawSalesTable6[[#This Row],[Total_Cost]]</f>
        <v>86.866000000000014</v>
      </c>
      <c r="AF594" s="9">
        <f>RawSalesTable6[[#This Row],[Profit]]/RawSalesTable6[[#This Row],[Net_Sales]]</f>
        <v>0.4247393846936181</v>
      </c>
      <c r="AG594" s="8">
        <f>YEAR(RawSalesTable6[[#This Row],[Order_Date]])</f>
        <v>2025</v>
      </c>
      <c r="AH594" s="8">
        <f>MONTH(RawSalesTable6[[#This Row],[Order_Date]])</f>
        <v>3</v>
      </c>
      <c r="AI594" s="8" t="str">
        <f>TEXT(RawSalesTable6[[#This Row],[Order_Date]],"mmmm")</f>
        <v>mars</v>
      </c>
      <c r="AJ594" s="8" t="str">
        <f>IF(RawSalesTable6[[#This Row],[Month_Number]]&lt;=3,"Q1",IF(RawSalesTable6[[#This Row],[Month_Number]]&lt;=6,"Q2",IF(RawSalesTable6[[#This Row],[Month_Number]]&lt;=9,"Q3","Q4")))</f>
        <v>Q1</v>
      </c>
      <c r="AK594" s="8" t="str">
        <f>VLOOKUP(RawSalesTable6[[#This Row],[Customer_ID_Clean]],CustomersTable[],4,FALSE)</f>
        <v>Ontario</v>
      </c>
      <c r="AL594" s="8">
        <f>IF(RawSalesTable6[[#This Row],[Return_Status]]="Yes",1,0)</f>
        <v>0</v>
      </c>
    </row>
    <row r="595" spans="1:38">
      <c r="A595" t="s">
        <v>1035</v>
      </c>
      <c r="B595" s="3">
        <v>45916</v>
      </c>
      <c r="C595" t="s">
        <v>406</v>
      </c>
      <c r="D595" t="s">
        <v>109</v>
      </c>
      <c r="E595" t="s">
        <v>407</v>
      </c>
      <c r="F595" t="s">
        <v>116</v>
      </c>
      <c r="G595" t="s">
        <v>183</v>
      </c>
      <c r="H595" t="s">
        <v>105</v>
      </c>
      <c r="I595">
        <v>4</v>
      </c>
      <c r="J595" s="2">
        <v>197.43</v>
      </c>
      <c r="K595" s="4">
        <v>0</v>
      </c>
      <c r="L595" t="s">
        <v>253</v>
      </c>
      <c r="M595">
        <v>4</v>
      </c>
      <c r="N595" t="s">
        <v>91</v>
      </c>
      <c r="O595" t="str">
        <f>SUBSTITUTE(PROPER(TRIM(RawSalesTable6[[#This Row],[Channel_Raw]])),"Market Place","Marketplace")</f>
        <v>Marketplace</v>
      </c>
      <c r="P595" t="str">
        <f>TRIM(RawSalesTable6[[#This Row],[Product_ID]])</f>
        <v>P1032</v>
      </c>
      <c r="Q595" t="str">
        <f>TRIM(RawSalesTable6[[#This Row],[Customer_ID]])</f>
        <v>C0038</v>
      </c>
      <c r="R595" s="8" t="str">
        <f>PROPER(TRIM(RawSalesTable6[[#This Row],[Store_Raw]]))</f>
        <v>Toronto Downtown</v>
      </c>
      <c r="S595" s="8" t="str">
        <f>IF(TRIM(RawSalesTable6[[#This Row],[Payment_Method_Raw]])="","Non renseigné",SUBSTITUTE(PROPER(TRIM(RawSalesTable6[[#This Row],[Payment_Method_Raw]])),"Cc","Credit Card"))</f>
        <v>Credit Card</v>
      </c>
      <c r="T595" s="8">
        <f>COUNTIF(A:A,RawSalesTable6[[#This Row],[Order_ID]])</f>
        <v>1</v>
      </c>
      <c r="U595" s="8" t="str">
        <f>TRIM(LEFT(RawSalesTable6[[#This Row],[Customer_Info]],FIND(",",RawSalesTable6[[#This Row],[Customer_Info]])-1))</f>
        <v>Noah Brown</v>
      </c>
      <c r="V595" s="8" t="str">
        <f>TRIM(MID(RawSalesTable6[[#This Row],[Customer_Info]],FIND(",",RawSalesTable6[[#This Row],[Customer_Info]])+1,FIND(",",RawSalesTable6[[#This Row],[Customer_Info]],FIND(",",RawSalesTable6[[#This Row],[Customer_Info]])+1)-FIND(",",RawSalesTable6[[#This Row],[Customer_Info]])-1))</f>
        <v>Montreal</v>
      </c>
      <c r="W595" s="8" t="str">
        <f>TRIM(RIGHT(RawSalesTable6[[#This Row],[Customer_Info]],LEN(RawSalesTable6[[#This Row],[Customer_Info]])-FIND(",",RawSalesTable6[[#This Row],[Customer_Info]],FIND(",",RawSalesTable6[[#This Row],[Customer_Info]])+1)))</f>
        <v>Consumer</v>
      </c>
      <c r="X595" s="8" t="str">
        <f>VLOOKUP(RawSalesTable6[[#This Row],[Product_ID_Clean]],ProductsTable[],2,FALSE)</f>
        <v>Gym Bag</v>
      </c>
      <c r="Y595" s="8" t="str">
        <f>VLOOKUP(RawSalesTable6[[#This Row],[Product_ID_Clean]],ProductsTable[],3,FALSE)</f>
        <v>Fitness</v>
      </c>
      <c r="Z595" s="8">
        <f>VLOOKUP(RawSalesTable6[[#This Row],[Product_ID_Clean]],ProductsTable[],5,FALSE)</f>
        <v>132.72</v>
      </c>
      <c r="AA595" s="8">
        <f>RawSalesTable6[[#This Row],[Unit_Price]]*RawSalesTable6[[#This Row],[Quantity]]</f>
        <v>789.72</v>
      </c>
      <c r="AB595" s="8">
        <f>RawSalesTable6[[#This Row],[Gross_Sales]]*RawSalesTable6[[#This Row],[Discount_Pct]]</f>
        <v>0</v>
      </c>
      <c r="AC595" s="8">
        <f>RawSalesTable6[[#This Row],[Gross_Sales]]-RawSalesTable6[[#This Row],[Discount_Amount]]</f>
        <v>789.72</v>
      </c>
      <c r="AD595" s="8">
        <f>RawSalesTable6[[#This Row],[Unit_Cost]]*RawSalesTable6[[#This Row],[Quantity]]</f>
        <v>530.88</v>
      </c>
      <c r="AE595" s="8">
        <f>RawSalesTable6[[#This Row],[Net_Sales]]-RawSalesTable6[[#This Row],[Total_Cost]]</f>
        <v>258.84000000000003</v>
      </c>
      <c r="AF595" s="9">
        <f>RawSalesTable6[[#This Row],[Profit]]/RawSalesTable6[[#This Row],[Net_Sales]]</f>
        <v>0.32776173833763866</v>
      </c>
      <c r="AG595" s="8">
        <f>YEAR(RawSalesTable6[[#This Row],[Order_Date]])</f>
        <v>2025</v>
      </c>
      <c r="AH595" s="8">
        <f>MONTH(RawSalesTable6[[#This Row],[Order_Date]])</f>
        <v>9</v>
      </c>
      <c r="AI595" s="8" t="str">
        <f>TEXT(RawSalesTable6[[#This Row],[Order_Date]],"mmmm")</f>
        <v>septembre</v>
      </c>
      <c r="AJ595" s="8" t="str">
        <f>IF(RawSalesTable6[[#This Row],[Month_Number]]&lt;=3,"Q1",IF(RawSalesTable6[[#This Row],[Month_Number]]&lt;=6,"Q2",IF(RawSalesTable6[[#This Row],[Month_Number]]&lt;=9,"Q3","Q4")))</f>
        <v>Q3</v>
      </c>
      <c r="AK595" s="8" t="str">
        <f>VLOOKUP(RawSalesTable6[[#This Row],[Customer_ID_Clean]],CustomersTable[],4,FALSE)</f>
        <v>Quebec</v>
      </c>
      <c r="AL595" s="8">
        <f>IF(RawSalesTable6[[#This Row],[Return_Status]]="Yes",1,0)</f>
        <v>0</v>
      </c>
    </row>
    <row r="596" spans="1:38">
      <c r="A596" t="s">
        <v>1036</v>
      </c>
      <c r="B596" s="3">
        <v>45728</v>
      </c>
      <c r="C596" t="s">
        <v>389</v>
      </c>
      <c r="D596" t="s">
        <v>244</v>
      </c>
      <c r="E596" t="s">
        <v>390</v>
      </c>
      <c r="F596" t="s">
        <v>116</v>
      </c>
      <c r="G596" t="s">
        <v>122</v>
      </c>
      <c r="H596" t="s">
        <v>89</v>
      </c>
      <c r="I596">
        <v>1</v>
      </c>
      <c r="J596" s="2">
        <v>247.8</v>
      </c>
      <c r="K596" s="4">
        <v>0.2</v>
      </c>
      <c r="L596" t="s">
        <v>369</v>
      </c>
      <c r="M596">
        <v>3</v>
      </c>
      <c r="N596" t="s">
        <v>91</v>
      </c>
      <c r="O596" t="str">
        <f>SUBSTITUTE(PROPER(TRIM(RawSalesTable6[[#This Row],[Channel_Raw]])),"Market Place","Marketplace")</f>
        <v>Online</v>
      </c>
      <c r="P596" t="str">
        <f>TRIM(RawSalesTable6[[#This Row],[Product_ID]])</f>
        <v>P1005</v>
      </c>
      <c r="Q596" t="str">
        <f>TRIM(RawSalesTable6[[#This Row],[Customer_ID]])</f>
        <v>C0103</v>
      </c>
      <c r="R596" s="8" t="str">
        <f>PROPER(TRIM(RawSalesTable6[[#This Row],[Store_Raw]]))</f>
        <v>Toronto Downtown</v>
      </c>
      <c r="S596" s="8" t="str">
        <f>IF(TRIM(RawSalesTable6[[#This Row],[Payment_Method_Raw]])="","Non renseigné",SUBSTITUTE(PROPER(TRIM(RawSalesTable6[[#This Row],[Payment_Method_Raw]])),"Cc","Credit Card"))</f>
        <v>Paypal</v>
      </c>
      <c r="T596" s="8">
        <f>COUNTIF(A:A,RawSalesTable6[[#This Row],[Order_ID]])</f>
        <v>1</v>
      </c>
      <c r="U596" s="8" t="str">
        <f>TRIM(LEFT(RawSalesTable6[[#This Row],[Customer_Info]],FIND(",",RawSalesTable6[[#This Row],[Customer_Info]])-1))</f>
        <v>Zoe Singh</v>
      </c>
      <c r="V596" s="8" t="str">
        <f>TRIM(MID(RawSalesTable6[[#This Row],[Customer_Info]],FIND(",",RawSalesTable6[[#This Row],[Customer_Info]])+1,FIND(",",RawSalesTable6[[#This Row],[Customer_Info]],FIND(",",RawSalesTable6[[#This Row],[Customer_Info]])+1)-FIND(",",RawSalesTable6[[#This Row],[Customer_Info]])-1))</f>
        <v>Saskatoon</v>
      </c>
      <c r="W596" s="8" t="str">
        <f>TRIM(RIGHT(RawSalesTable6[[#This Row],[Customer_Info]],LEN(RawSalesTable6[[#This Row],[Customer_Info]])-FIND(",",RawSalesTable6[[#This Row],[Customer_Info]],FIND(",",RawSalesTable6[[#This Row],[Customer_Info]])+1)))</f>
        <v>Corporate</v>
      </c>
      <c r="X596" s="8" t="str">
        <f>VLOOKUP(RawSalesTable6[[#This Row],[Product_ID_Clean]],ProductsTable[],2,FALSE)</f>
        <v>Portable SSD</v>
      </c>
      <c r="Y596" s="8" t="str">
        <f>VLOOKUP(RawSalesTable6[[#This Row],[Product_ID_Clean]],ProductsTable[],3,FALSE)</f>
        <v>Electronics</v>
      </c>
      <c r="Z596" s="8">
        <f>VLOOKUP(RawSalesTable6[[#This Row],[Product_ID_Clean]],ProductsTable[],5,FALSE)</f>
        <v>131.19</v>
      </c>
      <c r="AA596" s="8">
        <f>RawSalesTable6[[#This Row],[Unit_Price]]*RawSalesTable6[[#This Row],[Quantity]]</f>
        <v>247.8</v>
      </c>
      <c r="AB596" s="8">
        <f>RawSalesTable6[[#This Row],[Gross_Sales]]*RawSalesTable6[[#This Row],[Discount_Pct]]</f>
        <v>49.56</v>
      </c>
      <c r="AC596" s="8">
        <f>RawSalesTable6[[#This Row],[Gross_Sales]]-RawSalesTable6[[#This Row],[Discount_Amount]]</f>
        <v>198.24</v>
      </c>
      <c r="AD596" s="8">
        <f>RawSalesTable6[[#This Row],[Unit_Cost]]*RawSalesTable6[[#This Row],[Quantity]]</f>
        <v>131.19</v>
      </c>
      <c r="AE596" s="8">
        <f>RawSalesTable6[[#This Row],[Net_Sales]]-RawSalesTable6[[#This Row],[Total_Cost]]</f>
        <v>67.050000000000011</v>
      </c>
      <c r="AF596" s="9">
        <f>RawSalesTable6[[#This Row],[Profit]]/RawSalesTable6[[#This Row],[Net_Sales]]</f>
        <v>0.338226392251816</v>
      </c>
      <c r="AG596" s="8">
        <f>YEAR(RawSalesTable6[[#This Row],[Order_Date]])</f>
        <v>2025</v>
      </c>
      <c r="AH596" s="8">
        <f>MONTH(RawSalesTable6[[#This Row],[Order_Date]])</f>
        <v>3</v>
      </c>
      <c r="AI596" s="8" t="str">
        <f>TEXT(RawSalesTable6[[#This Row],[Order_Date]],"mmmm")</f>
        <v>mars</v>
      </c>
      <c r="AJ596" s="8" t="str">
        <f>IF(RawSalesTable6[[#This Row],[Month_Number]]&lt;=3,"Q1",IF(RawSalesTable6[[#This Row],[Month_Number]]&lt;=6,"Q2",IF(RawSalesTable6[[#This Row],[Month_Number]]&lt;=9,"Q3","Q4")))</f>
        <v>Q1</v>
      </c>
      <c r="AK596" s="8" t="str">
        <f>VLOOKUP(RawSalesTable6[[#This Row],[Customer_ID_Clean]],CustomersTable[],4,FALSE)</f>
        <v>Saskatchewan</v>
      </c>
      <c r="AL596" s="8">
        <f>IF(RawSalesTable6[[#This Row],[Return_Status]]="Yes",1,0)</f>
        <v>0</v>
      </c>
    </row>
    <row r="597" spans="1:38">
      <c r="A597" t="s">
        <v>1037</v>
      </c>
      <c r="B597" s="3">
        <v>45756</v>
      </c>
      <c r="C597" t="s">
        <v>417</v>
      </c>
      <c r="D597" t="s">
        <v>181</v>
      </c>
      <c r="E597" t="s">
        <v>419</v>
      </c>
      <c r="F597" t="s">
        <v>111</v>
      </c>
      <c r="G597" t="s">
        <v>88</v>
      </c>
      <c r="H597" t="s">
        <v>89</v>
      </c>
      <c r="I597">
        <v>1</v>
      </c>
      <c r="J597" s="2">
        <v>347.2</v>
      </c>
      <c r="K597" s="4">
        <v>0.25</v>
      </c>
      <c r="L597" t="s">
        <v>441</v>
      </c>
      <c r="M597">
        <v>3</v>
      </c>
      <c r="N597" t="s">
        <v>91</v>
      </c>
      <c r="O597" t="str">
        <f>SUBSTITUTE(PROPER(TRIM(RawSalesTable6[[#This Row],[Channel_Raw]])),"Market Place","Marketplace")</f>
        <v>Online</v>
      </c>
      <c r="P597" t="str">
        <f>TRIM(RawSalesTable6[[#This Row],[Product_ID]])</f>
        <v>P1007</v>
      </c>
      <c r="Q597" t="str">
        <f>TRIM(RawSalesTable6[[#This Row],[Customer_ID]])</f>
        <v>C0079</v>
      </c>
      <c r="R597" s="8" t="str">
        <f>PROPER(TRIM(RawSalesTable6[[#This Row],[Store_Raw]]))</f>
        <v>Montreal Central</v>
      </c>
      <c r="S597" s="8" t="str">
        <f>IF(TRIM(RawSalesTable6[[#This Row],[Payment_Method_Raw]])="","Non renseigné",SUBSTITUTE(PROPER(TRIM(RawSalesTable6[[#This Row],[Payment_Method_Raw]])),"Cc","Credit Card"))</f>
        <v>Credit Card</v>
      </c>
      <c r="T597" s="8">
        <f>COUNTIF(A:A,RawSalesTable6[[#This Row],[Order_ID]])</f>
        <v>1</v>
      </c>
      <c r="U597" s="8" t="str">
        <f>TRIM(LEFT(RawSalesTable6[[#This Row],[Customer_Info]],FIND(",",RawSalesTable6[[#This Row],[Customer_Info]])-1))</f>
        <v>Sophia Scott</v>
      </c>
      <c r="V597" s="8" t="str">
        <f>TRIM(MID(RawSalesTable6[[#This Row],[Customer_Info]],FIND(",",RawSalesTable6[[#This Row],[Customer_Info]])+1,FIND(",",RawSalesTable6[[#This Row],[Customer_Info]],FIND(",",RawSalesTable6[[#This Row],[Customer_Info]])+1)-FIND(",",RawSalesTable6[[#This Row],[Customer_Info]])-1))</f>
        <v>Ottawa</v>
      </c>
      <c r="W597" s="8" t="str">
        <f>TRIM(RIGHT(RawSalesTable6[[#This Row],[Customer_Info]],LEN(RawSalesTable6[[#This Row],[Customer_Info]])-FIND(",",RawSalesTable6[[#This Row],[Customer_Info]],FIND(",",RawSalesTable6[[#This Row],[Customer_Info]])+1)))</f>
        <v>Consumer</v>
      </c>
      <c r="X597" s="8" t="str">
        <f>VLOOKUP(RawSalesTable6[[#This Row],[Product_ID_Clean]],ProductsTable[],2,FALSE)</f>
        <v>Monitor</v>
      </c>
      <c r="Y597" s="8" t="str">
        <f>VLOOKUP(RawSalesTable6[[#This Row],[Product_ID_Clean]],ProductsTable[],3,FALSE)</f>
        <v>Electronics</v>
      </c>
      <c r="Z597" s="8">
        <f>VLOOKUP(RawSalesTable6[[#This Row],[Product_ID_Clean]],ProductsTable[],5,FALSE)</f>
        <v>224.47</v>
      </c>
      <c r="AA597" s="8">
        <f>RawSalesTable6[[#This Row],[Unit_Price]]*RawSalesTable6[[#This Row],[Quantity]]</f>
        <v>347.2</v>
      </c>
      <c r="AB597" s="8">
        <f>RawSalesTable6[[#This Row],[Gross_Sales]]*RawSalesTable6[[#This Row],[Discount_Pct]]</f>
        <v>86.8</v>
      </c>
      <c r="AC597" s="8">
        <f>RawSalesTable6[[#This Row],[Gross_Sales]]-RawSalesTable6[[#This Row],[Discount_Amount]]</f>
        <v>260.39999999999998</v>
      </c>
      <c r="AD597" s="8">
        <f>RawSalesTable6[[#This Row],[Unit_Cost]]*RawSalesTable6[[#This Row],[Quantity]]</f>
        <v>224.47</v>
      </c>
      <c r="AE597" s="8">
        <f>RawSalesTable6[[#This Row],[Net_Sales]]-RawSalesTable6[[#This Row],[Total_Cost]]</f>
        <v>35.929999999999978</v>
      </c>
      <c r="AF597" s="9">
        <f>RawSalesTable6[[#This Row],[Profit]]/RawSalesTable6[[#This Row],[Net_Sales]]</f>
        <v>0.13798003072196613</v>
      </c>
      <c r="AG597" s="8">
        <f>YEAR(RawSalesTable6[[#This Row],[Order_Date]])</f>
        <v>2025</v>
      </c>
      <c r="AH597" s="8">
        <f>MONTH(RawSalesTable6[[#This Row],[Order_Date]])</f>
        <v>4</v>
      </c>
      <c r="AI597" s="8" t="str">
        <f>TEXT(RawSalesTable6[[#This Row],[Order_Date]],"mmmm")</f>
        <v>avril</v>
      </c>
      <c r="AJ597" s="8" t="str">
        <f>IF(RawSalesTable6[[#This Row],[Month_Number]]&lt;=3,"Q1",IF(RawSalesTable6[[#This Row],[Month_Number]]&lt;=6,"Q2",IF(RawSalesTable6[[#This Row],[Month_Number]]&lt;=9,"Q3","Q4")))</f>
        <v>Q2</v>
      </c>
      <c r="AK597" s="8" t="str">
        <f>VLOOKUP(RawSalesTable6[[#This Row],[Customer_ID_Clean]],CustomersTable[],4,FALSE)</f>
        <v>Ontario</v>
      </c>
      <c r="AL597" s="8">
        <f>IF(RawSalesTable6[[#This Row],[Return_Status]]="Yes",1,0)</f>
        <v>0</v>
      </c>
    </row>
    <row r="598" spans="1:38">
      <c r="A598" t="s">
        <v>1038</v>
      </c>
      <c r="B598" s="3">
        <v>45936</v>
      </c>
      <c r="C598" t="s">
        <v>338</v>
      </c>
      <c r="D598" t="s">
        <v>143</v>
      </c>
      <c r="E598" t="s">
        <v>339</v>
      </c>
      <c r="F598" t="s">
        <v>145</v>
      </c>
      <c r="G598" t="s">
        <v>130</v>
      </c>
      <c r="H598" t="s">
        <v>97</v>
      </c>
      <c r="I598">
        <v>2</v>
      </c>
      <c r="J598" s="2">
        <v>269.25</v>
      </c>
      <c r="K598" s="4">
        <v>0.15</v>
      </c>
      <c r="L598" t="s">
        <v>106</v>
      </c>
      <c r="M598">
        <v>4</v>
      </c>
      <c r="N598" t="s">
        <v>91</v>
      </c>
      <c r="O598" t="str">
        <f>SUBSTITUTE(PROPER(TRIM(RawSalesTable6[[#This Row],[Channel_Raw]])),"Market Place","Marketplace")</f>
        <v>Retail Store</v>
      </c>
      <c r="P598" t="str">
        <f>TRIM(RawSalesTable6[[#This Row],[Product_ID]])</f>
        <v>P1038</v>
      </c>
      <c r="Q598" t="str">
        <f>TRIM(RawSalesTable6[[#This Row],[Customer_ID]])</f>
        <v>C0047</v>
      </c>
      <c r="R598" s="8" t="str">
        <f>PROPER(TRIM(RawSalesTable6[[#This Row],[Store_Raw]]))</f>
        <v>Calgary North</v>
      </c>
      <c r="S598" s="8" t="str">
        <f>IF(TRIM(RawSalesTable6[[#This Row],[Payment_Method_Raw]])="","Non renseigné",SUBSTITUTE(PROPER(TRIM(RawSalesTable6[[#This Row],[Payment_Method_Raw]])),"Cc","Credit Card"))</f>
        <v>Credit Card</v>
      </c>
      <c r="T598" s="8">
        <f>COUNTIF(A:A,RawSalesTable6[[#This Row],[Order_ID]])</f>
        <v>1</v>
      </c>
      <c r="U598" s="8" t="str">
        <f>TRIM(LEFT(RawSalesTable6[[#This Row],[Customer_Info]],FIND(",",RawSalesTable6[[#This Row],[Customer_Info]])-1))</f>
        <v>Amine King</v>
      </c>
      <c r="V598" s="8" t="str">
        <f>TRIM(MID(RawSalesTable6[[#This Row],[Customer_Info]],FIND(",",RawSalesTable6[[#This Row],[Customer_Info]])+1,FIND(",",RawSalesTable6[[#This Row],[Customer_Info]],FIND(",",RawSalesTable6[[#This Row],[Customer_Info]])+1)-FIND(",",RawSalesTable6[[#This Row],[Customer_Info]])-1))</f>
        <v>Victoria</v>
      </c>
      <c r="W598" s="8" t="str">
        <f>TRIM(RIGHT(RawSalesTable6[[#This Row],[Customer_Info]],LEN(RawSalesTable6[[#This Row],[Customer_Info]])-FIND(",",RawSalesTable6[[#This Row],[Customer_Info]],FIND(",",RawSalesTable6[[#This Row],[Customer_Info]])+1)))</f>
        <v>Consumer</v>
      </c>
      <c r="X598" s="8" t="str">
        <f>VLOOKUP(RawSalesTable6[[#This Row],[Product_ID_Clean]],ProductsTable[],2,FALSE)</f>
        <v>Water Bottle</v>
      </c>
      <c r="Y598" s="8" t="str">
        <f>VLOOKUP(RawSalesTable6[[#This Row],[Product_ID_Clean]],ProductsTable[],3,FALSE)</f>
        <v>Accessories</v>
      </c>
      <c r="Z598" s="8">
        <f>VLOOKUP(RawSalesTable6[[#This Row],[Product_ID_Clean]],ProductsTable[],5,FALSE)</f>
        <v>119.16</v>
      </c>
      <c r="AA598" s="8">
        <f>RawSalesTable6[[#This Row],[Unit_Price]]*RawSalesTable6[[#This Row],[Quantity]]</f>
        <v>538.5</v>
      </c>
      <c r="AB598" s="8">
        <f>RawSalesTable6[[#This Row],[Gross_Sales]]*RawSalesTable6[[#This Row],[Discount_Pct]]</f>
        <v>80.774999999999991</v>
      </c>
      <c r="AC598" s="8">
        <f>RawSalesTable6[[#This Row],[Gross_Sales]]-RawSalesTable6[[#This Row],[Discount_Amount]]</f>
        <v>457.72500000000002</v>
      </c>
      <c r="AD598" s="8">
        <f>RawSalesTable6[[#This Row],[Unit_Cost]]*RawSalesTable6[[#This Row],[Quantity]]</f>
        <v>238.32</v>
      </c>
      <c r="AE598" s="8">
        <f>RawSalesTable6[[#This Row],[Net_Sales]]-RawSalesTable6[[#This Row],[Total_Cost]]</f>
        <v>219.40500000000003</v>
      </c>
      <c r="AF598" s="9">
        <f>RawSalesTable6[[#This Row],[Profit]]/RawSalesTable6[[#This Row],[Net_Sales]]</f>
        <v>0.47933803047681472</v>
      </c>
      <c r="AG598" s="8">
        <f>YEAR(RawSalesTable6[[#This Row],[Order_Date]])</f>
        <v>2025</v>
      </c>
      <c r="AH598" s="8">
        <f>MONTH(RawSalesTable6[[#This Row],[Order_Date]])</f>
        <v>10</v>
      </c>
      <c r="AI598" s="8" t="str">
        <f>TEXT(RawSalesTable6[[#This Row],[Order_Date]],"mmmm")</f>
        <v>octobre</v>
      </c>
      <c r="AJ598" s="8" t="str">
        <f>IF(RawSalesTable6[[#This Row],[Month_Number]]&lt;=3,"Q1",IF(RawSalesTable6[[#This Row],[Month_Number]]&lt;=6,"Q2",IF(RawSalesTable6[[#This Row],[Month_Number]]&lt;=9,"Q3","Q4")))</f>
        <v>Q4</v>
      </c>
      <c r="AK598" s="8" t="str">
        <f>VLOOKUP(RawSalesTable6[[#This Row],[Customer_ID_Clean]],CustomersTable[],4,FALSE)</f>
        <v>British Columbia</v>
      </c>
      <c r="AL598" s="8">
        <f>IF(RawSalesTable6[[#This Row],[Return_Status]]="Yes",1,0)</f>
        <v>0</v>
      </c>
    </row>
    <row r="599" spans="1:38">
      <c r="A599" t="s">
        <v>1039</v>
      </c>
      <c r="B599" s="3">
        <v>45831</v>
      </c>
      <c r="C599" t="s">
        <v>472</v>
      </c>
      <c r="D599" t="s">
        <v>109</v>
      </c>
      <c r="E599" t="s">
        <v>473</v>
      </c>
      <c r="F599" t="s">
        <v>145</v>
      </c>
      <c r="G599" t="s">
        <v>88</v>
      </c>
      <c r="H599" t="s">
        <v>89</v>
      </c>
      <c r="I599">
        <v>2</v>
      </c>
      <c r="J599" s="2">
        <v>203.99</v>
      </c>
      <c r="K599" s="4">
        <v>0</v>
      </c>
      <c r="L599" t="s">
        <v>106</v>
      </c>
      <c r="M599">
        <v>3</v>
      </c>
      <c r="N599" t="s">
        <v>91</v>
      </c>
      <c r="O599" t="str">
        <f>SUBSTITUTE(PROPER(TRIM(RawSalesTable6[[#This Row],[Channel_Raw]])),"Market Place","Marketplace")</f>
        <v>Online</v>
      </c>
      <c r="P599" t="str">
        <f>TRIM(RawSalesTable6[[#This Row],[Product_ID]])</f>
        <v>P1032</v>
      </c>
      <c r="Q599" t="str">
        <f>TRIM(RawSalesTable6[[#This Row],[Customer_ID]])</f>
        <v>C0018</v>
      </c>
      <c r="R599" s="8" t="str">
        <f>PROPER(TRIM(RawSalesTable6[[#This Row],[Store_Raw]]))</f>
        <v>Calgary North</v>
      </c>
      <c r="S599" s="8" t="str">
        <f>IF(TRIM(RawSalesTable6[[#This Row],[Payment_Method_Raw]])="","Non renseigné",SUBSTITUTE(PROPER(TRIM(RawSalesTable6[[#This Row],[Payment_Method_Raw]])),"Cc","Credit Card"))</f>
        <v>Credit Card</v>
      </c>
      <c r="T599" s="8">
        <f>COUNTIF(A:A,RawSalesTable6[[#This Row],[Order_ID]])</f>
        <v>1</v>
      </c>
      <c r="U599" s="8" t="str">
        <f>TRIM(LEFT(RawSalesTable6[[#This Row],[Customer_Info]],FIND(",",RawSalesTable6[[#This Row],[Customer_Info]])-1))</f>
        <v>Sophia Tremblay</v>
      </c>
      <c r="V599" s="8" t="str">
        <f>TRIM(MID(RawSalesTable6[[#This Row],[Customer_Info]],FIND(",",RawSalesTable6[[#This Row],[Customer_Info]])+1,FIND(",",RawSalesTable6[[#This Row],[Customer_Info]],FIND(",",RawSalesTable6[[#This Row],[Customer_Info]])+1)-FIND(",",RawSalesTable6[[#This Row],[Customer_Info]])-1))</f>
        <v>Laval</v>
      </c>
      <c r="W599" s="8" t="str">
        <f>TRIM(RIGHT(RawSalesTable6[[#This Row],[Customer_Info]],LEN(RawSalesTable6[[#This Row],[Customer_Info]])-FIND(",",RawSalesTable6[[#This Row],[Customer_Info]],FIND(",",RawSalesTable6[[#This Row],[Customer_Info]])+1)))</f>
        <v>Small Business</v>
      </c>
      <c r="X599" s="8" t="str">
        <f>VLOOKUP(RawSalesTable6[[#This Row],[Product_ID_Clean]],ProductsTable[],2,FALSE)</f>
        <v>Gym Bag</v>
      </c>
      <c r="Y599" s="8" t="str">
        <f>VLOOKUP(RawSalesTable6[[#This Row],[Product_ID_Clean]],ProductsTable[],3,FALSE)</f>
        <v>Fitness</v>
      </c>
      <c r="Z599" s="8">
        <f>VLOOKUP(RawSalesTable6[[#This Row],[Product_ID_Clean]],ProductsTable[],5,FALSE)</f>
        <v>132.72</v>
      </c>
      <c r="AA599" s="8">
        <f>RawSalesTable6[[#This Row],[Unit_Price]]*RawSalesTable6[[#This Row],[Quantity]]</f>
        <v>407.98</v>
      </c>
      <c r="AB599" s="8">
        <f>RawSalesTable6[[#This Row],[Gross_Sales]]*RawSalesTable6[[#This Row],[Discount_Pct]]</f>
        <v>0</v>
      </c>
      <c r="AC599" s="8">
        <f>RawSalesTable6[[#This Row],[Gross_Sales]]-RawSalesTable6[[#This Row],[Discount_Amount]]</f>
        <v>407.98</v>
      </c>
      <c r="AD599" s="8">
        <f>RawSalesTable6[[#This Row],[Unit_Cost]]*RawSalesTable6[[#This Row],[Quantity]]</f>
        <v>265.44</v>
      </c>
      <c r="AE599" s="8">
        <f>RawSalesTable6[[#This Row],[Net_Sales]]-RawSalesTable6[[#This Row],[Total_Cost]]</f>
        <v>142.54000000000002</v>
      </c>
      <c r="AF599" s="9">
        <f>RawSalesTable6[[#This Row],[Profit]]/RawSalesTable6[[#This Row],[Net_Sales]]</f>
        <v>0.34937987156233152</v>
      </c>
      <c r="AG599" s="8">
        <f>YEAR(RawSalesTable6[[#This Row],[Order_Date]])</f>
        <v>2025</v>
      </c>
      <c r="AH599" s="8">
        <f>MONTH(RawSalesTable6[[#This Row],[Order_Date]])</f>
        <v>6</v>
      </c>
      <c r="AI599" s="8" t="str">
        <f>TEXT(RawSalesTable6[[#This Row],[Order_Date]],"mmmm")</f>
        <v>juin</v>
      </c>
      <c r="AJ599" s="8" t="str">
        <f>IF(RawSalesTable6[[#This Row],[Month_Number]]&lt;=3,"Q1",IF(RawSalesTable6[[#This Row],[Month_Number]]&lt;=6,"Q2",IF(RawSalesTable6[[#This Row],[Month_Number]]&lt;=9,"Q3","Q4")))</f>
        <v>Q2</v>
      </c>
      <c r="AK599" s="8" t="str">
        <f>VLOOKUP(RawSalesTable6[[#This Row],[Customer_ID_Clean]],CustomersTable[],4,FALSE)</f>
        <v>Quebec</v>
      </c>
      <c r="AL599" s="8">
        <f>IF(RawSalesTable6[[#This Row],[Return_Status]]="Yes",1,0)</f>
        <v>0</v>
      </c>
    </row>
    <row r="600" spans="1:38">
      <c r="A600" t="s">
        <v>1040</v>
      </c>
      <c r="B600" s="3">
        <v>45842</v>
      </c>
      <c r="C600" t="s">
        <v>523</v>
      </c>
      <c r="D600" t="s">
        <v>194</v>
      </c>
      <c r="E600" t="s">
        <v>524</v>
      </c>
      <c r="F600" t="s">
        <v>87</v>
      </c>
      <c r="G600" t="s">
        <v>130</v>
      </c>
      <c r="H600" t="s">
        <v>89</v>
      </c>
      <c r="I600">
        <v>2</v>
      </c>
      <c r="J600" s="2">
        <v>212.05</v>
      </c>
      <c r="K600" s="4">
        <v>0</v>
      </c>
      <c r="L600" t="s">
        <v>106</v>
      </c>
      <c r="M600">
        <v>2</v>
      </c>
      <c r="N600" t="s">
        <v>91</v>
      </c>
      <c r="O600" t="str">
        <f>SUBSTITUTE(PROPER(TRIM(RawSalesTable6[[#This Row],[Channel_Raw]])),"Market Place","Marketplace")</f>
        <v>Online</v>
      </c>
      <c r="P600" t="str">
        <f>TRIM(RawSalesTable6[[#This Row],[Product_ID]])</f>
        <v>P1029</v>
      </c>
      <c r="Q600" t="str">
        <f>TRIM(RawSalesTable6[[#This Row],[Customer_ID]])</f>
        <v>C0115</v>
      </c>
      <c r="R600" s="8" t="str">
        <f>PROPER(TRIM(RawSalesTable6[[#This Row],[Store_Raw]]))</f>
        <v>Online Fulfillment</v>
      </c>
      <c r="S600" s="8" t="str">
        <f>IF(TRIM(RawSalesTable6[[#This Row],[Payment_Method_Raw]])="","Non renseigné",SUBSTITUTE(PROPER(TRIM(RawSalesTable6[[#This Row],[Payment_Method_Raw]])),"Cc","Credit Card"))</f>
        <v>Credit Card</v>
      </c>
      <c r="T600" s="8">
        <f>COUNTIF(A:A,RawSalesTable6[[#This Row],[Order_ID]])</f>
        <v>1</v>
      </c>
      <c r="U600" s="8" t="str">
        <f>TRIM(LEFT(RawSalesTable6[[#This Row],[Customer_Info]],FIND(",",RawSalesTable6[[#This Row],[Customer_Info]])-1))</f>
        <v>Nora Lee</v>
      </c>
      <c r="V600" s="8" t="str">
        <f>TRIM(MID(RawSalesTable6[[#This Row],[Customer_Info]],FIND(",",RawSalesTable6[[#This Row],[Customer_Info]])+1,FIND(",",RawSalesTable6[[#This Row],[Customer_Info]],FIND(",",RawSalesTable6[[#This Row],[Customer_Info]])+1)-FIND(",",RawSalesTable6[[#This Row],[Customer_Info]])-1))</f>
        <v>Calgary</v>
      </c>
      <c r="W600" s="8" t="str">
        <f>TRIM(RIGHT(RawSalesTable6[[#This Row],[Customer_Info]],LEN(RawSalesTable6[[#This Row],[Customer_Info]])-FIND(",",RawSalesTable6[[#This Row],[Customer_Info]],FIND(",",RawSalesTable6[[#This Row],[Customer_Info]])+1)))</f>
        <v>Consumer</v>
      </c>
      <c r="X600" s="8" t="str">
        <f>VLOOKUP(RawSalesTable6[[#This Row],[Product_ID_Clean]],ProductsTable[],2,FALSE)</f>
        <v>Jump Rope</v>
      </c>
      <c r="Y600" s="8" t="str">
        <f>VLOOKUP(RawSalesTable6[[#This Row],[Product_ID_Clean]],ProductsTable[],3,FALSE)</f>
        <v>Fitness</v>
      </c>
      <c r="Z600" s="8">
        <f>VLOOKUP(RawSalesTable6[[#This Row],[Product_ID_Clean]],ProductsTable[],5,FALSE)</f>
        <v>101</v>
      </c>
      <c r="AA600" s="8">
        <f>RawSalesTable6[[#This Row],[Unit_Price]]*RawSalesTable6[[#This Row],[Quantity]]</f>
        <v>424.1</v>
      </c>
      <c r="AB600" s="8">
        <f>RawSalesTable6[[#This Row],[Gross_Sales]]*RawSalesTable6[[#This Row],[Discount_Pct]]</f>
        <v>0</v>
      </c>
      <c r="AC600" s="8">
        <f>RawSalesTable6[[#This Row],[Gross_Sales]]-RawSalesTable6[[#This Row],[Discount_Amount]]</f>
        <v>424.1</v>
      </c>
      <c r="AD600" s="8">
        <f>RawSalesTable6[[#This Row],[Unit_Cost]]*RawSalesTable6[[#This Row],[Quantity]]</f>
        <v>202</v>
      </c>
      <c r="AE600" s="8">
        <f>RawSalesTable6[[#This Row],[Net_Sales]]-RawSalesTable6[[#This Row],[Total_Cost]]</f>
        <v>222.10000000000002</v>
      </c>
      <c r="AF600" s="9">
        <f>RawSalesTable6[[#This Row],[Profit]]/RawSalesTable6[[#This Row],[Net_Sales]]</f>
        <v>0.52369724121669425</v>
      </c>
      <c r="AG600" s="8">
        <f>YEAR(RawSalesTable6[[#This Row],[Order_Date]])</f>
        <v>2025</v>
      </c>
      <c r="AH600" s="8">
        <f>MONTH(RawSalesTable6[[#This Row],[Order_Date]])</f>
        <v>7</v>
      </c>
      <c r="AI600" s="8" t="str">
        <f>TEXT(RawSalesTable6[[#This Row],[Order_Date]],"mmmm")</f>
        <v>juillet</v>
      </c>
      <c r="AJ600" s="8" t="str">
        <f>IF(RawSalesTable6[[#This Row],[Month_Number]]&lt;=3,"Q1",IF(RawSalesTable6[[#This Row],[Month_Number]]&lt;=6,"Q2",IF(RawSalesTable6[[#This Row],[Month_Number]]&lt;=9,"Q3","Q4")))</f>
        <v>Q3</v>
      </c>
      <c r="AK600" s="8" t="str">
        <f>VLOOKUP(RawSalesTable6[[#This Row],[Customer_ID_Clean]],CustomersTable[],4,FALSE)</f>
        <v>Alberta</v>
      </c>
      <c r="AL600" s="8">
        <f>IF(RawSalesTable6[[#This Row],[Return_Status]]="Yes",1,0)</f>
        <v>0</v>
      </c>
    </row>
    <row r="601" spans="1:38">
      <c r="A601" t="s">
        <v>1041</v>
      </c>
      <c r="B601" s="3">
        <v>45949</v>
      </c>
      <c r="C601" t="s">
        <v>523</v>
      </c>
      <c r="D601" t="s">
        <v>255</v>
      </c>
      <c r="E601" t="s">
        <v>524</v>
      </c>
      <c r="F601" t="s">
        <v>116</v>
      </c>
      <c r="G601" t="s">
        <v>88</v>
      </c>
      <c r="H601" t="s">
        <v>89</v>
      </c>
      <c r="I601">
        <v>1</v>
      </c>
      <c r="J601" s="2">
        <v>228.4</v>
      </c>
      <c r="K601" s="4">
        <v>0.05</v>
      </c>
      <c r="L601" t="s">
        <v>98</v>
      </c>
      <c r="M601">
        <v>7</v>
      </c>
      <c r="N601" t="s">
        <v>91</v>
      </c>
      <c r="O601" t="str">
        <f>SUBSTITUTE(PROPER(TRIM(RawSalesTable6[[#This Row],[Channel_Raw]])),"Market Place","Marketplace")</f>
        <v>Online</v>
      </c>
      <c r="P601" t="str">
        <f>TRIM(RawSalesTable6[[#This Row],[Product_ID]])</f>
        <v>P1014</v>
      </c>
      <c r="Q601" t="str">
        <f>TRIM(RawSalesTable6[[#This Row],[Customer_ID]])</f>
        <v>C0115</v>
      </c>
      <c r="R601" s="8" t="str">
        <f>PROPER(TRIM(RawSalesTable6[[#This Row],[Store_Raw]]))</f>
        <v>Toronto Downtown</v>
      </c>
      <c r="S601" s="8" t="str">
        <f>IF(TRIM(RawSalesTable6[[#This Row],[Payment_Method_Raw]])="","Non renseigné",SUBSTITUTE(PROPER(TRIM(RawSalesTable6[[#This Row],[Payment_Method_Raw]])),"Cc","Credit Card"))</f>
        <v>Debit Card</v>
      </c>
      <c r="T601" s="8">
        <f>COUNTIF(A:A,RawSalesTable6[[#This Row],[Order_ID]])</f>
        <v>1</v>
      </c>
      <c r="U601" s="8" t="str">
        <f>TRIM(LEFT(RawSalesTable6[[#This Row],[Customer_Info]],FIND(",",RawSalesTable6[[#This Row],[Customer_Info]])-1))</f>
        <v>Nora Lee</v>
      </c>
      <c r="V601" s="8" t="str">
        <f>TRIM(MID(RawSalesTable6[[#This Row],[Customer_Info]],FIND(",",RawSalesTable6[[#This Row],[Customer_Info]])+1,FIND(",",RawSalesTable6[[#This Row],[Customer_Info]],FIND(",",RawSalesTable6[[#This Row],[Customer_Info]])+1)-FIND(",",RawSalesTable6[[#This Row],[Customer_Info]])-1))</f>
        <v>Calgary</v>
      </c>
      <c r="W601" s="8" t="str">
        <f>TRIM(RIGHT(RawSalesTable6[[#This Row],[Customer_Info]],LEN(RawSalesTable6[[#This Row],[Customer_Info]])-FIND(",",RawSalesTable6[[#This Row],[Customer_Info]],FIND(",",RawSalesTable6[[#This Row],[Customer_Info]])+1)))</f>
        <v>Consumer</v>
      </c>
      <c r="X601" s="8" t="str">
        <f>VLOOKUP(RawSalesTable6[[#This Row],[Product_ID_Clean]],ProductsTable[],2,FALSE)</f>
        <v>Document Shredder</v>
      </c>
      <c r="Y601" s="8" t="str">
        <f>VLOOKUP(RawSalesTable6[[#This Row],[Product_ID_Clean]],ProductsTable[],3,FALSE)</f>
        <v>Office</v>
      </c>
      <c r="Z601" s="8">
        <f>VLOOKUP(RawSalesTable6[[#This Row],[Product_ID_Clean]],ProductsTable[],5,FALSE)</f>
        <v>117.65</v>
      </c>
      <c r="AA601" s="8">
        <f>RawSalesTable6[[#This Row],[Unit_Price]]*RawSalesTable6[[#This Row],[Quantity]]</f>
        <v>228.4</v>
      </c>
      <c r="AB601" s="8">
        <f>RawSalesTable6[[#This Row],[Gross_Sales]]*RawSalesTable6[[#This Row],[Discount_Pct]]</f>
        <v>11.420000000000002</v>
      </c>
      <c r="AC601" s="8">
        <f>RawSalesTable6[[#This Row],[Gross_Sales]]-RawSalesTable6[[#This Row],[Discount_Amount]]</f>
        <v>216.98000000000002</v>
      </c>
      <c r="AD601" s="8">
        <f>RawSalesTable6[[#This Row],[Unit_Cost]]*RawSalesTable6[[#This Row],[Quantity]]</f>
        <v>117.65</v>
      </c>
      <c r="AE601" s="8">
        <f>RawSalesTable6[[#This Row],[Net_Sales]]-RawSalesTable6[[#This Row],[Total_Cost]]</f>
        <v>99.330000000000013</v>
      </c>
      <c r="AF601" s="9">
        <f>RawSalesTable6[[#This Row],[Profit]]/RawSalesTable6[[#This Row],[Net_Sales]]</f>
        <v>0.45778412756936127</v>
      </c>
      <c r="AG601" s="8">
        <f>YEAR(RawSalesTable6[[#This Row],[Order_Date]])</f>
        <v>2025</v>
      </c>
      <c r="AH601" s="8">
        <f>MONTH(RawSalesTable6[[#This Row],[Order_Date]])</f>
        <v>10</v>
      </c>
      <c r="AI601" s="8" t="str">
        <f>TEXT(RawSalesTable6[[#This Row],[Order_Date]],"mmmm")</f>
        <v>octobre</v>
      </c>
      <c r="AJ601" s="8" t="str">
        <f>IF(RawSalesTable6[[#This Row],[Month_Number]]&lt;=3,"Q1",IF(RawSalesTable6[[#This Row],[Month_Number]]&lt;=6,"Q2",IF(RawSalesTable6[[#This Row],[Month_Number]]&lt;=9,"Q3","Q4")))</f>
        <v>Q4</v>
      </c>
      <c r="AK601" s="8" t="str">
        <f>VLOOKUP(RawSalesTable6[[#This Row],[Customer_ID_Clean]],CustomersTable[],4,FALSE)</f>
        <v>Alberta</v>
      </c>
      <c r="AL601" s="8">
        <f>IF(RawSalesTable6[[#This Row],[Return_Status]]="Yes",1,0)</f>
        <v>0</v>
      </c>
    </row>
    <row r="602" spans="1:38">
      <c r="A602" t="s">
        <v>1042</v>
      </c>
      <c r="B602" s="3">
        <v>45679</v>
      </c>
      <c r="C602" t="s">
        <v>197</v>
      </c>
      <c r="D602" t="s">
        <v>85</v>
      </c>
      <c r="E602" t="s">
        <v>198</v>
      </c>
      <c r="F602" t="s">
        <v>145</v>
      </c>
      <c r="G602" t="s">
        <v>122</v>
      </c>
      <c r="H602" t="s">
        <v>89</v>
      </c>
      <c r="I602">
        <v>3</v>
      </c>
      <c r="J602" s="2">
        <v>308.48</v>
      </c>
      <c r="K602" s="4">
        <v>0.2</v>
      </c>
      <c r="L602" t="s">
        <v>98</v>
      </c>
      <c r="M602">
        <v>7</v>
      </c>
      <c r="N602" t="s">
        <v>91</v>
      </c>
      <c r="O602" t="str">
        <f>SUBSTITUTE(PROPER(TRIM(RawSalesTable6[[#This Row],[Channel_Raw]])),"Market Place","Marketplace")</f>
        <v>Online</v>
      </c>
      <c r="P602" t="str">
        <f>TRIM(RawSalesTable6[[#This Row],[Product_ID]])</f>
        <v>P1025</v>
      </c>
      <c r="Q602" t="str">
        <f>TRIM(RawSalesTable6[[#This Row],[Customer_ID]])</f>
        <v>C0091</v>
      </c>
      <c r="R602" s="8" t="str">
        <f>PROPER(TRIM(RawSalesTable6[[#This Row],[Store_Raw]]))</f>
        <v>Calgary North</v>
      </c>
      <c r="S602" s="8" t="str">
        <f>IF(TRIM(RawSalesTable6[[#This Row],[Payment_Method_Raw]])="","Non renseigné",SUBSTITUTE(PROPER(TRIM(RawSalesTable6[[#This Row],[Payment_Method_Raw]])),"Cc","Credit Card"))</f>
        <v>Debit Card</v>
      </c>
      <c r="T602" s="8">
        <f>COUNTIF(A:A,RawSalesTable6[[#This Row],[Order_ID]])</f>
        <v>1</v>
      </c>
      <c r="U602" s="8" t="str">
        <f>TRIM(LEFT(RawSalesTable6[[#This Row],[Customer_Info]],FIND(",",RawSalesTable6[[#This Row],[Customer_Info]])-1))</f>
        <v>Leo Taylor</v>
      </c>
      <c r="V602" s="8" t="str">
        <f>TRIM(MID(RawSalesTable6[[#This Row],[Customer_Info]],FIND(",",RawSalesTable6[[#This Row],[Customer_Info]])+1,FIND(",",RawSalesTable6[[#This Row],[Customer_Info]],FIND(",",RawSalesTable6[[#This Row],[Customer_Info]])+1)-FIND(",",RawSalesTable6[[#This Row],[Customer_Info]])-1))</f>
        <v>Victoria</v>
      </c>
      <c r="W602" s="8" t="str">
        <f>TRIM(RIGHT(RawSalesTable6[[#This Row],[Customer_Info]],LEN(RawSalesTable6[[#This Row],[Customer_Info]])-FIND(",",RawSalesTable6[[#This Row],[Customer_Info]],FIND(",",RawSalesTable6[[#This Row],[Customer_Info]])+1)))</f>
        <v>Small Business</v>
      </c>
      <c r="X602" s="8" t="str">
        <f>VLOOKUP(RawSalesTable6[[#This Row],[Product_ID_Clean]],ProductsTable[],2,FALSE)</f>
        <v>Yoga Mat</v>
      </c>
      <c r="Y602" s="8" t="str">
        <f>VLOOKUP(RawSalesTable6[[#This Row],[Product_ID_Clean]],ProductsTable[],3,FALSE)</f>
        <v>Fitness</v>
      </c>
      <c r="Z602" s="8">
        <f>VLOOKUP(RawSalesTable6[[#This Row],[Product_ID_Clean]],ProductsTable[],5,FALSE)</f>
        <v>197.33</v>
      </c>
      <c r="AA602" s="8">
        <f>RawSalesTable6[[#This Row],[Unit_Price]]*RawSalesTable6[[#This Row],[Quantity]]</f>
        <v>925.44</v>
      </c>
      <c r="AB602" s="8">
        <f>RawSalesTable6[[#This Row],[Gross_Sales]]*RawSalesTable6[[#This Row],[Discount_Pct]]</f>
        <v>185.08800000000002</v>
      </c>
      <c r="AC602" s="8">
        <f>RawSalesTable6[[#This Row],[Gross_Sales]]-RawSalesTable6[[#This Row],[Discount_Amount]]</f>
        <v>740.35200000000009</v>
      </c>
      <c r="AD602" s="8">
        <f>RawSalesTable6[[#This Row],[Unit_Cost]]*RawSalesTable6[[#This Row],[Quantity]]</f>
        <v>591.99</v>
      </c>
      <c r="AE602" s="8">
        <f>RawSalesTable6[[#This Row],[Net_Sales]]-RawSalesTable6[[#This Row],[Total_Cost]]</f>
        <v>148.36200000000008</v>
      </c>
      <c r="AF602" s="9">
        <f>RawSalesTable6[[#This Row],[Profit]]/RawSalesTable6[[#This Row],[Net_Sales]]</f>
        <v>0.2003938667012449</v>
      </c>
      <c r="AG602" s="8">
        <f>YEAR(RawSalesTable6[[#This Row],[Order_Date]])</f>
        <v>2025</v>
      </c>
      <c r="AH602" s="8">
        <f>MONTH(RawSalesTable6[[#This Row],[Order_Date]])</f>
        <v>1</v>
      </c>
      <c r="AI602" s="8" t="str">
        <f>TEXT(RawSalesTable6[[#This Row],[Order_Date]],"mmmm")</f>
        <v>janvier</v>
      </c>
      <c r="AJ602" s="8" t="str">
        <f>IF(RawSalesTable6[[#This Row],[Month_Number]]&lt;=3,"Q1",IF(RawSalesTable6[[#This Row],[Month_Number]]&lt;=6,"Q2",IF(RawSalesTable6[[#This Row],[Month_Number]]&lt;=9,"Q3","Q4")))</f>
        <v>Q1</v>
      </c>
      <c r="AK602" s="8" t="str">
        <f>VLOOKUP(RawSalesTable6[[#This Row],[Customer_ID_Clean]],CustomersTable[],4,FALSE)</f>
        <v>British Columbia</v>
      </c>
      <c r="AL602" s="8">
        <f>IF(RawSalesTable6[[#This Row],[Return_Status]]="Yes",1,0)</f>
        <v>0</v>
      </c>
    </row>
    <row r="603" spans="1:38">
      <c r="A603" t="s">
        <v>1043</v>
      </c>
      <c r="B603" s="3">
        <v>45816</v>
      </c>
      <c r="C603" t="s">
        <v>417</v>
      </c>
      <c r="D603" t="s">
        <v>114</v>
      </c>
      <c r="E603" t="s">
        <v>419</v>
      </c>
      <c r="F603" t="s">
        <v>103</v>
      </c>
      <c r="G603" t="s">
        <v>96</v>
      </c>
      <c r="H603" t="s">
        <v>97</v>
      </c>
      <c r="I603">
        <v>1</v>
      </c>
      <c r="J603" s="2">
        <v>137.82</v>
      </c>
      <c r="K603" s="4">
        <v>0.1</v>
      </c>
      <c r="L603" t="s">
        <v>90</v>
      </c>
      <c r="M603">
        <v>2</v>
      </c>
      <c r="N603" t="s">
        <v>91</v>
      </c>
      <c r="O603" t="str">
        <f>SUBSTITUTE(PROPER(TRIM(RawSalesTable6[[#This Row],[Channel_Raw]])),"Market Place","Marketplace")</f>
        <v>Retail Store</v>
      </c>
      <c r="P603" t="str">
        <f>TRIM(RawSalesTable6[[#This Row],[Product_ID]])</f>
        <v>P1034</v>
      </c>
      <c r="Q603" t="str">
        <f>TRIM(RawSalesTable6[[#This Row],[Customer_ID]])</f>
        <v>C0079</v>
      </c>
      <c r="R603" s="8" t="str">
        <f>PROPER(TRIM(RawSalesTable6[[#This Row],[Store_Raw]]))</f>
        <v>Vancouver West</v>
      </c>
      <c r="S603" s="8" t="str">
        <f>IF(TRIM(RawSalesTable6[[#This Row],[Payment_Method_Raw]])="","Non renseigné",SUBSTITUTE(PROPER(TRIM(RawSalesTable6[[#This Row],[Payment_Method_Raw]])),"Cc","Credit Card"))</f>
        <v>Paypal</v>
      </c>
      <c r="T603" s="8">
        <f>COUNTIF(A:A,RawSalesTable6[[#This Row],[Order_ID]])</f>
        <v>1</v>
      </c>
      <c r="U603" s="8" t="str">
        <f>TRIM(LEFT(RawSalesTable6[[#This Row],[Customer_Info]],FIND(",",RawSalesTable6[[#This Row],[Customer_Info]])-1))</f>
        <v>Sophia Scott</v>
      </c>
      <c r="V603" s="8" t="str">
        <f>TRIM(MID(RawSalesTable6[[#This Row],[Customer_Info]],FIND(",",RawSalesTable6[[#This Row],[Customer_Info]])+1,FIND(",",RawSalesTable6[[#This Row],[Customer_Info]],FIND(",",RawSalesTable6[[#This Row],[Customer_Info]])+1)-FIND(",",RawSalesTable6[[#This Row],[Customer_Info]])-1))</f>
        <v>Ottawa</v>
      </c>
      <c r="W603" s="8" t="str">
        <f>TRIM(RIGHT(RawSalesTable6[[#This Row],[Customer_Info]],LEN(RawSalesTable6[[#This Row],[Customer_Info]])-FIND(",",RawSalesTable6[[#This Row],[Customer_Info]],FIND(",",RawSalesTable6[[#This Row],[Customer_Info]])+1)))</f>
        <v>Consumer</v>
      </c>
      <c r="X603" s="8" t="str">
        <f>VLOOKUP(RawSalesTable6[[#This Row],[Product_ID_Clean]],ProductsTable[],2,FALSE)</f>
        <v>Laptop Sleeve</v>
      </c>
      <c r="Y603" s="8" t="str">
        <f>VLOOKUP(RawSalesTable6[[#This Row],[Product_ID_Clean]],ProductsTable[],3,FALSE)</f>
        <v>Accessories</v>
      </c>
      <c r="Z603" s="8">
        <f>VLOOKUP(RawSalesTable6[[#This Row],[Product_ID_Clean]],ProductsTable[],5,FALSE)</f>
        <v>78.95</v>
      </c>
      <c r="AA603" s="8">
        <f>RawSalesTable6[[#This Row],[Unit_Price]]*RawSalesTable6[[#This Row],[Quantity]]</f>
        <v>137.82</v>
      </c>
      <c r="AB603" s="8">
        <f>RawSalesTable6[[#This Row],[Gross_Sales]]*RawSalesTable6[[#This Row],[Discount_Pct]]</f>
        <v>13.782</v>
      </c>
      <c r="AC603" s="8">
        <f>RawSalesTable6[[#This Row],[Gross_Sales]]-RawSalesTable6[[#This Row],[Discount_Amount]]</f>
        <v>124.038</v>
      </c>
      <c r="AD603" s="8">
        <f>RawSalesTable6[[#This Row],[Unit_Cost]]*RawSalesTable6[[#This Row],[Quantity]]</f>
        <v>78.95</v>
      </c>
      <c r="AE603" s="8">
        <f>RawSalesTable6[[#This Row],[Net_Sales]]-RawSalesTable6[[#This Row],[Total_Cost]]</f>
        <v>45.087999999999994</v>
      </c>
      <c r="AF603" s="9">
        <f>RawSalesTable6[[#This Row],[Profit]]/RawSalesTable6[[#This Row],[Net_Sales]]</f>
        <v>0.36350150760250888</v>
      </c>
      <c r="AG603" s="8">
        <f>YEAR(RawSalesTable6[[#This Row],[Order_Date]])</f>
        <v>2025</v>
      </c>
      <c r="AH603" s="8">
        <f>MONTH(RawSalesTable6[[#This Row],[Order_Date]])</f>
        <v>6</v>
      </c>
      <c r="AI603" s="8" t="str">
        <f>TEXT(RawSalesTable6[[#This Row],[Order_Date]],"mmmm")</f>
        <v>juin</v>
      </c>
      <c r="AJ603" s="8" t="str">
        <f>IF(RawSalesTable6[[#This Row],[Month_Number]]&lt;=3,"Q1",IF(RawSalesTable6[[#This Row],[Month_Number]]&lt;=6,"Q2",IF(RawSalesTable6[[#This Row],[Month_Number]]&lt;=9,"Q3","Q4")))</f>
        <v>Q2</v>
      </c>
      <c r="AK603" s="8" t="str">
        <f>VLOOKUP(RawSalesTable6[[#This Row],[Customer_ID_Clean]],CustomersTable[],4,FALSE)</f>
        <v>Ontario</v>
      </c>
      <c r="AL603" s="8">
        <f>IF(RawSalesTable6[[#This Row],[Return_Status]]="Yes",1,0)</f>
        <v>0</v>
      </c>
    </row>
    <row r="604" spans="1:38">
      <c r="A604" t="s">
        <v>1044</v>
      </c>
      <c r="B604" s="3">
        <v>45957</v>
      </c>
      <c r="C604" t="s">
        <v>371</v>
      </c>
      <c r="D604" t="s">
        <v>277</v>
      </c>
      <c r="E604" t="s">
        <v>372</v>
      </c>
      <c r="F604" t="s">
        <v>103</v>
      </c>
      <c r="G604" t="s">
        <v>130</v>
      </c>
      <c r="H604" t="s">
        <v>308</v>
      </c>
      <c r="I604">
        <v>1</v>
      </c>
      <c r="J604" s="2">
        <v>355.43</v>
      </c>
      <c r="K604" s="4">
        <v>0.05</v>
      </c>
      <c r="L604" t="s">
        <v>90</v>
      </c>
      <c r="M604">
        <v>4</v>
      </c>
      <c r="N604" t="s">
        <v>91</v>
      </c>
      <c r="O604" t="str">
        <f>SUBSTITUTE(PROPER(TRIM(RawSalesTable6[[#This Row],[Channel_Raw]])),"Market Place","Marketplace")</f>
        <v>Online</v>
      </c>
      <c r="P604" t="str">
        <f>TRIM(RawSalesTable6[[#This Row],[Product_ID]])</f>
        <v>P1001</v>
      </c>
      <c r="Q604" t="str">
        <f>TRIM(RawSalesTable6[[#This Row],[Customer_ID]])</f>
        <v>C0049</v>
      </c>
      <c r="R604" s="8" t="str">
        <f>PROPER(TRIM(RawSalesTable6[[#This Row],[Store_Raw]]))</f>
        <v>Vancouver West</v>
      </c>
      <c r="S604" s="8" t="str">
        <f>IF(TRIM(RawSalesTable6[[#This Row],[Payment_Method_Raw]])="","Non renseigné",SUBSTITUTE(PROPER(TRIM(RawSalesTable6[[#This Row],[Payment_Method_Raw]])),"Cc","Credit Card"))</f>
        <v>Paypal</v>
      </c>
      <c r="T604" s="8">
        <f>COUNTIF(A:A,RawSalesTable6[[#This Row],[Order_ID]])</f>
        <v>1</v>
      </c>
      <c r="U604" s="8" t="str">
        <f>TRIM(LEFT(RawSalesTable6[[#This Row],[Customer_Info]],FIND(",",RawSalesTable6[[#This Row],[Customer_Info]])-1))</f>
        <v>Olivia Scott</v>
      </c>
      <c r="V604" s="8" t="str">
        <f>TRIM(MID(RawSalesTable6[[#This Row],[Customer_Info]],FIND(",",RawSalesTable6[[#This Row],[Customer_Info]])+1,FIND(",",RawSalesTable6[[#This Row],[Customer_Info]],FIND(",",RawSalesTable6[[#This Row],[Customer_Info]])+1)-FIND(",",RawSalesTable6[[#This Row],[Customer_Info]])-1))</f>
        <v>Quebec City</v>
      </c>
      <c r="W604" s="8" t="str">
        <f>TRIM(RIGHT(RawSalesTable6[[#This Row],[Customer_Info]],LEN(RawSalesTable6[[#This Row],[Customer_Info]])-FIND(",",RawSalesTable6[[#This Row],[Customer_Info]],FIND(",",RawSalesTable6[[#This Row],[Customer_Info]])+1)))</f>
        <v>Consumer</v>
      </c>
      <c r="X604" s="8" t="str">
        <f>VLOOKUP(RawSalesTable6[[#This Row],[Product_ID_Clean]],ProductsTable[],2,FALSE)</f>
        <v>Headphones</v>
      </c>
      <c r="Y604" s="8" t="str">
        <f>VLOOKUP(RawSalesTable6[[#This Row],[Product_ID_Clean]],ProductsTable[],3,FALSE)</f>
        <v>Electronics</v>
      </c>
      <c r="Z604" s="8">
        <f>VLOOKUP(RawSalesTable6[[#This Row],[Product_ID_Clean]],ProductsTable[],5,FALSE)</f>
        <v>254.6</v>
      </c>
      <c r="AA604" s="8">
        <f>RawSalesTable6[[#This Row],[Unit_Price]]*RawSalesTable6[[#This Row],[Quantity]]</f>
        <v>355.43</v>
      </c>
      <c r="AB604" s="8">
        <f>RawSalesTable6[[#This Row],[Gross_Sales]]*RawSalesTable6[[#This Row],[Discount_Pct]]</f>
        <v>17.7715</v>
      </c>
      <c r="AC604" s="8">
        <f>RawSalesTable6[[#This Row],[Gross_Sales]]-RawSalesTable6[[#This Row],[Discount_Amount]]</f>
        <v>337.6585</v>
      </c>
      <c r="AD604" s="8">
        <f>RawSalesTable6[[#This Row],[Unit_Cost]]*RawSalesTable6[[#This Row],[Quantity]]</f>
        <v>254.6</v>
      </c>
      <c r="AE604" s="8">
        <f>RawSalesTable6[[#This Row],[Net_Sales]]-RawSalesTable6[[#This Row],[Total_Cost]]</f>
        <v>83.058500000000009</v>
      </c>
      <c r="AF604" s="9">
        <f>RawSalesTable6[[#This Row],[Profit]]/RawSalesTable6[[#This Row],[Net_Sales]]</f>
        <v>0.24598373800748391</v>
      </c>
      <c r="AG604" s="8">
        <f>YEAR(RawSalesTable6[[#This Row],[Order_Date]])</f>
        <v>2025</v>
      </c>
      <c r="AH604" s="8">
        <f>MONTH(RawSalesTable6[[#This Row],[Order_Date]])</f>
        <v>10</v>
      </c>
      <c r="AI604" s="8" t="str">
        <f>TEXT(RawSalesTable6[[#This Row],[Order_Date]],"mmmm")</f>
        <v>octobre</v>
      </c>
      <c r="AJ604" s="8" t="str">
        <f>IF(RawSalesTable6[[#This Row],[Month_Number]]&lt;=3,"Q1",IF(RawSalesTable6[[#This Row],[Month_Number]]&lt;=6,"Q2",IF(RawSalesTable6[[#This Row],[Month_Number]]&lt;=9,"Q3","Q4")))</f>
        <v>Q4</v>
      </c>
      <c r="AK604" s="8" t="str">
        <f>VLOOKUP(RawSalesTable6[[#This Row],[Customer_ID_Clean]],CustomersTable[],4,FALSE)</f>
        <v>Quebec</v>
      </c>
      <c r="AL604" s="8">
        <f>IF(RawSalesTable6[[#This Row],[Return_Status]]="Yes",1,0)</f>
        <v>0</v>
      </c>
    </row>
    <row r="605" spans="1:38">
      <c r="A605" t="s">
        <v>1045</v>
      </c>
      <c r="B605" s="3">
        <v>45899</v>
      </c>
      <c r="C605" t="s">
        <v>453</v>
      </c>
      <c r="D605" t="s">
        <v>469</v>
      </c>
      <c r="E605" t="s">
        <v>454</v>
      </c>
      <c r="F605" t="s">
        <v>111</v>
      </c>
      <c r="G605" t="s">
        <v>96</v>
      </c>
      <c r="H605" t="s">
        <v>97</v>
      </c>
      <c r="I605">
        <v>1</v>
      </c>
      <c r="J605" s="2">
        <v>83.52</v>
      </c>
      <c r="K605" s="4">
        <v>0.2</v>
      </c>
      <c r="L605" t="s">
        <v>98</v>
      </c>
      <c r="M605">
        <v>1</v>
      </c>
      <c r="N605" t="s">
        <v>91</v>
      </c>
      <c r="O605" t="str">
        <f>SUBSTITUTE(PROPER(TRIM(RawSalesTable6[[#This Row],[Channel_Raw]])),"Market Place","Marketplace")</f>
        <v>Retail Store</v>
      </c>
      <c r="P605" t="str">
        <f>TRIM(RawSalesTable6[[#This Row],[Product_ID]])</f>
        <v>P1035</v>
      </c>
      <c r="Q605" t="str">
        <f>TRIM(RawSalesTable6[[#This Row],[Customer_ID]])</f>
        <v>C0070</v>
      </c>
      <c r="R605" s="8" t="str">
        <f>PROPER(TRIM(RawSalesTable6[[#This Row],[Store_Raw]]))</f>
        <v>Montreal Central</v>
      </c>
      <c r="S605" s="8" t="str">
        <f>IF(TRIM(RawSalesTable6[[#This Row],[Payment_Method_Raw]])="","Non renseigné",SUBSTITUTE(PROPER(TRIM(RawSalesTable6[[#This Row],[Payment_Method_Raw]])),"Cc","Credit Card"))</f>
        <v>Debit Card</v>
      </c>
      <c r="T605" s="8">
        <f>COUNTIF(A:A,RawSalesTable6[[#This Row],[Order_ID]])</f>
        <v>1</v>
      </c>
      <c r="U605" s="8" t="str">
        <f>TRIM(LEFT(RawSalesTable6[[#This Row],[Customer_Info]],FIND(",",RawSalesTable6[[#This Row],[Customer_Info]])-1))</f>
        <v>Sophia Young</v>
      </c>
      <c r="V605" s="8" t="str">
        <f>TRIM(MID(RawSalesTable6[[#This Row],[Customer_Info]],FIND(",",RawSalesTable6[[#This Row],[Customer_Info]])+1,FIND(",",RawSalesTable6[[#This Row],[Customer_Info]],FIND(",",RawSalesTable6[[#This Row],[Customer_Info]])+1)-FIND(",",RawSalesTable6[[#This Row],[Customer_Info]])-1))</f>
        <v>Halifax</v>
      </c>
      <c r="W605" s="8" t="str">
        <f>TRIM(RIGHT(RawSalesTable6[[#This Row],[Customer_Info]],LEN(RawSalesTable6[[#This Row],[Customer_Info]])-FIND(",",RawSalesTable6[[#This Row],[Customer_Info]],FIND(",",RawSalesTable6[[#This Row],[Customer_Info]])+1)))</f>
        <v>Corporate</v>
      </c>
      <c r="X605" s="8" t="str">
        <f>VLOOKUP(RawSalesTable6[[#This Row],[Product_ID_Clean]],ProductsTable[],2,FALSE)</f>
        <v>Phone Stand</v>
      </c>
      <c r="Y605" s="8" t="str">
        <f>VLOOKUP(RawSalesTable6[[#This Row],[Product_ID_Clean]],ProductsTable[],3,FALSE)</f>
        <v>Accessories</v>
      </c>
      <c r="Z605" s="8">
        <f>VLOOKUP(RawSalesTable6[[#This Row],[Product_ID_Clean]],ProductsTable[],5,FALSE)</f>
        <v>59.85</v>
      </c>
      <c r="AA605" s="8">
        <f>RawSalesTable6[[#This Row],[Unit_Price]]*RawSalesTable6[[#This Row],[Quantity]]</f>
        <v>83.52</v>
      </c>
      <c r="AB605" s="8">
        <f>RawSalesTable6[[#This Row],[Gross_Sales]]*RawSalesTable6[[#This Row],[Discount_Pct]]</f>
        <v>16.704000000000001</v>
      </c>
      <c r="AC605" s="8">
        <f>RawSalesTable6[[#This Row],[Gross_Sales]]-RawSalesTable6[[#This Row],[Discount_Amount]]</f>
        <v>66.816000000000003</v>
      </c>
      <c r="AD605" s="8">
        <f>RawSalesTable6[[#This Row],[Unit_Cost]]*RawSalesTable6[[#This Row],[Quantity]]</f>
        <v>59.85</v>
      </c>
      <c r="AE605" s="8">
        <f>RawSalesTable6[[#This Row],[Net_Sales]]-RawSalesTable6[[#This Row],[Total_Cost]]</f>
        <v>6.9660000000000011</v>
      </c>
      <c r="AF605" s="9">
        <f>RawSalesTable6[[#This Row],[Profit]]/RawSalesTable6[[#This Row],[Net_Sales]]</f>
        <v>0.1042564655172414</v>
      </c>
      <c r="AG605" s="8">
        <f>YEAR(RawSalesTable6[[#This Row],[Order_Date]])</f>
        <v>2025</v>
      </c>
      <c r="AH605" s="8">
        <f>MONTH(RawSalesTable6[[#This Row],[Order_Date]])</f>
        <v>8</v>
      </c>
      <c r="AI605" s="8" t="str">
        <f>TEXT(RawSalesTable6[[#This Row],[Order_Date]],"mmmm")</f>
        <v>août</v>
      </c>
      <c r="AJ605" s="8" t="str">
        <f>IF(RawSalesTable6[[#This Row],[Month_Number]]&lt;=3,"Q1",IF(RawSalesTable6[[#This Row],[Month_Number]]&lt;=6,"Q2",IF(RawSalesTable6[[#This Row],[Month_Number]]&lt;=9,"Q3","Q4")))</f>
        <v>Q3</v>
      </c>
      <c r="AK605" s="8" t="str">
        <f>VLOOKUP(RawSalesTable6[[#This Row],[Customer_ID_Clean]],CustomersTable[],4,FALSE)</f>
        <v>Nova Scotia</v>
      </c>
      <c r="AL605" s="8">
        <f>IF(RawSalesTable6[[#This Row],[Return_Status]]="Yes",1,0)</f>
        <v>0</v>
      </c>
    </row>
    <row r="606" spans="1:38">
      <c r="A606" t="s">
        <v>1046</v>
      </c>
      <c r="B606" s="3">
        <v>45688</v>
      </c>
      <c r="C606" t="s">
        <v>379</v>
      </c>
      <c r="D606" t="s">
        <v>194</v>
      </c>
      <c r="E606" t="s">
        <v>380</v>
      </c>
      <c r="F606" t="s">
        <v>111</v>
      </c>
      <c r="G606" t="s">
        <v>88</v>
      </c>
      <c r="H606" t="s">
        <v>97</v>
      </c>
      <c r="I606">
        <v>2</v>
      </c>
      <c r="J606" s="2">
        <v>207.51</v>
      </c>
      <c r="K606" s="4">
        <v>0</v>
      </c>
      <c r="L606" t="s">
        <v>154</v>
      </c>
      <c r="M606">
        <v>3</v>
      </c>
      <c r="N606" t="s">
        <v>91</v>
      </c>
      <c r="O606" t="str">
        <f>SUBSTITUTE(PROPER(TRIM(RawSalesTable6[[#This Row],[Channel_Raw]])),"Market Place","Marketplace")</f>
        <v>Retail Store</v>
      </c>
      <c r="P606" t="str">
        <f>TRIM(RawSalesTable6[[#This Row],[Product_ID]])</f>
        <v>P1029</v>
      </c>
      <c r="Q606" t="str">
        <f>TRIM(RawSalesTable6[[#This Row],[Customer_ID]])</f>
        <v>C0072</v>
      </c>
      <c r="R606" s="8" t="str">
        <f>PROPER(TRIM(RawSalesTable6[[#This Row],[Store_Raw]]))</f>
        <v>Montreal Central</v>
      </c>
      <c r="S606" s="8" t="str">
        <f>IF(TRIM(RawSalesTable6[[#This Row],[Payment_Method_Raw]])="","Non renseigné",SUBSTITUTE(PROPER(TRIM(RawSalesTable6[[#This Row],[Payment_Method_Raw]])),"Cc","Credit Card"))</f>
        <v>Gift Card</v>
      </c>
      <c r="T606" s="8">
        <f>COUNTIF(A:A,RawSalesTable6[[#This Row],[Order_ID]])</f>
        <v>1</v>
      </c>
      <c r="U606" s="8" t="str">
        <f>TRIM(LEFT(RawSalesTable6[[#This Row],[Customer_Info]],FIND(",",RawSalesTable6[[#This Row],[Customer_Info]])-1))</f>
        <v>Ryan Bennett</v>
      </c>
      <c r="V606" s="8" t="str">
        <f>TRIM(MID(RawSalesTable6[[#This Row],[Customer_Info]],FIND(",",RawSalesTable6[[#This Row],[Customer_Info]])+1,FIND(",",RawSalesTable6[[#This Row],[Customer_Info]],FIND(",",RawSalesTable6[[#This Row],[Customer_Info]])+1)-FIND(",",RawSalesTable6[[#This Row],[Customer_Info]])-1))</f>
        <v>Montreal</v>
      </c>
      <c r="W606" s="8" t="str">
        <f>TRIM(RIGHT(RawSalesTable6[[#This Row],[Customer_Info]],LEN(RawSalesTable6[[#This Row],[Customer_Info]])-FIND(",",RawSalesTable6[[#This Row],[Customer_Info]],FIND(",",RawSalesTable6[[#This Row],[Customer_Info]])+1)))</f>
        <v>Corporate</v>
      </c>
      <c r="X606" s="8" t="str">
        <f>VLOOKUP(RawSalesTable6[[#This Row],[Product_ID_Clean]],ProductsTable[],2,FALSE)</f>
        <v>Jump Rope</v>
      </c>
      <c r="Y606" s="8" t="str">
        <f>VLOOKUP(RawSalesTable6[[#This Row],[Product_ID_Clean]],ProductsTable[],3,FALSE)</f>
        <v>Fitness</v>
      </c>
      <c r="Z606" s="8">
        <f>VLOOKUP(RawSalesTable6[[#This Row],[Product_ID_Clean]],ProductsTable[],5,FALSE)</f>
        <v>101</v>
      </c>
      <c r="AA606" s="8">
        <f>RawSalesTable6[[#This Row],[Unit_Price]]*RawSalesTable6[[#This Row],[Quantity]]</f>
        <v>415.02</v>
      </c>
      <c r="AB606" s="8">
        <f>RawSalesTable6[[#This Row],[Gross_Sales]]*RawSalesTable6[[#This Row],[Discount_Pct]]</f>
        <v>0</v>
      </c>
      <c r="AC606" s="8">
        <f>RawSalesTable6[[#This Row],[Gross_Sales]]-RawSalesTable6[[#This Row],[Discount_Amount]]</f>
        <v>415.02</v>
      </c>
      <c r="AD606" s="8">
        <f>RawSalesTable6[[#This Row],[Unit_Cost]]*RawSalesTable6[[#This Row],[Quantity]]</f>
        <v>202</v>
      </c>
      <c r="AE606" s="8">
        <f>RawSalesTable6[[#This Row],[Net_Sales]]-RawSalesTable6[[#This Row],[Total_Cost]]</f>
        <v>213.01999999999998</v>
      </c>
      <c r="AF606" s="9">
        <f>RawSalesTable6[[#This Row],[Profit]]/RawSalesTable6[[#This Row],[Net_Sales]]</f>
        <v>0.51327646860392273</v>
      </c>
      <c r="AG606" s="8">
        <f>YEAR(RawSalesTable6[[#This Row],[Order_Date]])</f>
        <v>2025</v>
      </c>
      <c r="AH606" s="8">
        <f>MONTH(RawSalesTable6[[#This Row],[Order_Date]])</f>
        <v>1</v>
      </c>
      <c r="AI606" s="8" t="str">
        <f>TEXT(RawSalesTable6[[#This Row],[Order_Date]],"mmmm")</f>
        <v>janvier</v>
      </c>
      <c r="AJ606" s="8" t="str">
        <f>IF(RawSalesTable6[[#This Row],[Month_Number]]&lt;=3,"Q1",IF(RawSalesTable6[[#This Row],[Month_Number]]&lt;=6,"Q2",IF(RawSalesTable6[[#This Row],[Month_Number]]&lt;=9,"Q3","Q4")))</f>
        <v>Q1</v>
      </c>
      <c r="AK606" s="8" t="str">
        <f>VLOOKUP(RawSalesTable6[[#This Row],[Customer_ID_Clean]],CustomersTable[],4,FALSE)</f>
        <v>Quebec</v>
      </c>
      <c r="AL606" s="8">
        <f>IF(RawSalesTable6[[#This Row],[Return_Status]]="Yes",1,0)</f>
        <v>0</v>
      </c>
    </row>
    <row r="607" spans="1:38">
      <c r="A607" t="s">
        <v>1047</v>
      </c>
      <c r="B607" s="3">
        <v>45904</v>
      </c>
      <c r="C607" t="s">
        <v>463</v>
      </c>
      <c r="D607" t="s">
        <v>165</v>
      </c>
      <c r="E607" t="s">
        <v>464</v>
      </c>
      <c r="F607" t="s">
        <v>111</v>
      </c>
      <c r="G607" t="s">
        <v>171</v>
      </c>
      <c r="H607" t="s">
        <v>89</v>
      </c>
      <c r="I607">
        <v>1</v>
      </c>
      <c r="J607" s="2">
        <v>106.45</v>
      </c>
      <c r="K607" s="4">
        <v>0.1</v>
      </c>
      <c r="L607" t="s">
        <v>106</v>
      </c>
      <c r="M607">
        <v>7</v>
      </c>
      <c r="N607" t="s">
        <v>91</v>
      </c>
      <c r="O607" t="str">
        <f>SUBSTITUTE(PROPER(TRIM(RawSalesTable6[[#This Row],[Channel_Raw]])),"Market Place","Marketplace")</f>
        <v>Online</v>
      </c>
      <c r="P607" t="str">
        <f>TRIM(RawSalesTable6[[#This Row],[Product_ID]])</f>
        <v>P1024</v>
      </c>
      <c r="Q607" t="str">
        <f>TRIM(RawSalesTable6[[#This Row],[Customer_ID]])</f>
        <v>C0030</v>
      </c>
      <c r="R607" s="8" t="str">
        <f>PROPER(TRIM(RawSalesTable6[[#This Row],[Store_Raw]]))</f>
        <v>Montreal Central</v>
      </c>
      <c r="S607" s="8" t="str">
        <f>IF(TRIM(RawSalesTable6[[#This Row],[Payment_Method_Raw]])="","Non renseigné",SUBSTITUTE(PROPER(TRIM(RawSalesTable6[[#This Row],[Payment_Method_Raw]])),"Cc","Credit Card"))</f>
        <v>Credit Card</v>
      </c>
      <c r="T607" s="8">
        <f>COUNTIF(A:A,RawSalesTable6[[#This Row],[Order_ID]])</f>
        <v>1</v>
      </c>
      <c r="U607" s="8" t="str">
        <f>TRIM(LEFT(RawSalesTable6[[#This Row],[Customer_Info]],FIND(",",RawSalesTable6[[#This Row],[Customer_Info]])-1))</f>
        <v>Emma Lee</v>
      </c>
      <c r="V607" s="8" t="str">
        <f>TRIM(MID(RawSalesTable6[[#This Row],[Customer_Info]],FIND(",",RawSalesTable6[[#This Row],[Customer_Info]])+1,FIND(",",RawSalesTable6[[#This Row],[Customer_Info]],FIND(",",RawSalesTable6[[#This Row],[Customer_Info]])+1)-FIND(",",RawSalesTable6[[#This Row],[Customer_Info]])-1))</f>
        <v>Calgary</v>
      </c>
      <c r="W607" s="8" t="str">
        <f>TRIM(RIGHT(RawSalesTable6[[#This Row],[Customer_Info]],LEN(RawSalesTable6[[#This Row],[Customer_Info]])-FIND(",",RawSalesTable6[[#This Row],[Customer_Info]],FIND(",",RawSalesTable6[[#This Row],[Customer_Info]])+1)))</f>
        <v>Corporate</v>
      </c>
      <c r="X607" s="8" t="str">
        <f>VLOOKUP(RawSalesTable6[[#This Row],[Product_ID_Clean]],ProductsTable[],2,FALSE)</f>
        <v>Food Scale</v>
      </c>
      <c r="Y607" s="8" t="str">
        <f>VLOOKUP(RawSalesTable6[[#This Row],[Product_ID_Clean]],ProductsTable[],3,FALSE)</f>
        <v>Home</v>
      </c>
      <c r="Z607" s="8">
        <f>VLOOKUP(RawSalesTable6[[#This Row],[Product_ID_Clean]],ProductsTable[],5,FALSE)</f>
        <v>46.07</v>
      </c>
      <c r="AA607" s="8">
        <f>RawSalesTable6[[#This Row],[Unit_Price]]*RawSalesTable6[[#This Row],[Quantity]]</f>
        <v>106.45</v>
      </c>
      <c r="AB607" s="8">
        <f>RawSalesTable6[[#This Row],[Gross_Sales]]*RawSalesTable6[[#This Row],[Discount_Pct]]</f>
        <v>10.645000000000001</v>
      </c>
      <c r="AC607" s="8">
        <f>RawSalesTable6[[#This Row],[Gross_Sales]]-RawSalesTable6[[#This Row],[Discount_Amount]]</f>
        <v>95.805000000000007</v>
      </c>
      <c r="AD607" s="8">
        <f>RawSalesTable6[[#This Row],[Unit_Cost]]*RawSalesTable6[[#This Row],[Quantity]]</f>
        <v>46.07</v>
      </c>
      <c r="AE607" s="8">
        <f>RawSalesTable6[[#This Row],[Net_Sales]]-RawSalesTable6[[#This Row],[Total_Cost]]</f>
        <v>49.735000000000007</v>
      </c>
      <c r="AF607" s="9">
        <f>RawSalesTable6[[#This Row],[Profit]]/RawSalesTable6[[#This Row],[Net_Sales]]</f>
        <v>0.5191273941861072</v>
      </c>
      <c r="AG607" s="8">
        <f>YEAR(RawSalesTable6[[#This Row],[Order_Date]])</f>
        <v>2025</v>
      </c>
      <c r="AH607" s="8">
        <f>MONTH(RawSalesTable6[[#This Row],[Order_Date]])</f>
        <v>9</v>
      </c>
      <c r="AI607" s="8" t="str">
        <f>TEXT(RawSalesTable6[[#This Row],[Order_Date]],"mmmm")</f>
        <v>septembre</v>
      </c>
      <c r="AJ607" s="8" t="str">
        <f>IF(RawSalesTable6[[#This Row],[Month_Number]]&lt;=3,"Q1",IF(RawSalesTable6[[#This Row],[Month_Number]]&lt;=6,"Q2",IF(RawSalesTable6[[#This Row],[Month_Number]]&lt;=9,"Q3","Q4")))</f>
        <v>Q3</v>
      </c>
      <c r="AK607" s="8" t="str">
        <f>VLOOKUP(RawSalesTable6[[#This Row],[Customer_ID_Clean]],CustomersTable[],4,FALSE)</f>
        <v>Alberta</v>
      </c>
      <c r="AL607" s="8">
        <f>IF(RawSalesTable6[[#This Row],[Return_Status]]="Yes",1,0)</f>
        <v>0</v>
      </c>
    </row>
    <row r="608" spans="1:38">
      <c r="A608" t="s">
        <v>1048</v>
      </c>
      <c r="B608" s="3">
        <v>45801</v>
      </c>
      <c r="C608" t="s">
        <v>695</v>
      </c>
      <c r="D608" t="s">
        <v>221</v>
      </c>
      <c r="E608" t="s">
        <v>696</v>
      </c>
      <c r="F608" t="s">
        <v>116</v>
      </c>
      <c r="G608" t="s">
        <v>88</v>
      </c>
      <c r="H608" t="s">
        <v>89</v>
      </c>
      <c r="I608">
        <v>1</v>
      </c>
      <c r="J608" s="2">
        <v>31.95</v>
      </c>
      <c r="K608" s="4">
        <v>0.15</v>
      </c>
      <c r="L608" t="s">
        <v>106</v>
      </c>
      <c r="M608">
        <v>4</v>
      </c>
      <c r="N608" t="s">
        <v>91</v>
      </c>
      <c r="O608" t="str">
        <f>SUBSTITUTE(PROPER(TRIM(RawSalesTable6[[#This Row],[Channel_Raw]])),"Market Place","Marketplace")</f>
        <v>Online</v>
      </c>
      <c r="P608" t="str">
        <f>TRIM(RawSalesTable6[[#This Row],[Product_ID]])</f>
        <v>P1018</v>
      </c>
      <c r="Q608" t="str">
        <f>TRIM(RawSalesTable6[[#This Row],[Customer_ID]])</f>
        <v>C0019</v>
      </c>
      <c r="R608" s="8" t="str">
        <f>PROPER(TRIM(RawSalesTable6[[#This Row],[Store_Raw]]))</f>
        <v>Toronto Downtown</v>
      </c>
      <c r="S608" s="8" t="str">
        <f>IF(TRIM(RawSalesTable6[[#This Row],[Payment_Method_Raw]])="","Non renseigné",SUBSTITUTE(PROPER(TRIM(RawSalesTable6[[#This Row],[Payment_Method_Raw]])),"Cc","Credit Card"))</f>
        <v>Credit Card</v>
      </c>
      <c r="T608" s="8">
        <f>COUNTIF(A:A,RawSalesTable6[[#This Row],[Order_ID]])</f>
        <v>1</v>
      </c>
      <c r="U608" s="8" t="str">
        <f>TRIM(LEFT(RawSalesTable6[[#This Row],[Customer_Info]],FIND(",",RawSalesTable6[[#This Row],[Customer_Info]])-1))</f>
        <v>Lucas Taylor</v>
      </c>
      <c r="V608" s="8" t="str">
        <f>TRIM(MID(RawSalesTable6[[#This Row],[Customer_Info]],FIND(",",RawSalesTable6[[#This Row],[Customer_Info]])+1,FIND(",",RawSalesTable6[[#This Row],[Customer_Info]],FIND(",",RawSalesTable6[[#This Row],[Customer_Info]])+1)-FIND(",",RawSalesTable6[[#This Row],[Customer_Info]])-1))</f>
        <v>Montreal</v>
      </c>
      <c r="W608" s="8" t="str">
        <f>TRIM(RIGHT(RawSalesTable6[[#This Row],[Customer_Info]],LEN(RawSalesTable6[[#This Row],[Customer_Info]])-FIND(",",RawSalesTable6[[#This Row],[Customer_Info]],FIND(",",RawSalesTable6[[#This Row],[Customer_Info]])+1)))</f>
        <v>Small Business</v>
      </c>
      <c r="X608" s="8" t="str">
        <f>VLOOKUP(RawSalesTable6[[#This Row],[Product_ID_Clean]],ProductsTable[],2,FALSE)</f>
        <v>Air Fryer</v>
      </c>
      <c r="Y608" s="8" t="str">
        <f>VLOOKUP(RawSalesTable6[[#This Row],[Product_ID_Clean]],ProductsTable[],3,FALSE)</f>
        <v>Home</v>
      </c>
      <c r="Z608" s="8">
        <f>VLOOKUP(RawSalesTable6[[#This Row],[Product_ID_Clean]],ProductsTable[],5,FALSE)</f>
        <v>14.58</v>
      </c>
      <c r="AA608" s="8">
        <f>RawSalesTable6[[#This Row],[Unit_Price]]*RawSalesTable6[[#This Row],[Quantity]]</f>
        <v>31.95</v>
      </c>
      <c r="AB608" s="8">
        <f>RawSalesTable6[[#This Row],[Gross_Sales]]*RawSalesTable6[[#This Row],[Discount_Pct]]</f>
        <v>4.7924999999999995</v>
      </c>
      <c r="AC608" s="8">
        <f>RawSalesTable6[[#This Row],[Gross_Sales]]-RawSalesTable6[[#This Row],[Discount_Amount]]</f>
        <v>27.157499999999999</v>
      </c>
      <c r="AD608" s="8">
        <f>RawSalesTable6[[#This Row],[Unit_Cost]]*RawSalesTable6[[#This Row],[Quantity]]</f>
        <v>14.58</v>
      </c>
      <c r="AE608" s="8">
        <f>RawSalesTable6[[#This Row],[Net_Sales]]-RawSalesTable6[[#This Row],[Total_Cost]]</f>
        <v>12.577499999999999</v>
      </c>
      <c r="AF608" s="9">
        <f>RawSalesTable6[[#This Row],[Profit]]/RawSalesTable6[[#This Row],[Net_Sales]]</f>
        <v>0.46313173156586573</v>
      </c>
      <c r="AG608" s="8">
        <f>YEAR(RawSalesTable6[[#This Row],[Order_Date]])</f>
        <v>2025</v>
      </c>
      <c r="AH608" s="8">
        <f>MONTH(RawSalesTable6[[#This Row],[Order_Date]])</f>
        <v>5</v>
      </c>
      <c r="AI608" s="8" t="str">
        <f>TEXT(RawSalesTable6[[#This Row],[Order_Date]],"mmmm")</f>
        <v>mai</v>
      </c>
      <c r="AJ608" s="8" t="str">
        <f>IF(RawSalesTable6[[#This Row],[Month_Number]]&lt;=3,"Q1",IF(RawSalesTable6[[#This Row],[Month_Number]]&lt;=6,"Q2",IF(RawSalesTable6[[#This Row],[Month_Number]]&lt;=9,"Q3","Q4")))</f>
        <v>Q2</v>
      </c>
      <c r="AK608" s="8" t="str">
        <f>VLOOKUP(RawSalesTable6[[#This Row],[Customer_ID_Clean]],CustomersTable[],4,FALSE)</f>
        <v>Quebec</v>
      </c>
      <c r="AL608" s="8">
        <f>IF(RawSalesTable6[[#This Row],[Return_Status]]="Yes",1,0)</f>
        <v>0</v>
      </c>
    </row>
    <row r="609" spans="1:38">
      <c r="A609" t="s">
        <v>1049</v>
      </c>
      <c r="B609" s="3">
        <v>45965</v>
      </c>
      <c r="C609" t="s">
        <v>330</v>
      </c>
      <c r="D609" t="s">
        <v>125</v>
      </c>
      <c r="E609" t="s">
        <v>424</v>
      </c>
      <c r="F609" t="s">
        <v>116</v>
      </c>
      <c r="G609" t="s">
        <v>183</v>
      </c>
      <c r="H609" t="s">
        <v>89</v>
      </c>
      <c r="I609">
        <v>1</v>
      </c>
      <c r="J609" s="2">
        <v>54.15</v>
      </c>
      <c r="K609" s="4">
        <v>0</v>
      </c>
      <c r="L609" t="s">
        <v>106</v>
      </c>
      <c r="M609">
        <v>9</v>
      </c>
      <c r="N609" t="s">
        <v>91</v>
      </c>
      <c r="O609" t="str">
        <f>SUBSTITUTE(PROPER(TRIM(RawSalesTable6[[#This Row],[Channel_Raw]])),"Market Place","Marketplace")</f>
        <v>Online</v>
      </c>
      <c r="P609" t="str">
        <f>TRIM(RawSalesTable6[[#This Row],[Product_ID]])</f>
        <v>P1027</v>
      </c>
      <c r="Q609" t="str">
        <f>TRIM(RawSalesTable6[[#This Row],[Customer_ID]])</f>
        <v>C0108</v>
      </c>
      <c r="R609" s="8" t="str">
        <f>PROPER(TRIM(RawSalesTable6[[#This Row],[Store_Raw]]))</f>
        <v>Toronto Downtown</v>
      </c>
      <c r="S609" s="8" t="str">
        <f>IF(TRIM(RawSalesTable6[[#This Row],[Payment_Method_Raw]])="","Non renseigné",SUBSTITUTE(PROPER(TRIM(RawSalesTable6[[#This Row],[Payment_Method_Raw]])),"Cc","Credit Card"))</f>
        <v>Credit Card</v>
      </c>
      <c r="T609" s="8">
        <f>COUNTIF(A:A,RawSalesTable6[[#This Row],[Order_ID]])</f>
        <v>1</v>
      </c>
      <c r="U609" s="8" t="str">
        <f>TRIM(LEFT(RawSalesTable6[[#This Row],[Customer_Info]],FIND(",",RawSalesTable6[[#This Row],[Customer_Info]])-1))</f>
        <v>Noah Lee</v>
      </c>
      <c r="V609" s="8" t="str">
        <f>TRIM(MID(RawSalesTable6[[#This Row],[Customer_Info]],FIND(",",RawSalesTable6[[#This Row],[Customer_Info]])+1,FIND(",",RawSalesTable6[[#This Row],[Customer_Info]],FIND(",",RawSalesTable6[[#This Row],[Customer_Info]])+1)-FIND(",",RawSalesTable6[[#This Row],[Customer_Info]])-1))</f>
        <v>Surrey</v>
      </c>
      <c r="W609" s="8" t="str">
        <f>TRIM(RIGHT(RawSalesTable6[[#This Row],[Customer_Info]],LEN(RawSalesTable6[[#This Row],[Customer_Info]])-FIND(",",RawSalesTable6[[#This Row],[Customer_Info]],FIND(",",RawSalesTable6[[#This Row],[Customer_Info]])+1)))</f>
        <v>Consumer</v>
      </c>
      <c r="X609" s="8" t="str">
        <f>VLOOKUP(RawSalesTable6[[#This Row],[Product_ID_Clean]],ProductsTable[],2,FALSE)</f>
        <v>Kettlebell</v>
      </c>
      <c r="Y609" s="8" t="str">
        <f>VLOOKUP(RawSalesTable6[[#This Row],[Product_ID_Clean]],ProductsTable[],3,FALSE)</f>
        <v>Fitness</v>
      </c>
      <c r="Z609" s="8">
        <f>VLOOKUP(RawSalesTable6[[#This Row],[Product_ID_Clean]],ProductsTable[],5,FALSE)</f>
        <v>25.97</v>
      </c>
      <c r="AA609" s="8">
        <f>RawSalesTable6[[#This Row],[Unit_Price]]*RawSalesTable6[[#This Row],[Quantity]]</f>
        <v>54.15</v>
      </c>
      <c r="AB609" s="8">
        <f>RawSalesTable6[[#This Row],[Gross_Sales]]*RawSalesTable6[[#This Row],[Discount_Pct]]</f>
        <v>0</v>
      </c>
      <c r="AC609" s="8">
        <f>RawSalesTable6[[#This Row],[Gross_Sales]]-RawSalesTable6[[#This Row],[Discount_Amount]]</f>
        <v>54.15</v>
      </c>
      <c r="AD609" s="8">
        <f>RawSalesTable6[[#This Row],[Unit_Cost]]*RawSalesTable6[[#This Row],[Quantity]]</f>
        <v>25.97</v>
      </c>
      <c r="AE609" s="8">
        <f>RawSalesTable6[[#This Row],[Net_Sales]]-RawSalesTable6[[#This Row],[Total_Cost]]</f>
        <v>28.18</v>
      </c>
      <c r="AF609" s="9">
        <f>RawSalesTable6[[#This Row],[Profit]]/RawSalesTable6[[#This Row],[Net_Sales]]</f>
        <v>0.52040627885503232</v>
      </c>
      <c r="AG609" s="8">
        <f>YEAR(RawSalesTable6[[#This Row],[Order_Date]])</f>
        <v>2025</v>
      </c>
      <c r="AH609" s="8">
        <f>MONTH(RawSalesTable6[[#This Row],[Order_Date]])</f>
        <v>11</v>
      </c>
      <c r="AI609" s="8" t="str">
        <f>TEXT(RawSalesTable6[[#This Row],[Order_Date]],"mmmm")</f>
        <v>novembre</v>
      </c>
      <c r="AJ609" s="8" t="str">
        <f>IF(RawSalesTable6[[#This Row],[Month_Number]]&lt;=3,"Q1",IF(RawSalesTable6[[#This Row],[Month_Number]]&lt;=6,"Q2",IF(RawSalesTable6[[#This Row],[Month_Number]]&lt;=9,"Q3","Q4")))</f>
        <v>Q4</v>
      </c>
      <c r="AK609" s="8" t="str">
        <f>VLOOKUP(RawSalesTable6[[#This Row],[Customer_ID_Clean]],CustomersTable[],4,FALSE)</f>
        <v>British Columbia</v>
      </c>
      <c r="AL609" s="8">
        <f>IF(RawSalesTable6[[#This Row],[Return_Status]]="Yes",1,0)</f>
        <v>0</v>
      </c>
    </row>
    <row r="610" spans="1:38">
      <c r="A610" t="s">
        <v>1050</v>
      </c>
      <c r="B610" s="3">
        <v>45971</v>
      </c>
      <c r="C610" t="s">
        <v>335</v>
      </c>
      <c r="D610" t="s">
        <v>143</v>
      </c>
      <c r="E610" t="s">
        <v>1051</v>
      </c>
      <c r="F610" t="s">
        <v>87</v>
      </c>
      <c r="G610" t="s">
        <v>183</v>
      </c>
      <c r="H610" t="s">
        <v>89</v>
      </c>
      <c r="I610">
        <v>1</v>
      </c>
      <c r="J610" s="2">
        <v>275.77999999999997</v>
      </c>
      <c r="K610" s="4">
        <v>0.05</v>
      </c>
      <c r="L610" t="s">
        <v>106</v>
      </c>
      <c r="M610">
        <v>4</v>
      </c>
      <c r="N610" t="s">
        <v>91</v>
      </c>
      <c r="O610" t="str">
        <f>SUBSTITUTE(PROPER(TRIM(RawSalesTable6[[#This Row],[Channel_Raw]])),"Market Place","Marketplace")</f>
        <v>Online</v>
      </c>
      <c r="P610" t="str">
        <f>TRIM(RawSalesTable6[[#This Row],[Product_ID]])</f>
        <v>P1038</v>
      </c>
      <c r="Q610" t="str">
        <f>TRIM(RawSalesTable6[[#This Row],[Customer_ID]])</f>
        <v>C0037</v>
      </c>
      <c r="R610" s="8" t="str">
        <f>PROPER(TRIM(RawSalesTable6[[#This Row],[Store_Raw]]))</f>
        <v>Online Fulfillment</v>
      </c>
      <c r="S610" s="8" t="str">
        <f>IF(TRIM(RawSalesTable6[[#This Row],[Payment_Method_Raw]])="","Non renseigné",SUBSTITUTE(PROPER(TRIM(RawSalesTable6[[#This Row],[Payment_Method_Raw]])),"Cc","Credit Card"))</f>
        <v>Credit Card</v>
      </c>
      <c r="T610" s="8">
        <f>COUNTIF(A:A,RawSalesTable6[[#This Row],[Order_ID]])</f>
        <v>1</v>
      </c>
      <c r="U610" s="8" t="str">
        <f>TRIM(LEFT(RawSalesTable6[[#This Row],[Customer_Info]],FIND(",",RawSalesTable6[[#This Row],[Customer_Info]])-1))</f>
        <v>Lucas Scott</v>
      </c>
      <c r="V610" s="8" t="str">
        <f>TRIM(MID(RawSalesTable6[[#This Row],[Customer_Info]],FIND(",",RawSalesTable6[[#This Row],[Customer_Info]])+1,FIND(",",RawSalesTable6[[#This Row],[Customer_Info]],FIND(",",RawSalesTable6[[#This Row],[Customer_Info]])+1)-FIND(",",RawSalesTable6[[#This Row],[Customer_Info]])-1))</f>
        <v>Victoria</v>
      </c>
      <c r="W610" s="8" t="str">
        <f>TRIM(RIGHT(RawSalesTable6[[#This Row],[Customer_Info]],LEN(RawSalesTable6[[#This Row],[Customer_Info]])-FIND(",",RawSalesTable6[[#This Row],[Customer_Info]],FIND(",",RawSalesTable6[[#This Row],[Customer_Info]])+1)))</f>
        <v>Small Business</v>
      </c>
      <c r="X610" s="8" t="str">
        <f>VLOOKUP(RawSalesTable6[[#This Row],[Product_ID_Clean]],ProductsTable[],2,FALSE)</f>
        <v>Water Bottle</v>
      </c>
      <c r="Y610" s="8" t="str">
        <f>VLOOKUP(RawSalesTable6[[#This Row],[Product_ID_Clean]],ProductsTable[],3,FALSE)</f>
        <v>Accessories</v>
      </c>
      <c r="Z610" s="8">
        <f>VLOOKUP(RawSalesTable6[[#This Row],[Product_ID_Clean]],ProductsTable[],5,FALSE)</f>
        <v>119.16</v>
      </c>
      <c r="AA610" s="8">
        <f>RawSalesTable6[[#This Row],[Unit_Price]]*RawSalesTable6[[#This Row],[Quantity]]</f>
        <v>275.77999999999997</v>
      </c>
      <c r="AB610" s="8">
        <f>RawSalesTable6[[#This Row],[Gross_Sales]]*RawSalesTable6[[#This Row],[Discount_Pct]]</f>
        <v>13.789</v>
      </c>
      <c r="AC610" s="8">
        <f>RawSalesTable6[[#This Row],[Gross_Sales]]-RawSalesTable6[[#This Row],[Discount_Amount]]</f>
        <v>261.99099999999999</v>
      </c>
      <c r="AD610" s="8">
        <f>RawSalesTable6[[#This Row],[Unit_Cost]]*RawSalesTable6[[#This Row],[Quantity]]</f>
        <v>119.16</v>
      </c>
      <c r="AE610" s="8">
        <f>RawSalesTable6[[#This Row],[Net_Sales]]-RawSalesTable6[[#This Row],[Total_Cost]]</f>
        <v>142.83099999999999</v>
      </c>
      <c r="AF610" s="9">
        <f>RawSalesTable6[[#This Row],[Profit]]/RawSalesTable6[[#This Row],[Net_Sales]]</f>
        <v>0.54517521594253238</v>
      </c>
      <c r="AG610" s="8">
        <f>YEAR(RawSalesTable6[[#This Row],[Order_Date]])</f>
        <v>2025</v>
      </c>
      <c r="AH610" s="8">
        <f>MONTH(RawSalesTable6[[#This Row],[Order_Date]])</f>
        <v>11</v>
      </c>
      <c r="AI610" s="8" t="str">
        <f>TEXT(RawSalesTable6[[#This Row],[Order_Date]],"mmmm")</f>
        <v>novembre</v>
      </c>
      <c r="AJ610" s="8" t="str">
        <f>IF(RawSalesTable6[[#This Row],[Month_Number]]&lt;=3,"Q1",IF(RawSalesTable6[[#This Row],[Month_Number]]&lt;=6,"Q2",IF(RawSalesTable6[[#This Row],[Month_Number]]&lt;=9,"Q3","Q4")))</f>
        <v>Q4</v>
      </c>
      <c r="AK610" s="8" t="str">
        <f>VLOOKUP(RawSalesTable6[[#This Row],[Customer_ID_Clean]],CustomersTable[],4,FALSE)</f>
        <v>British Columbia</v>
      </c>
      <c r="AL610" s="8">
        <f>IF(RawSalesTable6[[#This Row],[Return_Status]]="Yes",1,0)</f>
        <v>0</v>
      </c>
    </row>
    <row r="611" spans="1:38">
      <c r="A611" t="s">
        <v>1052</v>
      </c>
      <c r="B611" s="3">
        <v>45842</v>
      </c>
      <c r="C611" t="s">
        <v>257</v>
      </c>
      <c r="D611" t="s">
        <v>346</v>
      </c>
      <c r="E611" t="s">
        <v>258</v>
      </c>
      <c r="F611" t="s">
        <v>116</v>
      </c>
      <c r="G611" t="s">
        <v>122</v>
      </c>
      <c r="H611" t="s">
        <v>97</v>
      </c>
      <c r="I611">
        <v>1</v>
      </c>
      <c r="J611" s="2">
        <v>241.92</v>
      </c>
      <c r="K611" s="4">
        <v>0.1</v>
      </c>
      <c r="L611" t="s">
        <v>106</v>
      </c>
      <c r="M611">
        <v>0</v>
      </c>
      <c r="N611" t="s">
        <v>91</v>
      </c>
      <c r="O611" t="str">
        <f>SUBSTITUTE(PROPER(TRIM(RawSalesTable6[[#This Row],[Channel_Raw]])),"Market Place","Marketplace")</f>
        <v>Retail Store</v>
      </c>
      <c r="P611" t="str">
        <f>TRIM(RawSalesTable6[[#This Row],[Product_ID]])</f>
        <v>P1030</v>
      </c>
      <c r="Q611" t="str">
        <f>TRIM(RawSalesTable6[[#This Row],[Customer_ID]])</f>
        <v>C0068</v>
      </c>
      <c r="R611" s="8" t="str">
        <f>PROPER(TRIM(RawSalesTable6[[#This Row],[Store_Raw]]))</f>
        <v>Toronto Downtown</v>
      </c>
      <c r="S611" s="8" t="str">
        <f>IF(TRIM(RawSalesTable6[[#This Row],[Payment_Method_Raw]])="","Non renseigné",SUBSTITUTE(PROPER(TRIM(RawSalesTable6[[#This Row],[Payment_Method_Raw]])),"Cc","Credit Card"))</f>
        <v>Credit Card</v>
      </c>
      <c r="T611" s="8">
        <f>COUNTIF(A:A,RawSalesTable6[[#This Row],[Order_ID]])</f>
        <v>1</v>
      </c>
      <c r="U611" s="8" t="str">
        <f>TRIM(LEFT(RawSalesTable6[[#This Row],[Customer_Info]],FIND(",",RawSalesTable6[[#This Row],[Customer_Info]])-1))</f>
        <v>Yasmine Martin</v>
      </c>
      <c r="V611" s="8" t="str">
        <f>TRIM(MID(RawSalesTable6[[#This Row],[Customer_Info]],FIND(",",RawSalesTable6[[#This Row],[Customer_Info]])+1,FIND(",",RawSalesTable6[[#This Row],[Customer_Info]],FIND(",",RawSalesTable6[[#This Row],[Customer_Info]])+1)-FIND(",",RawSalesTable6[[#This Row],[Customer_Info]])-1))</f>
        <v>Calgary</v>
      </c>
      <c r="W611" s="8" t="str">
        <f>TRIM(RIGHT(RawSalesTable6[[#This Row],[Customer_Info]],LEN(RawSalesTable6[[#This Row],[Customer_Info]])-FIND(",",RawSalesTable6[[#This Row],[Customer_Info]],FIND(",",RawSalesTable6[[#This Row],[Customer_Info]])+1)))</f>
        <v>Consumer</v>
      </c>
      <c r="X611" s="8" t="str">
        <f>VLOOKUP(RawSalesTable6[[#This Row],[Product_ID_Clean]],ProductsTable[],2,FALSE)</f>
        <v>Pull-up Bar</v>
      </c>
      <c r="Y611" s="8" t="str">
        <f>VLOOKUP(RawSalesTable6[[#This Row],[Product_ID_Clean]],ProductsTable[],3,FALSE)</f>
        <v>Fitness</v>
      </c>
      <c r="Z611" s="8">
        <f>VLOOKUP(RawSalesTable6[[#This Row],[Product_ID_Clean]],ProductsTable[],5,FALSE)</f>
        <v>125.4</v>
      </c>
      <c r="AA611" s="8">
        <f>RawSalesTable6[[#This Row],[Unit_Price]]*RawSalesTable6[[#This Row],[Quantity]]</f>
        <v>241.92</v>
      </c>
      <c r="AB611" s="8">
        <f>RawSalesTable6[[#This Row],[Gross_Sales]]*RawSalesTable6[[#This Row],[Discount_Pct]]</f>
        <v>24.192</v>
      </c>
      <c r="AC611" s="8">
        <f>RawSalesTable6[[#This Row],[Gross_Sales]]-RawSalesTable6[[#This Row],[Discount_Amount]]</f>
        <v>217.72799999999998</v>
      </c>
      <c r="AD611" s="8">
        <f>RawSalesTable6[[#This Row],[Unit_Cost]]*RawSalesTable6[[#This Row],[Quantity]]</f>
        <v>125.4</v>
      </c>
      <c r="AE611" s="8">
        <f>RawSalesTable6[[#This Row],[Net_Sales]]-RawSalesTable6[[#This Row],[Total_Cost]]</f>
        <v>92.327999999999975</v>
      </c>
      <c r="AF611" s="9">
        <f>RawSalesTable6[[#This Row],[Profit]]/RawSalesTable6[[#This Row],[Net_Sales]]</f>
        <v>0.42405202821869481</v>
      </c>
      <c r="AG611" s="8">
        <f>YEAR(RawSalesTable6[[#This Row],[Order_Date]])</f>
        <v>2025</v>
      </c>
      <c r="AH611" s="8">
        <f>MONTH(RawSalesTable6[[#This Row],[Order_Date]])</f>
        <v>7</v>
      </c>
      <c r="AI611" s="8" t="str">
        <f>TEXT(RawSalesTable6[[#This Row],[Order_Date]],"mmmm")</f>
        <v>juillet</v>
      </c>
      <c r="AJ611" s="8" t="str">
        <f>IF(RawSalesTable6[[#This Row],[Month_Number]]&lt;=3,"Q1",IF(RawSalesTable6[[#This Row],[Month_Number]]&lt;=6,"Q2",IF(RawSalesTable6[[#This Row],[Month_Number]]&lt;=9,"Q3","Q4")))</f>
        <v>Q3</v>
      </c>
      <c r="AK611" s="8" t="str">
        <f>VLOOKUP(RawSalesTable6[[#This Row],[Customer_ID_Clean]],CustomersTable[],4,FALSE)</f>
        <v>Alberta</v>
      </c>
      <c r="AL611" s="8">
        <f>IF(RawSalesTable6[[#This Row],[Return_Status]]="Yes",1,0)</f>
        <v>0</v>
      </c>
    </row>
    <row r="612" spans="1:38">
      <c r="A612" t="s">
        <v>1053</v>
      </c>
      <c r="B612" s="3">
        <v>45763</v>
      </c>
      <c r="C612" t="s">
        <v>613</v>
      </c>
      <c r="D612" t="s">
        <v>109</v>
      </c>
      <c r="E612" t="s">
        <v>614</v>
      </c>
      <c r="F612" t="s">
        <v>111</v>
      </c>
      <c r="G612" t="s">
        <v>104</v>
      </c>
      <c r="H612" t="s">
        <v>89</v>
      </c>
      <c r="I612">
        <v>2</v>
      </c>
      <c r="J612" s="2">
        <v>209.11</v>
      </c>
      <c r="K612" s="4">
        <v>0.05</v>
      </c>
      <c r="L612" t="s">
        <v>98</v>
      </c>
      <c r="M612">
        <v>8</v>
      </c>
      <c r="N612" t="s">
        <v>91</v>
      </c>
      <c r="O612" t="str">
        <f>SUBSTITUTE(PROPER(TRIM(RawSalesTable6[[#This Row],[Channel_Raw]])),"Market Place","Marketplace")</f>
        <v>Online</v>
      </c>
      <c r="P612" t="str">
        <f>TRIM(RawSalesTable6[[#This Row],[Product_ID]])</f>
        <v>P1032</v>
      </c>
      <c r="Q612" t="str">
        <f>TRIM(RawSalesTable6[[#This Row],[Customer_ID]])</f>
        <v>C0060</v>
      </c>
      <c r="R612" s="8" t="str">
        <f>PROPER(TRIM(RawSalesTable6[[#This Row],[Store_Raw]]))</f>
        <v>Montreal Central</v>
      </c>
      <c r="S612" s="8" t="str">
        <f>IF(TRIM(RawSalesTable6[[#This Row],[Payment_Method_Raw]])="","Non renseigné",SUBSTITUTE(PROPER(TRIM(RawSalesTable6[[#This Row],[Payment_Method_Raw]])),"Cc","Credit Card"))</f>
        <v>Debit Card</v>
      </c>
      <c r="T612" s="8">
        <f>COUNTIF(A:A,RawSalesTable6[[#This Row],[Order_ID]])</f>
        <v>1</v>
      </c>
      <c r="U612" s="8" t="str">
        <f>TRIM(LEFT(RawSalesTable6[[#This Row],[Customer_Info]],FIND(",",RawSalesTable6[[#This Row],[Customer_Info]])-1))</f>
        <v>Sarah Wilson</v>
      </c>
      <c r="V612" s="8" t="str">
        <f>TRIM(MID(RawSalesTable6[[#This Row],[Customer_Info]],FIND(",",RawSalesTable6[[#This Row],[Customer_Info]])+1,FIND(",",RawSalesTable6[[#This Row],[Customer_Info]],FIND(",",RawSalesTable6[[#This Row],[Customer_Info]])+1)-FIND(",",RawSalesTable6[[#This Row],[Customer_Info]])-1))</f>
        <v>Quebec City</v>
      </c>
      <c r="W612" s="8" t="str">
        <f>TRIM(RIGHT(RawSalesTable6[[#This Row],[Customer_Info]],LEN(RawSalesTable6[[#This Row],[Customer_Info]])-FIND(",",RawSalesTable6[[#This Row],[Customer_Info]],FIND(",",RawSalesTable6[[#This Row],[Customer_Info]])+1)))</f>
        <v>Corporate</v>
      </c>
      <c r="X612" s="8" t="str">
        <f>VLOOKUP(RawSalesTable6[[#This Row],[Product_ID_Clean]],ProductsTable[],2,FALSE)</f>
        <v>Gym Bag</v>
      </c>
      <c r="Y612" s="8" t="str">
        <f>VLOOKUP(RawSalesTable6[[#This Row],[Product_ID_Clean]],ProductsTable[],3,FALSE)</f>
        <v>Fitness</v>
      </c>
      <c r="Z612" s="8">
        <f>VLOOKUP(RawSalesTable6[[#This Row],[Product_ID_Clean]],ProductsTable[],5,FALSE)</f>
        <v>132.72</v>
      </c>
      <c r="AA612" s="8">
        <f>RawSalesTable6[[#This Row],[Unit_Price]]*RawSalesTable6[[#This Row],[Quantity]]</f>
        <v>418.22</v>
      </c>
      <c r="AB612" s="8">
        <f>RawSalesTable6[[#This Row],[Gross_Sales]]*RawSalesTable6[[#This Row],[Discount_Pct]]</f>
        <v>20.911000000000001</v>
      </c>
      <c r="AC612" s="8">
        <f>RawSalesTable6[[#This Row],[Gross_Sales]]-RawSalesTable6[[#This Row],[Discount_Amount]]</f>
        <v>397.30900000000003</v>
      </c>
      <c r="AD612" s="8">
        <f>RawSalesTable6[[#This Row],[Unit_Cost]]*RawSalesTable6[[#This Row],[Quantity]]</f>
        <v>265.44</v>
      </c>
      <c r="AE612" s="8">
        <f>RawSalesTable6[[#This Row],[Net_Sales]]-RawSalesTable6[[#This Row],[Total_Cost]]</f>
        <v>131.86900000000003</v>
      </c>
      <c r="AF612" s="9">
        <f>RawSalesTable6[[#This Row],[Profit]]/RawSalesTable6[[#This Row],[Net_Sales]]</f>
        <v>0.33190539353500681</v>
      </c>
      <c r="AG612" s="8">
        <f>YEAR(RawSalesTable6[[#This Row],[Order_Date]])</f>
        <v>2025</v>
      </c>
      <c r="AH612" s="8">
        <f>MONTH(RawSalesTable6[[#This Row],[Order_Date]])</f>
        <v>4</v>
      </c>
      <c r="AI612" s="8" t="str">
        <f>TEXT(RawSalesTable6[[#This Row],[Order_Date]],"mmmm")</f>
        <v>avril</v>
      </c>
      <c r="AJ612" s="8" t="str">
        <f>IF(RawSalesTable6[[#This Row],[Month_Number]]&lt;=3,"Q1",IF(RawSalesTable6[[#This Row],[Month_Number]]&lt;=6,"Q2",IF(RawSalesTable6[[#This Row],[Month_Number]]&lt;=9,"Q3","Q4")))</f>
        <v>Q2</v>
      </c>
      <c r="AK612" s="8" t="str">
        <f>VLOOKUP(RawSalesTable6[[#This Row],[Customer_ID_Clean]],CustomersTable[],4,FALSE)</f>
        <v>Quebec</v>
      </c>
      <c r="AL612" s="8">
        <f>IF(RawSalesTable6[[#This Row],[Return_Status]]="Yes",1,0)</f>
        <v>0</v>
      </c>
    </row>
    <row r="613" spans="1:38">
      <c r="A613" t="s">
        <v>1054</v>
      </c>
      <c r="B613" s="3">
        <v>45780</v>
      </c>
      <c r="C613" t="s">
        <v>273</v>
      </c>
      <c r="D613" t="s">
        <v>303</v>
      </c>
      <c r="E613" t="s">
        <v>274</v>
      </c>
      <c r="F613" t="s">
        <v>103</v>
      </c>
      <c r="G613" t="s">
        <v>117</v>
      </c>
      <c r="H613" t="s">
        <v>89</v>
      </c>
      <c r="I613">
        <v>1</v>
      </c>
      <c r="J613" s="2">
        <v>156.22</v>
      </c>
      <c r="K613" s="4">
        <v>0.25</v>
      </c>
      <c r="L613" t="s">
        <v>90</v>
      </c>
      <c r="M613">
        <v>8</v>
      </c>
      <c r="N613" t="s">
        <v>147</v>
      </c>
      <c r="O613" t="str">
        <f>SUBSTITUTE(PROPER(TRIM(RawSalesTable6[[#This Row],[Channel_Raw]])),"Market Place","Marketplace")</f>
        <v>Online</v>
      </c>
      <c r="P613" t="str">
        <f>TRIM(RawSalesTable6[[#This Row],[Product_ID]])</f>
        <v>P1036</v>
      </c>
      <c r="Q613" t="str">
        <f>TRIM(RawSalesTable6[[#This Row],[Customer_ID]])</f>
        <v>C0066</v>
      </c>
      <c r="R613" s="8" t="str">
        <f>PROPER(TRIM(RawSalesTable6[[#This Row],[Store_Raw]]))</f>
        <v>Vancouver West</v>
      </c>
      <c r="S613" s="8" t="str">
        <f>IF(TRIM(RawSalesTable6[[#This Row],[Payment_Method_Raw]])="","Non renseigné",SUBSTITUTE(PROPER(TRIM(RawSalesTable6[[#This Row],[Payment_Method_Raw]])),"Cc","Credit Card"))</f>
        <v>Paypal</v>
      </c>
      <c r="T613" s="8">
        <f>COUNTIF(A:A,RawSalesTable6[[#This Row],[Order_ID]])</f>
        <v>1</v>
      </c>
      <c r="U613" s="8" t="str">
        <f>TRIM(LEFT(RawSalesTable6[[#This Row],[Customer_Info]],FIND(",",RawSalesTable6[[#This Row],[Customer_Info]])-1))</f>
        <v>Noah Clark</v>
      </c>
      <c r="V613" s="8" t="str">
        <f>TRIM(MID(RawSalesTable6[[#This Row],[Customer_Info]],FIND(",",RawSalesTable6[[#This Row],[Customer_Info]])+1,FIND(",",RawSalesTable6[[#This Row],[Customer_Info]],FIND(",",RawSalesTable6[[#This Row],[Customer_Info]])+1)-FIND(",",RawSalesTable6[[#This Row],[Customer_Info]])-1))</f>
        <v>Laval</v>
      </c>
      <c r="W613" s="8" t="str">
        <f>TRIM(RIGHT(RawSalesTable6[[#This Row],[Customer_Info]],LEN(RawSalesTable6[[#This Row],[Customer_Info]])-FIND(",",RawSalesTable6[[#This Row],[Customer_Info]],FIND(",",RawSalesTable6[[#This Row],[Customer_Info]])+1)))</f>
        <v>Consumer</v>
      </c>
      <c r="X613" s="8" t="str">
        <f>VLOOKUP(RawSalesTable6[[#This Row],[Product_ID_Clean]],ProductsTable[],2,FALSE)</f>
        <v>Power Bank</v>
      </c>
      <c r="Y613" s="8" t="str">
        <f>VLOOKUP(RawSalesTable6[[#This Row],[Product_ID_Clean]],ProductsTable[],3,FALSE)</f>
        <v>Accessories</v>
      </c>
      <c r="Z613" s="8">
        <f>VLOOKUP(RawSalesTable6[[#This Row],[Product_ID_Clean]],ProductsTable[],5,FALSE)</f>
        <v>76.97</v>
      </c>
      <c r="AA613" s="8">
        <f>RawSalesTable6[[#This Row],[Unit_Price]]*RawSalesTable6[[#This Row],[Quantity]]</f>
        <v>156.22</v>
      </c>
      <c r="AB613" s="8">
        <f>RawSalesTable6[[#This Row],[Gross_Sales]]*RawSalesTable6[[#This Row],[Discount_Pct]]</f>
        <v>39.055</v>
      </c>
      <c r="AC613" s="8">
        <f>RawSalesTable6[[#This Row],[Gross_Sales]]-RawSalesTable6[[#This Row],[Discount_Amount]]</f>
        <v>117.16499999999999</v>
      </c>
      <c r="AD613" s="8">
        <f>RawSalesTable6[[#This Row],[Unit_Cost]]*RawSalesTable6[[#This Row],[Quantity]]</f>
        <v>76.97</v>
      </c>
      <c r="AE613" s="8">
        <f>RawSalesTable6[[#This Row],[Net_Sales]]-RawSalesTable6[[#This Row],[Total_Cost]]</f>
        <v>40.194999999999993</v>
      </c>
      <c r="AF613" s="9">
        <f>RawSalesTable6[[#This Row],[Profit]]/RawSalesTable6[[#This Row],[Net_Sales]]</f>
        <v>0.34306320146801517</v>
      </c>
      <c r="AG613" s="8">
        <f>YEAR(RawSalesTable6[[#This Row],[Order_Date]])</f>
        <v>2025</v>
      </c>
      <c r="AH613" s="8">
        <f>MONTH(RawSalesTable6[[#This Row],[Order_Date]])</f>
        <v>5</v>
      </c>
      <c r="AI613" s="8" t="str">
        <f>TEXT(RawSalesTable6[[#This Row],[Order_Date]],"mmmm")</f>
        <v>mai</v>
      </c>
      <c r="AJ613" s="8" t="str">
        <f>IF(RawSalesTable6[[#This Row],[Month_Number]]&lt;=3,"Q1",IF(RawSalesTable6[[#This Row],[Month_Number]]&lt;=6,"Q2",IF(RawSalesTable6[[#This Row],[Month_Number]]&lt;=9,"Q3","Q4")))</f>
        <v>Q2</v>
      </c>
      <c r="AK613" s="8" t="str">
        <f>VLOOKUP(RawSalesTable6[[#This Row],[Customer_ID_Clean]],CustomersTable[],4,FALSE)</f>
        <v>Quebec</v>
      </c>
      <c r="AL613" s="8">
        <f>IF(RawSalesTable6[[#This Row],[Return_Status]]="Yes",1,0)</f>
        <v>1</v>
      </c>
    </row>
    <row r="614" spans="1:38">
      <c r="A614" t="s">
        <v>1055</v>
      </c>
      <c r="B614" s="3">
        <v>45946</v>
      </c>
      <c r="C614" t="s">
        <v>209</v>
      </c>
      <c r="D614" t="s">
        <v>217</v>
      </c>
      <c r="E614" t="s">
        <v>211</v>
      </c>
      <c r="F614" t="s">
        <v>116</v>
      </c>
      <c r="G614" t="s">
        <v>104</v>
      </c>
      <c r="H614" t="s">
        <v>97</v>
      </c>
      <c r="I614">
        <v>4</v>
      </c>
      <c r="J614" s="2">
        <v>100.23</v>
      </c>
      <c r="K614" s="4">
        <v>0.05</v>
      </c>
      <c r="L614" t="s">
        <v>98</v>
      </c>
      <c r="M614">
        <v>0</v>
      </c>
      <c r="N614" t="s">
        <v>91</v>
      </c>
      <c r="O614" t="str">
        <f>SUBSTITUTE(PROPER(TRIM(RawSalesTable6[[#This Row],[Channel_Raw]])),"Market Place","Marketplace")</f>
        <v>Retail Store</v>
      </c>
      <c r="P614" t="str">
        <f>TRIM(RawSalesTable6[[#This Row],[Product_ID]])</f>
        <v>P1006</v>
      </c>
      <c r="Q614" t="str">
        <f>TRIM(RawSalesTable6[[#This Row],[Customer_ID]])</f>
        <v>C0005</v>
      </c>
      <c r="R614" s="8" t="str">
        <f>PROPER(TRIM(RawSalesTable6[[#This Row],[Store_Raw]]))</f>
        <v>Toronto Downtown</v>
      </c>
      <c r="S614" s="8" t="str">
        <f>IF(TRIM(RawSalesTable6[[#This Row],[Payment_Method_Raw]])="","Non renseigné",SUBSTITUTE(PROPER(TRIM(RawSalesTable6[[#This Row],[Payment_Method_Raw]])),"Cc","Credit Card"))</f>
        <v>Debit Card</v>
      </c>
      <c r="T614" s="8">
        <f>COUNTIF(A:A,RawSalesTable6[[#This Row],[Order_ID]])</f>
        <v>1</v>
      </c>
      <c r="U614" s="8" t="str">
        <f>TRIM(LEFT(RawSalesTable6[[#This Row],[Customer_Info]],FIND(",",RawSalesTable6[[#This Row],[Customer_Info]])-1))</f>
        <v>Yasmine Taylor</v>
      </c>
      <c r="V614" s="8" t="str">
        <f>TRIM(MID(RawSalesTable6[[#This Row],[Customer_Info]],FIND(",",RawSalesTable6[[#This Row],[Customer_Info]])+1,FIND(",",RawSalesTable6[[#This Row],[Customer_Info]],FIND(",",RawSalesTable6[[#This Row],[Customer_Info]])+1)-FIND(",",RawSalesTable6[[#This Row],[Customer_Info]])-1))</f>
        <v>Calgary</v>
      </c>
      <c r="W614" s="8" t="str">
        <f>TRIM(RIGHT(RawSalesTable6[[#This Row],[Customer_Info]],LEN(RawSalesTable6[[#This Row],[Customer_Info]])-FIND(",",RawSalesTable6[[#This Row],[Customer_Info]],FIND(",",RawSalesTable6[[#This Row],[Customer_Info]])+1)))</f>
        <v>Consumer</v>
      </c>
      <c r="X614" s="8" t="str">
        <f>VLOOKUP(RawSalesTable6[[#This Row],[Product_ID_Clean]],ProductsTable[],2,FALSE)</f>
        <v>USB-C Hub</v>
      </c>
      <c r="Y614" s="8" t="str">
        <f>VLOOKUP(RawSalesTable6[[#This Row],[Product_ID_Clean]],ProductsTable[],3,FALSE)</f>
        <v>Electronics</v>
      </c>
      <c r="Z614" s="8">
        <f>VLOOKUP(RawSalesTable6[[#This Row],[Product_ID_Clean]],ProductsTable[],5,FALSE)</f>
        <v>72</v>
      </c>
      <c r="AA614" s="8">
        <f>RawSalesTable6[[#This Row],[Unit_Price]]*RawSalesTable6[[#This Row],[Quantity]]</f>
        <v>400.92</v>
      </c>
      <c r="AB614" s="8">
        <f>RawSalesTable6[[#This Row],[Gross_Sales]]*RawSalesTable6[[#This Row],[Discount_Pct]]</f>
        <v>20.046000000000003</v>
      </c>
      <c r="AC614" s="8">
        <f>RawSalesTable6[[#This Row],[Gross_Sales]]-RawSalesTable6[[#This Row],[Discount_Amount]]</f>
        <v>380.87400000000002</v>
      </c>
      <c r="AD614" s="8">
        <f>RawSalesTable6[[#This Row],[Unit_Cost]]*RawSalesTable6[[#This Row],[Quantity]]</f>
        <v>288</v>
      </c>
      <c r="AE614" s="8">
        <f>RawSalesTable6[[#This Row],[Net_Sales]]-RawSalesTable6[[#This Row],[Total_Cost]]</f>
        <v>92.874000000000024</v>
      </c>
      <c r="AF614" s="9">
        <f>RawSalesTable6[[#This Row],[Profit]]/RawSalesTable6[[#This Row],[Net_Sales]]</f>
        <v>0.24384442098961867</v>
      </c>
      <c r="AG614" s="8">
        <f>YEAR(RawSalesTable6[[#This Row],[Order_Date]])</f>
        <v>2025</v>
      </c>
      <c r="AH614" s="8">
        <f>MONTH(RawSalesTable6[[#This Row],[Order_Date]])</f>
        <v>10</v>
      </c>
      <c r="AI614" s="8" t="str">
        <f>TEXT(RawSalesTable6[[#This Row],[Order_Date]],"mmmm")</f>
        <v>octobre</v>
      </c>
      <c r="AJ614" s="8" t="str">
        <f>IF(RawSalesTable6[[#This Row],[Month_Number]]&lt;=3,"Q1",IF(RawSalesTable6[[#This Row],[Month_Number]]&lt;=6,"Q2",IF(RawSalesTable6[[#This Row],[Month_Number]]&lt;=9,"Q3","Q4")))</f>
        <v>Q4</v>
      </c>
      <c r="AK614" s="8" t="str">
        <f>VLOOKUP(RawSalesTable6[[#This Row],[Customer_ID_Clean]],CustomersTable[],4,FALSE)</f>
        <v>Alberta</v>
      </c>
      <c r="AL614" s="8">
        <f>IF(RawSalesTable6[[#This Row],[Return_Status]]="Yes",1,0)</f>
        <v>0</v>
      </c>
    </row>
    <row r="615" spans="1:38">
      <c r="A615" t="s">
        <v>1056</v>
      </c>
      <c r="B615" s="3">
        <v>45918</v>
      </c>
      <c r="C615" t="s">
        <v>216</v>
      </c>
      <c r="D615" t="s">
        <v>503</v>
      </c>
      <c r="E615" t="s">
        <v>218</v>
      </c>
      <c r="F615" t="s">
        <v>111</v>
      </c>
      <c r="G615" t="s">
        <v>96</v>
      </c>
      <c r="H615" t="s">
        <v>89</v>
      </c>
      <c r="I615">
        <v>1</v>
      </c>
      <c r="J615" s="2">
        <v>126.75</v>
      </c>
      <c r="K615" s="4">
        <v>0</v>
      </c>
      <c r="L615" t="s">
        <v>90</v>
      </c>
      <c r="M615">
        <v>6</v>
      </c>
      <c r="N615" t="s">
        <v>91</v>
      </c>
      <c r="O615" t="str">
        <f>SUBSTITUTE(PROPER(TRIM(RawSalesTable6[[#This Row],[Channel_Raw]])),"Market Place","Marketplace")</f>
        <v>Online</v>
      </c>
      <c r="P615" t="str">
        <f>TRIM(RawSalesTable6[[#This Row],[Product_ID]])</f>
        <v>P1013</v>
      </c>
      <c r="Q615" t="str">
        <f>TRIM(RawSalesTable6[[#This Row],[Customer_ID]])</f>
        <v>C0065</v>
      </c>
      <c r="R615" s="8" t="str">
        <f>PROPER(TRIM(RawSalesTable6[[#This Row],[Store_Raw]]))</f>
        <v>Montreal Central</v>
      </c>
      <c r="S615" s="8" t="str">
        <f>IF(TRIM(RawSalesTable6[[#This Row],[Payment_Method_Raw]])="","Non renseigné",SUBSTITUTE(PROPER(TRIM(RawSalesTable6[[#This Row],[Payment_Method_Raw]])),"Cc","Credit Card"))</f>
        <v>Paypal</v>
      </c>
      <c r="T615" s="8">
        <f>COUNTIF(A:A,RawSalesTable6[[#This Row],[Order_ID]])</f>
        <v>1</v>
      </c>
      <c r="U615" s="8" t="str">
        <f>TRIM(LEFT(RawSalesTable6[[#This Row],[Customer_Info]],FIND(",",RawSalesTable6[[#This Row],[Customer_Info]])-1))</f>
        <v>Mia Wilson</v>
      </c>
      <c r="V615" s="8" t="str">
        <f>TRIM(MID(RawSalesTable6[[#This Row],[Customer_Info]],FIND(",",RawSalesTable6[[#This Row],[Customer_Info]])+1,FIND(",",RawSalesTable6[[#This Row],[Customer_Info]],FIND(",",RawSalesTable6[[#This Row],[Customer_Info]])+1)-FIND(",",RawSalesTable6[[#This Row],[Customer_Info]])-1))</f>
        <v>Quebec City</v>
      </c>
      <c r="W615" s="8" t="str">
        <f>TRIM(RIGHT(RawSalesTable6[[#This Row],[Customer_Info]],LEN(RawSalesTable6[[#This Row],[Customer_Info]])-FIND(",",RawSalesTable6[[#This Row],[Customer_Info]],FIND(",",RawSalesTable6[[#This Row],[Customer_Info]])+1)))</f>
        <v>Consumer</v>
      </c>
      <c r="X615" s="8" t="str">
        <f>VLOOKUP(RawSalesTable6[[#This Row],[Product_ID_Clean]],ProductsTable[],2,FALSE)</f>
        <v>Whiteboard</v>
      </c>
      <c r="Y615" s="8" t="str">
        <f>VLOOKUP(RawSalesTable6[[#This Row],[Product_ID_Clean]],ProductsTable[],3,FALSE)</f>
        <v>Office</v>
      </c>
      <c r="Z615" s="8">
        <f>VLOOKUP(RawSalesTable6[[#This Row],[Product_ID_Clean]],ProductsTable[],5,FALSE)</f>
        <v>85.73</v>
      </c>
      <c r="AA615" s="8">
        <f>RawSalesTable6[[#This Row],[Unit_Price]]*RawSalesTable6[[#This Row],[Quantity]]</f>
        <v>126.75</v>
      </c>
      <c r="AB615" s="8">
        <f>RawSalesTable6[[#This Row],[Gross_Sales]]*RawSalesTable6[[#This Row],[Discount_Pct]]</f>
        <v>0</v>
      </c>
      <c r="AC615" s="8">
        <f>RawSalesTable6[[#This Row],[Gross_Sales]]-RawSalesTable6[[#This Row],[Discount_Amount]]</f>
        <v>126.75</v>
      </c>
      <c r="AD615" s="8">
        <f>RawSalesTable6[[#This Row],[Unit_Cost]]*RawSalesTable6[[#This Row],[Quantity]]</f>
        <v>85.73</v>
      </c>
      <c r="AE615" s="8">
        <f>RawSalesTable6[[#This Row],[Net_Sales]]-RawSalesTable6[[#This Row],[Total_Cost]]</f>
        <v>41.019999999999996</v>
      </c>
      <c r="AF615" s="9">
        <f>RawSalesTable6[[#This Row],[Profit]]/RawSalesTable6[[#This Row],[Net_Sales]]</f>
        <v>0.32362919132149898</v>
      </c>
      <c r="AG615" s="8">
        <f>YEAR(RawSalesTable6[[#This Row],[Order_Date]])</f>
        <v>2025</v>
      </c>
      <c r="AH615" s="8">
        <f>MONTH(RawSalesTable6[[#This Row],[Order_Date]])</f>
        <v>9</v>
      </c>
      <c r="AI615" s="8" t="str">
        <f>TEXT(RawSalesTable6[[#This Row],[Order_Date]],"mmmm")</f>
        <v>septembre</v>
      </c>
      <c r="AJ615" s="8" t="str">
        <f>IF(RawSalesTable6[[#This Row],[Month_Number]]&lt;=3,"Q1",IF(RawSalesTable6[[#This Row],[Month_Number]]&lt;=6,"Q2",IF(RawSalesTable6[[#This Row],[Month_Number]]&lt;=9,"Q3","Q4")))</f>
        <v>Q3</v>
      </c>
      <c r="AK615" s="8" t="str">
        <f>VLOOKUP(RawSalesTable6[[#This Row],[Customer_ID_Clean]],CustomersTable[],4,FALSE)</f>
        <v>Quebec</v>
      </c>
      <c r="AL615" s="8">
        <f>IF(RawSalesTable6[[#This Row],[Return_Status]]="Yes",1,0)</f>
        <v>0</v>
      </c>
    </row>
    <row r="616" spans="1:38">
      <c r="A616" t="s">
        <v>1057</v>
      </c>
      <c r="B616" s="3">
        <v>45728</v>
      </c>
      <c r="C616" t="s">
        <v>379</v>
      </c>
      <c r="D616" t="s">
        <v>190</v>
      </c>
      <c r="E616" t="s">
        <v>380</v>
      </c>
      <c r="F616" t="s">
        <v>111</v>
      </c>
      <c r="G616" t="s">
        <v>117</v>
      </c>
      <c r="H616" t="s">
        <v>97</v>
      </c>
      <c r="I616">
        <v>1</v>
      </c>
      <c r="J616" s="2">
        <v>286.02</v>
      </c>
      <c r="K616" s="4">
        <v>0.25</v>
      </c>
      <c r="L616" t="s">
        <v>106</v>
      </c>
      <c r="M616">
        <v>0</v>
      </c>
      <c r="N616" t="s">
        <v>91</v>
      </c>
      <c r="O616" t="str">
        <f>SUBSTITUTE(PROPER(TRIM(RawSalesTable6[[#This Row],[Channel_Raw]])),"Market Place","Marketplace")</f>
        <v>Retail Store</v>
      </c>
      <c r="P616" t="str">
        <f>TRIM(RawSalesTable6[[#This Row],[Product_ID]])</f>
        <v>P1004</v>
      </c>
      <c r="Q616" t="str">
        <f>TRIM(RawSalesTable6[[#This Row],[Customer_ID]])</f>
        <v>C0072</v>
      </c>
      <c r="R616" s="8" t="str">
        <f>PROPER(TRIM(RawSalesTable6[[#This Row],[Store_Raw]]))</f>
        <v>Montreal Central</v>
      </c>
      <c r="S616" s="8" t="str">
        <f>IF(TRIM(RawSalesTable6[[#This Row],[Payment_Method_Raw]])="","Non renseigné",SUBSTITUTE(PROPER(TRIM(RawSalesTable6[[#This Row],[Payment_Method_Raw]])),"Cc","Credit Card"))</f>
        <v>Credit Card</v>
      </c>
      <c r="T616" s="8">
        <f>COUNTIF(A:A,RawSalesTable6[[#This Row],[Order_ID]])</f>
        <v>1</v>
      </c>
      <c r="U616" s="8" t="str">
        <f>TRIM(LEFT(RawSalesTable6[[#This Row],[Customer_Info]],FIND(",",RawSalesTable6[[#This Row],[Customer_Info]])-1))</f>
        <v>Ryan Bennett</v>
      </c>
      <c r="V616" s="8" t="str">
        <f>TRIM(MID(RawSalesTable6[[#This Row],[Customer_Info]],FIND(",",RawSalesTable6[[#This Row],[Customer_Info]])+1,FIND(",",RawSalesTable6[[#This Row],[Customer_Info]],FIND(",",RawSalesTable6[[#This Row],[Customer_Info]])+1)-FIND(",",RawSalesTable6[[#This Row],[Customer_Info]])-1))</f>
        <v>Montreal</v>
      </c>
      <c r="W616" s="8" t="str">
        <f>TRIM(RIGHT(RawSalesTable6[[#This Row],[Customer_Info]],LEN(RawSalesTable6[[#This Row],[Customer_Info]])-FIND(",",RawSalesTable6[[#This Row],[Customer_Info]],FIND(",",RawSalesTable6[[#This Row],[Customer_Info]])+1)))</f>
        <v>Corporate</v>
      </c>
      <c r="X616" s="8" t="str">
        <f>VLOOKUP(RawSalesTable6[[#This Row],[Product_ID_Clean]],ProductsTable[],2,FALSE)</f>
        <v>Webcam</v>
      </c>
      <c r="Y616" s="8" t="str">
        <f>VLOOKUP(RawSalesTable6[[#This Row],[Product_ID_Clean]],ProductsTable[],3,FALSE)</f>
        <v>Electronics</v>
      </c>
      <c r="Z616" s="8">
        <f>VLOOKUP(RawSalesTable6[[#This Row],[Product_ID_Clean]],ProductsTable[],5,FALSE)</f>
        <v>154.72999999999999</v>
      </c>
      <c r="AA616" s="8">
        <f>RawSalesTable6[[#This Row],[Unit_Price]]*RawSalesTable6[[#This Row],[Quantity]]</f>
        <v>286.02</v>
      </c>
      <c r="AB616" s="8">
        <f>RawSalesTable6[[#This Row],[Gross_Sales]]*RawSalesTable6[[#This Row],[Discount_Pct]]</f>
        <v>71.504999999999995</v>
      </c>
      <c r="AC616" s="8">
        <f>RawSalesTable6[[#This Row],[Gross_Sales]]-RawSalesTable6[[#This Row],[Discount_Amount]]</f>
        <v>214.51499999999999</v>
      </c>
      <c r="AD616" s="8">
        <f>RawSalesTable6[[#This Row],[Unit_Cost]]*RawSalesTable6[[#This Row],[Quantity]]</f>
        <v>154.72999999999999</v>
      </c>
      <c r="AE616" s="8">
        <f>RawSalesTable6[[#This Row],[Net_Sales]]-RawSalesTable6[[#This Row],[Total_Cost]]</f>
        <v>59.784999999999997</v>
      </c>
      <c r="AF616" s="9">
        <f>RawSalesTable6[[#This Row],[Profit]]/RawSalesTable6[[#This Row],[Net_Sales]]</f>
        <v>0.27869845931519943</v>
      </c>
      <c r="AG616" s="8">
        <f>YEAR(RawSalesTable6[[#This Row],[Order_Date]])</f>
        <v>2025</v>
      </c>
      <c r="AH616" s="8">
        <f>MONTH(RawSalesTable6[[#This Row],[Order_Date]])</f>
        <v>3</v>
      </c>
      <c r="AI616" s="8" t="str">
        <f>TEXT(RawSalesTable6[[#This Row],[Order_Date]],"mmmm")</f>
        <v>mars</v>
      </c>
      <c r="AJ616" s="8" t="str">
        <f>IF(RawSalesTable6[[#This Row],[Month_Number]]&lt;=3,"Q1",IF(RawSalesTable6[[#This Row],[Month_Number]]&lt;=6,"Q2",IF(RawSalesTable6[[#This Row],[Month_Number]]&lt;=9,"Q3","Q4")))</f>
        <v>Q1</v>
      </c>
      <c r="AK616" s="8" t="str">
        <f>VLOOKUP(RawSalesTable6[[#This Row],[Customer_ID_Clean]],CustomersTable[],4,FALSE)</f>
        <v>Quebec</v>
      </c>
      <c r="AL616" s="8">
        <f>IF(RawSalesTable6[[#This Row],[Return_Status]]="Yes",1,0)</f>
        <v>0</v>
      </c>
    </row>
    <row r="617" spans="1:38">
      <c r="A617" t="s">
        <v>1058</v>
      </c>
      <c r="B617" s="3">
        <v>45837</v>
      </c>
      <c r="C617" t="s">
        <v>371</v>
      </c>
      <c r="D617" t="s">
        <v>418</v>
      </c>
      <c r="E617" t="s">
        <v>372</v>
      </c>
      <c r="F617" t="s">
        <v>111</v>
      </c>
      <c r="G617" t="s">
        <v>104</v>
      </c>
      <c r="H617" t="s">
        <v>97</v>
      </c>
      <c r="I617">
        <v>5</v>
      </c>
      <c r="J617" s="2">
        <v>374.98</v>
      </c>
      <c r="K617" s="4">
        <v>0.15</v>
      </c>
      <c r="L617" t="s">
        <v>353</v>
      </c>
      <c r="M617">
        <v>4</v>
      </c>
      <c r="N617" t="s">
        <v>91</v>
      </c>
      <c r="O617" t="str">
        <f>SUBSTITUTE(PROPER(TRIM(RawSalesTable6[[#This Row],[Channel_Raw]])),"Market Place","Marketplace")</f>
        <v>Retail Store</v>
      </c>
      <c r="P617" t="str">
        <f>TRIM(RawSalesTable6[[#This Row],[Product_ID]])</f>
        <v>P1028</v>
      </c>
      <c r="Q617" t="str">
        <f>TRIM(RawSalesTable6[[#This Row],[Customer_ID]])</f>
        <v>C0049</v>
      </c>
      <c r="R617" s="8" t="str">
        <f>PROPER(TRIM(RawSalesTable6[[#This Row],[Store_Raw]]))</f>
        <v>Montreal Central</v>
      </c>
      <c r="S617" s="8" t="str">
        <f>IF(TRIM(RawSalesTable6[[#This Row],[Payment_Method_Raw]])="","Non renseigné",SUBSTITUTE(PROPER(TRIM(RawSalesTable6[[#This Row],[Payment_Method_Raw]])),"Cc","Credit Card"))</f>
        <v>Credit Card</v>
      </c>
      <c r="T617" s="8">
        <f>COUNTIF(A:A,RawSalesTable6[[#This Row],[Order_ID]])</f>
        <v>1</v>
      </c>
      <c r="U617" s="8" t="str">
        <f>TRIM(LEFT(RawSalesTable6[[#This Row],[Customer_Info]],FIND(",",RawSalesTable6[[#This Row],[Customer_Info]])-1))</f>
        <v>Olivia Scott</v>
      </c>
      <c r="V617" s="8" t="str">
        <f>TRIM(MID(RawSalesTable6[[#This Row],[Customer_Info]],FIND(",",RawSalesTable6[[#This Row],[Customer_Info]])+1,FIND(",",RawSalesTable6[[#This Row],[Customer_Info]],FIND(",",RawSalesTable6[[#This Row],[Customer_Info]])+1)-FIND(",",RawSalesTable6[[#This Row],[Customer_Info]])-1))</f>
        <v>Quebec City</v>
      </c>
      <c r="W617" s="8" t="str">
        <f>TRIM(RIGHT(RawSalesTable6[[#This Row],[Customer_Info]],LEN(RawSalesTable6[[#This Row],[Customer_Info]])-FIND(",",RawSalesTable6[[#This Row],[Customer_Info]],FIND(",",RawSalesTable6[[#This Row],[Customer_Info]])+1)))</f>
        <v>Consumer</v>
      </c>
      <c r="X617" s="8" t="str">
        <f>VLOOKUP(RawSalesTable6[[#This Row],[Product_ID_Clean]],ProductsTable[],2,FALSE)</f>
        <v>Foam Roller</v>
      </c>
      <c r="Y617" s="8" t="str">
        <f>VLOOKUP(RawSalesTable6[[#This Row],[Product_ID_Clean]],ProductsTable[],3,FALSE)</f>
        <v>Fitness</v>
      </c>
      <c r="Z617" s="8">
        <f>VLOOKUP(RawSalesTable6[[#This Row],[Product_ID_Clean]],ProductsTable[],5,FALSE)</f>
        <v>212.02</v>
      </c>
      <c r="AA617" s="8">
        <f>RawSalesTable6[[#This Row],[Unit_Price]]*RawSalesTable6[[#This Row],[Quantity]]</f>
        <v>1874.9</v>
      </c>
      <c r="AB617" s="8">
        <f>RawSalesTable6[[#This Row],[Gross_Sales]]*RawSalesTable6[[#This Row],[Discount_Pct]]</f>
        <v>281.23500000000001</v>
      </c>
      <c r="AC617" s="8">
        <f>RawSalesTable6[[#This Row],[Gross_Sales]]-RawSalesTable6[[#This Row],[Discount_Amount]]</f>
        <v>1593.665</v>
      </c>
      <c r="AD617" s="8">
        <f>RawSalesTable6[[#This Row],[Unit_Cost]]*RawSalesTable6[[#This Row],[Quantity]]</f>
        <v>1060.1000000000001</v>
      </c>
      <c r="AE617" s="8">
        <f>RawSalesTable6[[#This Row],[Net_Sales]]-RawSalesTable6[[#This Row],[Total_Cost]]</f>
        <v>533.56499999999983</v>
      </c>
      <c r="AF617" s="9">
        <f>RawSalesTable6[[#This Row],[Profit]]/RawSalesTable6[[#This Row],[Net_Sales]]</f>
        <v>0.33480373855233053</v>
      </c>
      <c r="AG617" s="8">
        <f>YEAR(RawSalesTable6[[#This Row],[Order_Date]])</f>
        <v>2025</v>
      </c>
      <c r="AH617" s="8">
        <f>MONTH(RawSalesTable6[[#This Row],[Order_Date]])</f>
        <v>6</v>
      </c>
      <c r="AI617" s="8" t="str">
        <f>TEXT(RawSalesTable6[[#This Row],[Order_Date]],"mmmm")</f>
        <v>juin</v>
      </c>
      <c r="AJ617" s="8" t="str">
        <f>IF(RawSalesTable6[[#This Row],[Month_Number]]&lt;=3,"Q1",IF(RawSalesTable6[[#This Row],[Month_Number]]&lt;=6,"Q2",IF(RawSalesTable6[[#This Row],[Month_Number]]&lt;=9,"Q3","Q4")))</f>
        <v>Q2</v>
      </c>
      <c r="AK617" s="8" t="str">
        <f>VLOOKUP(RawSalesTable6[[#This Row],[Customer_ID_Clean]],CustomersTable[],4,FALSE)</f>
        <v>Quebec</v>
      </c>
      <c r="AL617" s="8">
        <f>IF(RawSalesTable6[[#This Row],[Return_Status]]="Yes",1,0)</f>
        <v>0</v>
      </c>
    </row>
    <row r="618" spans="1:38">
      <c r="A618" t="s">
        <v>1059</v>
      </c>
      <c r="B618" s="3">
        <v>45986</v>
      </c>
      <c r="C618" t="s">
        <v>156</v>
      </c>
      <c r="D618" t="s">
        <v>277</v>
      </c>
      <c r="E618" t="s">
        <v>158</v>
      </c>
      <c r="F618" t="s">
        <v>87</v>
      </c>
      <c r="G618" t="s">
        <v>96</v>
      </c>
      <c r="H618" t="s">
        <v>97</v>
      </c>
      <c r="I618">
        <v>2</v>
      </c>
      <c r="J618" s="2">
        <v>375.13</v>
      </c>
      <c r="K618" s="4">
        <v>0.1</v>
      </c>
      <c r="L618" t="s">
        <v>106</v>
      </c>
      <c r="M618">
        <v>1</v>
      </c>
      <c r="N618" t="s">
        <v>91</v>
      </c>
      <c r="O618" t="str">
        <f>SUBSTITUTE(PROPER(TRIM(RawSalesTable6[[#This Row],[Channel_Raw]])),"Market Place","Marketplace")</f>
        <v>Retail Store</v>
      </c>
      <c r="P618" t="str">
        <f>TRIM(RawSalesTable6[[#This Row],[Product_ID]])</f>
        <v>P1001</v>
      </c>
      <c r="Q618" t="str">
        <f>TRIM(RawSalesTable6[[#This Row],[Customer_ID]])</f>
        <v>C0112</v>
      </c>
      <c r="R618" s="8" t="str">
        <f>PROPER(TRIM(RawSalesTable6[[#This Row],[Store_Raw]]))</f>
        <v>Online Fulfillment</v>
      </c>
      <c r="S618" s="8" t="str">
        <f>IF(TRIM(RawSalesTable6[[#This Row],[Payment_Method_Raw]])="","Non renseigné",SUBSTITUTE(PROPER(TRIM(RawSalesTable6[[#This Row],[Payment_Method_Raw]])),"Cc","Credit Card"))</f>
        <v>Credit Card</v>
      </c>
      <c r="T618" s="8">
        <f>COUNTIF(A:A,RawSalesTable6[[#This Row],[Order_ID]])</f>
        <v>1</v>
      </c>
      <c r="U618" s="8" t="str">
        <f>TRIM(LEFT(RawSalesTable6[[#This Row],[Customer_Info]],FIND(",",RawSalesTable6[[#This Row],[Customer_Info]])-1))</f>
        <v>Ava Bennett</v>
      </c>
      <c r="V618" s="8" t="str">
        <f>TRIM(MID(RawSalesTable6[[#This Row],[Customer_Info]],FIND(",",RawSalesTable6[[#This Row],[Customer_Info]])+1,FIND(",",RawSalesTable6[[#This Row],[Customer_Info]],FIND(",",RawSalesTable6[[#This Row],[Customer_Info]])+1)-FIND(",",RawSalesTable6[[#This Row],[Customer_Info]])-1))</f>
        <v>Halifax</v>
      </c>
      <c r="W618" s="8" t="str">
        <f>TRIM(RIGHT(RawSalesTable6[[#This Row],[Customer_Info]],LEN(RawSalesTable6[[#This Row],[Customer_Info]])-FIND(",",RawSalesTable6[[#This Row],[Customer_Info]],FIND(",",RawSalesTable6[[#This Row],[Customer_Info]])+1)))</f>
        <v>Consumer</v>
      </c>
      <c r="X618" s="8" t="str">
        <f>VLOOKUP(RawSalesTable6[[#This Row],[Product_ID_Clean]],ProductsTable[],2,FALSE)</f>
        <v>Headphones</v>
      </c>
      <c r="Y618" s="8" t="str">
        <f>VLOOKUP(RawSalesTable6[[#This Row],[Product_ID_Clean]],ProductsTable[],3,FALSE)</f>
        <v>Electronics</v>
      </c>
      <c r="Z618" s="8">
        <f>VLOOKUP(RawSalesTable6[[#This Row],[Product_ID_Clean]],ProductsTable[],5,FALSE)</f>
        <v>254.6</v>
      </c>
      <c r="AA618" s="8">
        <f>RawSalesTable6[[#This Row],[Unit_Price]]*RawSalesTable6[[#This Row],[Quantity]]</f>
        <v>750.26</v>
      </c>
      <c r="AB618" s="8">
        <f>RawSalesTable6[[#This Row],[Gross_Sales]]*RawSalesTable6[[#This Row],[Discount_Pct]]</f>
        <v>75.025999999999996</v>
      </c>
      <c r="AC618" s="8">
        <f>RawSalesTable6[[#This Row],[Gross_Sales]]-RawSalesTable6[[#This Row],[Discount_Amount]]</f>
        <v>675.23400000000004</v>
      </c>
      <c r="AD618" s="8">
        <f>RawSalesTable6[[#This Row],[Unit_Cost]]*RawSalesTable6[[#This Row],[Quantity]]</f>
        <v>509.2</v>
      </c>
      <c r="AE618" s="8">
        <f>RawSalesTable6[[#This Row],[Net_Sales]]-RawSalesTable6[[#This Row],[Total_Cost]]</f>
        <v>166.03400000000005</v>
      </c>
      <c r="AF618" s="9">
        <f>RawSalesTable6[[#This Row],[Profit]]/RawSalesTable6[[#This Row],[Net_Sales]]</f>
        <v>0.24589105406422077</v>
      </c>
      <c r="AG618" s="8">
        <f>YEAR(RawSalesTable6[[#This Row],[Order_Date]])</f>
        <v>2025</v>
      </c>
      <c r="AH618" s="8">
        <f>MONTH(RawSalesTable6[[#This Row],[Order_Date]])</f>
        <v>11</v>
      </c>
      <c r="AI618" s="8" t="str">
        <f>TEXT(RawSalesTable6[[#This Row],[Order_Date]],"mmmm")</f>
        <v>novembre</v>
      </c>
      <c r="AJ618" s="8" t="str">
        <f>IF(RawSalesTable6[[#This Row],[Month_Number]]&lt;=3,"Q1",IF(RawSalesTable6[[#This Row],[Month_Number]]&lt;=6,"Q2",IF(RawSalesTable6[[#This Row],[Month_Number]]&lt;=9,"Q3","Q4")))</f>
        <v>Q4</v>
      </c>
      <c r="AK618" s="8" t="str">
        <f>VLOOKUP(RawSalesTable6[[#This Row],[Customer_ID_Clean]],CustomersTable[],4,FALSE)</f>
        <v>Nova Scotia</v>
      </c>
      <c r="AL618" s="8">
        <f>IF(RawSalesTable6[[#This Row],[Return_Status]]="Yes",1,0)</f>
        <v>0</v>
      </c>
    </row>
    <row r="619" spans="1:38">
      <c r="A619" t="s">
        <v>1060</v>
      </c>
      <c r="B619" s="3">
        <v>45938</v>
      </c>
      <c r="C619" t="s">
        <v>84</v>
      </c>
      <c r="D619" t="s">
        <v>109</v>
      </c>
      <c r="E619" t="s">
        <v>86</v>
      </c>
      <c r="F619" t="s">
        <v>111</v>
      </c>
      <c r="G619" t="s">
        <v>88</v>
      </c>
      <c r="H619" t="s">
        <v>89</v>
      </c>
      <c r="I619">
        <v>2</v>
      </c>
      <c r="J619" s="2">
        <v>198.16</v>
      </c>
      <c r="K619" s="4">
        <v>0.25</v>
      </c>
      <c r="L619" t="s">
        <v>106</v>
      </c>
      <c r="M619">
        <v>1</v>
      </c>
      <c r="N619" t="s">
        <v>91</v>
      </c>
      <c r="O619" t="str">
        <f>SUBSTITUTE(PROPER(TRIM(RawSalesTable6[[#This Row],[Channel_Raw]])),"Market Place","Marketplace")</f>
        <v>Online</v>
      </c>
      <c r="P619" t="str">
        <f>TRIM(RawSalesTable6[[#This Row],[Product_ID]])</f>
        <v>P1032</v>
      </c>
      <c r="Q619" t="str">
        <f>TRIM(RawSalesTable6[[#This Row],[Customer_ID]])</f>
        <v>C0113</v>
      </c>
      <c r="R619" s="8" t="str">
        <f>PROPER(TRIM(RawSalesTable6[[#This Row],[Store_Raw]]))</f>
        <v>Montreal Central</v>
      </c>
      <c r="S619" s="8" t="str">
        <f>IF(TRIM(RawSalesTable6[[#This Row],[Payment_Method_Raw]])="","Non renseigné",SUBSTITUTE(PROPER(TRIM(RawSalesTable6[[#This Row],[Payment_Method_Raw]])),"Cc","Credit Card"))</f>
        <v>Credit Card</v>
      </c>
      <c r="T619" s="8">
        <f>COUNTIF(A:A,RawSalesTable6[[#This Row],[Order_ID]])</f>
        <v>1</v>
      </c>
      <c r="U619" s="8" t="str">
        <f>TRIM(LEFT(RawSalesTable6[[#This Row],[Customer_Info]],FIND(",",RawSalesTable6[[#This Row],[Customer_Info]])-1))</f>
        <v>Olivia Johnson</v>
      </c>
      <c r="V619" s="8" t="str">
        <f>TRIM(MID(RawSalesTable6[[#This Row],[Customer_Info]],FIND(",",RawSalesTable6[[#This Row],[Customer_Info]])+1,FIND(",",RawSalesTable6[[#This Row],[Customer_Info]],FIND(",",RawSalesTable6[[#This Row],[Customer_Info]])+1)-FIND(",",RawSalesTable6[[#This Row],[Customer_Info]])-1))</f>
        <v>Surrey</v>
      </c>
      <c r="W619" s="8" t="str">
        <f>TRIM(RIGHT(RawSalesTable6[[#This Row],[Customer_Info]],LEN(RawSalesTable6[[#This Row],[Customer_Info]])-FIND(",",RawSalesTable6[[#This Row],[Customer_Info]],FIND(",",RawSalesTable6[[#This Row],[Customer_Info]])+1)))</f>
        <v>Consumer</v>
      </c>
      <c r="X619" s="8" t="str">
        <f>VLOOKUP(RawSalesTable6[[#This Row],[Product_ID_Clean]],ProductsTable[],2,FALSE)</f>
        <v>Gym Bag</v>
      </c>
      <c r="Y619" s="8" t="str">
        <f>VLOOKUP(RawSalesTable6[[#This Row],[Product_ID_Clean]],ProductsTable[],3,FALSE)</f>
        <v>Fitness</v>
      </c>
      <c r="Z619" s="8">
        <f>VLOOKUP(RawSalesTable6[[#This Row],[Product_ID_Clean]],ProductsTable[],5,FALSE)</f>
        <v>132.72</v>
      </c>
      <c r="AA619" s="8">
        <f>RawSalesTable6[[#This Row],[Unit_Price]]*RawSalesTable6[[#This Row],[Quantity]]</f>
        <v>396.32</v>
      </c>
      <c r="AB619" s="8">
        <f>RawSalesTable6[[#This Row],[Gross_Sales]]*RawSalesTable6[[#This Row],[Discount_Pct]]</f>
        <v>99.08</v>
      </c>
      <c r="AC619" s="8">
        <f>RawSalesTable6[[#This Row],[Gross_Sales]]-RawSalesTable6[[#This Row],[Discount_Amount]]</f>
        <v>297.24</v>
      </c>
      <c r="AD619" s="8">
        <f>RawSalesTable6[[#This Row],[Unit_Cost]]*RawSalesTable6[[#This Row],[Quantity]]</f>
        <v>265.44</v>
      </c>
      <c r="AE619" s="8">
        <f>RawSalesTable6[[#This Row],[Net_Sales]]-RawSalesTable6[[#This Row],[Total_Cost]]</f>
        <v>31.800000000000011</v>
      </c>
      <c r="AF619" s="9">
        <f>RawSalesTable6[[#This Row],[Profit]]/RawSalesTable6[[#This Row],[Net_Sales]]</f>
        <v>0.10698425514735571</v>
      </c>
      <c r="AG619" s="8">
        <f>YEAR(RawSalesTable6[[#This Row],[Order_Date]])</f>
        <v>2025</v>
      </c>
      <c r="AH619" s="8">
        <f>MONTH(RawSalesTable6[[#This Row],[Order_Date]])</f>
        <v>10</v>
      </c>
      <c r="AI619" s="8" t="str">
        <f>TEXT(RawSalesTable6[[#This Row],[Order_Date]],"mmmm")</f>
        <v>octobre</v>
      </c>
      <c r="AJ619" s="8" t="str">
        <f>IF(RawSalesTable6[[#This Row],[Month_Number]]&lt;=3,"Q1",IF(RawSalesTable6[[#This Row],[Month_Number]]&lt;=6,"Q2",IF(RawSalesTable6[[#This Row],[Month_Number]]&lt;=9,"Q3","Q4")))</f>
        <v>Q4</v>
      </c>
      <c r="AK619" s="8" t="str">
        <f>VLOOKUP(RawSalesTable6[[#This Row],[Customer_ID_Clean]],CustomersTable[],4,FALSE)</f>
        <v>British Columbia</v>
      </c>
      <c r="AL619" s="8">
        <f>IF(RawSalesTable6[[#This Row],[Return_Status]]="Yes",1,0)</f>
        <v>0</v>
      </c>
    </row>
    <row r="620" spans="1:38">
      <c r="A620" t="s">
        <v>1061</v>
      </c>
      <c r="B620" s="3">
        <v>45725</v>
      </c>
      <c r="C620" t="s">
        <v>164</v>
      </c>
      <c r="D620" t="s">
        <v>252</v>
      </c>
      <c r="E620" t="s">
        <v>166</v>
      </c>
      <c r="F620" t="s">
        <v>145</v>
      </c>
      <c r="G620" t="s">
        <v>88</v>
      </c>
      <c r="H620" t="s">
        <v>97</v>
      </c>
      <c r="I620">
        <v>1</v>
      </c>
      <c r="J620" s="2">
        <v>262.02999999999997</v>
      </c>
      <c r="K620" s="4">
        <v>0.2</v>
      </c>
      <c r="L620" t="s">
        <v>98</v>
      </c>
      <c r="M620">
        <v>3</v>
      </c>
      <c r="N620" t="s">
        <v>91</v>
      </c>
      <c r="O620" t="str">
        <f>SUBSTITUTE(PROPER(TRIM(RawSalesTable6[[#This Row],[Channel_Raw]])),"Market Place","Marketplace")</f>
        <v>Retail Store</v>
      </c>
      <c r="P620" t="str">
        <f>TRIM(RawSalesTable6[[#This Row],[Product_ID]])</f>
        <v>P1019</v>
      </c>
      <c r="Q620" t="str">
        <f>TRIM(RawSalesTable6[[#This Row],[Customer_ID]])</f>
        <v>C0032</v>
      </c>
      <c r="R620" s="8" t="str">
        <f>PROPER(TRIM(RawSalesTable6[[#This Row],[Store_Raw]]))</f>
        <v>Calgary North</v>
      </c>
      <c r="S620" s="8" t="str">
        <f>IF(TRIM(RawSalesTable6[[#This Row],[Payment_Method_Raw]])="","Non renseigné",SUBSTITUTE(PROPER(TRIM(RawSalesTable6[[#This Row],[Payment_Method_Raw]])),"Cc","Credit Card"))</f>
        <v>Debit Card</v>
      </c>
      <c r="T620" s="8">
        <f>COUNTIF(A:A,RawSalesTable6[[#This Row],[Order_ID]])</f>
        <v>1</v>
      </c>
      <c r="U620" s="8" t="str">
        <f>TRIM(LEFT(RawSalesTable6[[#This Row],[Customer_Info]],FIND(",",RawSalesTable6[[#This Row],[Customer_Info]])-1))</f>
        <v>Nora Bennett</v>
      </c>
      <c r="V620" s="8" t="str">
        <f>TRIM(MID(RawSalesTable6[[#This Row],[Customer_Info]],FIND(",",RawSalesTable6[[#This Row],[Customer_Info]])+1,FIND(",",RawSalesTable6[[#This Row],[Customer_Info]],FIND(",",RawSalesTable6[[#This Row],[Customer_Info]])+1)-FIND(",",RawSalesTable6[[#This Row],[Customer_Info]])-1))</f>
        <v>Surrey</v>
      </c>
      <c r="W620" s="8" t="str">
        <f>TRIM(RIGHT(RawSalesTable6[[#This Row],[Customer_Info]],LEN(RawSalesTable6[[#This Row],[Customer_Info]])-FIND(",",RawSalesTable6[[#This Row],[Customer_Info]],FIND(",",RawSalesTable6[[#This Row],[Customer_Info]])+1)))</f>
        <v>Consumer</v>
      </c>
      <c r="X620" s="8" t="str">
        <f>VLOOKUP(RawSalesTable6[[#This Row],[Product_ID_Clean]],ProductsTable[],2,FALSE)</f>
        <v>Vacuum</v>
      </c>
      <c r="Y620" s="8" t="str">
        <f>VLOOKUP(RawSalesTable6[[#This Row],[Product_ID_Clean]],ProductsTable[],3,FALSE)</f>
        <v>Home</v>
      </c>
      <c r="Z620" s="8">
        <f>VLOOKUP(RawSalesTable6[[#This Row],[Product_ID_Clean]],ProductsTable[],5,FALSE)</f>
        <v>186.94</v>
      </c>
      <c r="AA620" s="8">
        <f>RawSalesTable6[[#This Row],[Unit_Price]]*RawSalesTable6[[#This Row],[Quantity]]</f>
        <v>262.02999999999997</v>
      </c>
      <c r="AB620" s="8">
        <f>RawSalesTable6[[#This Row],[Gross_Sales]]*RawSalesTable6[[#This Row],[Discount_Pct]]</f>
        <v>52.405999999999999</v>
      </c>
      <c r="AC620" s="8">
        <f>RawSalesTable6[[#This Row],[Gross_Sales]]-RawSalesTable6[[#This Row],[Discount_Amount]]</f>
        <v>209.62399999999997</v>
      </c>
      <c r="AD620" s="8">
        <f>RawSalesTable6[[#This Row],[Unit_Cost]]*RawSalesTable6[[#This Row],[Quantity]]</f>
        <v>186.94</v>
      </c>
      <c r="AE620" s="8">
        <f>RawSalesTable6[[#This Row],[Net_Sales]]-RawSalesTable6[[#This Row],[Total_Cost]]</f>
        <v>22.683999999999969</v>
      </c>
      <c r="AF620" s="9">
        <f>RawSalesTable6[[#This Row],[Profit]]/RawSalesTable6[[#This Row],[Net_Sales]]</f>
        <v>0.10821280006106158</v>
      </c>
      <c r="AG620" s="8">
        <f>YEAR(RawSalesTable6[[#This Row],[Order_Date]])</f>
        <v>2025</v>
      </c>
      <c r="AH620" s="8">
        <f>MONTH(RawSalesTable6[[#This Row],[Order_Date]])</f>
        <v>3</v>
      </c>
      <c r="AI620" s="8" t="str">
        <f>TEXT(RawSalesTable6[[#This Row],[Order_Date]],"mmmm")</f>
        <v>mars</v>
      </c>
      <c r="AJ620" s="8" t="str">
        <f>IF(RawSalesTable6[[#This Row],[Month_Number]]&lt;=3,"Q1",IF(RawSalesTable6[[#This Row],[Month_Number]]&lt;=6,"Q2",IF(RawSalesTable6[[#This Row],[Month_Number]]&lt;=9,"Q3","Q4")))</f>
        <v>Q1</v>
      </c>
      <c r="AK620" s="8" t="str">
        <f>VLOOKUP(RawSalesTable6[[#This Row],[Customer_ID_Clean]],CustomersTable[],4,FALSE)</f>
        <v>British Columbia</v>
      </c>
      <c r="AL620" s="8">
        <f>IF(RawSalesTable6[[#This Row],[Return_Status]]="Yes",1,0)</f>
        <v>0</v>
      </c>
    </row>
    <row r="621" spans="1:38">
      <c r="A621" t="s">
        <v>1062</v>
      </c>
      <c r="B621" s="3">
        <v>45676</v>
      </c>
      <c r="C621" t="s">
        <v>343</v>
      </c>
      <c r="D621" t="s">
        <v>210</v>
      </c>
      <c r="E621" t="s">
        <v>344</v>
      </c>
      <c r="F621" t="s">
        <v>87</v>
      </c>
      <c r="G621" t="s">
        <v>96</v>
      </c>
      <c r="H621" t="s">
        <v>89</v>
      </c>
      <c r="I621">
        <v>4</v>
      </c>
      <c r="J621" s="2">
        <v>302</v>
      </c>
      <c r="K621" s="4">
        <v>0.05</v>
      </c>
      <c r="L621" t="s">
        <v>90</v>
      </c>
      <c r="M621">
        <v>6</v>
      </c>
      <c r="N621" t="s">
        <v>91</v>
      </c>
      <c r="O621" t="str">
        <f>SUBSTITUTE(PROPER(TRIM(RawSalesTable6[[#This Row],[Channel_Raw]])),"Market Place","Marketplace")</f>
        <v>Online</v>
      </c>
      <c r="P621" t="str">
        <f>TRIM(RawSalesTable6[[#This Row],[Product_ID]])</f>
        <v>P1040</v>
      </c>
      <c r="Q621" t="str">
        <f>TRIM(RawSalesTable6[[#This Row],[Customer_ID]])</f>
        <v>C0114</v>
      </c>
      <c r="R621" s="8" t="str">
        <f>PROPER(TRIM(RawSalesTable6[[#This Row],[Store_Raw]]))</f>
        <v>Online Fulfillment</v>
      </c>
      <c r="S621" s="8" t="str">
        <f>IF(TRIM(RawSalesTable6[[#This Row],[Payment_Method_Raw]])="","Non renseigné",SUBSTITUTE(PROPER(TRIM(RawSalesTable6[[#This Row],[Payment_Method_Raw]])),"Cc","Credit Card"))</f>
        <v>Paypal</v>
      </c>
      <c r="T621" s="8">
        <f>COUNTIF(A:A,RawSalesTable6[[#This Row],[Order_ID]])</f>
        <v>1</v>
      </c>
      <c r="U621" s="8" t="str">
        <f>TRIM(LEFT(RawSalesTable6[[#This Row],[Customer_Info]],FIND(",",RawSalesTable6[[#This Row],[Customer_Info]])-1))</f>
        <v>Olivia Johnson</v>
      </c>
      <c r="V621" s="8" t="str">
        <f>TRIM(MID(RawSalesTable6[[#This Row],[Customer_Info]],FIND(",",RawSalesTable6[[#This Row],[Customer_Info]])+1,FIND(",",RawSalesTable6[[#This Row],[Customer_Info]],FIND(",",RawSalesTable6[[#This Row],[Customer_Info]])+1)-FIND(",",RawSalesTable6[[#This Row],[Customer_Info]])-1))</f>
        <v>Ottawa</v>
      </c>
      <c r="W621" s="8" t="str">
        <f>TRIM(RIGHT(RawSalesTable6[[#This Row],[Customer_Info]],LEN(RawSalesTable6[[#This Row],[Customer_Info]])-FIND(",",RawSalesTable6[[#This Row],[Customer_Info]],FIND(",",RawSalesTable6[[#This Row],[Customer_Info]])+1)))</f>
        <v>Consumer</v>
      </c>
      <c r="X621" s="8" t="str">
        <f>VLOOKUP(RawSalesTable6[[#This Row],[Product_ID_Clean]],ProductsTable[],2,FALSE)</f>
        <v>Desk Pad</v>
      </c>
      <c r="Y621" s="8" t="str">
        <f>VLOOKUP(RawSalesTable6[[#This Row],[Product_ID_Clean]],ProductsTable[],3,FALSE)</f>
        <v>Accessories</v>
      </c>
      <c r="Z621" s="8">
        <f>VLOOKUP(RawSalesTable6[[#This Row],[Product_ID_Clean]],ProductsTable[],5,FALSE)</f>
        <v>177.57</v>
      </c>
      <c r="AA621" s="8">
        <f>RawSalesTable6[[#This Row],[Unit_Price]]*RawSalesTable6[[#This Row],[Quantity]]</f>
        <v>1208</v>
      </c>
      <c r="AB621" s="8">
        <f>RawSalesTable6[[#This Row],[Gross_Sales]]*RawSalesTable6[[#This Row],[Discount_Pct]]</f>
        <v>60.400000000000006</v>
      </c>
      <c r="AC621" s="8">
        <f>RawSalesTable6[[#This Row],[Gross_Sales]]-RawSalesTable6[[#This Row],[Discount_Amount]]</f>
        <v>1147.5999999999999</v>
      </c>
      <c r="AD621" s="8">
        <f>RawSalesTable6[[#This Row],[Unit_Cost]]*RawSalesTable6[[#This Row],[Quantity]]</f>
        <v>710.28</v>
      </c>
      <c r="AE621" s="8">
        <f>RawSalesTable6[[#This Row],[Net_Sales]]-RawSalesTable6[[#This Row],[Total_Cost]]</f>
        <v>437.31999999999994</v>
      </c>
      <c r="AF621" s="9">
        <f>RawSalesTable6[[#This Row],[Profit]]/RawSalesTable6[[#This Row],[Net_Sales]]</f>
        <v>0.38107354478912508</v>
      </c>
      <c r="AG621" s="8">
        <f>YEAR(RawSalesTable6[[#This Row],[Order_Date]])</f>
        <v>2025</v>
      </c>
      <c r="AH621" s="8">
        <f>MONTH(RawSalesTable6[[#This Row],[Order_Date]])</f>
        <v>1</v>
      </c>
      <c r="AI621" s="8" t="str">
        <f>TEXT(RawSalesTable6[[#This Row],[Order_Date]],"mmmm")</f>
        <v>janvier</v>
      </c>
      <c r="AJ621" s="8" t="str">
        <f>IF(RawSalesTable6[[#This Row],[Month_Number]]&lt;=3,"Q1",IF(RawSalesTable6[[#This Row],[Month_Number]]&lt;=6,"Q2",IF(RawSalesTable6[[#This Row],[Month_Number]]&lt;=9,"Q3","Q4")))</f>
        <v>Q1</v>
      </c>
      <c r="AK621" s="8" t="str">
        <f>VLOOKUP(RawSalesTable6[[#This Row],[Customer_ID_Clean]],CustomersTable[],4,FALSE)</f>
        <v>Ontario</v>
      </c>
      <c r="AL621" s="8">
        <f>IF(RawSalesTable6[[#This Row],[Return_Status]]="Yes",1,0)</f>
        <v>0</v>
      </c>
    </row>
    <row r="622" spans="1:38">
      <c r="A622" t="s">
        <v>1063</v>
      </c>
      <c r="B622" s="3">
        <v>45827</v>
      </c>
      <c r="C622" t="s">
        <v>220</v>
      </c>
      <c r="D622" t="s">
        <v>221</v>
      </c>
      <c r="E622" t="s">
        <v>222</v>
      </c>
      <c r="F622" t="s">
        <v>103</v>
      </c>
      <c r="G622" t="s">
        <v>130</v>
      </c>
      <c r="H622" t="s">
        <v>105</v>
      </c>
      <c r="I622">
        <v>2</v>
      </c>
      <c r="J622" s="2">
        <v>28.79</v>
      </c>
      <c r="K622" s="4">
        <v>0.05</v>
      </c>
      <c r="L622" t="s">
        <v>90</v>
      </c>
      <c r="M622">
        <v>4</v>
      </c>
      <c r="N622" t="s">
        <v>91</v>
      </c>
      <c r="O622" t="str">
        <f>SUBSTITUTE(PROPER(TRIM(RawSalesTable6[[#This Row],[Channel_Raw]])),"Market Place","Marketplace")</f>
        <v>Marketplace</v>
      </c>
      <c r="P622" t="str">
        <f>TRIM(RawSalesTable6[[#This Row],[Product_ID]])</f>
        <v>P1018</v>
      </c>
      <c r="Q622" t="str">
        <f>TRIM(RawSalesTable6[[#This Row],[Customer_ID]])</f>
        <v>C0067</v>
      </c>
      <c r="R622" s="8" t="str">
        <f>PROPER(TRIM(RawSalesTable6[[#This Row],[Store_Raw]]))</f>
        <v>Vancouver West</v>
      </c>
      <c r="S622" s="8" t="str">
        <f>IF(TRIM(RawSalesTable6[[#This Row],[Payment_Method_Raw]])="","Non renseigné",SUBSTITUTE(PROPER(TRIM(RawSalesTable6[[#This Row],[Payment_Method_Raw]])),"Cc","Credit Card"))</f>
        <v>Paypal</v>
      </c>
      <c r="T622" s="8">
        <f>COUNTIF(A:A,RawSalesTable6[[#This Row],[Order_ID]])</f>
        <v>1</v>
      </c>
      <c r="U622" s="8" t="str">
        <f>TRIM(LEFT(RawSalesTable6[[#This Row],[Customer_Info]],FIND(",",RawSalesTable6[[#This Row],[Customer_Info]])-1))</f>
        <v>Leo Bennett</v>
      </c>
      <c r="V622" s="8" t="str">
        <f>TRIM(MID(RawSalesTable6[[#This Row],[Customer_Info]],FIND(",",RawSalesTable6[[#This Row],[Customer_Info]])+1,FIND(",",RawSalesTable6[[#This Row],[Customer_Info]],FIND(",",RawSalesTable6[[#This Row],[Customer_Info]])+1)-FIND(",",RawSalesTable6[[#This Row],[Customer_Info]])-1))</f>
        <v>Mississauga</v>
      </c>
      <c r="W622" s="8" t="str">
        <f>TRIM(RIGHT(RawSalesTable6[[#This Row],[Customer_Info]],LEN(RawSalesTable6[[#This Row],[Customer_Info]])-FIND(",",RawSalesTable6[[#This Row],[Customer_Info]],FIND(",",RawSalesTable6[[#This Row],[Customer_Info]])+1)))</f>
        <v>Consumer</v>
      </c>
      <c r="X622" s="8" t="str">
        <f>VLOOKUP(RawSalesTable6[[#This Row],[Product_ID_Clean]],ProductsTable[],2,FALSE)</f>
        <v>Air Fryer</v>
      </c>
      <c r="Y622" s="8" t="str">
        <f>VLOOKUP(RawSalesTable6[[#This Row],[Product_ID_Clean]],ProductsTable[],3,FALSE)</f>
        <v>Home</v>
      </c>
      <c r="Z622" s="8">
        <f>VLOOKUP(RawSalesTable6[[#This Row],[Product_ID_Clean]],ProductsTable[],5,FALSE)</f>
        <v>14.58</v>
      </c>
      <c r="AA622" s="8">
        <f>RawSalesTable6[[#This Row],[Unit_Price]]*RawSalesTable6[[#This Row],[Quantity]]</f>
        <v>57.58</v>
      </c>
      <c r="AB622" s="8">
        <f>RawSalesTable6[[#This Row],[Gross_Sales]]*RawSalesTable6[[#This Row],[Discount_Pct]]</f>
        <v>2.879</v>
      </c>
      <c r="AC622" s="8">
        <f>RawSalesTable6[[#This Row],[Gross_Sales]]-RawSalesTable6[[#This Row],[Discount_Amount]]</f>
        <v>54.701000000000001</v>
      </c>
      <c r="AD622" s="8">
        <f>RawSalesTable6[[#This Row],[Unit_Cost]]*RawSalesTable6[[#This Row],[Quantity]]</f>
        <v>29.16</v>
      </c>
      <c r="AE622" s="8">
        <f>RawSalesTable6[[#This Row],[Net_Sales]]-RawSalesTable6[[#This Row],[Total_Cost]]</f>
        <v>25.541</v>
      </c>
      <c r="AF622" s="9">
        <f>RawSalesTable6[[#This Row],[Profit]]/RawSalesTable6[[#This Row],[Net_Sales]]</f>
        <v>0.4669201659933091</v>
      </c>
      <c r="AG622" s="8">
        <f>YEAR(RawSalesTable6[[#This Row],[Order_Date]])</f>
        <v>2025</v>
      </c>
      <c r="AH622" s="8">
        <f>MONTH(RawSalesTable6[[#This Row],[Order_Date]])</f>
        <v>6</v>
      </c>
      <c r="AI622" s="8" t="str">
        <f>TEXT(RawSalesTable6[[#This Row],[Order_Date]],"mmmm")</f>
        <v>juin</v>
      </c>
      <c r="AJ622" s="8" t="str">
        <f>IF(RawSalesTable6[[#This Row],[Month_Number]]&lt;=3,"Q1",IF(RawSalesTable6[[#This Row],[Month_Number]]&lt;=6,"Q2",IF(RawSalesTable6[[#This Row],[Month_Number]]&lt;=9,"Q3","Q4")))</f>
        <v>Q2</v>
      </c>
      <c r="AK622" s="8" t="str">
        <f>VLOOKUP(RawSalesTable6[[#This Row],[Customer_ID_Clean]],CustomersTable[],4,FALSE)</f>
        <v>Ontario</v>
      </c>
      <c r="AL622" s="8">
        <f>IF(RawSalesTable6[[#This Row],[Return_Status]]="Yes",1,0)</f>
        <v>0</v>
      </c>
    </row>
    <row r="623" spans="1:38">
      <c r="A623" t="s">
        <v>1064</v>
      </c>
      <c r="B623" s="3">
        <v>45749</v>
      </c>
      <c r="C623" t="s">
        <v>414</v>
      </c>
      <c r="D623" t="s">
        <v>418</v>
      </c>
      <c r="E623" t="s">
        <v>415</v>
      </c>
      <c r="F623" t="s">
        <v>103</v>
      </c>
      <c r="G623" t="s">
        <v>88</v>
      </c>
      <c r="H623" t="s">
        <v>105</v>
      </c>
      <c r="I623">
        <v>1</v>
      </c>
      <c r="J623" s="2">
        <v>342.07</v>
      </c>
      <c r="K623" s="4">
        <v>0.05</v>
      </c>
      <c r="L623" t="s">
        <v>106</v>
      </c>
      <c r="M623">
        <v>9</v>
      </c>
      <c r="N623" t="s">
        <v>91</v>
      </c>
      <c r="O623" t="str">
        <f>SUBSTITUTE(PROPER(TRIM(RawSalesTable6[[#This Row],[Channel_Raw]])),"Market Place","Marketplace")</f>
        <v>Marketplace</v>
      </c>
      <c r="P623" t="str">
        <f>TRIM(RawSalesTable6[[#This Row],[Product_ID]])</f>
        <v>P1028</v>
      </c>
      <c r="Q623" t="str">
        <f>TRIM(RawSalesTable6[[#This Row],[Customer_ID]])</f>
        <v>C0052</v>
      </c>
      <c r="R623" s="8" t="str">
        <f>PROPER(TRIM(RawSalesTable6[[#This Row],[Store_Raw]]))</f>
        <v>Vancouver West</v>
      </c>
      <c r="S623" s="8" t="str">
        <f>IF(TRIM(RawSalesTable6[[#This Row],[Payment_Method_Raw]])="","Non renseigné",SUBSTITUTE(PROPER(TRIM(RawSalesTable6[[#This Row],[Payment_Method_Raw]])),"Cc","Credit Card"))</f>
        <v>Credit Card</v>
      </c>
      <c r="T623" s="8">
        <f>COUNTIF(A:A,RawSalesTable6[[#This Row],[Order_ID]])</f>
        <v>1</v>
      </c>
      <c r="U623" s="8" t="str">
        <f>TRIM(LEFT(RawSalesTable6[[#This Row],[Customer_Info]],FIND(",",RawSalesTable6[[#This Row],[Customer_Info]])-1))</f>
        <v>Liam Bennett</v>
      </c>
      <c r="V623" s="8" t="str">
        <f>TRIM(MID(RawSalesTable6[[#This Row],[Customer_Info]],FIND(",",RawSalesTable6[[#This Row],[Customer_Info]])+1,FIND(",",RawSalesTable6[[#This Row],[Customer_Info]],FIND(",",RawSalesTable6[[#This Row],[Customer_Info]])+1)-FIND(",",RawSalesTable6[[#This Row],[Customer_Info]])-1))</f>
        <v>Edmonton</v>
      </c>
      <c r="W623" s="8" t="str">
        <f>TRIM(RIGHT(RawSalesTable6[[#This Row],[Customer_Info]],LEN(RawSalesTable6[[#This Row],[Customer_Info]])-FIND(",",RawSalesTable6[[#This Row],[Customer_Info]],FIND(",",RawSalesTable6[[#This Row],[Customer_Info]])+1)))</f>
        <v>Corporate</v>
      </c>
      <c r="X623" s="8" t="str">
        <f>VLOOKUP(RawSalesTable6[[#This Row],[Product_ID_Clean]],ProductsTable[],2,FALSE)</f>
        <v>Foam Roller</v>
      </c>
      <c r="Y623" s="8" t="str">
        <f>VLOOKUP(RawSalesTable6[[#This Row],[Product_ID_Clean]],ProductsTable[],3,FALSE)</f>
        <v>Fitness</v>
      </c>
      <c r="Z623" s="8">
        <f>VLOOKUP(RawSalesTable6[[#This Row],[Product_ID_Clean]],ProductsTable[],5,FALSE)</f>
        <v>212.02</v>
      </c>
      <c r="AA623" s="8">
        <f>RawSalesTable6[[#This Row],[Unit_Price]]*RawSalesTable6[[#This Row],[Quantity]]</f>
        <v>342.07</v>
      </c>
      <c r="AB623" s="8">
        <f>RawSalesTable6[[#This Row],[Gross_Sales]]*RawSalesTable6[[#This Row],[Discount_Pct]]</f>
        <v>17.1035</v>
      </c>
      <c r="AC623" s="8">
        <f>RawSalesTable6[[#This Row],[Gross_Sales]]-RawSalesTable6[[#This Row],[Discount_Amount]]</f>
        <v>324.9665</v>
      </c>
      <c r="AD623" s="8">
        <f>RawSalesTable6[[#This Row],[Unit_Cost]]*RawSalesTable6[[#This Row],[Quantity]]</f>
        <v>212.02</v>
      </c>
      <c r="AE623" s="8">
        <f>RawSalesTable6[[#This Row],[Net_Sales]]-RawSalesTable6[[#This Row],[Total_Cost]]</f>
        <v>112.94649999999999</v>
      </c>
      <c r="AF623" s="9">
        <f>RawSalesTable6[[#This Row],[Profit]]/RawSalesTable6[[#This Row],[Net_Sales]]</f>
        <v>0.34756351808571034</v>
      </c>
      <c r="AG623" s="8">
        <f>YEAR(RawSalesTable6[[#This Row],[Order_Date]])</f>
        <v>2025</v>
      </c>
      <c r="AH623" s="8">
        <f>MONTH(RawSalesTable6[[#This Row],[Order_Date]])</f>
        <v>4</v>
      </c>
      <c r="AI623" s="8" t="str">
        <f>TEXT(RawSalesTable6[[#This Row],[Order_Date]],"mmmm")</f>
        <v>avril</v>
      </c>
      <c r="AJ623" s="8" t="str">
        <f>IF(RawSalesTable6[[#This Row],[Month_Number]]&lt;=3,"Q1",IF(RawSalesTable6[[#This Row],[Month_Number]]&lt;=6,"Q2",IF(RawSalesTable6[[#This Row],[Month_Number]]&lt;=9,"Q3","Q4")))</f>
        <v>Q2</v>
      </c>
      <c r="AK623" s="8" t="str">
        <f>VLOOKUP(RawSalesTable6[[#This Row],[Customer_ID_Clean]],CustomersTable[],4,FALSE)</f>
        <v>Alberta</v>
      </c>
      <c r="AL623" s="8">
        <f>IF(RawSalesTable6[[#This Row],[Return_Status]]="Yes",1,0)</f>
        <v>0</v>
      </c>
    </row>
    <row r="624" spans="1:38">
      <c r="A624" t="s">
        <v>1065</v>
      </c>
      <c r="B624" s="3">
        <v>46010</v>
      </c>
      <c r="C624" t="s">
        <v>216</v>
      </c>
      <c r="D624" t="s">
        <v>174</v>
      </c>
      <c r="E624" t="s">
        <v>218</v>
      </c>
      <c r="F624" t="s">
        <v>87</v>
      </c>
      <c r="G624" t="s">
        <v>96</v>
      </c>
      <c r="H624" t="s">
        <v>89</v>
      </c>
      <c r="I624">
        <v>2</v>
      </c>
      <c r="J624" s="2">
        <v>38.06</v>
      </c>
      <c r="K624" s="4">
        <v>0</v>
      </c>
      <c r="L624" t="s">
        <v>146</v>
      </c>
      <c r="M624">
        <v>5</v>
      </c>
      <c r="N624" t="s">
        <v>91</v>
      </c>
      <c r="O624" t="str">
        <f>SUBSTITUTE(PROPER(TRIM(RawSalesTable6[[#This Row],[Channel_Raw]])),"Market Place","Marketplace")</f>
        <v>Online</v>
      </c>
      <c r="P624" t="str">
        <f>TRIM(RawSalesTable6[[#This Row],[Product_ID]])</f>
        <v>P1002</v>
      </c>
      <c r="Q624" t="str">
        <f>TRIM(RawSalesTable6[[#This Row],[Customer_ID]])</f>
        <v>C0065</v>
      </c>
      <c r="R624" s="8" t="str">
        <f>PROPER(TRIM(RawSalesTable6[[#This Row],[Store_Raw]]))</f>
        <v>Online Fulfillment</v>
      </c>
      <c r="S624" s="8" t="str">
        <f>IF(TRIM(RawSalesTable6[[#This Row],[Payment_Method_Raw]])="","Non renseigné",SUBSTITUTE(PROPER(TRIM(RawSalesTable6[[#This Row],[Payment_Method_Raw]])),"Cc","Credit Card"))</f>
        <v>Gift Card</v>
      </c>
      <c r="T624" s="8">
        <f>COUNTIF(A:A,RawSalesTable6[[#This Row],[Order_ID]])</f>
        <v>1</v>
      </c>
      <c r="U624" s="8" t="str">
        <f>TRIM(LEFT(RawSalesTable6[[#This Row],[Customer_Info]],FIND(",",RawSalesTable6[[#This Row],[Customer_Info]])-1))</f>
        <v>Mia Wilson</v>
      </c>
      <c r="V624" s="8" t="str">
        <f>TRIM(MID(RawSalesTable6[[#This Row],[Customer_Info]],FIND(",",RawSalesTable6[[#This Row],[Customer_Info]])+1,FIND(",",RawSalesTable6[[#This Row],[Customer_Info]],FIND(",",RawSalesTable6[[#This Row],[Customer_Info]])+1)-FIND(",",RawSalesTable6[[#This Row],[Customer_Info]])-1))</f>
        <v>Quebec City</v>
      </c>
      <c r="W624" s="8" t="str">
        <f>TRIM(RIGHT(RawSalesTable6[[#This Row],[Customer_Info]],LEN(RawSalesTable6[[#This Row],[Customer_Info]])-FIND(",",RawSalesTable6[[#This Row],[Customer_Info]],FIND(",",RawSalesTable6[[#This Row],[Customer_Info]])+1)))</f>
        <v>Consumer</v>
      </c>
      <c r="X624" s="8" t="str">
        <f>VLOOKUP(RawSalesTable6[[#This Row],[Product_ID_Clean]],ProductsTable[],2,FALSE)</f>
        <v>Keyboard</v>
      </c>
      <c r="Y624" s="8" t="str">
        <f>VLOOKUP(RawSalesTable6[[#This Row],[Product_ID_Clean]],ProductsTable[],3,FALSE)</f>
        <v>Electronics</v>
      </c>
      <c r="Z624" s="8">
        <f>VLOOKUP(RawSalesTable6[[#This Row],[Product_ID_Clean]],ProductsTable[],5,FALSE)</f>
        <v>23.5</v>
      </c>
      <c r="AA624" s="8">
        <f>RawSalesTable6[[#This Row],[Unit_Price]]*RawSalesTable6[[#This Row],[Quantity]]</f>
        <v>76.12</v>
      </c>
      <c r="AB624" s="8">
        <f>RawSalesTable6[[#This Row],[Gross_Sales]]*RawSalesTable6[[#This Row],[Discount_Pct]]</f>
        <v>0</v>
      </c>
      <c r="AC624" s="8">
        <f>RawSalesTable6[[#This Row],[Gross_Sales]]-RawSalesTable6[[#This Row],[Discount_Amount]]</f>
        <v>76.12</v>
      </c>
      <c r="AD624" s="8">
        <f>RawSalesTable6[[#This Row],[Unit_Cost]]*RawSalesTable6[[#This Row],[Quantity]]</f>
        <v>47</v>
      </c>
      <c r="AE624" s="8">
        <f>RawSalesTable6[[#This Row],[Net_Sales]]-RawSalesTable6[[#This Row],[Total_Cost]]</f>
        <v>29.120000000000005</v>
      </c>
      <c r="AF624" s="9">
        <f>RawSalesTable6[[#This Row],[Profit]]/RawSalesTable6[[#This Row],[Net_Sales]]</f>
        <v>0.38255386232264849</v>
      </c>
      <c r="AG624" s="8">
        <f>YEAR(RawSalesTable6[[#This Row],[Order_Date]])</f>
        <v>2025</v>
      </c>
      <c r="AH624" s="8">
        <f>MONTH(RawSalesTable6[[#This Row],[Order_Date]])</f>
        <v>12</v>
      </c>
      <c r="AI624" s="8" t="str">
        <f>TEXT(RawSalesTable6[[#This Row],[Order_Date]],"mmmm")</f>
        <v>décembre</v>
      </c>
      <c r="AJ624" s="8" t="str">
        <f>IF(RawSalesTable6[[#This Row],[Month_Number]]&lt;=3,"Q1",IF(RawSalesTable6[[#This Row],[Month_Number]]&lt;=6,"Q2",IF(RawSalesTable6[[#This Row],[Month_Number]]&lt;=9,"Q3","Q4")))</f>
        <v>Q4</v>
      </c>
      <c r="AK624" s="8" t="str">
        <f>VLOOKUP(RawSalesTable6[[#This Row],[Customer_ID_Clean]],CustomersTable[],4,FALSE)</f>
        <v>Quebec</v>
      </c>
      <c r="AL624" s="8">
        <f>IF(RawSalesTable6[[#This Row],[Return_Status]]="Yes",1,0)</f>
        <v>0</v>
      </c>
    </row>
    <row r="625" spans="1:38">
      <c r="A625" t="s">
        <v>1066</v>
      </c>
      <c r="B625" s="3">
        <v>45662</v>
      </c>
      <c r="C625" t="s">
        <v>156</v>
      </c>
      <c r="D625" t="s">
        <v>136</v>
      </c>
      <c r="E625" t="s">
        <v>973</v>
      </c>
      <c r="F625" t="s">
        <v>145</v>
      </c>
      <c r="G625" t="s">
        <v>104</v>
      </c>
      <c r="H625" t="s">
        <v>97</v>
      </c>
      <c r="I625">
        <v>4</v>
      </c>
      <c r="J625" s="2">
        <v>155.75</v>
      </c>
      <c r="K625" s="4">
        <v>0.1</v>
      </c>
      <c r="L625" t="s">
        <v>106</v>
      </c>
      <c r="M625">
        <v>1</v>
      </c>
      <c r="N625" t="s">
        <v>91</v>
      </c>
      <c r="O625" t="str">
        <f>SUBSTITUTE(PROPER(TRIM(RawSalesTable6[[#This Row],[Channel_Raw]])),"Market Place","Marketplace")</f>
        <v>Retail Store</v>
      </c>
      <c r="P625" t="str">
        <f>TRIM(RawSalesTable6[[#This Row],[Product_ID]])</f>
        <v>P1003</v>
      </c>
      <c r="Q625" t="str">
        <f>TRIM(RawSalesTable6[[#This Row],[Customer_ID]])</f>
        <v>C0112</v>
      </c>
      <c r="R625" s="8" t="str">
        <f>PROPER(TRIM(RawSalesTable6[[#This Row],[Store_Raw]]))</f>
        <v>Calgary North</v>
      </c>
      <c r="S625" s="8" t="str">
        <f>IF(TRIM(RawSalesTable6[[#This Row],[Payment_Method_Raw]])="","Non renseigné",SUBSTITUTE(PROPER(TRIM(RawSalesTable6[[#This Row],[Payment_Method_Raw]])),"Cc","Credit Card"))</f>
        <v>Credit Card</v>
      </c>
      <c r="T625" s="8">
        <f>COUNTIF(A:A,RawSalesTable6[[#This Row],[Order_ID]])</f>
        <v>1</v>
      </c>
      <c r="U625" s="8" t="str">
        <f>TRIM(LEFT(RawSalesTable6[[#This Row],[Customer_Info]],FIND(",",RawSalesTable6[[#This Row],[Customer_Info]])-1))</f>
        <v>Ava Bennett</v>
      </c>
      <c r="V625" s="8" t="str">
        <f>TRIM(MID(RawSalesTable6[[#This Row],[Customer_Info]],FIND(",",RawSalesTable6[[#This Row],[Customer_Info]])+1,FIND(",",RawSalesTable6[[#This Row],[Customer_Info]],FIND(",",RawSalesTable6[[#This Row],[Customer_Info]])+1)-FIND(",",RawSalesTable6[[#This Row],[Customer_Info]])-1))</f>
        <v>Halifax</v>
      </c>
      <c r="W625" s="8" t="str">
        <f>TRIM(RIGHT(RawSalesTable6[[#This Row],[Customer_Info]],LEN(RawSalesTable6[[#This Row],[Customer_Info]])-FIND(",",RawSalesTable6[[#This Row],[Customer_Info]],FIND(",",RawSalesTable6[[#This Row],[Customer_Info]])+1)))</f>
        <v>Consumer</v>
      </c>
      <c r="X625" s="8" t="str">
        <f>VLOOKUP(RawSalesTable6[[#This Row],[Product_ID_Clean]],ProductsTable[],2,FALSE)</f>
        <v>Mouse</v>
      </c>
      <c r="Y625" s="8" t="str">
        <f>VLOOKUP(RawSalesTable6[[#This Row],[Product_ID_Clean]],ProductsTable[],3,FALSE)</f>
        <v>Electronics</v>
      </c>
      <c r="Z625" s="8">
        <f>VLOOKUP(RawSalesTable6[[#This Row],[Product_ID_Clean]],ProductsTable[],5,FALSE)</f>
        <v>106.4</v>
      </c>
      <c r="AA625" s="8">
        <f>RawSalesTable6[[#This Row],[Unit_Price]]*RawSalesTable6[[#This Row],[Quantity]]</f>
        <v>623</v>
      </c>
      <c r="AB625" s="8">
        <f>RawSalesTable6[[#This Row],[Gross_Sales]]*RawSalesTable6[[#This Row],[Discount_Pct]]</f>
        <v>62.300000000000004</v>
      </c>
      <c r="AC625" s="8">
        <f>RawSalesTable6[[#This Row],[Gross_Sales]]-RawSalesTable6[[#This Row],[Discount_Amount]]</f>
        <v>560.70000000000005</v>
      </c>
      <c r="AD625" s="8">
        <f>RawSalesTable6[[#This Row],[Unit_Cost]]*RawSalesTable6[[#This Row],[Quantity]]</f>
        <v>425.6</v>
      </c>
      <c r="AE625" s="8">
        <f>RawSalesTable6[[#This Row],[Net_Sales]]-RawSalesTable6[[#This Row],[Total_Cost]]</f>
        <v>135.10000000000002</v>
      </c>
      <c r="AF625" s="9">
        <f>RawSalesTable6[[#This Row],[Profit]]/RawSalesTable6[[#This Row],[Net_Sales]]</f>
        <v>0.24094881398252188</v>
      </c>
      <c r="AG625" s="8">
        <f>YEAR(RawSalesTable6[[#This Row],[Order_Date]])</f>
        <v>2025</v>
      </c>
      <c r="AH625" s="8">
        <f>MONTH(RawSalesTable6[[#This Row],[Order_Date]])</f>
        <v>1</v>
      </c>
      <c r="AI625" s="8" t="str">
        <f>TEXT(RawSalesTable6[[#This Row],[Order_Date]],"mmmm")</f>
        <v>janvier</v>
      </c>
      <c r="AJ625" s="8" t="str">
        <f>IF(RawSalesTable6[[#This Row],[Month_Number]]&lt;=3,"Q1",IF(RawSalesTable6[[#This Row],[Month_Number]]&lt;=6,"Q2",IF(RawSalesTable6[[#This Row],[Month_Number]]&lt;=9,"Q3","Q4")))</f>
        <v>Q1</v>
      </c>
      <c r="AK625" s="8" t="str">
        <f>VLOOKUP(RawSalesTable6[[#This Row],[Customer_ID_Clean]],CustomersTable[],4,FALSE)</f>
        <v>Nova Scotia</v>
      </c>
      <c r="AL625" s="8">
        <f>IF(RawSalesTable6[[#This Row],[Return_Status]]="Yes",1,0)</f>
        <v>0</v>
      </c>
    </row>
    <row r="626" spans="1:38">
      <c r="A626" t="s">
        <v>1067</v>
      </c>
      <c r="B626" s="3">
        <v>45786</v>
      </c>
      <c r="C626" t="s">
        <v>466</v>
      </c>
      <c r="D626" t="s">
        <v>738</v>
      </c>
      <c r="E626" t="s">
        <v>467</v>
      </c>
      <c r="F626" t="s">
        <v>111</v>
      </c>
      <c r="G626" t="s">
        <v>130</v>
      </c>
      <c r="H626" t="s">
        <v>89</v>
      </c>
      <c r="I626">
        <v>4</v>
      </c>
      <c r="J626" s="2">
        <v>319.06</v>
      </c>
      <c r="K626" s="4">
        <v>0.1</v>
      </c>
      <c r="L626" t="s">
        <v>106</v>
      </c>
      <c r="M626">
        <v>2</v>
      </c>
      <c r="N626" t="s">
        <v>91</v>
      </c>
      <c r="O626" t="str">
        <f>SUBSTITUTE(PROPER(TRIM(RawSalesTable6[[#This Row],[Channel_Raw]])),"Market Place","Marketplace")</f>
        <v>Online</v>
      </c>
      <c r="P626" t="str">
        <f>TRIM(RawSalesTable6[[#This Row],[Product_ID]])</f>
        <v>P1016</v>
      </c>
      <c r="Q626" t="str">
        <f>TRIM(RawSalesTable6[[#This Row],[Customer_ID]])</f>
        <v>C0096</v>
      </c>
      <c r="R626" s="8" t="str">
        <f>PROPER(TRIM(RawSalesTable6[[#This Row],[Store_Raw]]))</f>
        <v>Montreal Central</v>
      </c>
      <c r="S626" s="8" t="str">
        <f>IF(TRIM(RawSalesTable6[[#This Row],[Payment_Method_Raw]])="","Non renseigné",SUBSTITUTE(PROPER(TRIM(RawSalesTable6[[#This Row],[Payment_Method_Raw]])),"Cc","Credit Card"))</f>
        <v>Credit Card</v>
      </c>
      <c r="T626" s="8">
        <f>COUNTIF(A:A,RawSalesTable6[[#This Row],[Order_ID]])</f>
        <v>1</v>
      </c>
      <c r="U626" s="8" t="str">
        <f>TRIM(LEFT(RawSalesTable6[[#This Row],[Customer_Info]],FIND(",",RawSalesTable6[[#This Row],[Customer_Info]])-1))</f>
        <v>Ryan Roy</v>
      </c>
      <c r="V626" s="8" t="str">
        <f>TRIM(MID(RawSalesTable6[[#This Row],[Customer_Info]],FIND(",",RawSalesTable6[[#This Row],[Customer_Info]])+1,FIND(",",RawSalesTable6[[#This Row],[Customer_Info]],FIND(",",RawSalesTable6[[#This Row],[Customer_Info]])+1)-FIND(",",RawSalesTable6[[#This Row],[Customer_Info]])-1))</f>
        <v>Laval</v>
      </c>
      <c r="W626" s="8" t="str">
        <f>TRIM(RIGHT(RawSalesTable6[[#This Row],[Customer_Info]],LEN(RawSalesTable6[[#This Row],[Customer_Info]])-FIND(",",RawSalesTable6[[#This Row],[Customer_Info]],FIND(",",RawSalesTable6[[#This Row],[Customer_Info]])+1)))</f>
        <v>Corporate</v>
      </c>
      <c r="X626" s="8" t="str">
        <f>VLOOKUP(RawSalesTable6[[#This Row],[Product_ID_Clean]],ProductsTable[],2,FALSE)</f>
        <v>Printer</v>
      </c>
      <c r="Y626" s="8" t="str">
        <f>VLOOKUP(RawSalesTable6[[#This Row],[Product_ID_Clean]],ProductsTable[],3,FALSE)</f>
        <v>Office</v>
      </c>
      <c r="Z626" s="8">
        <f>VLOOKUP(RawSalesTable6[[#This Row],[Product_ID_Clean]],ProductsTable[],5,FALSE)</f>
        <v>156.75</v>
      </c>
      <c r="AA626" s="8">
        <f>RawSalesTable6[[#This Row],[Unit_Price]]*RawSalesTable6[[#This Row],[Quantity]]</f>
        <v>1276.24</v>
      </c>
      <c r="AB626" s="8">
        <f>RawSalesTable6[[#This Row],[Gross_Sales]]*RawSalesTable6[[#This Row],[Discount_Pct]]</f>
        <v>127.62400000000001</v>
      </c>
      <c r="AC626" s="8">
        <f>RawSalesTable6[[#This Row],[Gross_Sales]]-RawSalesTable6[[#This Row],[Discount_Amount]]</f>
        <v>1148.616</v>
      </c>
      <c r="AD626" s="8">
        <f>RawSalesTable6[[#This Row],[Unit_Cost]]*RawSalesTable6[[#This Row],[Quantity]]</f>
        <v>627</v>
      </c>
      <c r="AE626" s="8">
        <f>RawSalesTable6[[#This Row],[Net_Sales]]-RawSalesTable6[[#This Row],[Total_Cost]]</f>
        <v>521.61599999999999</v>
      </c>
      <c r="AF626" s="9">
        <f>RawSalesTable6[[#This Row],[Profit]]/RawSalesTable6[[#This Row],[Net_Sales]]</f>
        <v>0.45412566079525274</v>
      </c>
      <c r="AG626" s="8">
        <f>YEAR(RawSalesTable6[[#This Row],[Order_Date]])</f>
        <v>2025</v>
      </c>
      <c r="AH626" s="8">
        <f>MONTH(RawSalesTable6[[#This Row],[Order_Date]])</f>
        <v>5</v>
      </c>
      <c r="AI626" s="8" t="str">
        <f>TEXT(RawSalesTable6[[#This Row],[Order_Date]],"mmmm")</f>
        <v>mai</v>
      </c>
      <c r="AJ626" s="8" t="str">
        <f>IF(RawSalesTable6[[#This Row],[Month_Number]]&lt;=3,"Q1",IF(RawSalesTable6[[#This Row],[Month_Number]]&lt;=6,"Q2",IF(RawSalesTable6[[#This Row],[Month_Number]]&lt;=9,"Q3","Q4")))</f>
        <v>Q2</v>
      </c>
      <c r="AK626" s="8" t="str">
        <f>VLOOKUP(RawSalesTable6[[#This Row],[Customer_ID_Clean]],CustomersTable[],4,FALSE)</f>
        <v>Quebec</v>
      </c>
      <c r="AL626" s="8">
        <f>IF(RawSalesTable6[[#This Row],[Return_Status]]="Yes",1,0)</f>
        <v>0</v>
      </c>
    </row>
    <row r="627" spans="1:38">
      <c r="A627" t="s">
        <v>1068</v>
      </c>
      <c r="B627" s="3">
        <v>45893</v>
      </c>
      <c r="C627" t="s">
        <v>564</v>
      </c>
      <c r="D627" t="s">
        <v>190</v>
      </c>
      <c r="E627" t="s">
        <v>1069</v>
      </c>
      <c r="F627" t="s">
        <v>111</v>
      </c>
      <c r="G627" t="s">
        <v>122</v>
      </c>
      <c r="H627" t="s">
        <v>89</v>
      </c>
      <c r="I627">
        <v>2</v>
      </c>
      <c r="J627" s="2">
        <v>296.08</v>
      </c>
      <c r="K627" s="4">
        <v>0</v>
      </c>
      <c r="L627" t="s">
        <v>441</v>
      </c>
      <c r="M627">
        <v>1</v>
      </c>
      <c r="N627" t="s">
        <v>91</v>
      </c>
      <c r="O627" t="str">
        <f>SUBSTITUTE(PROPER(TRIM(RawSalesTable6[[#This Row],[Channel_Raw]])),"Market Place","Marketplace")</f>
        <v>Online</v>
      </c>
      <c r="P627" t="str">
        <f>TRIM(RawSalesTable6[[#This Row],[Product_ID]])</f>
        <v>P1004</v>
      </c>
      <c r="Q627" t="str">
        <f>TRIM(RawSalesTable6[[#This Row],[Customer_ID]])</f>
        <v>C0095</v>
      </c>
      <c r="R627" s="8" t="str">
        <f>PROPER(TRIM(RawSalesTable6[[#This Row],[Store_Raw]]))</f>
        <v>Montreal Central</v>
      </c>
      <c r="S627" s="8" t="str">
        <f>IF(TRIM(RawSalesTable6[[#This Row],[Payment_Method_Raw]])="","Non renseigné",SUBSTITUTE(PROPER(TRIM(RawSalesTable6[[#This Row],[Payment_Method_Raw]])),"Cc","Credit Card"))</f>
        <v>Credit Card</v>
      </c>
      <c r="T627" s="8">
        <f>COUNTIF(A:A,RawSalesTable6[[#This Row],[Order_ID]])</f>
        <v>1</v>
      </c>
      <c r="U627" s="8" t="str">
        <f>TRIM(LEFT(RawSalesTable6[[#This Row],[Customer_Info]],FIND(",",RawSalesTable6[[#This Row],[Customer_Info]])-1))</f>
        <v>Maya White</v>
      </c>
      <c r="V627" s="8" t="str">
        <f>TRIM(MID(RawSalesTable6[[#This Row],[Customer_Info]],FIND(",",RawSalesTable6[[#This Row],[Customer_Info]])+1,FIND(",",RawSalesTable6[[#This Row],[Customer_Info]],FIND(",",RawSalesTable6[[#This Row],[Customer_Info]])+1)-FIND(",",RawSalesTable6[[#This Row],[Customer_Info]])-1))</f>
        <v>Quebec City</v>
      </c>
      <c r="W627" s="8" t="str">
        <f>TRIM(RIGHT(RawSalesTable6[[#This Row],[Customer_Info]],LEN(RawSalesTable6[[#This Row],[Customer_Info]])-FIND(",",RawSalesTable6[[#This Row],[Customer_Info]],FIND(",",RawSalesTable6[[#This Row],[Customer_Info]])+1)))</f>
        <v>Corporate</v>
      </c>
      <c r="X627" s="8" t="str">
        <f>VLOOKUP(RawSalesTable6[[#This Row],[Product_ID_Clean]],ProductsTable[],2,FALSE)</f>
        <v>Webcam</v>
      </c>
      <c r="Y627" s="8" t="str">
        <f>VLOOKUP(RawSalesTable6[[#This Row],[Product_ID_Clean]],ProductsTable[],3,FALSE)</f>
        <v>Electronics</v>
      </c>
      <c r="Z627" s="8">
        <f>VLOOKUP(RawSalesTable6[[#This Row],[Product_ID_Clean]],ProductsTable[],5,FALSE)</f>
        <v>154.72999999999999</v>
      </c>
      <c r="AA627" s="8">
        <f>RawSalesTable6[[#This Row],[Unit_Price]]*RawSalesTable6[[#This Row],[Quantity]]</f>
        <v>592.16</v>
      </c>
      <c r="AB627" s="8">
        <f>RawSalesTable6[[#This Row],[Gross_Sales]]*RawSalesTable6[[#This Row],[Discount_Pct]]</f>
        <v>0</v>
      </c>
      <c r="AC627" s="8">
        <f>RawSalesTable6[[#This Row],[Gross_Sales]]-RawSalesTable6[[#This Row],[Discount_Amount]]</f>
        <v>592.16</v>
      </c>
      <c r="AD627" s="8">
        <f>RawSalesTable6[[#This Row],[Unit_Cost]]*RawSalesTable6[[#This Row],[Quantity]]</f>
        <v>309.45999999999998</v>
      </c>
      <c r="AE627" s="8">
        <f>RawSalesTable6[[#This Row],[Net_Sales]]-RawSalesTable6[[#This Row],[Total_Cost]]</f>
        <v>282.7</v>
      </c>
      <c r="AF627" s="9">
        <f>RawSalesTable6[[#This Row],[Profit]]/RawSalesTable6[[#This Row],[Net_Sales]]</f>
        <v>0.47740475547149419</v>
      </c>
      <c r="AG627" s="8">
        <f>YEAR(RawSalesTable6[[#This Row],[Order_Date]])</f>
        <v>2025</v>
      </c>
      <c r="AH627" s="8">
        <f>MONTH(RawSalesTable6[[#This Row],[Order_Date]])</f>
        <v>8</v>
      </c>
      <c r="AI627" s="8" t="str">
        <f>TEXT(RawSalesTable6[[#This Row],[Order_Date]],"mmmm")</f>
        <v>août</v>
      </c>
      <c r="AJ627" s="8" t="str">
        <f>IF(RawSalesTable6[[#This Row],[Month_Number]]&lt;=3,"Q1",IF(RawSalesTable6[[#This Row],[Month_Number]]&lt;=6,"Q2",IF(RawSalesTable6[[#This Row],[Month_Number]]&lt;=9,"Q3","Q4")))</f>
        <v>Q3</v>
      </c>
      <c r="AK627" s="8" t="str">
        <f>VLOOKUP(RawSalesTable6[[#This Row],[Customer_ID_Clean]],CustomersTable[],4,FALSE)</f>
        <v>Quebec</v>
      </c>
      <c r="AL627" s="8">
        <f>IF(RawSalesTable6[[#This Row],[Return_Status]]="Yes",1,0)</f>
        <v>0</v>
      </c>
    </row>
    <row r="628" spans="1:38">
      <c r="A628" t="s">
        <v>1070</v>
      </c>
      <c r="B628" s="3">
        <v>45780</v>
      </c>
      <c r="C628" t="s">
        <v>613</v>
      </c>
      <c r="D628" t="s">
        <v>277</v>
      </c>
      <c r="E628" t="s">
        <v>710</v>
      </c>
      <c r="F628" t="s">
        <v>103</v>
      </c>
      <c r="G628" t="s">
        <v>130</v>
      </c>
      <c r="H628" t="s">
        <v>246</v>
      </c>
      <c r="I628">
        <v>1</v>
      </c>
      <c r="J628" s="2">
        <v>376.61</v>
      </c>
      <c r="K628" s="4">
        <v>0.05</v>
      </c>
      <c r="L628" t="s">
        <v>98</v>
      </c>
      <c r="M628">
        <v>1</v>
      </c>
      <c r="N628" t="s">
        <v>91</v>
      </c>
      <c r="O628" t="str">
        <f>SUBSTITUTE(PROPER(TRIM(RawSalesTable6[[#This Row],[Channel_Raw]])),"Market Place","Marketplace")</f>
        <v>Retail Store</v>
      </c>
      <c r="P628" t="str">
        <f>TRIM(RawSalesTable6[[#This Row],[Product_ID]])</f>
        <v>P1001</v>
      </c>
      <c r="Q628" t="str">
        <f>TRIM(RawSalesTable6[[#This Row],[Customer_ID]])</f>
        <v>C0060</v>
      </c>
      <c r="R628" s="8" t="str">
        <f>PROPER(TRIM(RawSalesTable6[[#This Row],[Store_Raw]]))</f>
        <v>Vancouver West</v>
      </c>
      <c r="S628" s="8" t="str">
        <f>IF(TRIM(RawSalesTable6[[#This Row],[Payment_Method_Raw]])="","Non renseigné",SUBSTITUTE(PROPER(TRIM(RawSalesTable6[[#This Row],[Payment_Method_Raw]])),"Cc","Credit Card"))</f>
        <v>Debit Card</v>
      </c>
      <c r="T628" s="8">
        <f>COUNTIF(A:A,RawSalesTable6[[#This Row],[Order_ID]])</f>
        <v>1</v>
      </c>
      <c r="U628" s="8" t="str">
        <f>TRIM(LEFT(RawSalesTable6[[#This Row],[Customer_Info]],FIND(",",RawSalesTable6[[#This Row],[Customer_Info]])-1))</f>
        <v>Sarah Wilson</v>
      </c>
      <c r="V628" s="8" t="str">
        <f>TRIM(MID(RawSalesTable6[[#This Row],[Customer_Info]],FIND(",",RawSalesTable6[[#This Row],[Customer_Info]])+1,FIND(",",RawSalesTable6[[#This Row],[Customer_Info]],FIND(",",RawSalesTable6[[#This Row],[Customer_Info]])+1)-FIND(",",RawSalesTable6[[#This Row],[Customer_Info]])-1))</f>
        <v>Quebec City</v>
      </c>
      <c r="W628" s="8" t="str">
        <f>TRIM(RIGHT(RawSalesTable6[[#This Row],[Customer_Info]],LEN(RawSalesTable6[[#This Row],[Customer_Info]])-FIND(",",RawSalesTable6[[#This Row],[Customer_Info]],FIND(",",RawSalesTable6[[#This Row],[Customer_Info]])+1)))</f>
        <v>Corporate</v>
      </c>
      <c r="X628" s="8" t="str">
        <f>VLOOKUP(RawSalesTable6[[#This Row],[Product_ID_Clean]],ProductsTable[],2,FALSE)</f>
        <v>Headphones</v>
      </c>
      <c r="Y628" s="8" t="str">
        <f>VLOOKUP(RawSalesTable6[[#This Row],[Product_ID_Clean]],ProductsTable[],3,FALSE)</f>
        <v>Electronics</v>
      </c>
      <c r="Z628" s="8">
        <f>VLOOKUP(RawSalesTable6[[#This Row],[Product_ID_Clean]],ProductsTable[],5,FALSE)</f>
        <v>254.6</v>
      </c>
      <c r="AA628" s="8">
        <f>RawSalesTable6[[#This Row],[Unit_Price]]*RawSalesTable6[[#This Row],[Quantity]]</f>
        <v>376.61</v>
      </c>
      <c r="AB628" s="8">
        <f>RawSalesTable6[[#This Row],[Gross_Sales]]*RawSalesTable6[[#This Row],[Discount_Pct]]</f>
        <v>18.830500000000001</v>
      </c>
      <c r="AC628" s="8">
        <f>RawSalesTable6[[#This Row],[Gross_Sales]]-RawSalesTable6[[#This Row],[Discount_Amount]]</f>
        <v>357.77949999999998</v>
      </c>
      <c r="AD628" s="8">
        <f>RawSalesTable6[[#This Row],[Unit_Cost]]*RawSalesTable6[[#This Row],[Quantity]]</f>
        <v>254.6</v>
      </c>
      <c r="AE628" s="8">
        <f>RawSalesTable6[[#This Row],[Net_Sales]]-RawSalesTable6[[#This Row],[Total_Cost]]</f>
        <v>103.17949999999999</v>
      </c>
      <c r="AF628" s="9">
        <f>RawSalesTable6[[#This Row],[Profit]]/RawSalesTable6[[#This Row],[Net_Sales]]</f>
        <v>0.28838851862669601</v>
      </c>
      <c r="AG628" s="8">
        <f>YEAR(RawSalesTable6[[#This Row],[Order_Date]])</f>
        <v>2025</v>
      </c>
      <c r="AH628" s="8">
        <f>MONTH(RawSalesTable6[[#This Row],[Order_Date]])</f>
        <v>5</v>
      </c>
      <c r="AI628" s="8" t="str">
        <f>TEXT(RawSalesTable6[[#This Row],[Order_Date]],"mmmm")</f>
        <v>mai</v>
      </c>
      <c r="AJ628" s="8" t="str">
        <f>IF(RawSalesTable6[[#This Row],[Month_Number]]&lt;=3,"Q1",IF(RawSalesTable6[[#This Row],[Month_Number]]&lt;=6,"Q2",IF(RawSalesTable6[[#This Row],[Month_Number]]&lt;=9,"Q3","Q4")))</f>
        <v>Q2</v>
      </c>
      <c r="AK628" s="8" t="str">
        <f>VLOOKUP(RawSalesTable6[[#This Row],[Customer_ID_Clean]],CustomersTable[],4,FALSE)</f>
        <v>Quebec</v>
      </c>
      <c r="AL628" s="8">
        <f>IF(RawSalesTable6[[#This Row],[Return_Status]]="Yes",1,0)</f>
        <v>0</v>
      </c>
    </row>
    <row r="629" spans="1:38">
      <c r="A629" t="s">
        <v>1071</v>
      </c>
      <c r="B629" s="3">
        <v>45791</v>
      </c>
      <c r="C629" t="s">
        <v>438</v>
      </c>
      <c r="D629" t="s">
        <v>231</v>
      </c>
      <c r="E629" t="s">
        <v>439</v>
      </c>
      <c r="F629" t="s">
        <v>103</v>
      </c>
      <c r="G629" t="s">
        <v>117</v>
      </c>
      <c r="H629" t="s">
        <v>97</v>
      </c>
      <c r="I629">
        <v>2</v>
      </c>
      <c r="J629" s="2">
        <v>364.47</v>
      </c>
      <c r="K629" s="4">
        <v>0.25</v>
      </c>
      <c r="L629" t="s">
        <v>106</v>
      </c>
      <c r="M629">
        <v>4</v>
      </c>
      <c r="N629" t="s">
        <v>91</v>
      </c>
      <c r="O629" t="str">
        <f>SUBSTITUTE(PROPER(TRIM(RawSalesTable6[[#This Row],[Channel_Raw]])),"Market Place","Marketplace")</f>
        <v>Retail Store</v>
      </c>
      <c r="P629" t="str">
        <f>TRIM(RawSalesTable6[[#This Row],[Product_ID]])</f>
        <v>P1037</v>
      </c>
      <c r="Q629" t="str">
        <f>TRIM(RawSalesTable6[[#This Row],[Customer_ID]])</f>
        <v>C0028</v>
      </c>
      <c r="R629" s="8" t="str">
        <f>PROPER(TRIM(RawSalesTable6[[#This Row],[Store_Raw]]))</f>
        <v>Vancouver West</v>
      </c>
      <c r="S629" s="8" t="str">
        <f>IF(TRIM(RawSalesTable6[[#This Row],[Payment_Method_Raw]])="","Non renseigné",SUBSTITUTE(PROPER(TRIM(RawSalesTable6[[#This Row],[Payment_Method_Raw]])),"Cc","Credit Card"))</f>
        <v>Credit Card</v>
      </c>
      <c r="T629" s="8">
        <f>COUNTIF(A:A,RawSalesTable6[[#This Row],[Order_ID]])</f>
        <v>1</v>
      </c>
      <c r="U629" s="8" t="str">
        <f>TRIM(LEFT(RawSalesTable6[[#This Row],[Customer_Info]],FIND(",",RawSalesTable6[[#This Row],[Customer_Info]])-1))</f>
        <v>Mia Clark</v>
      </c>
      <c r="V629" s="8" t="str">
        <f>TRIM(MID(RawSalesTable6[[#This Row],[Customer_Info]],FIND(",",RawSalesTable6[[#This Row],[Customer_Info]])+1,FIND(",",RawSalesTable6[[#This Row],[Customer_Info]],FIND(",",RawSalesTable6[[#This Row],[Customer_Info]])+1)-FIND(",",RawSalesTable6[[#This Row],[Customer_Info]])-1))</f>
        <v>Victoria</v>
      </c>
      <c r="W629" s="8" t="str">
        <f>TRIM(RIGHT(RawSalesTable6[[#This Row],[Customer_Info]],LEN(RawSalesTable6[[#This Row],[Customer_Info]])-FIND(",",RawSalesTable6[[#This Row],[Customer_Info]],FIND(",",RawSalesTable6[[#This Row],[Customer_Info]])+1)))</f>
        <v>Consumer</v>
      </c>
      <c r="X629" s="8" t="str">
        <f>VLOOKUP(RawSalesTable6[[#This Row],[Product_ID_Clean]],ProductsTable[],2,FALSE)</f>
        <v>Cable Set</v>
      </c>
      <c r="Y629" s="8" t="str">
        <f>VLOOKUP(RawSalesTable6[[#This Row],[Product_ID_Clean]],ProductsTable[],3,FALSE)</f>
        <v>Accessories</v>
      </c>
      <c r="Z629" s="8">
        <f>VLOOKUP(RawSalesTable6[[#This Row],[Product_ID_Clean]],ProductsTable[],5,FALSE)</f>
        <v>200.16</v>
      </c>
      <c r="AA629" s="8">
        <f>RawSalesTable6[[#This Row],[Unit_Price]]*RawSalesTable6[[#This Row],[Quantity]]</f>
        <v>728.94</v>
      </c>
      <c r="AB629" s="8">
        <f>RawSalesTable6[[#This Row],[Gross_Sales]]*RawSalesTable6[[#This Row],[Discount_Pct]]</f>
        <v>182.23500000000001</v>
      </c>
      <c r="AC629" s="8">
        <f>RawSalesTable6[[#This Row],[Gross_Sales]]-RawSalesTable6[[#This Row],[Discount_Amount]]</f>
        <v>546.70500000000004</v>
      </c>
      <c r="AD629" s="8">
        <f>RawSalesTable6[[#This Row],[Unit_Cost]]*RawSalesTable6[[#This Row],[Quantity]]</f>
        <v>400.32</v>
      </c>
      <c r="AE629" s="8">
        <f>RawSalesTable6[[#This Row],[Net_Sales]]-RawSalesTable6[[#This Row],[Total_Cost]]</f>
        <v>146.38500000000005</v>
      </c>
      <c r="AF629" s="9">
        <f>RawSalesTable6[[#This Row],[Profit]]/RawSalesTable6[[#This Row],[Net_Sales]]</f>
        <v>0.26775866326446629</v>
      </c>
      <c r="AG629" s="8">
        <f>YEAR(RawSalesTable6[[#This Row],[Order_Date]])</f>
        <v>2025</v>
      </c>
      <c r="AH629" s="8">
        <f>MONTH(RawSalesTable6[[#This Row],[Order_Date]])</f>
        <v>5</v>
      </c>
      <c r="AI629" s="8" t="str">
        <f>TEXT(RawSalesTable6[[#This Row],[Order_Date]],"mmmm")</f>
        <v>mai</v>
      </c>
      <c r="AJ629" s="8" t="str">
        <f>IF(RawSalesTable6[[#This Row],[Month_Number]]&lt;=3,"Q1",IF(RawSalesTable6[[#This Row],[Month_Number]]&lt;=6,"Q2",IF(RawSalesTable6[[#This Row],[Month_Number]]&lt;=9,"Q3","Q4")))</f>
        <v>Q2</v>
      </c>
      <c r="AK629" s="8" t="str">
        <f>VLOOKUP(RawSalesTable6[[#This Row],[Customer_ID_Clean]],CustomersTable[],4,FALSE)</f>
        <v>British Columbia</v>
      </c>
      <c r="AL629" s="8">
        <f>IF(RawSalesTable6[[#This Row],[Return_Status]]="Yes",1,0)</f>
        <v>0</v>
      </c>
    </row>
    <row r="630" spans="1:38">
      <c r="A630" t="s">
        <v>1072</v>
      </c>
      <c r="B630" s="3">
        <v>45749</v>
      </c>
      <c r="C630" t="s">
        <v>113</v>
      </c>
      <c r="D630" t="s">
        <v>157</v>
      </c>
      <c r="E630" t="s">
        <v>1073</v>
      </c>
      <c r="F630" t="s">
        <v>145</v>
      </c>
      <c r="G630" t="s">
        <v>104</v>
      </c>
      <c r="H630" t="s">
        <v>89</v>
      </c>
      <c r="I630">
        <v>2</v>
      </c>
      <c r="J630" s="2">
        <v>309.31</v>
      </c>
      <c r="K630" s="4">
        <v>0.2</v>
      </c>
      <c r="L630" t="s">
        <v>90</v>
      </c>
      <c r="M630">
        <v>1</v>
      </c>
      <c r="N630" t="s">
        <v>91</v>
      </c>
      <c r="O630" t="str">
        <f>SUBSTITUTE(PROPER(TRIM(RawSalesTable6[[#This Row],[Channel_Raw]])),"Market Place","Marketplace")</f>
        <v>Online</v>
      </c>
      <c r="P630" t="str">
        <f>TRIM(RawSalesTable6[[#This Row],[Product_ID]])</f>
        <v>P1009</v>
      </c>
      <c r="Q630" t="str">
        <f>TRIM(RawSalesTable6[[#This Row],[Customer_ID]])</f>
        <v>C0083</v>
      </c>
      <c r="R630" s="8" t="str">
        <f>PROPER(TRIM(RawSalesTable6[[#This Row],[Store_Raw]]))</f>
        <v>Calgary North</v>
      </c>
      <c r="S630" s="8" t="str">
        <f>IF(TRIM(RawSalesTable6[[#This Row],[Payment_Method_Raw]])="","Non renseigné",SUBSTITUTE(PROPER(TRIM(RawSalesTable6[[#This Row],[Payment_Method_Raw]])),"Cc","Credit Card"))</f>
        <v>Paypal</v>
      </c>
      <c r="T630" s="8">
        <f>COUNTIF(A:A,RawSalesTable6[[#This Row],[Order_ID]])</f>
        <v>1</v>
      </c>
      <c r="U630" s="8" t="str">
        <f>TRIM(LEFT(RawSalesTable6[[#This Row],[Customer_Info]],FIND(",",RawSalesTable6[[#This Row],[Customer_Info]])-1))</f>
        <v>Amine King</v>
      </c>
      <c r="V630" s="8" t="str">
        <f>TRIM(MID(RawSalesTable6[[#This Row],[Customer_Info]],FIND(",",RawSalesTable6[[#This Row],[Customer_Info]])+1,FIND(",",RawSalesTable6[[#This Row],[Customer_Info]],FIND(",",RawSalesTable6[[#This Row],[Customer_Info]])+1)-FIND(",",RawSalesTable6[[#This Row],[Customer_Info]])-1))</f>
        <v>Edmonton</v>
      </c>
      <c r="W630" s="8" t="str">
        <f>TRIM(RIGHT(RawSalesTable6[[#This Row],[Customer_Info]],LEN(RawSalesTable6[[#This Row],[Customer_Info]])-FIND(",",RawSalesTable6[[#This Row],[Customer_Info]],FIND(",",RawSalesTable6[[#This Row],[Customer_Info]])+1)))</f>
        <v>Consumer</v>
      </c>
      <c r="X630" s="8" t="str">
        <f>VLOOKUP(RawSalesTable6[[#This Row],[Product_ID_Clean]],ProductsTable[],2,FALSE)</f>
        <v>Notebook</v>
      </c>
      <c r="Y630" s="8" t="str">
        <f>VLOOKUP(RawSalesTable6[[#This Row],[Product_ID_Clean]],ProductsTable[],3,FALSE)</f>
        <v>Office</v>
      </c>
      <c r="Z630" s="8">
        <f>VLOOKUP(RawSalesTable6[[#This Row],[Product_ID_Clean]],ProductsTable[],5,FALSE)</f>
        <v>176.13</v>
      </c>
      <c r="AA630" s="8">
        <f>RawSalesTable6[[#This Row],[Unit_Price]]*RawSalesTable6[[#This Row],[Quantity]]</f>
        <v>618.62</v>
      </c>
      <c r="AB630" s="8">
        <f>RawSalesTable6[[#This Row],[Gross_Sales]]*RawSalesTable6[[#This Row],[Discount_Pct]]</f>
        <v>123.724</v>
      </c>
      <c r="AC630" s="8">
        <f>RawSalesTable6[[#This Row],[Gross_Sales]]-RawSalesTable6[[#This Row],[Discount_Amount]]</f>
        <v>494.89600000000002</v>
      </c>
      <c r="AD630" s="8">
        <f>RawSalesTable6[[#This Row],[Unit_Cost]]*RawSalesTable6[[#This Row],[Quantity]]</f>
        <v>352.26</v>
      </c>
      <c r="AE630" s="8">
        <f>RawSalesTable6[[#This Row],[Net_Sales]]-RawSalesTable6[[#This Row],[Total_Cost]]</f>
        <v>142.63600000000002</v>
      </c>
      <c r="AF630" s="9">
        <f>RawSalesTable6[[#This Row],[Profit]]/RawSalesTable6[[#This Row],[Net_Sales]]</f>
        <v>0.28821408942484888</v>
      </c>
      <c r="AG630" s="8">
        <f>YEAR(RawSalesTable6[[#This Row],[Order_Date]])</f>
        <v>2025</v>
      </c>
      <c r="AH630" s="8">
        <f>MONTH(RawSalesTable6[[#This Row],[Order_Date]])</f>
        <v>4</v>
      </c>
      <c r="AI630" s="8" t="str">
        <f>TEXT(RawSalesTable6[[#This Row],[Order_Date]],"mmmm")</f>
        <v>avril</v>
      </c>
      <c r="AJ630" s="8" t="str">
        <f>IF(RawSalesTable6[[#This Row],[Month_Number]]&lt;=3,"Q1",IF(RawSalesTable6[[#This Row],[Month_Number]]&lt;=6,"Q2",IF(RawSalesTable6[[#This Row],[Month_Number]]&lt;=9,"Q3","Q4")))</f>
        <v>Q2</v>
      </c>
      <c r="AK630" s="8" t="str">
        <f>VLOOKUP(RawSalesTable6[[#This Row],[Customer_ID_Clean]],CustomersTable[],4,FALSE)</f>
        <v>Alberta</v>
      </c>
      <c r="AL630" s="8">
        <f>IF(RawSalesTable6[[#This Row],[Return_Status]]="Yes",1,0)</f>
        <v>0</v>
      </c>
    </row>
    <row r="631" spans="1:38">
      <c r="A631" t="s">
        <v>1074</v>
      </c>
      <c r="B631" s="3">
        <v>45953</v>
      </c>
      <c r="C631" t="s">
        <v>335</v>
      </c>
      <c r="D631" t="s">
        <v>231</v>
      </c>
      <c r="E631" t="s">
        <v>336</v>
      </c>
      <c r="F631" t="s">
        <v>87</v>
      </c>
      <c r="G631" t="s">
        <v>122</v>
      </c>
      <c r="H631" t="s">
        <v>89</v>
      </c>
      <c r="I631">
        <v>1</v>
      </c>
      <c r="J631" s="2">
        <v>370.32</v>
      </c>
      <c r="K631" s="4">
        <v>0</v>
      </c>
      <c r="L631" t="s">
        <v>98</v>
      </c>
      <c r="M631">
        <v>5</v>
      </c>
      <c r="N631" t="s">
        <v>91</v>
      </c>
      <c r="O631" t="str">
        <f>SUBSTITUTE(PROPER(TRIM(RawSalesTable6[[#This Row],[Channel_Raw]])),"Market Place","Marketplace")</f>
        <v>Online</v>
      </c>
      <c r="P631" t="str">
        <f>TRIM(RawSalesTable6[[#This Row],[Product_ID]])</f>
        <v>P1037</v>
      </c>
      <c r="Q631" t="str">
        <f>TRIM(RawSalesTable6[[#This Row],[Customer_ID]])</f>
        <v>C0037</v>
      </c>
      <c r="R631" s="8" t="str">
        <f>PROPER(TRIM(RawSalesTable6[[#This Row],[Store_Raw]]))</f>
        <v>Online Fulfillment</v>
      </c>
      <c r="S631" s="8" t="str">
        <f>IF(TRIM(RawSalesTable6[[#This Row],[Payment_Method_Raw]])="","Non renseigné",SUBSTITUTE(PROPER(TRIM(RawSalesTable6[[#This Row],[Payment_Method_Raw]])),"Cc","Credit Card"))</f>
        <v>Debit Card</v>
      </c>
      <c r="T631" s="8">
        <f>COUNTIF(A:A,RawSalesTable6[[#This Row],[Order_ID]])</f>
        <v>1</v>
      </c>
      <c r="U631" s="8" t="str">
        <f>TRIM(LEFT(RawSalesTable6[[#This Row],[Customer_Info]],FIND(",",RawSalesTable6[[#This Row],[Customer_Info]])-1))</f>
        <v>Lucas Scott</v>
      </c>
      <c r="V631" s="8" t="str">
        <f>TRIM(MID(RawSalesTable6[[#This Row],[Customer_Info]],FIND(",",RawSalesTable6[[#This Row],[Customer_Info]])+1,FIND(",",RawSalesTable6[[#This Row],[Customer_Info]],FIND(",",RawSalesTable6[[#This Row],[Customer_Info]])+1)-FIND(",",RawSalesTable6[[#This Row],[Customer_Info]])-1))</f>
        <v>Victoria</v>
      </c>
      <c r="W631" s="8" t="str">
        <f>TRIM(RIGHT(RawSalesTable6[[#This Row],[Customer_Info]],LEN(RawSalesTable6[[#This Row],[Customer_Info]])-FIND(",",RawSalesTable6[[#This Row],[Customer_Info]],FIND(",",RawSalesTable6[[#This Row],[Customer_Info]])+1)))</f>
        <v>Small Business</v>
      </c>
      <c r="X631" s="8" t="str">
        <f>VLOOKUP(RawSalesTable6[[#This Row],[Product_ID_Clean]],ProductsTable[],2,FALSE)</f>
        <v>Cable Set</v>
      </c>
      <c r="Y631" s="8" t="str">
        <f>VLOOKUP(RawSalesTable6[[#This Row],[Product_ID_Clean]],ProductsTable[],3,FALSE)</f>
        <v>Accessories</v>
      </c>
      <c r="Z631" s="8">
        <f>VLOOKUP(RawSalesTable6[[#This Row],[Product_ID_Clean]],ProductsTable[],5,FALSE)</f>
        <v>200.16</v>
      </c>
      <c r="AA631" s="8">
        <f>RawSalesTable6[[#This Row],[Unit_Price]]*RawSalesTable6[[#This Row],[Quantity]]</f>
        <v>370.32</v>
      </c>
      <c r="AB631" s="8">
        <f>RawSalesTable6[[#This Row],[Gross_Sales]]*RawSalesTable6[[#This Row],[Discount_Pct]]</f>
        <v>0</v>
      </c>
      <c r="AC631" s="8">
        <f>RawSalesTable6[[#This Row],[Gross_Sales]]-RawSalesTable6[[#This Row],[Discount_Amount]]</f>
        <v>370.32</v>
      </c>
      <c r="AD631" s="8">
        <f>RawSalesTable6[[#This Row],[Unit_Cost]]*RawSalesTable6[[#This Row],[Quantity]]</f>
        <v>200.16</v>
      </c>
      <c r="AE631" s="8">
        <f>RawSalesTable6[[#This Row],[Net_Sales]]-RawSalesTable6[[#This Row],[Total_Cost]]</f>
        <v>170.16</v>
      </c>
      <c r="AF631" s="9">
        <f>RawSalesTable6[[#This Row],[Profit]]/RawSalesTable6[[#This Row],[Net_Sales]]</f>
        <v>0.4594944912508101</v>
      </c>
      <c r="AG631" s="8">
        <f>YEAR(RawSalesTable6[[#This Row],[Order_Date]])</f>
        <v>2025</v>
      </c>
      <c r="AH631" s="8">
        <f>MONTH(RawSalesTable6[[#This Row],[Order_Date]])</f>
        <v>10</v>
      </c>
      <c r="AI631" s="8" t="str">
        <f>TEXT(RawSalesTable6[[#This Row],[Order_Date]],"mmmm")</f>
        <v>octobre</v>
      </c>
      <c r="AJ631" s="8" t="str">
        <f>IF(RawSalesTable6[[#This Row],[Month_Number]]&lt;=3,"Q1",IF(RawSalesTable6[[#This Row],[Month_Number]]&lt;=6,"Q2",IF(RawSalesTable6[[#This Row],[Month_Number]]&lt;=9,"Q3","Q4")))</f>
        <v>Q4</v>
      </c>
      <c r="AK631" s="8" t="str">
        <f>VLOOKUP(RawSalesTable6[[#This Row],[Customer_ID_Clean]],CustomersTable[],4,FALSE)</f>
        <v>British Columbia</v>
      </c>
      <c r="AL631" s="8">
        <f>IF(RawSalesTable6[[#This Row],[Return_Status]]="Yes",1,0)</f>
        <v>0</v>
      </c>
    </row>
    <row r="632" spans="1:38">
      <c r="A632" t="s">
        <v>1075</v>
      </c>
      <c r="B632" s="3">
        <v>45698</v>
      </c>
      <c r="C632" t="s">
        <v>142</v>
      </c>
      <c r="D632" t="s">
        <v>157</v>
      </c>
      <c r="E632" t="s">
        <v>144</v>
      </c>
      <c r="F632" t="s">
        <v>87</v>
      </c>
      <c r="G632" t="s">
        <v>122</v>
      </c>
      <c r="H632" t="s">
        <v>97</v>
      </c>
      <c r="I632">
        <v>1</v>
      </c>
      <c r="J632" s="2">
        <v>295.52</v>
      </c>
      <c r="K632" s="4">
        <v>0</v>
      </c>
      <c r="L632" t="s">
        <v>98</v>
      </c>
      <c r="M632">
        <v>3</v>
      </c>
      <c r="N632" t="s">
        <v>91</v>
      </c>
      <c r="O632" t="str">
        <f>SUBSTITUTE(PROPER(TRIM(RawSalesTable6[[#This Row],[Channel_Raw]])),"Market Place","Marketplace")</f>
        <v>Retail Store</v>
      </c>
      <c r="P632" t="str">
        <f>TRIM(RawSalesTable6[[#This Row],[Product_ID]])</f>
        <v>P1009</v>
      </c>
      <c r="Q632" t="str">
        <f>TRIM(RawSalesTable6[[#This Row],[Customer_ID]])</f>
        <v>C0002</v>
      </c>
      <c r="R632" s="8" t="str">
        <f>PROPER(TRIM(RawSalesTable6[[#This Row],[Store_Raw]]))</f>
        <v>Online Fulfillment</v>
      </c>
      <c r="S632" s="8" t="str">
        <f>IF(TRIM(RawSalesTable6[[#This Row],[Payment_Method_Raw]])="","Non renseigné",SUBSTITUTE(PROPER(TRIM(RawSalesTable6[[#This Row],[Payment_Method_Raw]])),"Cc","Credit Card"))</f>
        <v>Debit Card</v>
      </c>
      <c r="T632" s="8">
        <f>COUNTIF(A:A,RawSalesTable6[[#This Row],[Order_ID]])</f>
        <v>1</v>
      </c>
      <c r="U632" s="8" t="str">
        <f>TRIM(LEFT(RawSalesTable6[[#This Row],[Customer_Info]],FIND(",",RawSalesTable6[[#This Row],[Customer_Info]])-1))</f>
        <v>Ryan Johnson</v>
      </c>
      <c r="V632" s="8" t="str">
        <f>TRIM(MID(RawSalesTable6[[#This Row],[Customer_Info]],FIND(",",RawSalesTable6[[#This Row],[Customer_Info]])+1,FIND(",",RawSalesTable6[[#This Row],[Customer_Info]],FIND(",",RawSalesTable6[[#This Row],[Customer_Info]])+1)-FIND(",",RawSalesTable6[[#This Row],[Customer_Info]])-1))</f>
        <v>Montreal</v>
      </c>
      <c r="W632" s="8" t="str">
        <f>TRIM(RIGHT(RawSalesTable6[[#This Row],[Customer_Info]],LEN(RawSalesTable6[[#This Row],[Customer_Info]])-FIND(",",RawSalesTable6[[#This Row],[Customer_Info]],FIND(",",RawSalesTable6[[#This Row],[Customer_Info]])+1)))</f>
        <v>Small Business</v>
      </c>
      <c r="X632" s="8" t="str">
        <f>VLOOKUP(RawSalesTable6[[#This Row],[Product_ID_Clean]],ProductsTable[],2,FALSE)</f>
        <v>Notebook</v>
      </c>
      <c r="Y632" s="8" t="str">
        <f>VLOOKUP(RawSalesTable6[[#This Row],[Product_ID_Clean]],ProductsTable[],3,FALSE)</f>
        <v>Office</v>
      </c>
      <c r="Z632" s="8">
        <f>VLOOKUP(RawSalesTable6[[#This Row],[Product_ID_Clean]],ProductsTable[],5,FALSE)</f>
        <v>176.13</v>
      </c>
      <c r="AA632" s="8">
        <f>RawSalesTable6[[#This Row],[Unit_Price]]*RawSalesTable6[[#This Row],[Quantity]]</f>
        <v>295.52</v>
      </c>
      <c r="AB632" s="8">
        <f>RawSalesTable6[[#This Row],[Gross_Sales]]*RawSalesTable6[[#This Row],[Discount_Pct]]</f>
        <v>0</v>
      </c>
      <c r="AC632" s="8">
        <f>RawSalesTable6[[#This Row],[Gross_Sales]]-RawSalesTable6[[#This Row],[Discount_Amount]]</f>
        <v>295.52</v>
      </c>
      <c r="AD632" s="8">
        <f>RawSalesTable6[[#This Row],[Unit_Cost]]*RawSalesTable6[[#This Row],[Quantity]]</f>
        <v>176.13</v>
      </c>
      <c r="AE632" s="8">
        <f>RawSalesTable6[[#This Row],[Net_Sales]]-RawSalesTable6[[#This Row],[Total_Cost]]</f>
        <v>119.38999999999999</v>
      </c>
      <c r="AF632" s="9">
        <f>RawSalesTable6[[#This Row],[Profit]]/RawSalesTable6[[#This Row],[Net_Sales]]</f>
        <v>0.40399972929074174</v>
      </c>
      <c r="AG632" s="8">
        <f>YEAR(RawSalesTable6[[#This Row],[Order_Date]])</f>
        <v>2025</v>
      </c>
      <c r="AH632" s="8">
        <f>MONTH(RawSalesTable6[[#This Row],[Order_Date]])</f>
        <v>2</v>
      </c>
      <c r="AI632" s="8" t="str">
        <f>TEXT(RawSalesTable6[[#This Row],[Order_Date]],"mmmm")</f>
        <v>février</v>
      </c>
      <c r="AJ632" s="8" t="str">
        <f>IF(RawSalesTable6[[#This Row],[Month_Number]]&lt;=3,"Q1",IF(RawSalesTable6[[#This Row],[Month_Number]]&lt;=6,"Q2",IF(RawSalesTable6[[#This Row],[Month_Number]]&lt;=9,"Q3","Q4")))</f>
        <v>Q1</v>
      </c>
      <c r="AK632" s="8" t="str">
        <f>VLOOKUP(RawSalesTable6[[#This Row],[Customer_ID_Clean]],CustomersTable[],4,FALSE)</f>
        <v>Quebec</v>
      </c>
      <c r="AL632" s="8">
        <f>IF(RawSalesTable6[[#This Row],[Return_Status]]="Yes",1,0)</f>
        <v>0</v>
      </c>
    </row>
    <row r="633" spans="1:38">
      <c r="A633" t="s">
        <v>1076</v>
      </c>
      <c r="B633" s="3">
        <v>45955</v>
      </c>
      <c r="C633" t="s">
        <v>313</v>
      </c>
      <c r="D633" t="s">
        <v>149</v>
      </c>
      <c r="E633" t="s">
        <v>314</v>
      </c>
      <c r="F633" t="s">
        <v>103</v>
      </c>
      <c r="G633" t="s">
        <v>122</v>
      </c>
      <c r="H633" t="s">
        <v>246</v>
      </c>
      <c r="I633">
        <v>2</v>
      </c>
      <c r="J633" s="2">
        <v>83.8</v>
      </c>
      <c r="K633" s="4">
        <v>0.05</v>
      </c>
      <c r="L633" t="s">
        <v>106</v>
      </c>
      <c r="M633">
        <v>3</v>
      </c>
      <c r="N633" t="s">
        <v>91</v>
      </c>
      <c r="O633" t="str">
        <f>SUBSTITUTE(PROPER(TRIM(RawSalesTable6[[#This Row],[Channel_Raw]])),"Market Place","Marketplace")</f>
        <v>Retail Store</v>
      </c>
      <c r="P633" t="str">
        <f>TRIM(RawSalesTable6[[#This Row],[Product_ID]])</f>
        <v>P1011</v>
      </c>
      <c r="Q633" t="str">
        <f>TRIM(RawSalesTable6[[#This Row],[Customer_ID]])</f>
        <v>C0080</v>
      </c>
      <c r="R633" s="8" t="str">
        <f>PROPER(TRIM(RawSalesTable6[[#This Row],[Store_Raw]]))</f>
        <v>Vancouver West</v>
      </c>
      <c r="S633" s="8" t="str">
        <f>IF(TRIM(RawSalesTable6[[#This Row],[Payment_Method_Raw]])="","Non renseigné",SUBSTITUTE(PROPER(TRIM(RawSalesTable6[[#This Row],[Payment_Method_Raw]])),"Cc","Credit Card"))</f>
        <v>Credit Card</v>
      </c>
      <c r="T633" s="8">
        <f>COUNTIF(A:A,RawSalesTable6[[#This Row],[Order_ID]])</f>
        <v>1</v>
      </c>
      <c r="U633" s="8" t="str">
        <f>TRIM(LEFT(RawSalesTable6[[#This Row],[Customer_Info]],FIND(",",RawSalesTable6[[#This Row],[Customer_Info]])-1))</f>
        <v>Sarah Smith</v>
      </c>
      <c r="V633" s="8" t="str">
        <f>TRIM(MID(RawSalesTable6[[#This Row],[Customer_Info]],FIND(",",RawSalesTable6[[#This Row],[Customer_Info]])+1,FIND(",",RawSalesTable6[[#This Row],[Customer_Info]],FIND(",",RawSalesTable6[[#This Row],[Customer_Info]])+1)-FIND(",",RawSalesTable6[[#This Row],[Customer_Info]])-1))</f>
        <v>Mississauga</v>
      </c>
      <c r="W633" s="8" t="str">
        <f>TRIM(RIGHT(RawSalesTable6[[#This Row],[Customer_Info]],LEN(RawSalesTable6[[#This Row],[Customer_Info]])-FIND(",",RawSalesTable6[[#This Row],[Customer_Info]],FIND(",",RawSalesTable6[[#This Row],[Customer_Info]])+1)))</f>
        <v>Corporate</v>
      </c>
      <c r="X633" s="8" t="str">
        <f>VLOOKUP(RawSalesTable6[[#This Row],[Product_ID_Clean]],ProductsTable[],2,FALSE)</f>
        <v>Office Chair</v>
      </c>
      <c r="Y633" s="8" t="str">
        <f>VLOOKUP(RawSalesTable6[[#This Row],[Product_ID_Clean]],ProductsTable[],3,FALSE)</f>
        <v>Office</v>
      </c>
      <c r="Z633" s="8">
        <f>VLOOKUP(RawSalesTable6[[#This Row],[Product_ID_Clean]],ProductsTable[],5,FALSE)</f>
        <v>39.26</v>
      </c>
      <c r="AA633" s="8">
        <f>RawSalesTable6[[#This Row],[Unit_Price]]*RawSalesTable6[[#This Row],[Quantity]]</f>
        <v>167.6</v>
      </c>
      <c r="AB633" s="8">
        <f>RawSalesTable6[[#This Row],[Gross_Sales]]*RawSalesTable6[[#This Row],[Discount_Pct]]</f>
        <v>8.3800000000000008</v>
      </c>
      <c r="AC633" s="8">
        <f>RawSalesTable6[[#This Row],[Gross_Sales]]-RawSalesTable6[[#This Row],[Discount_Amount]]</f>
        <v>159.22</v>
      </c>
      <c r="AD633" s="8">
        <f>RawSalesTable6[[#This Row],[Unit_Cost]]*RawSalesTable6[[#This Row],[Quantity]]</f>
        <v>78.52</v>
      </c>
      <c r="AE633" s="8">
        <f>RawSalesTable6[[#This Row],[Net_Sales]]-RawSalesTable6[[#This Row],[Total_Cost]]</f>
        <v>80.7</v>
      </c>
      <c r="AF633" s="9">
        <f>RawSalesTable6[[#This Row],[Profit]]/RawSalesTable6[[#This Row],[Net_Sales]]</f>
        <v>0.5068458736339656</v>
      </c>
      <c r="AG633" s="8">
        <f>YEAR(RawSalesTable6[[#This Row],[Order_Date]])</f>
        <v>2025</v>
      </c>
      <c r="AH633" s="8">
        <f>MONTH(RawSalesTable6[[#This Row],[Order_Date]])</f>
        <v>10</v>
      </c>
      <c r="AI633" s="8" t="str">
        <f>TEXT(RawSalesTable6[[#This Row],[Order_Date]],"mmmm")</f>
        <v>octobre</v>
      </c>
      <c r="AJ633" s="8" t="str">
        <f>IF(RawSalesTable6[[#This Row],[Month_Number]]&lt;=3,"Q1",IF(RawSalesTable6[[#This Row],[Month_Number]]&lt;=6,"Q2",IF(RawSalesTable6[[#This Row],[Month_Number]]&lt;=9,"Q3","Q4")))</f>
        <v>Q4</v>
      </c>
      <c r="AK633" s="8" t="str">
        <f>VLOOKUP(RawSalesTable6[[#This Row],[Customer_ID_Clean]],CustomersTable[],4,FALSE)</f>
        <v>Ontario</v>
      </c>
      <c r="AL633" s="8">
        <f>IF(RawSalesTable6[[#This Row],[Return_Status]]="Yes",1,0)</f>
        <v>0</v>
      </c>
    </row>
    <row r="634" spans="1:38">
      <c r="A634" t="s">
        <v>1077</v>
      </c>
      <c r="B634" s="3">
        <v>45660</v>
      </c>
      <c r="C634" t="s">
        <v>406</v>
      </c>
      <c r="D634" t="s">
        <v>252</v>
      </c>
      <c r="E634" t="s">
        <v>1078</v>
      </c>
      <c r="F634" t="s">
        <v>116</v>
      </c>
      <c r="G634" t="s">
        <v>104</v>
      </c>
      <c r="H634" t="s">
        <v>308</v>
      </c>
      <c r="I634">
        <v>1</v>
      </c>
      <c r="J634" s="2">
        <v>258</v>
      </c>
      <c r="K634" s="4">
        <v>0.2</v>
      </c>
      <c r="L634" t="s">
        <v>106</v>
      </c>
      <c r="M634">
        <v>8</v>
      </c>
      <c r="N634" t="s">
        <v>91</v>
      </c>
      <c r="O634" t="str">
        <f>SUBSTITUTE(PROPER(TRIM(RawSalesTable6[[#This Row],[Channel_Raw]])),"Market Place","Marketplace")</f>
        <v>Online</v>
      </c>
      <c r="P634" t="str">
        <f>TRIM(RawSalesTable6[[#This Row],[Product_ID]])</f>
        <v>P1019</v>
      </c>
      <c r="Q634" t="str">
        <f>TRIM(RawSalesTable6[[#This Row],[Customer_ID]])</f>
        <v>C0038</v>
      </c>
      <c r="R634" s="8" t="str">
        <f>PROPER(TRIM(RawSalesTable6[[#This Row],[Store_Raw]]))</f>
        <v>Toronto Downtown</v>
      </c>
      <c r="S634" s="8" t="str">
        <f>IF(TRIM(RawSalesTable6[[#This Row],[Payment_Method_Raw]])="","Non renseigné",SUBSTITUTE(PROPER(TRIM(RawSalesTable6[[#This Row],[Payment_Method_Raw]])),"Cc","Credit Card"))</f>
        <v>Credit Card</v>
      </c>
      <c r="T634" s="8">
        <f>COUNTIF(A:A,RawSalesTable6[[#This Row],[Order_ID]])</f>
        <v>1</v>
      </c>
      <c r="U634" s="8" t="str">
        <f>TRIM(LEFT(RawSalesTable6[[#This Row],[Customer_Info]],FIND(",",RawSalesTable6[[#This Row],[Customer_Info]])-1))</f>
        <v>Noah Brown</v>
      </c>
      <c r="V634" s="8" t="str">
        <f>TRIM(MID(RawSalesTable6[[#This Row],[Customer_Info]],FIND(",",RawSalesTable6[[#This Row],[Customer_Info]])+1,FIND(",",RawSalesTable6[[#This Row],[Customer_Info]],FIND(",",RawSalesTable6[[#This Row],[Customer_Info]])+1)-FIND(",",RawSalesTable6[[#This Row],[Customer_Info]])-1))</f>
        <v>Montreal</v>
      </c>
      <c r="W634" s="8" t="str">
        <f>TRIM(RIGHT(RawSalesTable6[[#This Row],[Customer_Info]],LEN(RawSalesTable6[[#This Row],[Customer_Info]])-FIND(",",RawSalesTable6[[#This Row],[Customer_Info]],FIND(",",RawSalesTable6[[#This Row],[Customer_Info]])+1)))</f>
        <v>Consumer</v>
      </c>
      <c r="X634" s="8" t="str">
        <f>VLOOKUP(RawSalesTable6[[#This Row],[Product_ID_Clean]],ProductsTable[],2,FALSE)</f>
        <v>Vacuum</v>
      </c>
      <c r="Y634" s="8" t="str">
        <f>VLOOKUP(RawSalesTable6[[#This Row],[Product_ID_Clean]],ProductsTable[],3,FALSE)</f>
        <v>Home</v>
      </c>
      <c r="Z634" s="8">
        <f>VLOOKUP(RawSalesTable6[[#This Row],[Product_ID_Clean]],ProductsTable[],5,FALSE)</f>
        <v>186.94</v>
      </c>
      <c r="AA634" s="8">
        <f>RawSalesTable6[[#This Row],[Unit_Price]]*RawSalesTable6[[#This Row],[Quantity]]</f>
        <v>258</v>
      </c>
      <c r="AB634" s="8">
        <f>RawSalesTable6[[#This Row],[Gross_Sales]]*RawSalesTable6[[#This Row],[Discount_Pct]]</f>
        <v>51.6</v>
      </c>
      <c r="AC634" s="8">
        <f>RawSalesTable6[[#This Row],[Gross_Sales]]-RawSalesTable6[[#This Row],[Discount_Amount]]</f>
        <v>206.4</v>
      </c>
      <c r="AD634" s="8">
        <f>RawSalesTable6[[#This Row],[Unit_Cost]]*RawSalesTable6[[#This Row],[Quantity]]</f>
        <v>186.94</v>
      </c>
      <c r="AE634" s="8">
        <f>RawSalesTable6[[#This Row],[Net_Sales]]-RawSalesTable6[[#This Row],[Total_Cost]]</f>
        <v>19.460000000000008</v>
      </c>
      <c r="AF634" s="9">
        <f>RawSalesTable6[[#This Row],[Profit]]/RawSalesTable6[[#This Row],[Net_Sales]]</f>
        <v>9.4282945736434143E-2</v>
      </c>
      <c r="AG634" s="8">
        <f>YEAR(RawSalesTable6[[#This Row],[Order_Date]])</f>
        <v>2025</v>
      </c>
      <c r="AH634" s="8">
        <f>MONTH(RawSalesTable6[[#This Row],[Order_Date]])</f>
        <v>1</v>
      </c>
      <c r="AI634" s="8" t="str">
        <f>TEXT(RawSalesTable6[[#This Row],[Order_Date]],"mmmm")</f>
        <v>janvier</v>
      </c>
      <c r="AJ634" s="8" t="str">
        <f>IF(RawSalesTable6[[#This Row],[Month_Number]]&lt;=3,"Q1",IF(RawSalesTable6[[#This Row],[Month_Number]]&lt;=6,"Q2",IF(RawSalesTable6[[#This Row],[Month_Number]]&lt;=9,"Q3","Q4")))</f>
        <v>Q1</v>
      </c>
      <c r="AK634" s="8" t="str">
        <f>VLOOKUP(RawSalesTable6[[#This Row],[Customer_ID_Clean]],CustomersTable[],4,FALSE)</f>
        <v>Quebec</v>
      </c>
      <c r="AL634" s="8">
        <f>IF(RawSalesTable6[[#This Row],[Return_Status]]="Yes",1,0)</f>
        <v>0</v>
      </c>
    </row>
    <row r="635" spans="1:38">
      <c r="A635" t="s">
        <v>1079</v>
      </c>
      <c r="B635" s="3">
        <v>45871</v>
      </c>
      <c r="C635" t="s">
        <v>613</v>
      </c>
      <c r="D635" t="s">
        <v>346</v>
      </c>
      <c r="E635" t="s">
        <v>710</v>
      </c>
      <c r="F635" t="s">
        <v>111</v>
      </c>
      <c r="G635" t="s">
        <v>104</v>
      </c>
      <c r="H635" t="s">
        <v>89</v>
      </c>
      <c r="I635">
        <v>1</v>
      </c>
      <c r="J635" s="2">
        <v>247.09</v>
      </c>
      <c r="K635" s="4">
        <v>0.1</v>
      </c>
      <c r="L635" t="s">
        <v>106</v>
      </c>
      <c r="M635">
        <v>4</v>
      </c>
      <c r="N635" t="s">
        <v>91</v>
      </c>
      <c r="O635" t="str">
        <f>SUBSTITUTE(PROPER(TRIM(RawSalesTable6[[#This Row],[Channel_Raw]])),"Market Place","Marketplace")</f>
        <v>Online</v>
      </c>
      <c r="P635" t="str">
        <f>TRIM(RawSalesTable6[[#This Row],[Product_ID]])</f>
        <v>P1030</v>
      </c>
      <c r="Q635" t="str">
        <f>TRIM(RawSalesTable6[[#This Row],[Customer_ID]])</f>
        <v>C0060</v>
      </c>
      <c r="R635" s="8" t="str">
        <f>PROPER(TRIM(RawSalesTable6[[#This Row],[Store_Raw]]))</f>
        <v>Montreal Central</v>
      </c>
      <c r="S635" s="8" t="str">
        <f>IF(TRIM(RawSalesTable6[[#This Row],[Payment_Method_Raw]])="","Non renseigné",SUBSTITUTE(PROPER(TRIM(RawSalesTable6[[#This Row],[Payment_Method_Raw]])),"Cc","Credit Card"))</f>
        <v>Credit Card</v>
      </c>
      <c r="T635" s="8">
        <f>COUNTIF(A:A,RawSalesTable6[[#This Row],[Order_ID]])</f>
        <v>1</v>
      </c>
      <c r="U635" s="8" t="str">
        <f>TRIM(LEFT(RawSalesTable6[[#This Row],[Customer_Info]],FIND(",",RawSalesTable6[[#This Row],[Customer_Info]])-1))</f>
        <v>Sarah Wilson</v>
      </c>
      <c r="V635" s="8" t="str">
        <f>TRIM(MID(RawSalesTable6[[#This Row],[Customer_Info]],FIND(",",RawSalesTable6[[#This Row],[Customer_Info]])+1,FIND(",",RawSalesTable6[[#This Row],[Customer_Info]],FIND(",",RawSalesTable6[[#This Row],[Customer_Info]])+1)-FIND(",",RawSalesTable6[[#This Row],[Customer_Info]])-1))</f>
        <v>Quebec City</v>
      </c>
      <c r="W635" s="8" t="str">
        <f>TRIM(RIGHT(RawSalesTable6[[#This Row],[Customer_Info]],LEN(RawSalesTable6[[#This Row],[Customer_Info]])-FIND(",",RawSalesTable6[[#This Row],[Customer_Info]],FIND(",",RawSalesTable6[[#This Row],[Customer_Info]])+1)))</f>
        <v>Corporate</v>
      </c>
      <c r="X635" s="8" t="str">
        <f>VLOOKUP(RawSalesTable6[[#This Row],[Product_ID_Clean]],ProductsTable[],2,FALSE)</f>
        <v>Pull-up Bar</v>
      </c>
      <c r="Y635" s="8" t="str">
        <f>VLOOKUP(RawSalesTable6[[#This Row],[Product_ID_Clean]],ProductsTable[],3,FALSE)</f>
        <v>Fitness</v>
      </c>
      <c r="Z635" s="8">
        <f>VLOOKUP(RawSalesTable6[[#This Row],[Product_ID_Clean]],ProductsTable[],5,FALSE)</f>
        <v>125.4</v>
      </c>
      <c r="AA635" s="8">
        <f>RawSalesTable6[[#This Row],[Unit_Price]]*RawSalesTable6[[#This Row],[Quantity]]</f>
        <v>247.09</v>
      </c>
      <c r="AB635" s="8">
        <f>RawSalesTable6[[#This Row],[Gross_Sales]]*RawSalesTable6[[#This Row],[Discount_Pct]]</f>
        <v>24.709000000000003</v>
      </c>
      <c r="AC635" s="8">
        <f>RawSalesTable6[[#This Row],[Gross_Sales]]-RawSalesTable6[[#This Row],[Discount_Amount]]</f>
        <v>222.381</v>
      </c>
      <c r="AD635" s="8">
        <f>RawSalesTable6[[#This Row],[Unit_Cost]]*RawSalesTable6[[#This Row],[Quantity]]</f>
        <v>125.4</v>
      </c>
      <c r="AE635" s="8">
        <f>RawSalesTable6[[#This Row],[Net_Sales]]-RawSalesTable6[[#This Row],[Total_Cost]]</f>
        <v>96.980999999999995</v>
      </c>
      <c r="AF635" s="9">
        <f>RawSalesTable6[[#This Row],[Profit]]/RawSalesTable6[[#This Row],[Net_Sales]]</f>
        <v>0.43610290447475275</v>
      </c>
      <c r="AG635" s="8">
        <f>YEAR(RawSalesTable6[[#This Row],[Order_Date]])</f>
        <v>2025</v>
      </c>
      <c r="AH635" s="8">
        <f>MONTH(RawSalesTable6[[#This Row],[Order_Date]])</f>
        <v>8</v>
      </c>
      <c r="AI635" s="8" t="str">
        <f>TEXT(RawSalesTable6[[#This Row],[Order_Date]],"mmmm")</f>
        <v>août</v>
      </c>
      <c r="AJ635" s="8" t="str">
        <f>IF(RawSalesTable6[[#This Row],[Month_Number]]&lt;=3,"Q1",IF(RawSalesTable6[[#This Row],[Month_Number]]&lt;=6,"Q2",IF(RawSalesTable6[[#This Row],[Month_Number]]&lt;=9,"Q3","Q4")))</f>
        <v>Q3</v>
      </c>
      <c r="AK635" s="8" t="str">
        <f>VLOOKUP(RawSalesTable6[[#This Row],[Customer_ID_Clean]],CustomersTable[],4,FALSE)</f>
        <v>Quebec</v>
      </c>
      <c r="AL635" s="8">
        <f>IF(RawSalesTable6[[#This Row],[Return_Status]]="Yes",1,0)</f>
        <v>0</v>
      </c>
    </row>
    <row r="636" spans="1:38">
      <c r="A636" t="s">
        <v>1080</v>
      </c>
      <c r="B636" s="3">
        <v>45884</v>
      </c>
      <c r="C636" t="s">
        <v>132</v>
      </c>
      <c r="D636" t="s">
        <v>194</v>
      </c>
      <c r="E636" t="s">
        <v>1081</v>
      </c>
      <c r="F636" t="s">
        <v>116</v>
      </c>
      <c r="G636" t="s">
        <v>96</v>
      </c>
      <c r="H636" t="s">
        <v>89</v>
      </c>
      <c r="I636">
        <v>3</v>
      </c>
      <c r="J636" s="2">
        <v>212.15</v>
      </c>
      <c r="K636" s="4">
        <v>0.05</v>
      </c>
      <c r="L636" t="s">
        <v>106</v>
      </c>
      <c r="M636">
        <v>1</v>
      </c>
      <c r="N636" t="s">
        <v>91</v>
      </c>
      <c r="O636" t="str">
        <f>SUBSTITUTE(PROPER(TRIM(RawSalesTable6[[#This Row],[Channel_Raw]])),"Market Place","Marketplace")</f>
        <v>Online</v>
      </c>
      <c r="P636" t="str">
        <f>TRIM(RawSalesTable6[[#This Row],[Product_ID]])</f>
        <v>P1029</v>
      </c>
      <c r="Q636" t="str">
        <f>TRIM(RawSalesTable6[[#This Row],[Customer_ID]])</f>
        <v>C0104</v>
      </c>
      <c r="R636" s="8" t="str">
        <f>PROPER(TRIM(RawSalesTable6[[#This Row],[Store_Raw]]))</f>
        <v>Toronto Downtown</v>
      </c>
      <c r="S636" s="8" t="str">
        <f>IF(TRIM(RawSalesTable6[[#This Row],[Payment_Method_Raw]])="","Non renseigné",SUBSTITUTE(PROPER(TRIM(RawSalesTable6[[#This Row],[Payment_Method_Raw]])),"Cc","Credit Card"))</f>
        <v>Credit Card</v>
      </c>
      <c r="T636" s="8">
        <f>COUNTIF(A:A,RawSalesTable6[[#This Row],[Order_ID]])</f>
        <v>1</v>
      </c>
      <c r="U636" s="8" t="str">
        <f>TRIM(LEFT(RawSalesTable6[[#This Row],[Customer_Info]],FIND(",",RawSalesTable6[[#This Row],[Customer_Info]])-1))</f>
        <v>Ava Scott</v>
      </c>
      <c r="V636" s="8" t="str">
        <f>TRIM(MID(RawSalesTable6[[#This Row],[Customer_Info]],FIND(",",RawSalesTable6[[#This Row],[Customer_Info]])+1,FIND(",",RawSalesTable6[[#This Row],[Customer_Info]],FIND(",",RawSalesTable6[[#This Row],[Customer_Info]])+1)-FIND(",",RawSalesTable6[[#This Row],[Customer_Info]])-1))</f>
        <v>Edmonton</v>
      </c>
      <c r="W636" s="8" t="str">
        <f>TRIM(RIGHT(RawSalesTable6[[#This Row],[Customer_Info]],LEN(RawSalesTable6[[#This Row],[Customer_Info]])-FIND(",",RawSalesTable6[[#This Row],[Customer_Info]],FIND(",",RawSalesTable6[[#This Row],[Customer_Info]])+1)))</f>
        <v>Corporate</v>
      </c>
      <c r="X636" s="8" t="str">
        <f>VLOOKUP(RawSalesTable6[[#This Row],[Product_ID_Clean]],ProductsTable[],2,FALSE)</f>
        <v>Jump Rope</v>
      </c>
      <c r="Y636" s="8" t="str">
        <f>VLOOKUP(RawSalesTable6[[#This Row],[Product_ID_Clean]],ProductsTable[],3,FALSE)</f>
        <v>Fitness</v>
      </c>
      <c r="Z636" s="8">
        <f>VLOOKUP(RawSalesTable6[[#This Row],[Product_ID_Clean]],ProductsTable[],5,FALSE)</f>
        <v>101</v>
      </c>
      <c r="AA636" s="8">
        <f>RawSalesTable6[[#This Row],[Unit_Price]]*RawSalesTable6[[#This Row],[Quantity]]</f>
        <v>636.45000000000005</v>
      </c>
      <c r="AB636" s="8">
        <f>RawSalesTable6[[#This Row],[Gross_Sales]]*RawSalesTable6[[#This Row],[Discount_Pct]]</f>
        <v>31.822500000000005</v>
      </c>
      <c r="AC636" s="8">
        <f>RawSalesTable6[[#This Row],[Gross_Sales]]-RawSalesTable6[[#This Row],[Discount_Amount]]</f>
        <v>604.62750000000005</v>
      </c>
      <c r="AD636" s="8">
        <f>RawSalesTable6[[#This Row],[Unit_Cost]]*RawSalesTable6[[#This Row],[Quantity]]</f>
        <v>303</v>
      </c>
      <c r="AE636" s="8">
        <f>RawSalesTable6[[#This Row],[Net_Sales]]-RawSalesTable6[[#This Row],[Total_Cost]]</f>
        <v>301.62750000000005</v>
      </c>
      <c r="AF636" s="9">
        <f>RawSalesTable6[[#This Row],[Profit]]/RawSalesTable6[[#This Row],[Net_Sales]]</f>
        <v>0.49886500365927788</v>
      </c>
      <c r="AG636" s="8">
        <f>YEAR(RawSalesTable6[[#This Row],[Order_Date]])</f>
        <v>2025</v>
      </c>
      <c r="AH636" s="8">
        <f>MONTH(RawSalesTable6[[#This Row],[Order_Date]])</f>
        <v>8</v>
      </c>
      <c r="AI636" s="8" t="str">
        <f>TEXT(RawSalesTable6[[#This Row],[Order_Date]],"mmmm")</f>
        <v>août</v>
      </c>
      <c r="AJ636" s="8" t="str">
        <f>IF(RawSalesTable6[[#This Row],[Month_Number]]&lt;=3,"Q1",IF(RawSalesTable6[[#This Row],[Month_Number]]&lt;=6,"Q2",IF(RawSalesTable6[[#This Row],[Month_Number]]&lt;=9,"Q3","Q4")))</f>
        <v>Q3</v>
      </c>
      <c r="AK636" s="8" t="str">
        <f>VLOOKUP(RawSalesTable6[[#This Row],[Customer_ID_Clean]],CustomersTable[],4,FALSE)</f>
        <v>Alberta</v>
      </c>
      <c r="AL636" s="8">
        <f>IF(RawSalesTable6[[#This Row],[Return_Status]]="Yes",1,0)</f>
        <v>0</v>
      </c>
    </row>
    <row r="637" spans="1:38">
      <c r="A637" t="s">
        <v>1082</v>
      </c>
      <c r="B637" s="3">
        <v>45853</v>
      </c>
      <c r="C637" t="s">
        <v>494</v>
      </c>
      <c r="D637" t="s">
        <v>152</v>
      </c>
      <c r="E637" t="s">
        <v>495</v>
      </c>
      <c r="F637" t="s">
        <v>103</v>
      </c>
      <c r="G637" t="s">
        <v>171</v>
      </c>
      <c r="H637" t="s">
        <v>228</v>
      </c>
      <c r="I637">
        <v>1</v>
      </c>
      <c r="J637" s="2">
        <v>139.57</v>
      </c>
      <c r="K637" s="4">
        <v>0.25</v>
      </c>
      <c r="L637" t="s">
        <v>106</v>
      </c>
      <c r="M637">
        <v>7</v>
      </c>
      <c r="N637" t="s">
        <v>91</v>
      </c>
      <c r="O637" t="str">
        <f>SUBSTITUTE(PROPER(TRIM(RawSalesTable6[[#This Row],[Channel_Raw]])),"Market Place","Marketplace")</f>
        <v>Online</v>
      </c>
      <c r="P637" t="str">
        <f>TRIM(RawSalesTable6[[#This Row],[Product_ID]])</f>
        <v>P1008</v>
      </c>
      <c r="Q637" t="str">
        <f>TRIM(RawSalesTable6[[#This Row],[Customer_ID]])</f>
        <v>C0017</v>
      </c>
      <c r="R637" s="8" t="str">
        <f>PROPER(TRIM(RawSalesTable6[[#This Row],[Store_Raw]]))</f>
        <v>Vancouver West</v>
      </c>
      <c r="S637" s="8" t="str">
        <f>IF(TRIM(RawSalesTable6[[#This Row],[Payment_Method_Raw]])="","Non renseigné",SUBSTITUTE(PROPER(TRIM(RawSalesTable6[[#This Row],[Payment_Method_Raw]])),"Cc","Credit Card"))</f>
        <v>Credit Card</v>
      </c>
      <c r="T637" s="8">
        <f>COUNTIF(A:A,RawSalesTable6[[#This Row],[Order_ID]])</f>
        <v>1</v>
      </c>
      <c r="U637" s="8" t="str">
        <f>TRIM(LEFT(RawSalesTable6[[#This Row],[Customer_Info]],FIND(",",RawSalesTable6[[#This Row],[Customer_Info]])-1))</f>
        <v>Yasmine Khan</v>
      </c>
      <c r="V637" s="8" t="str">
        <f>TRIM(MID(RawSalesTable6[[#This Row],[Customer_Info]],FIND(",",RawSalesTable6[[#This Row],[Customer_Info]])+1,FIND(",",RawSalesTable6[[#This Row],[Customer_Info]],FIND(",",RawSalesTable6[[#This Row],[Customer_Info]])+1)-FIND(",",RawSalesTable6[[#This Row],[Customer_Info]])-1))</f>
        <v>Mississauga</v>
      </c>
      <c r="W637" s="8" t="str">
        <f>TRIM(RIGHT(RawSalesTable6[[#This Row],[Customer_Info]],LEN(RawSalesTable6[[#This Row],[Customer_Info]])-FIND(",",RawSalesTable6[[#This Row],[Customer_Info]],FIND(",",RawSalesTable6[[#This Row],[Customer_Info]])+1)))</f>
        <v>Corporate</v>
      </c>
      <c r="X637" s="8" t="str">
        <f>VLOOKUP(RawSalesTable6[[#This Row],[Product_ID_Clean]],ProductsTable[],2,FALSE)</f>
        <v>Smart Speaker</v>
      </c>
      <c r="Y637" s="8" t="str">
        <f>VLOOKUP(RawSalesTable6[[#This Row],[Product_ID_Clean]],ProductsTable[],3,FALSE)</f>
        <v>Electronics</v>
      </c>
      <c r="Z637" s="8">
        <f>VLOOKUP(RawSalesTable6[[#This Row],[Product_ID_Clean]],ProductsTable[],5,FALSE)</f>
        <v>69</v>
      </c>
      <c r="AA637" s="8">
        <f>RawSalesTable6[[#This Row],[Unit_Price]]*RawSalesTable6[[#This Row],[Quantity]]</f>
        <v>139.57</v>
      </c>
      <c r="AB637" s="8">
        <f>RawSalesTable6[[#This Row],[Gross_Sales]]*RawSalesTable6[[#This Row],[Discount_Pct]]</f>
        <v>34.892499999999998</v>
      </c>
      <c r="AC637" s="8">
        <f>RawSalesTable6[[#This Row],[Gross_Sales]]-RawSalesTable6[[#This Row],[Discount_Amount]]</f>
        <v>104.67749999999999</v>
      </c>
      <c r="AD637" s="8">
        <f>RawSalesTable6[[#This Row],[Unit_Cost]]*RawSalesTable6[[#This Row],[Quantity]]</f>
        <v>69</v>
      </c>
      <c r="AE637" s="8">
        <f>RawSalesTable6[[#This Row],[Net_Sales]]-RawSalesTable6[[#This Row],[Total_Cost]]</f>
        <v>35.677499999999995</v>
      </c>
      <c r="AF637" s="9">
        <f>RawSalesTable6[[#This Row],[Profit]]/RawSalesTable6[[#This Row],[Net_Sales]]</f>
        <v>0.34083255713978644</v>
      </c>
      <c r="AG637" s="8">
        <f>YEAR(RawSalesTable6[[#This Row],[Order_Date]])</f>
        <v>2025</v>
      </c>
      <c r="AH637" s="8">
        <f>MONTH(RawSalesTable6[[#This Row],[Order_Date]])</f>
        <v>7</v>
      </c>
      <c r="AI637" s="8" t="str">
        <f>TEXT(RawSalesTable6[[#This Row],[Order_Date]],"mmmm")</f>
        <v>juillet</v>
      </c>
      <c r="AJ637" s="8" t="str">
        <f>IF(RawSalesTable6[[#This Row],[Month_Number]]&lt;=3,"Q1",IF(RawSalesTable6[[#This Row],[Month_Number]]&lt;=6,"Q2",IF(RawSalesTable6[[#This Row],[Month_Number]]&lt;=9,"Q3","Q4")))</f>
        <v>Q3</v>
      </c>
      <c r="AK637" s="8" t="str">
        <f>VLOOKUP(RawSalesTable6[[#This Row],[Customer_ID_Clean]],CustomersTable[],4,FALSE)</f>
        <v>Ontario</v>
      </c>
      <c r="AL637" s="8">
        <f>IF(RawSalesTable6[[#This Row],[Return_Status]]="Yes",1,0)</f>
        <v>0</v>
      </c>
    </row>
    <row r="638" spans="1:38">
      <c r="A638" t="s">
        <v>1083</v>
      </c>
      <c r="B638" s="3">
        <v>45946</v>
      </c>
      <c r="C638" t="s">
        <v>371</v>
      </c>
      <c r="D638" t="s">
        <v>152</v>
      </c>
      <c r="E638" t="s">
        <v>372</v>
      </c>
      <c r="F638" t="s">
        <v>111</v>
      </c>
      <c r="G638" t="s">
        <v>122</v>
      </c>
      <c r="H638" t="s">
        <v>89</v>
      </c>
      <c r="I638">
        <v>3</v>
      </c>
      <c r="J638" s="2">
        <v>138.75</v>
      </c>
      <c r="K638" s="4">
        <v>0.25</v>
      </c>
      <c r="L638" t="s">
        <v>106</v>
      </c>
      <c r="M638">
        <v>8</v>
      </c>
      <c r="N638" t="s">
        <v>147</v>
      </c>
      <c r="O638" t="str">
        <f>SUBSTITUTE(PROPER(TRIM(RawSalesTable6[[#This Row],[Channel_Raw]])),"Market Place","Marketplace")</f>
        <v>Online</v>
      </c>
      <c r="P638" t="str">
        <f>TRIM(RawSalesTable6[[#This Row],[Product_ID]])</f>
        <v>P1008</v>
      </c>
      <c r="Q638" t="str">
        <f>TRIM(RawSalesTable6[[#This Row],[Customer_ID]])</f>
        <v>C0049</v>
      </c>
      <c r="R638" s="8" t="str">
        <f>PROPER(TRIM(RawSalesTable6[[#This Row],[Store_Raw]]))</f>
        <v>Montreal Central</v>
      </c>
      <c r="S638" s="8" t="str">
        <f>IF(TRIM(RawSalesTable6[[#This Row],[Payment_Method_Raw]])="","Non renseigné",SUBSTITUTE(PROPER(TRIM(RawSalesTable6[[#This Row],[Payment_Method_Raw]])),"Cc","Credit Card"))</f>
        <v>Credit Card</v>
      </c>
      <c r="T638" s="8">
        <f>COUNTIF(A:A,RawSalesTable6[[#This Row],[Order_ID]])</f>
        <v>1</v>
      </c>
      <c r="U638" s="8" t="str">
        <f>TRIM(LEFT(RawSalesTable6[[#This Row],[Customer_Info]],FIND(",",RawSalesTable6[[#This Row],[Customer_Info]])-1))</f>
        <v>Olivia Scott</v>
      </c>
      <c r="V638" s="8" t="str">
        <f>TRIM(MID(RawSalesTable6[[#This Row],[Customer_Info]],FIND(",",RawSalesTable6[[#This Row],[Customer_Info]])+1,FIND(",",RawSalesTable6[[#This Row],[Customer_Info]],FIND(",",RawSalesTable6[[#This Row],[Customer_Info]])+1)-FIND(",",RawSalesTable6[[#This Row],[Customer_Info]])-1))</f>
        <v>Quebec City</v>
      </c>
      <c r="W638" s="8" t="str">
        <f>TRIM(RIGHT(RawSalesTable6[[#This Row],[Customer_Info]],LEN(RawSalesTable6[[#This Row],[Customer_Info]])-FIND(",",RawSalesTable6[[#This Row],[Customer_Info]],FIND(",",RawSalesTable6[[#This Row],[Customer_Info]])+1)))</f>
        <v>Consumer</v>
      </c>
      <c r="X638" s="8" t="str">
        <f>VLOOKUP(RawSalesTable6[[#This Row],[Product_ID_Clean]],ProductsTable[],2,FALSE)</f>
        <v>Smart Speaker</v>
      </c>
      <c r="Y638" s="8" t="str">
        <f>VLOOKUP(RawSalesTable6[[#This Row],[Product_ID_Clean]],ProductsTable[],3,FALSE)</f>
        <v>Electronics</v>
      </c>
      <c r="Z638" s="8">
        <f>VLOOKUP(RawSalesTable6[[#This Row],[Product_ID_Clean]],ProductsTable[],5,FALSE)</f>
        <v>69</v>
      </c>
      <c r="AA638" s="8">
        <f>RawSalesTable6[[#This Row],[Unit_Price]]*RawSalesTable6[[#This Row],[Quantity]]</f>
        <v>416.25</v>
      </c>
      <c r="AB638" s="8">
        <f>RawSalesTable6[[#This Row],[Gross_Sales]]*RawSalesTable6[[#This Row],[Discount_Pct]]</f>
        <v>104.0625</v>
      </c>
      <c r="AC638" s="8">
        <f>RawSalesTable6[[#This Row],[Gross_Sales]]-RawSalesTable6[[#This Row],[Discount_Amount]]</f>
        <v>312.1875</v>
      </c>
      <c r="AD638" s="8">
        <f>RawSalesTable6[[#This Row],[Unit_Cost]]*RawSalesTable6[[#This Row],[Quantity]]</f>
        <v>207</v>
      </c>
      <c r="AE638" s="8">
        <f>RawSalesTable6[[#This Row],[Net_Sales]]-RawSalesTable6[[#This Row],[Total_Cost]]</f>
        <v>105.1875</v>
      </c>
      <c r="AF638" s="9">
        <f>RawSalesTable6[[#This Row],[Profit]]/RawSalesTable6[[#This Row],[Net_Sales]]</f>
        <v>0.33693693693693694</v>
      </c>
      <c r="AG638" s="8">
        <f>YEAR(RawSalesTable6[[#This Row],[Order_Date]])</f>
        <v>2025</v>
      </c>
      <c r="AH638" s="8">
        <f>MONTH(RawSalesTable6[[#This Row],[Order_Date]])</f>
        <v>10</v>
      </c>
      <c r="AI638" s="8" t="str">
        <f>TEXT(RawSalesTable6[[#This Row],[Order_Date]],"mmmm")</f>
        <v>octobre</v>
      </c>
      <c r="AJ638" s="8" t="str">
        <f>IF(RawSalesTable6[[#This Row],[Month_Number]]&lt;=3,"Q1",IF(RawSalesTable6[[#This Row],[Month_Number]]&lt;=6,"Q2",IF(RawSalesTable6[[#This Row],[Month_Number]]&lt;=9,"Q3","Q4")))</f>
        <v>Q4</v>
      </c>
      <c r="AK638" s="8" t="str">
        <f>VLOOKUP(RawSalesTable6[[#This Row],[Customer_ID_Clean]],CustomersTable[],4,FALSE)</f>
        <v>Quebec</v>
      </c>
      <c r="AL638" s="8">
        <f>IF(RawSalesTable6[[#This Row],[Return_Status]]="Yes",1,0)</f>
        <v>1</v>
      </c>
    </row>
    <row r="639" spans="1:38">
      <c r="A639" t="s">
        <v>1084</v>
      </c>
      <c r="B639" s="3">
        <v>45898</v>
      </c>
      <c r="C639" t="s">
        <v>497</v>
      </c>
      <c r="D639" t="s">
        <v>133</v>
      </c>
      <c r="E639" t="s">
        <v>498</v>
      </c>
      <c r="F639" t="s">
        <v>87</v>
      </c>
      <c r="G639" t="s">
        <v>171</v>
      </c>
      <c r="H639" t="s">
        <v>89</v>
      </c>
      <c r="I639">
        <v>4</v>
      </c>
      <c r="J639" s="2">
        <v>346.87</v>
      </c>
      <c r="K639" s="4">
        <v>0.05</v>
      </c>
      <c r="L639" t="s">
        <v>106</v>
      </c>
      <c r="M639">
        <v>2</v>
      </c>
      <c r="N639" t="s">
        <v>91</v>
      </c>
      <c r="O639" t="str">
        <f>SUBSTITUTE(PROPER(TRIM(RawSalesTable6[[#This Row],[Channel_Raw]])),"Market Place","Marketplace")</f>
        <v>Online</v>
      </c>
      <c r="P639" t="str">
        <f>TRIM(RawSalesTable6[[#This Row],[Product_ID]])</f>
        <v>P1039</v>
      </c>
      <c r="Q639" t="str">
        <f>TRIM(RawSalesTable6[[#This Row],[Customer_ID]])</f>
        <v>C0022</v>
      </c>
      <c r="R639" s="8" t="str">
        <f>PROPER(TRIM(RawSalesTable6[[#This Row],[Store_Raw]]))</f>
        <v>Online Fulfillment</v>
      </c>
      <c r="S639" s="8" t="str">
        <f>IF(TRIM(RawSalesTable6[[#This Row],[Payment_Method_Raw]])="","Non renseigné",SUBSTITUTE(PROPER(TRIM(RawSalesTable6[[#This Row],[Payment_Method_Raw]])),"Cc","Credit Card"))</f>
        <v>Credit Card</v>
      </c>
      <c r="T639" s="8">
        <f>COUNTIF(A:A,RawSalesTable6[[#This Row],[Order_ID]])</f>
        <v>1</v>
      </c>
      <c r="U639" s="8" t="str">
        <f>TRIM(LEFT(RawSalesTable6[[#This Row],[Customer_Info]],FIND(",",RawSalesTable6[[#This Row],[Customer_Info]])-1))</f>
        <v>Adam White</v>
      </c>
      <c r="V639" s="8" t="str">
        <f>TRIM(MID(RawSalesTable6[[#This Row],[Customer_Info]],FIND(",",RawSalesTable6[[#This Row],[Customer_Info]])+1,FIND(",",RawSalesTable6[[#This Row],[Customer_Info]],FIND(",",RawSalesTable6[[#This Row],[Customer_Info]])+1)-FIND(",",RawSalesTable6[[#This Row],[Customer_Info]])-1))</f>
        <v>Victoria</v>
      </c>
      <c r="W639" s="8" t="str">
        <f>TRIM(RIGHT(RawSalesTable6[[#This Row],[Customer_Info]],LEN(RawSalesTable6[[#This Row],[Customer_Info]])-FIND(",",RawSalesTable6[[#This Row],[Customer_Info]],FIND(",",RawSalesTable6[[#This Row],[Customer_Info]])+1)))</f>
        <v>Consumer</v>
      </c>
      <c r="X639" s="8" t="str">
        <f>VLOOKUP(RawSalesTable6[[#This Row],[Product_ID_Clean]],ProductsTable[],2,FALSE)</f>
        <v>Travel Adapter</v>
      </c>
      <c r="Y639" s="8" t="str">
        <f>VLOOKUP(RawSalesTable6[[#This Row],[Product_ID_Clean]],ProductsTable[],3,FALSE)</f>
        <v>Accessories</v>
      </c>
      <c r="Z639" s="8">
        <f>VLOOKUP(RawSalesTable6[[#This Row],[Product_ID_Clean]],ProductsTable[],5,FALSE)</f>
        <v>229.86</v>
      </c>
      <c r="AA639" s="8">
        <f>RawSalesTable6[[#This Row],[Unit_Price]]*RawSalesTable6[[#This Row],[Quantity]]</f>
        <v>1387.48</v>
      </c>
      <c r="AB639" s="8">
        <f>RawSalesTable6[[#This Row],[Gross_Sales]]*RawSalesTable6[[#This Row],[Discount_Pct]]</f>
        <v>69.374000000000009</v>
      </c>
      <c r="AC639" s="8">
        <f>RawSalesTable6[[#This Row],[Gross_Sales]]-RawSalesTable6[[#This Row],[Discount_Amount]]</f>
        <v>1318.106</v>
      </c>
      <c r="AD639" s="8">
        <f>RawSalesTable6[[#This Row],[Unit_Cost]]*RawSalesTable6[[#This Row],[Quantity]]</f>
        <v>919.44</v>
      </c>
      <c r="AE639" s="8">
        <f>RawSalesTable6[[#This Row],[Net_Sales]]-RawSalesTable6[[#This Row],[Total_Cost]]</f>
        <v>398.66599999999994</v>
      </c>
      <c r="AF639" s="9">
        <f>RawSalesTable6[[#This Row],[Profit]]/RawSalesTable6[[#This Row],[Net_Sales]]</f>
        <v>0.30245367216293678</v>
      </c>
      <c r="AG639" s="8">
        <f>YEAR(RawSalesTable6[[#This Row],[Order_Date]])</f>
        <v>2025</v>
      </c>
      <c r="AH639" s="8">
        <f>MONTH(RawSalesTable6[[#This Row],[Order_Date]])</f>
        <v>8</v>
      </c>
      <c r="AI639" s="8" t="str">
        <f>TEXT(RawSalesTable6[[#This Row],[Order_Date]],"mmmm")</f>
        <v>août</v>
      </c>
      <c r="AJ639" s="8" t="str">
        <f>IF(RawSalesTable6[[#This Row],[Month_Number]]&lt;=3,"Q1",IF(RawSalesTable6[[#This Row],[Month_Number]]&lt;=6,"Q2",IF(RawSalesTable6[[#This Row],[Month_Number]]&lt;=9,"Q3","Q4")))</f>
        <v>Q3</v>
      </c>
      <c r="AK639" s="8" t="str">
        <f>VLOOKUP(RawSalesTable6[[#This Row],[Customer_ID_Clean]],CustomersTable[],4,FALSE)</f>
        <v>British Columbia</v>
      </c>
      <c r="AL639" s="8">
        <f>IF(RawSalesTable6[[#This Row],[Return_Status]]="Yes",1,0)</f>
        <v>0</v>
      </c>
    </row>
    <row r="640" spans="1:38">
      <c r="A640" t="s">
        <v>1085</v>
      </c>
      <c r="B640" s="3">
        <v>45997</v>
      </c>
      <c r="C640" t="s">
        <v>653</v>
      </c>
      <c r="D640" t="s">
        <v>101</v>
      </c>
      <c r="E640" t="s">
        <v>654</v>
      </c>
      <c r="F640" t="s">
        <v>111</v>
      </c>
      <c r="G640" t="s">
        <v>171</v>
      </c>
      <c r="H640" t="s">
        <v>89</v>
      </c>
      <c r="I640">
        <v>3</v>
      </c>
      <c r="J640" s="2">
        <v>312.94</v>
      </c>
      <c r="K640" s="4">
        <v>0.1</v>
      </c>
      <c r="L640" t="s">
        <v>98</v>
      </c>
      <c r="M640">
        <v>1</v>
      </c>
      <c r="N640" t="s">
        <v>91</v>
      </c>
      <c r="O640" t="str">
        <f>SUBSTITUTE(PROPER(TRIM(RawSalesTable6[[#This Row],[Channel_Raw]])),"Market Place","Marketplace")</f>
        <v>Online</v>
      </c>
      <c r="P640" t="str">
        <f>TRIM(RawSalesTable6[[#This Row],[Product_ID]])</f>
        <v>P1021</v>
      </c>
      <c r="Q640" t="str">
        <f>TRIM(RawSalesTable6[[#This Row],[Customer_ID]])</f>
        <v>C0100</v>
      </c>
      <c r="R640" s="8" t="str">
        <f>PROPER(TRIM(RawSalesTable6[[#This Row],[Store_Raw]]))</f>
        <v>Montreal Central</v>
      </c>
      <c r="S640" s="8" t="str">
        <f>IF(TRIM(RawSalesTable6[[#This Row],[Payment_Method_Raw]])="","Non renseigné",SUBSTITUTE(PROPER(TRIM(RawSalesTable6[[#This Row],[Payment_Method_Raw]])),"Cc","Credit Card"))</f>
        <v>Debit Card</v>
      </c>
      <c r="T640" s="8">
        <f>COUNTIF(A:A,RawSalesTable6[[#This Row],[Order_ID]])</f>
        <v>1</v>
      </c>
      <c r="U640" s="8" t="str">
        <f>TRIM(LEFT(RawSalesTable6[[#This Row],[Customer_Info]],FIND(",",RawSalesTable6[[#This Row],[Customer_Info]])-1))</f>
        <v>Yasmine Smith</v>
      </c>
      <c r="V640" s="8" t="str">
        <f>TRIM(MID(RawSalesTable6[[#This Row],[Customer_Info]],FIND(",",RawSalesTable6[[#This Row],[Customer_Info]])+1,FIND(",",RawSalesTable6[[#This Row],[Customer_Info]],FIND(",",RawSalesTable6[[#This Row],[Customer_Info]])+1)-FIND(",",RawSalesTable6[[#This Row],[Customer_Info]])-1))</f>
        <v>Mississauga</v>
      </c>
      <c r="W640" s="8" t="str">
        <f>TRIM(RIGHT(RawSalesTable6[[#This Row],[Customer_Info]],LEN(RawSalesTable6[[#This Row],[Customer_Info]])-FIND(",",RawSalesTable6[[#This Row],[Customer_Info]],FIND(",",RawSalesTable6[[#This Row],[Customer_Info]])+1)))</f>
        <v>Consumer</v>
      </c>
      <c r="X640" s="8" t="str">
        <f>VLOOKUP(RawSalesTable6[[#This Row],[Product_ID_Clean]],ProductsTable[],2,FALSE)</f>
        <v>Kettle</v>
      </c>
      <c r="Y640" s="8" t="str">
        <f>VLOOKUP(RawSalesTable6[[#This Row],[Product_ID_Clean]],ProductsTable[],3,FALSE)</f>
        <v>Home</v>
      </c>
      <c r="Z640" s="8">
        <f>VLOOKUP(RawSalesTable6[[#This Row],[Product_ID_Clean]],ProductsTable[],5,FALSE)</f>
        <v>139.86000000000001</v>
      </c>
      <c r="AA640" s="8">
        <f>RawSalesTable6[[#This Row],[Unit_Price]]*RawSalesTable6[[#This Row],[Quantity]]</f>
        <v>938.81999999999994</v>
      </c>
      <c r="AB640" s="8">
        <f>RawSalesTable6[[#This Row],[Gross_Sales]]*RawSalesTable6[[#This Row],[Discount_Pct]]</f>
        <v>93.882000000000005</v>
      </c>
      <c r="AC640" s="8">
        <f>RawSalesTable6[[#This Row],[Gross_Sales]]-RawSalesTable6[[#This Row],[Discount_Amount]]</f>
        <v>844.93799999999987</v>
      </c>
      <c r="AD640" s="8">
        <f>RawSalesTable6[[#This Row],[Unit_Cost]]*RawSalesTable6[[#This Row],[Quantity]]</f>
        <v>419.58000000000004</v>
      </c>
      <c r="AE640" s="8">
        <f>RawSalesTable6[[#This Row],[Net_Sales]]-RawSalesTable6[[#This Row],[Total_Cost]]</f>
        <v>425.35799999999983</v>
      </c>
      <c r="AF640" s="9">
        <f>RawSalesTable6[[#This Row],[Profit]]/RawSalesTable6[[#This Row],[Net_Sales]]</f>
        <v>0.50341918578641265</v>
      </c>
      <c r="AG640" s="8">
        <f>YEAR(RawSalesTable6[[#This Row],[Order_Date]])</f>
        <v>2025</v>
      </c>
      <c r="AH640" s="8">
        <f>MONTH(RawSalesTable6[[#This Row],[Order_Date]])</f>
        <v>12</v>
      </c>
      <c r="AI640" s="8" t="str">
        <f>TEXT(RawSalesTable6[[#This Row],[Order_Date]],"mmmm")</f>
        <v>décembre</v>
      </c>
      <c r="AJ640" s="8" t="str">
        <f>IF(RawSalesTable6[[#This Row],[Month_Number]]&lt;=3,"Q1",IF(RawSalesTable6[[#This Row],[Month_Number]]&lt;=6,"Q2",IF(RawSalesTable6[[#This Row],[Month_Number]]&lt;=9,"Q3","Q4")))</f>
        <v>Q4</v>
      </c>
      <c r="AK640" s="8" t="str">
        <f>VLOOKUP(RawSalesTable6[[#This Row],[Customer_ID_Clean]],CustomersTable[],4,FALSE)</f>
        <v>Ontario</v>
      </c>
      <c r="AL640" s="8">
        <f>IF(RawSalesTable6[[#This Row],[Return_Status]]="Yes",1,0)</f>
        <v>0</v>
      </c>
    </row>
    <row r="641" spans="1:38">
      <c r="A641" t="s">
        <v>1086</v>
      </c>
      <c r="B641" s="3">
        <v>45754</v>
      </c>
      <c r="C641" t="s">
        <v>151</v>
      </c>
      <c r="D641" t="s">
        <v>226</v>
      </c>
      <c r="E641" t="s">
        <v>153</v>
      </c>
      <c r="F641" t="s">
        <v>87</v>
      </c>
      <c r="G641" t="s">
        <v>88</v>
      </c>
      <c r="H641" t="s">
        <v>97</v>
      </c>
      <c r="I641">
        <v>2</v>
      </c>
      <c r="J641" s="2">
        <v>215.98</v>
      </c>
      <c r="K641" s="4">
        <v>0.05</v>
      </c>
      <c r="L641" t="s">
        <v>90</v>
      </c>
      <c r="M641">
        <v>4</v>
      </c>
      <c r="N641" t="s">
        <v>91</v>
      </c>
      <c r="O641" t="str">
        <f>SUBSTITUTE(PROPER(TRIM(RawSalesTable6[[#This Row],[Channel_Raw]])),"Market Place","Marketplace")</f>
        <v>Retail Store</v>
      </c>
      <c r="P641" t="str">
        <f>TRIM(RawSalesTable6[[#This Row],[Product_ID]])</f>
        <v>P1010</v>
      </c>
      <c r="Q641" t="str">
        <f>TRIM(RawSalesTable6[[#This Row],[Customer_ID]])</f>
        <v>C0014</v>
      </c>
      <c r="R641" s="8" t="str">
        <f>PROPER(TRIM(RawSalesTable6[[#This Row],[Store_Raw]]))</f>
        <v>Online Fulfillment</v>
      </c>
      <c r="S641" s="8" t="str">
        <f>IF(TRIM(RawSalesTable6[[#This Row],[Payment_Method_Raw]])="","Non renseigné",SUBSTITUTE(PROPER(TRIM(RawSalesTable6[[#This Row],[Payment_Method_Raw]])),"Cc","Credit Card"))</f>
        <v>Paypal</v>
      </c>
      <c r="T641" s="8">
        <f>COUNTIF(A:A,RawSalesTable6[[#This Row],[Order_ID]])</f>
        <v>1</v>
      </c>
      <c r="U641" s="8" t="str">
        <f>TRIM(LEFT(RawSalesTable6[[#This Row],[Customer_Info]],FIND(",",RawSalesTable6[[#This Row],[Customer_Info]])-1))</f>
        <v>Zoe Scott</v>
      </c>
      <c r="V641" s="8" t="str">
        <f>TRIM(MID(RawSalesTable6[[#This Row],[Customer_Info]],FIND(",",RawSalesTable6[[#This Row],[Customer_Info]])+1,FIND(",",RawSalesTable6[[#This Row],[Customer_Info]],FIND(",",RawSalesTable6[[#This Row],[Customer_Info]])+1)-FIND(",",RawSalesTable6[[#This Row],[Customer_Info]])-1))</f>
        <v>Montreal</v>
      </c>
      <c r="W641" s="8" t="str">
        <f>TRIM(RIGHT(RawSalesTable6[[#This Row],[Customer_Info]],LEN(RawSalesTable6[[#This Row],[Customer_Info]])-FIND(",",RawSalesTable6[[#This Row],[Customer_Info]],FIND(",",RawSalesTable6[[#This Row],[Customer_Info]])+1)))</f>
        <v>Small Business</v>
      </c>
      <c r="X641" s="8" t="str">
        <f>VLOOKUP(RawSalesTable6[[#This Row],[Product_ID_Clean]],ProductsTable[],2,FALSE)</f>
        <v>Desk Lamp</v>
      </c>
      <c r="Y641" s="8" t="str">
        <f>VLOOKUP(RawSalesTable6[[#This Row],[Product_ID_Clean]],ProductsTable[],3,FALSE)</f>
        <v>Office</v>
      </c>
      <c r="Z641" s="8">
        <f>VLOOKUP(RawSalesTable6[[#This Row],[Product_ID_Clean]],ProductsTable[],5,FALSE)</f>
        <v>127.21</v>
      </c>
      <c r="AA641" s="8">
        <f>RawSalesTable6[[#This Row],[Unit_Price]]*RawSalesTable6[[#This Row],[Quantity]]</f>
        <v>431.96</v>
      </c>
      <c r="AB641" s="8">
        <f>RawSalesTable6[[#This Row],[Gross_Sales]]*RawSalesTable6[[#This Row],[Discount_Pct]]</f>
        <v>21.597999999999999</v>
      </c>
      <c r="AC641" s="8">
        <f>RawSalesTable6[[#This Row],[Gross_Sales]]-RawSalesTable6[[#This Row],[Discount_Amount]]</f>
        <v>410.36199999999997</v>
      </c>
      <c r="AD641" s="8">
        <f>RawSalesTable6[[#This Row],[Unit_Cost]]*RawSalesTable6[[#This Row],[Quantity]]</f>
        <v>254.42</v>
      </c>
      <c r="AE641" s="8">
        <f>RawSalesTable6[[#This Row],[Net_Sales]]-RawSalesTable6[[#This Row],[Total_Cost]]</f>
        <v>155.94199999999998</v>
      </c>
      <c r="AF641" s="9">
        <f>RawSalesTable6[[#This Row],[Profit]]/RawSalesTable6[[#This Row],[Net_Sales]]</f>
        <v>0.38001081971527578</v>
      </c>
      <c r="AG641" s="8">
        <f>YEAR(RawSalesTable6[[#This Row],[Order_Date]])</f>
        <v>2025</v>
      </c>
      <c r="AH641" s="8">
        <f>MONTH(RawSalesTable6[[#This Row],[Order_Date]])</f>
        <v>4</v>
      </c>
      <c r="AI641" s="8" t="str">
        <f>TEXT(RawSalesTable6[[#This Row],[Order_Date]],"mmmm")</f>
        <v>avril</v>
      </c>
      <c r="AJ641" s="8" t="str">
        <f>IF(RawSalesTable6[[#This Row],[Month_Number]]&lt;=3,"Q1",IF(RawSalesTable6[[#This Row],[Month_Number]]&lt;=6,"Q2",IF(RawSalesTable6[[#This Row],[Month_Number]]&lt;=9,"Q3","Q4")))</f>
        <v>Q2</v>
      </c>
      <c r="AK641" s="8" t="str">
        <f>VLOOKUP(RawSalesTable6[[#This Row],[Customer_ID_Clean]],CustomersTable[],4,FALSE)</f>
        <v>Quebec</v>
      </c>
      <c r="AL641" s="8">
        <f>IF(RawSalesTable6[[#This Row],[Return_Status]]="Yes",1,0)</f>
        <v>0</v>
      </c>
    </row>
    <row r="642" spans="1:38">
      <c r="A642" t="s">
        <v>1087</v>
      </c>
      <c r="B642" s="3">
        <v>45684</v>
      </c>
      <c r="C642" t="s">
        <v>675</v>
      </c>
      <c r="D642" t="s">
        <v>231</v>
      </c>
      <c r="E642" t="s">
        <v>676</v>
      </c>
      <c r="F642" t="s">
        <v>145</v>
      </c>
      <c r="G642" t="s">
        <v>130</v>
      </c>
      <c r="H642" t="s">
        <v>97</v>
      </c>
      <c r="I642">
        <v>3</v>
      </c>
      <c r="J642" s="2">
        <v>366.11</v>
      </c>
      <c r="K642" s="4">
        <v>0</v>
      </c>
      <c r="L642" t="s">
        <v>106</v>
      </c>
      <c r="M642">
        <v>4</v>
      </c>
      <c r="N642" t="s">
        <v>91</v>
      </c>
      <c r="O642" t="str">
        <f>SUBSTITUTE(PROPER(TRIM(RawSalesTable6[[#This Row],[Channel_Raw]])),"Market Place","Marketplace")</f>
        <v>Retail Store</v>
      </c>
      <c r="P642" t="str">
        <f>TRIM(RawSalesTable6[[#This Row],[Product_ID]])</f>
        <v>P1037</v>
      </c>
      <c r="Q642" t="str">
        <f>TRIM(RawSalesTable6[[#This Row],[Customer_ID]])</f>
        <v>C0101</v>
      </c>
      <c r="R642" s="8" t="str">
        <f>PROPER(TRIM(RawSalesTable6[[#This Row],[Store_Raw]]))</f>
        <v>Calgary North</v>
      </c>
      <c r="S642" s="8" t="str">
        <f>IF(TRIM(RawSalesTable6[[#This Row],[Payment_Method_Raw]])="","Non renseigné",SUBSTITUTE(PROPER(TRIM(RawSalesTable6[[#This Row],[Payment_Method_Raw]])),"Cc","Credit Card"))</f>
        <v>Credit Card</v>
      </c>
      <c r="T642" s="8">
        <f>COUNTIF(A:A,RawSalesTable6[[#This Row],[Order_ID]])</f>
        <v>1</v>
      </c>
      <c r="U642" s="8" t="str">
        <f>TRIM(LEFT(RawSalesTable6[[#This Row],[Customer_Info]],FIND(",",RawSalesTable6[[#This Row],[Customer_Info]])-1))</f>
        <v>Noah Martin</v>
      </c>
      <c r="V642" s="8" t="str">
        <f>TRIM(MID(RawSalesTable6[[#This Row],[Customer_Info]],FIND(",",RawSalesTable6[[#This Row],[Customer_Info]])+1,FIND(",",RawSalesTable6[[#This Row],[Customer_Info]],FIND(",",RawSalesTable6[[#This Row],[Customer_Info]])+1)-FIND(",",RawSalesTable6[[#This Row],[Customer_Info]])-1))</f>
        <v>Saskatoon</v>
      </c>
      <c r="W642" s="8" t="str">
        <f>TRIM(RIGHT(RawSalesTable6[[#This Row],[Customer_Info]],LEN(RawSalesTable6[[#This Row],[Customer_Info]])-FIND(",",RawSalesTable6[[#This Row],[Customer_Info]],FIND(",",RawSalesTable6[[#This Row],[Customer_Info]])+1)))</f>
        <v>Small Business</v>
      </c>
      <c r="X642" s="8" t="str">
        <f>VLOOKUP(RawSalesTable6[[#This Row],[Product_ID_Clean]],ProductsTable[],2,FALSE)</f>
        <v>Cable Set</v>
      </c>
      <c r="Y642" s="8" t="str">
        <f>VLOOKUP(RawSalesTable6[[#This Row],[Product_ID_Clean]],ProductsTable[],3,FALSE)</f>
        <v>Accessories</v>
      </c>
      <c r="Z642" s="8">
        <f>VLOOKUP(RawSalesTable6[[#This Row],[Product_ID_Clean]],ProductsTable[],5,FALSE)</f>
        <v>200.16</v>
      </c>
      <c r="AA642" s="8">
        <f>RawSalesTable6[[#This Row],[Unit_Price]]*RawSalesTable6[[#This Row],[Quantity]]</f>
        <v>1098.33</v>
      </c>
      <c r="AB642" s="8">
        <f>RawSalesTable6[[#This Row],[Gross_Sales]]*RawSalesTable6[[#This Row],[Discount_Pct]]</f>
        <v>0</v>
      </c>
      <c r="AC642" s="8">
        <f>RawSalesTable6[[#This Row],[Gross_Sales]]-RawSalesTable6[[#This Row],[Discount_Amount]]</f>
        <v>1098.33</v>
      </c>
      <c r="AD642" s="8">
        <f>RawSalesTable6[[#This Row],[Unit_Cost]]*RawSalesTable6[[#This Row],[Quantity]]</f>
        <v>600.48</v>
      </c>
      <c r="AE642" s="8">
        <f>RawSalesTable6[[#This Row],[Net_Sales]]-RawSalesTable6[[#This Row],[Total_Cost]]</f>
        <v>497.84999999999991</v>
      </c>
      <c r="AF642" s="9">
        <f>RawSalesTable6[[#This Row],[Profit]]/RawSalesTable6[[#This Row],[Net_Sales]]</f>
        <v>0.45327906913222799</v>
      </c>
      <c r="AG642" s="8">
        <f>YEAR(RawSalesTable6[[#This Row],[Order_Date]])</f>
        <v>2025</v>
      </c>
      <c r="AH642" s="8">
        <f>MONTH(RawSalesTable6[[#This Row],[Order_Date]])</f>
        <v>1</v>
      </c>
      <c r="AI642" s="8" t="str">
        <f>TEXT(RawSalesTable6[[#This Row],[Order_Date]],"mmmm")</f>
        <v>janvier</v>
      </c>
      <c r="AJ642" s="8" t="str">
        <f>IF(RawSalesTable6[[#This Row],[Month_Number]]&lt;=3,"Q1",IF(RawSalesTable6[[#This Row],[Month_Number]]&lt;=6,"Q2",IF(RawSalesTable6[[#This Row],[Month_Number]]&lt;=9,"Q3","Q4")))</f>
        <v>Q1</v>
      </c>
      <c r="AK642" s="8" t="str">
        <f>VLOOKUP(RawSalesTable6[[#This Row],[Customer_ID_Clean]],CustomersTable[],4,FALSE)</f>
        <v>Saskatchewan</v>
      </c>
      <c r="AL642" s="8">
        <f>IF(RawSalesTable6[[#This Row],[Return_Status]]="Yes",1,0)</f>
        <v>0</v>
      </c>
    </row>
    <row r="643" spans="1:38">
      <c r="A643" t="s">
        <v>1088</v>
      </c>
      <c r="B643" s="3">
        <v>45703</v>
      </c>
      <c r="C643" t="s">
        <v>487</v>
      </c>
      <c r="D643" t="s">
        <v>503</v>
      </c>
      <c r="E643" t="s">
        <v>806</v>
      </c>
      <c r="F643" t="s">
        <v>116</v>
      </c>
      <c r="G643" t="s">
        <v>117</v>
      </c>
      <c r="H643" t="s">
        <v>97</v>
      </c>
      <c r="I643">
        <v>1</v>
      </c>
      <c r="J643" s="2">
        <v>122.63</v>
      </c>
      <c r="K643" s="4">
        <v>0</v>
      </c>
      <c r="L643" t="s">
        <v>106</v>
      </c>
      <c r="M643">
        <v>4</v>
      </c>
      <c r="N643" t="s">
        <v>91</v>
      </c>
      <c r="O643" t="str">
        <f>SUBSTITUTE(PROPER(TRIM(RawSalesTable6[[#This Row],[Channel_Raw]])),"Market Place","Marketplace")</f>
        <v>Retail Store</v>
      </c>
      <c r="P643" t="str">
        <f>TRIM(RawSalesTable6[[#This Row],[Product_ID]])</f>
        <v>P1013</v>
      </c>
      <c r="Q643" t="str">
        <f>TRIM(RawSalesTable6[[#This Row],[Customer_ID]])</f>
        <v>C0105</v>
      </c>
      <c r="R643" s="8" t="str">
        <f>PROPER(TRIM(RawSalesTable6[[#This Row],[Store_Raw]]))</f>
        <v>Toronto Downtown</v>
      </c>
      <c r="S643" s="8" t="str">
        <f>IF(TRIM(RawSalesTable6[[#This Row],[Payment_Method_Raw]])="","Non renseigné",SUBSTITUTE(PROPER(TRIM(RawSalesTable6[[#This Row],[Payment_Method_Raw]])),"Cc","Credit Card"))</f>
        <v>Credit Card</v>
      </c>
      <c r="T643" s="8">
        <f>COUNTIF(A:A,RawSalesTable6[[#This Row],[Order_ID]])</f>
        <v>1</v>
      </c>
      <c r="U643" s="8" t="str">
        <f>TRIM(LEFT(RawSalesTable6[[#This Row],[Customer_Info]],FIND(",",RawSalesTable6[[#This Row],[Customer_Info]])-1))</f>
        <v>Liam Martin</v>
      </c>
      <c r="V643" s="8" t="str">
        <f>TRIM(MID(RawSalesTable6[[#This Row],[Customer_Info]],FIND(",",RawSalesTable6[[#This Row],[Customer_Info]])+1,FIND(",",RawSalesTable6[[#This Row],[Customer_Info]],FIND(",",RawSalesTable6[[#This Row],[Customer_Info]])+1)-FIND(",",RawSalesTable6[[#This Row],[Customer_Info]])-1))</f>
        <v>Calgary</v>
      </c>
      <c r="W643" s="8" t="str">
        <f>TRIM(RIGHT(RawSalesTable6[[#This Row],[Customer_Info]],LEN(RawSalesTable6[[#This Row],[Customer_Info]])-FIND(",",RawSalesTable6[[#This Row],[Customer_Info]],FIND(",",RawSalesTable6[[#This Row],[Customer_Info]])+1)))</f>
        <v>Consumer</v>
      </c>
      <c r="X643" s="8" t="str">
        <f>VLOOKUP(RawSalesTable6[[#This Row],[Product_ID_Clean]],ProductsTable[],2,FALSE)</f>
        <v>Whiteboard</v>
      </c>
      <c r="Y643" s="8" t="str">
        <f>VLOOKUP(RawSalesTable6[[#This Row],[Product_ID_Clean]],ProductsTable[],3,FALSE)</f>
        <v>Office</v>
      </c>
      <c r="Z643" s="8">
        <f>VLOOKUP(RawSalesTable6[[#This Row],[Product_ID_Clean]],ProductsTable[],5,FALSE)</f>
        <v>85.73</v>
      </c>
      <c r="AA643" s="8">
        <f>RawSalesTable6[[#This Row],[Unit_Price]]*RawSalesTable6[[#This Row],[Quantity]]</f>
        <v>122.63</v>
      </c>
      <c r="AB643" s="8">
        <f>RawSalesTable6[[#This Row],[Gross_Sales]]*RawSalesTable6[[#This Row],[Discount_Pct]]</f>
        <v>0</v>
      </c>
      <c r="AC643" s="8">
        <f>RawSalesTable6[[#This Row],[Gross_Sales]]-RawSalesTable6[[#This Row],[Discount_Amount]]</f>
        <v>122.63</v>
      </c>
      <c r="AD643" s="8">
        <f>RawSalesTable6[[#This Row],[Unit_Cost]]*RawSalesTable6[[#This Row],[Quantity]]</f>
        <v>85.73</v>
      </c>
      <c r="AE643" s="8">
        <f>RawSalesTable6[[#This Row],[Net_Sales]]-RawSalesTable6[[#This Row],[Total_Cost]]</f>
        <v>36.899999999999991</v>
      </c>
      <c r="AF643" s="9">
        <f>RawSalesTable6[[#This Row],[Profit]]/RawSalesTable6[[#This Row],[Net_Sales]]</f>
        <v>0.30090516186903687</v>
      </c>
      <c r="AG643" s="8">
        <f>YEAR(RawSalesTable6[[#This Row],[Order_Date]])</f>
        <v>2025</v>
      </c>
      <c r="AH643" s="8">
        <f>MONTH(RawSalesTable6[[#This Row],[Order_Date]])</f>
        <v>2</v>
      </c>
      <c r="AI643" s="8" t="str">
        <f>TEXT(RawSalesTable6[[#This Row],[Order_Date]],"mmmm")</f>
        <v>février</v>
      </c>
      <c r="AJ643" s="8" t="str">
        <f>IF(RawSalesTable6[[#This Row],[Month_Number]]&lt;=3,"Q1",IF(RawSalesTable6[[#This Row],[Month_Number]]&lt;=6,"Q2",IF(RawSalesTable6[[#This Row],[Month_Number]]&lt;=9,"Q3","Q4")))</f>
        <v>Q1</v>
      </c>
      <c r="AK643" s="8" t="str">
        <f>VLOOKUP(RawSalesTable6[[#This Row],[Customer_ID_Clean]],CustomersTable[],4,FALSE)</f>
        <v>Alberta</v>
      </c>
      <c r="AL643" s="8">
        <f>IF(RawSalesTable6[[#This Row],[Return_Status]]="Yes",1,0)</f>
        <v>0</v>
      </c>
    </row>
    <row r="644" spans="1:38">
      <c r="A644" t="s">
        <v>1089</v>
      </c>
      <c r="B644" s="3">
        <v>46005</v>
      </c>
      <c r="C644" t="s">
        <v>236</v>
      </c>
      <c r="D644" t="s">
        <v>277</v>
      </c>
      <c r="E644" t="s">
        <v>1090</v>
      </c>
      <c r="F644" t="s">
        <v>111</v>
      </c>
      <c r="G644" t="s">
        <v>104</v>
      </c>
      <c r="H644" t="s">
        <v>89</v>
      </c>
      <c r="I644">
        <v>1</v>
      </c>
      <c r="J644" s="2">
        <v>379.66</v>
      </c>
      <c r="K644" s="4">
        <v>0</v>
      </c>
      <c r="L644" t="s">
        <v>90</v>
      </c>
      <c r="M644">
        <v>5</v>
      </c>
      <c r="N644" t="s">
        <v>91</v>
      </c>
      <c r="O644" t="str">
        <f>SUBSTITUTE(PROPER(TRIM(RawSalesTable6[[#This Row],[Channel_Raw]])),"Market Place","Marketplace")</f>
        <v>Online</v>
      </c>
      <c r="P644" t="str">
        <f>TRIM(RawSalesTable6[[#This Row],[Product_ID]])</f>
        <v>P1001</v>
      </c>
      <c r="Q644" t="str">
        <f>TRIM(RawSalesTable6[[#This Row],[Customer_ID]])</f>
        <v>C0102</v>
      </c>
      <c r="R644" s="8" t="str">
        <f>PROPER(TRIM(RawSalesTable6[[#This Row],[Store_Raw]]))</f>
        <v>Montreal Central</v>
      </c>
      <c r="S644" s="8" t="str">
        <f>IF(TRIM(RawSalesTable6[[#This Row],[Payment_Method_Raw]])="","Non renseigné",SUBSTITUTE(PROPER(TRIM(RawSalesTable6[[#This Row],[Payment_Method_Raw]])),"Cc","Credit Card"))</f>
        <v>Paypal</v>
      </c>
      <c r="T644" s="8">
        <f>COUNTIF(A:A,RawSalesTable6[[#This Row],[Order_ID]])</f>
        <v>1</v>
      </c>
      <c r="U644" s="8" t="str">
        <f>TRIM(LEFT(RawSalesTable6[[#This Row],[Customer_Info]],FIND(",",RawSalesTable6[[#This Row],[Customer_Info]])-1))</f>
        <v>Adam Roy</v>
      </c>
      <c r="V644" s="8" t="str">
        <f>TRIM(MID(RawSalesTable6[[#This Row],[Customer_Info]],FIND(",",RawSalesTable6[[#This Row],[Customer_Info]])+1,FIND(",",RawSalesTable6[[#This Row],[Customer_Info]],FIND(",",RawSalesTable6[[#This Row],[Customer_Info]])+1)-FIND(",",RawSalesTable6[[#This Row],[Customer_Info]])-1))</f>
        <v>Edmonton</v>
      </c>
      <c r="W644" s="8" t="str">
        <f>TRIM(RIGHT(RawSalesTable6[[#This Row],[Customer_Info]],LEN(RawSalesTable6[[#This Row],[Customer_Info]])-FIND(",",RawSalesTable6[[#This Row],[Customer_Info]],FIND(",",RawSalesTable6[[#This Row],[Customer_Info]])+1)))</f>
        <v>Corporate</v>
      </c>
      <c r="X644" s="8" t="str">
        <f>VLOOKUP(RawSalesTable6[[#This Row],[Product_ID_Clean]],ProductsTable[],2,FALSE)</f>
        <v>Headphones</v>
      </c>
      <c r="Y644" s="8" t="str">
        <f>VLOOKUP(RawSalesTable6[[#This Row],[Product_ID_Clean]],ProductsTable[],3,FALSE)</f>
        <v>Electronics</v>
      </c>
      <c r="Z644" s="8">
        <f>VLOOKUP(RawSalesTable6[[#This Row],[Product_ID_Clean]],ProductsTable[],5,FALSE)</f>
        <v>254.6</v>
      </c>
      <c r="AA644" s="8">
        <f>RawSalesTable6[[#This Row],[Unit_Price]]*RawSalesTable6[[#This Row],[Quantity]]</f>
        <v>379.66</v>
      </c>
      <c r="AB644" s="8">
        <f>RawSalesTable6[[#This Row],[Gross_Sales]]*RawSalesTable6[[#This Row],[Discount_Pct]]</f>
        <v>0</v>
      </c>
      <c r="AC644" s="8">
        <f>RawSalesTable6[[#This Row],[Gross_Sales]]-RawSalesTable6[[#This Row],[Discount_Amount]]</f>
        <v>379.66</v>
      </c>
      <c r="AD644" s="8">
        <f>RawSalesTable6[[#This Row],[Unit_Cost]]*RawSalesTable6[[#This Row],[Quantity]]</f>
        <v>254.6</v>
      </c>
      <c r="AE644" s="8">
        <f>RawSalesTable6[[#This Row],[Net_Sales]]-RawSalesTable6[[#This Row],[Total_Cost]]</f>
        <v>125.06000000000003</v>
      </c>
      <c r="AF644" s="9">
        <f>RawSalesTable6[[#This Row],[Profit]]/RawSalesTable6[[#This Row],[Net_Sales]]</f>
        <v>0.32939998946425753</v>
      </c>
      <c r="AG644" s="8">
        <f>YEAR(RawSalesTable6[[#This Row],[Order_Date]])</f>
        <v>2025</v>
      </c>
      <c r="AH644" s="8">
        <f>MONTH(RawSalesTable6[[#This Row],[Order_Date]])</f>
        <v>12</v>
      </c>
      <c r="AI644" s="8" t="str">
        <f>TEXT(RawSalesTable6[[#This Row],[Order_Date]],"mmmm")</f>
        <v>décembre</v>
      </c>
      <c r="AJ644" s="8" t="str">
        <f>IF(RawSalesTable6[[#This Row],[Month_Number]]&lt;=3,"Q1",IF(RawSalesTable6[[#This Row],[Month_Number]]&lt;=6,"Q2",IF(RawSalesTable6[[#This Row],[Month_Number]]&lt;=9,"Q3","Q4")))</f>
        <v>Q4</v>
      </c>
      <c r="AK644" s="8" t="str">
        <f>VLOOKUP(RawSalesTable6[[#This Row],[Customer_ID_Clean]],CustomersTable[],4,FALSE)</f>
        <v>Alberta</v>
      </c>
      <c r="AL644" s="8">
        <f>IF(RawSalesTable6[[#This Row],[Return_Status]]="Yes",1,0)</f>
        <v>0</v>
      </c>
    </row>
    <row r="645" spans="1:38">
      <c r="A645" t="s">
        <v>1091</v>
      </c>
      <c r="B645" s="3">
        <v>45685</v>
      </c>
      <c r="C645" t="s">
        <v>543</v>
      </c>
      <c r="D645" t="s">
        <v>136</v>
      </c>
      <c r="E645" t="s">
        <v>589</v>
      </c>
      <c r="F645" t="s">
        <v>116</v>
      </c>
      <c r="G645" t="s">
        <v>96</v>
      </c>
      <c r="H645" t="s">
        <v>89</v>
      </c>
      <c r="I645">
        <v>2</v>
      </c>
      <c r="J645" s="2">
        <v>164.07</v>
      </c>
      <c r="K645" s="4">
        <v>0</v>
      </c>
      <c r="L645" t="s">
        <v>106</v>
      </c>
      <c r="M645">
        <v>5</v>
      </c>
      <c r="N645" t="s">
        <v>91</v>
      </c>
      <c r="O645" t="str">
        <f>SUBSTITUTE(PROPER(TRIM(RawSalesTable6[[#This Row],[Channel_Raw]])),"Market Place","Marketplace")</f>
        <v>Online</v>
      </c>
      <c r="P645" t="str">
        <f>TRIM(RawSalesTable6[[#This Row],[Product_ID]])</f>
        <v>P1003</v>
      </c>
      <c r="Q645" t="str">
        <f>TRIM(RawSalesTable6[[#This Row],[Customer_ID]])</f>
        <v>C0031</v>
      </c>
      <c r="R645" s="8" t="str">
        <f>PROPER(TRIM(RawSalesTable6[[#This Row],[Store_Raw]]))</f>
        <v>Toronto Downtown</v>
      </c>
      <c r="S645" s="8" t="str">
        <f>IF(TRIM(RawSalesTable6[[#This Row],[Payment_Method_Raw]])="","Non renseigné",SUBSTITUTE(PROPER(TRIM(RawSalesTable6[[#This Row],[Payment_Method_Raw]])),"Cc","Credit Card"))</f>
        <v>Credit Card</v>
      </c>
      <c r="T645" s="8">
        <f>COUNTIF(A:A,RawSalesTable6[[#This Row],[Order_ID]])</f>
        <v>1</v>
      </c>
      <c r="U645" s="8" t="str">
        <f>TRIM(LEFT(RawSalesTable6[[#This Row],[Customer_Info]],FIND(",",RawSalesTable6[[#This Row],[Customer_Info]])-1))</f>
        <v>Leo Gagnon</v>
      </c>
      <c r="V645" s="8" t="str">
        <f>TRIM(MID(RawSalesTable6[[#This Row],[Customer_Info]],FIND(",",RawSalesTable6[[#This Row],[Customer_Info]])+1,FIND(",",RawSalesTable6[[#This Row],[Customer_Info]],FIND(",",RawSalesTable6[[#This Row],[Customer_Info]])+1)-FIND(",",RawSalesTable6[[#This Row],[Customer_Info]])-1))</f>
        <v>Surrey</v>
      </c>
      <c r="W645" s="8" t="str">
        <f>TRIM(RIGHT(RawSalesTable6[[#This Row],[Customer_Info]],LEN(RawSalesTable6[[#This Row],[Customer_Info]])-FIND(",",RawSalesTable6[[#This Row],[Customer_Info]],FIND(",",RawSalesTable6[[#This Row],[Customer_Info]])+1)))</f>
        <v>Small Business</v>
      </c>
      <c r="X645" s="8" t="str">
        <f>VLOOKUP(RawSalesTable6[[#This Row],[Product_ID_Clean]],ProductsTable[],2,FALSE)</f>
        <v>Mouse</v>
      </c>
      <c r="Y645" s="8" t="str">
        <f>VLOOKUP(RawSalesTable6[[#This Row],[Product_ID_Clean]],ProductsTable[],3,FALSE)</f>
        <v>Electronics</v>
      </c>
      <c r="Z645" s="8">
        <f>VLOOKUP(RawSalesTable6[[#This Row],[Product_ID_Clean]],ProductsTable[],5,FALSE)</f>
        <v>106.4</v>
      </c>
      <c r="AA645" s="8">
        <f>RawSalesTable6[[#This Row],[Unit_Price]]*RawSalesTable6[[#This Row],[Quantity]]</f>
        <v>328.14</v>
      </c>
      <c r="AB645" s="8">
        <f>RawSalesTable6[[#This Row],[Gross_Sales]]*RawSalesTable6[[#This Row],[Discount_Pct]]</f>
        <v>0</v>
      </c>
      <c r="AC645" s="8">
        <f>RawSalesTable6[[#This Row],[Gross_Sales]]-RawSalesTable6[[#This Row],[Discount_Amount]]</f>
        <v>328.14</v>
      </c>
      <c r="AD645" s="8">
        <f>RawSalesTable6[[#This Row],[Unit_Cost]]*RawSalesTable6[[#This Row],[Quantity]]</f>
        <v>212.8</v>
      </c>
      <c r="AE645" s="8">
        <f>RawSalesTable6[[#This Row],[Net_Sales]]-RawSalesTable6[[#This Row],[Total_Cost]]</f>
        <v>115.33999999999997</v>
      </c>
      <c r="AF645" s="9">
        <f>RawSalesTable6[[#This Row],[Profit]]/RawSalesTable6[[#This Row],[Net_Sales]]</f>
        <v>0.35149631254952146</v>
      </c>
      <c r="AG645" s="8">
        <f>YEAR(RawSalesTable6[[#This Row],[Order_Date]])</f>
        <v>2025</v>
      </c>
      <c r="AH645" s="8">
        <f>MONTH(RawSalesTable6[[#This Row],[Order_Date]])</f>
        <v>1</v>
      </c>
      <c r="AI645" s="8" t="str">
        <f>TEXT(RawSalesTable6[[#This Row],[Order_Date]],"mmmm")</f>
        <v>janvier</v>
      </c>
      <c r="AJ645" s="8" t="str">
        <f>IF(RawSalesTable6[[#This Row],[Month_Number]]&lt;=3,"Q1",IF(RawSalesTable6[[#This Row],[Month_Number]]&lt;=6,"Q2",IF(RawSalesTable6[[#This Row],[Month_Number]]&lt;=9,"Q3","Q4")))</f>
        <v>Q1</v>
      </c>
      <c r="AK645" s="8" t="str">
        <f>VLOOKUP(RawSalesTable6[[#This Row],[Customer_ID_Clean]],CustomersTable[],4,FALSE)</f>
        <v>British Columbia</v>
      </c>
      <c r="AL645" s="8">
        <f>IF(RawSalesTable6[[#This Row],[Return_Status]]="Yes",1,0)</f>
        <v>0</v>
      </c>
    </row>
    <row r="646" spans="1:38">
      <c r="A646" t="s">
        <v>1092</v>
      </c>
      <c r="B646" s="3">
        <v>45817</v>
      </c>
      <c r="C646" t="s">
        <v>220</v>
      </c>
      <c r="D646" t="s">
        <v>109</v>
      </c>
      <c r="E646" t="s">
        <v>222</v>
      </c>
      <c r="F646" t="s">
        <v>103</v>
      </c>
      <c r="G646" t="s">
        <v>122</v>
      </c>
      <c r="H646" t="s">
        <v>89</v>
      </c>
      <c r="I646">
        <v>3</v>
      </c>
      <c r="J646" s="2">
        <v>205.35</v>
      </c>
      <c r="K646" s="4">
        <v>0.1</v>
      </c>
      <c r="L646" t="s">
        <v>106</v>
      </c>
      <c r="M646">
        <v>6</v>
      </c>
      <c r="N646" t="s">
        <v>91</v>
      </c>
      <c r="O646" t="str">
        <f>SUBSTITUTE(PROPER(TRIM(RawSalesTable6[[#This Row],[Channel_Raw]])),"Market Place","Marketplace")</f>
        <v>Online</v>
      </c>
      <c r="P646" t="str">
        <f>TRIM(RawSalesTable6[[#This Row],[Product_ID]])</f>
        <v>P1032</v>
      </c>
      <c r="Q646" t="str">
        <f>TRIM(RawSalesTable6[[#This Row],[Customer_ID]])</f>
        <v>C0067</v>
      </c>
      <c r="R646" s="8" t="str">
        <f>PROPER(TRIM(RawSalesTable6[[#This Row],[Store_Raw]]))</f>
        <v>Vancouver West</v>
      </c>
      <c r="S646" s="8" t="str">
        <f>IF(TRIM(RawSalesTable6[[#This Row],[Payment_Method_Raw]])="","Non renseigné",SUBSTITUTE(PROPER(TRIM(RawSalesTable6[[#This Row],[Payment_Method_Raw]])),"Cc","Credit Card"))</f>
        <v>Credit Card</v>
      </c>
      <c r="T646" s="8">
        <f>COUNTIF(A:A,RawSalesTable6[[#This Row],[Order_ID]])</f>
        <v>1</v>
      </c>
      <c r="U646" s="8" t="str">
        <f>TRIM(LEFT(RawSalesTable6[[#This Row],[Customer_Info]],FIND(",",RawSalesTable6[[#This Row],[Customer_Info]])-1))</f>
        <v>Leo Bennett</v>
      </c>
      <c r="V646" s="8" t="str">
        <f>TRIM(MID(RawSalesTable6[[#This Row],[Customer_Info]],FIND(",",RawSalesTable6[[#This Row],[Customer_Info]])+1,FIND(",",RawSalesTable6[[#This Row],[Customer_Info]],FIND(",",RawSalesTable6[[#This Row],[Customer_Info]])+1)-FIND(",",RawSalesTable6[[#This Row],[Customer_Info]])-1))</f>
        <v>Mississauga</v>
      </c>
      <c r="W646" s="8" t="str">
        <f>TRIM(RIGHT(RawSalesTable6[[#This Row],[Customer_Info]],LEN(RawSalesTable6[[#This Row],[Customer_Info]])-FIND(",",RawSalesTable6[[#This Row],[Customer_Info]],FIND(",",RawSalesTable6[[#This Row],[Customer_Info]])+1)))</f>
        <v>Consumer</v>
      </c>
      <c r="X646" s="8" t="str">
        <f>VLOOKUP(RawSalesTable6[[#This Row],[Product_ID_Clean]],ProductsTable[],2,FALSE)</f>
        <v>Gym Bag</v>
      </c>
      <c r="Y646" s="8" t="str">
        <f>VLOOKUP(RawSalesTable6[[#This Row],[Product_ID_Clean]],ProductsTable[],3,FALSE)</f>
        <v>Fitness</v>
      </c>
      <c r="Z646" s="8">
        <f>VLOOKUP(RawSalesTable6[[#This Row],[Product_ID_Clean]],ProductsTable[],5,FALSE)</f>
        <v>132.72</v>
      </c>
      <c r="AA646" s="8">
        <f>RawSalesTable6[[#This Row],[Unit_Price]]*RawSalesTable6[[#This Row],[Quantity]]</f>
        <v>616.04999999999995</v>
      </c>
      <c r="AB646" s="8">
        <f>RawSalesTable6[[#This Row],[Gross_Sales]]*RawSalesTable6[[#This Row],[Discount_Pct]]</f>
        <v>61.604999999999997</v>
      </c>
      <c r="AC646" s="8">
        <f>RawSalesTable6[[#This Row],[Gross_Sales]]-RawSalesTable6[[#This Row],[Discount_Amount]]</f>
        <v>554.44499999999994</v>
      </c>
      <c r="AD646" s="8">
        <f>RawSalesTable6[[#This Row],[Unit_Cost]]*RawSalesTable6[[#This Row],[Quantity]]</f>
        <v>398.15999999999997</v>
      </c>
      <c r="AE646" s="8">
        <f>RawSalesTable6[[#This Row],[Net_Sales]]-RawSalesTable6[[#This Row],[Total_Cost]]</f>
        <v>156.28499999999997</v>
      </c>
      <c r="AF646" s="9">
        <f>RawSalesTable6[[#This Row],[Profit]]/RawSalesTable6[[#This Row],[Net_Sales]]</f>
        <v>0.28187647106566022</v>
      </c>
      <c r="AG646" s="8">
        <f>YEAR(RawSalesTable6[[#This Row],[Order_Date]])</f>
        <v>2025</v>
      </c>
      <c r="AH646" s="8">
        <f>MONTH(RawSalesTable6[[#This Row],[Order_Date]])</f>
        <v>6</v>
      </c>
      <c r="AI646" s="8" t="str">
        <f>TEXT(RawSalesTable6[[#This Row],[Order_Date]],"mmmm")</f>
        <v>juin</v>
      </c>
      <c r="AJ646" s="8" t="str">
        <f>IF(RawSalesTable6[[#This Row],[Month_Number]]&lt;=3,"Q1",IF(RawSalesTable6[[#This Row],[Month_Number]]&lt;=6,"Q2",IF(RawSalesTable6[[#This Row],[Month_Number]]&lt;=9,"Q3","Q4")))</f>
        <v>Q2</v>
      </c>
      <c r="AK646" s="8" t="str">
        <f>VLOOKUP(RawSalesTable6[[#This Row],[Customer_ID_Clean]],CustomersTable[],4,FALSE)</f>
        <v>Ontario</v>
      </c>
      <c r="AL646" s="8">
        <f>IF(RawSalesTable6[[#This Row],[Return_Status]]="Yes",1,0)</f>
        <v>0</v>
      </c>
    </row>
    <row r="647" spans="1:38">
      <c r="A647" t="s">
        <v>1093</v>
      </c>
      <c r="B647" s="3">
        <v>45906</v>
      </c>
      <c r="C647" t="s">
        <v>93</v>
      </c>
      <c r="D647" t="s">
        <v>136</v>
      </c>
      <c r="E647" t="s">
        <v>95</v>
      </c>
      <c r="F647" t="s">
        <v>103</v>
      </c>
      <c r="G647" t="s">
        <v>96</v>
      </c>
      <c r="H647" t="s">
        <v>89</v>
      </c>
      <c r="I647">
        <v>2</v>
      </c>
      <c r="J647" s="2">
        <v>163.54</v>
      </c>
      <c r="K647" s="4">
        <v>0.1</v>
      </c>
      <c r="L647" t="s">
        <v>98</v>
      </c>
      <c r="M647">
        <v>4</v>
      </c>
      <c r="N647" t="s">
        <v>91</v>
      </c>
      <c r="O647" t="str">
        <f>SUBSTITUTE(PROPER(TRIM(RawSalesTable6[[#This Row],[Channel_Raw]])),"Market Place","Marketplace")</f>
        <v>Online</v>
      </c>
      <c r="P647" t="str">
        <f>TRIM(RawSalesTable6[[#This Row],[Product_ID]])</f>
        <v>P1003</v>
      </c>
      <c r="Q647" t="str">
        <f>TRIM(RawSalesTable6[[#This Row],[Customer_ID]])</f>
        <v>C0084</v>
      </c>
      <c r="R647" s="8" t="str">
        <f>PROPER(TRIM(RawSalesTable6[[#This Row],[Store_Raw]]))</f>
        <v>Vancouver West</v>
      </c>
      <c r="S647" s="8" t="str">
        <f>IF(TRIM(RawSalesTable6[[#This Row],[Payment_Method_Raw]])="","Non renseigné",SUBSTITUTE(PROPER(TRIM(RawSalesTable6[[#This Row],[Payment_Method_Raw]])),"Cc","Credit Card"))</f>
        <v>Debit Card</v>
      </c>
      <c r="T647" s="8">
        <f>COUNTIF(A:A,RawSalesTable6[[#This Row],[Order_ID]])</f>
        <v>1</v>
      </c>
      <c r="U647" s="8" t="str">
        <f>TRIM(LEFT(RawSalesTable6[[#This Row],[Customer_Info]],FIND(",",RawSalesTable6[[#This Row],[Customer_Info]])-1))</f>
        <v>Ryan Clark</v>
      </c>
      <c r="V647" s="8" t="str">
        <f>TRIM(MID(RawSalesTable6[[#This Row],[Customer_Info]],FIND(",",RawSalesTable6[[#This Row],[Customer_Info]])+1,FIND(",",RawSalesTable6[[#This Row],[Customer_Info]],FIND(",",RawSalesTable6[[#This Row],[Customer_Info]])+1)-FIND(",",RawSalesTable6[[#This Row],[Customer_Info]])-1))</f>
        <v>Montreal</v>
      </c>
      <c r="W647" s="8" t="str">
        <f>TRIM(RIGHT(RawSalesTable6[[#This Row],[Customer_Info]],LEN(RawSalesTable6[[#This Row],[Customer_Info]])-FIND(",",RawSalesTable6[[#This Row],[Customer_Info]],FIND(",",RawSalesTable6[[#This Row],[Customer_Info]])+1)))</f>
        <v>Corporate</v>
      </c>
      <c r="X647" s="8" t="str">
        <f>VLOOKUP(RawSalesTable6[[#This Row],[Product_ID_Clean]],ProductsTable[],2,FALSE)</f>
        <v>Mouse</v>
      </c>
      <c r="Y647" s="8" t="str">
        <f>VLOOKUP(RawSalesTable6[[#This Row],[Product_ID_Clean]],ProductsTable[],3,FALSE)</f>
        <v>Electronics</v>
      </c>
      <c r="Z647" s="8">
        <f>VLOOKUP(RawSalesTable6[[#This Row],[Product_ID_Clean]],ProductsTable[],5,FALSE)</f>
        <v>106.4</v>
      </c>
      <c r="AA647" s="8">
        <f>RawSalesTable6[[#This Row],[Unit_Price]]*RawSalesTable6[[#This Row],[Quantity]]</f>
        <v>327.08</v>
      </c>
      <c r="AB647" s="8">
        <f>RawSalesTable6[[#This Row],[Gross_Sales]]*RawSalesTable6[[#This Row],[Discount_Pct]]</f>
        <v>32.707999999999998</v>
      </c>
      <c r="AC647" s="8">
        <f>RawSalesTable6[[#This Row],[Gross_Sales]]-RawSalesTable6[[#This Row],[Discount_Amount]]</f>
        <v>294.37199999999996</v>
      </c>
      <c r="AD647" s="8">
        <f>RawSalesTable6[[#This Row],[Unit_Cost]]*RawSalesTable6[[#This Row],[Quantity]]</f>
        <v>212.8</v>
      </c>
      <c r="AE647" s="8">
        <f>RawSalesTable6[[#This Row],[Net_Sales]]-RawSalesTable6[[#This Row],[Total_Cost]]</f>
        <v>81.571999999999946</v>
      </c>
      <c r="AF647" s="9">
        <f>RawSalesTable6[[#This Row],[Profit]]/RawSalesTable6[[#This Row],[Net_Sales]]</f>
        <v>0.27710515945810049</v>
      </c>
      <c r="AG647" s="8">
        <f>YEAR(RawSalesTable6[[#This Row],[Order_Date]])</f>
        <v>2025</v>
      </c>
      <c r="AH647" s="8">
        <f>MONTH(RawSalesTable6[[#This Row],[Order_Date]])</f>
        <v>9</v>
      </c>
      <c r="AI647" s="8" t="str">
        <f>TEXT(RawSalesTable6[[#This Row],[Order_Date]],"mmmm")</f>
        <v>septembre</v>
      </c>
      <c r="AJ647" s="8" t="str">
        <f>IF(RawSalesTable6[[#This Row],[Month_Number]]&lt;=3,"Q1",IF(RawSalesTable6[[#This Row],[Month_Number]]&lt;=6,"Q2",IF(RawSalesTable6[[#This Row],[Month_Number]]&lt;=9,"Q3","Q4")))</f>
        <v>Q3</v>
      </c>
      <c r="AK647" s="8" t="str">
        <f>VLOOKUP(RawSalesTable6[[#This Row],[Customer_ID_Clean]],CustomersTable[],4,FALSE)</f>
        <v>Quebec</v>
      </c>
      <c r="AL647" s="8">
        <f>IF(RawSalesTable6[[#This Row],[Return_Status]]="Yes",1,0)</f>
        <v>0</v>
      </c>
    </row>
    <row r="648" spans="1:38">
      <c r="A648" t="s">
        <v>1094</v>
      </c>
      <c r="B648" s="3">
        <v>45912</v>
      </c>
      <c r="C648" t="s">
        <v>124</v>
      </c>
      <c r="D648" t="s">
        <v>323</v>
      </c>
      <c r="E648" t="s">
        <v>1095</v>
      </c>
      <c r="F648" t="s">
        <v>145</v>
      </c>
      <c r="G648" t="s">
        <v>183</v>
      </c>
      <c r="H648" t="s">
        <v>246</v>
      </c>
      <c r="I648">
        <v>2</v>
      </c>
      <c r="J648" s="2">
        <v>323.04000000000002</v>
      </c>
      <c r="K648" s="4">
        <v>0.05</v>
      </c>
      <c r="L648" t="s">
        <v>98</v>
      </c>
      <c r="M648">
        <v>1</v>
      </c>
      <c r="N648" t="s">
        <v>91</v>
      </c>
      <c r="O648" t="str">
        <f>SUBSTITUTE(PROPER(TRIM(RawSalesTable6[[#This Row],[Channel_Raw]])),"Market Place","Marketplace")</f>
        <v>Retail Store</v>
      </c>
      <c r="P648" t="str">
        <f>TRIM(RawSalesTable6[[#This Row],[Product_ID]])</f>
        <v>P1023</v>
      </c>
      <c r="Q648" t="str">
        <f>TRIM(RawSalesTable6[[#This Row],[Customer_ID]])</f>
        <v>C0021</v>
      </c>
      <c r="R648" s="8" t="str">
        <f>PROPER(TRIM(RawSalesTable6[[#This Row],[Store_Raw]]))</f>
        <v>Calgary North</v>
      </c>
      <c r="S648" s="8" t="str">
        <f>IF(TRIM(RawSalesTable6[[#This Row],[Payment_Method_Raw]])="","Non renseigné",SUBSTITUTE(PROPER(TRIM(RawSalesTable6[[#This Row],[Payment_Method_Raw]])),"Cc","Credit Card"))</f>
        <v>Debit Card</v>
      </c>
      <c r="T648" s="8">
        <f>COUNTIF(A:A,RawSalesTable6[[#This Row],[Order_ID]])</f>
        <v>1</v>
      </c>
      <c r="U648" s="8" t="str">
        <f>TRIM(LEFT(RawSalesTable6[[#This Row],[Customer_Info]],FIND(",",RawSalesTable6[[#This Row],[Customer_Info]])-1))</f>
        <v>Nora King</v>
      </c>
      <c r="V648" s="8" t="str">
        <f>TRIM(MID(RawSalesTable6[[#This Row],[Customer_Info]],FIND(",",RawSalesTable6[[#This Row],[Customer_Info]])+1,FIND(",",RawSalesTable6[[#This Row],[Customer_Info]],FIND(",",RawSalesTable6[[#This Row],[Customer_Info]])+1)-FIND(",",RawSalesTable6[[#This Row],[Customer_Info]])-1))</f>
        <v>Halifax</v>
      </c>
      <c r="W648" s="8" t="str">
        <f>TRIM(RIGHT(RawSalesTable6[[#This Row],[Customer_Info]],LEN(RawSalesTable6[[#This Row],[Customer_Info]])-FIND(",",RawSalesTable6[[#This Row],[Customer_Info]],FIND(",",RawSalesTable6[[#This Row],[Customer_Info]])+1)))</f>
        <v>Corporate</v>
      </c>
      <c r="X648" s="8" t="str">
        <f>VLOOKUP(RawSalesTable6[[#This Row],[Product_ID_Clean]],ProductsTable[],2,FALSE)</f>
        <v>Toaster</v>
      </c>
      <c r="Y648" s="8" t="str">
        <f>VLOOKUP(RawSalesTable6[[#This Row],[Product_ID_Clean]],ProductsTable[],3,FALSE)</f>
        <v>Home</v>
      </c>
      <c r="Z648" s="8">
        <f>VLOOKUP(RawSalesTable6[[#This Row],[Product_ID_Clean]],ProductsTable[],5,FALSE)</f>
        <v>152.88</v>
      </c>
      <c r="AA648" s="8">
        <f>RawSalesTable6[[#This Row],[Unit_Price]]*RawSalesTable6[[#This Row],[Quantity]]</f>
        <v>646.08000000000004</v>
      </c>
      <c r="AB648" s="8">
        <f>RawSalesTable6[[#This Row],[Gross_Sales]]*RawSalesTable6[[#This Row],[Discount_Pct]]</f>
        <v>32.304000000000002</v>
      </c>
      <c r="AC648" s="8">
        <f>RawSalesTable6[[#This Row],[Gross_Sales]]-RawSalesTable6[[#This Row],[Discount_Amount]]</f>
        <v>613.77600000000007</v>
      </c>
      <c r="AD648" s="8">
        <f>RawSalesTable6[[#This Row],[Unit_Cost]]*RawSalesTable6[[#This Row],[Quantity]]</f>
        <v>305.76</v>
      </c>
      <c r="AE648" s="8">
        <f>RawSalesTable6[[#This Row],[Net_Sales]]-RawSalesTable6[[#This Row],[Total_Cost]]</f>
        <v>308.01600000000008</v>
      </c>
      <c r="AF648" s="9">
        <f>RawSalesTable6[[#This Row],[Profit]]/RawSalesTable6[[#This Row],[Net_Sales]]</f>
        <v>0.50183780401970757</v>
      </c>
      <c r="AG648" s="8">
        <f>YEAR(RawSalesTable6[[#This Row],[Order_Date]])</f>
        <v>2025</v>
      </c>
      <c r="AH648" s="8">
        <f>MONTH(RawSalesTable6[[#This Row],[Order_Date]])</f>
        <v>9</v>
      </c>
      <c r="AI648" s="8" t="str">
        <f>TEXT(RawSalesTable6[[#This Row],[Order_Date]],"mmmm")</f>
        <v>septembre</v>
      </c>
      <c r="AJ648" s="8" t="str">
        <f>IF(RawSalesTable6[[#This Row],[Month_Number]]&lt;=3,"Q1",IF(RawSalesTable6[[#This Row],[Month_Number]]&lt;=6,"Q2",IF(RawSalesTable6[[#This Row],[Month_Number]]&lt;=9,"Q3","Q4")))</f>
        <v>Q3</v>
      </c>
      <c r="AK648" s="8" t="str">
        <f>VLOOKUP(RawSalesTable6[[#This Row],[Customer_ID_Clean]],CustomersTable[],4,FALSE)</f>
        <v>Nova Scotia</v>
      </c>
      <c r="AL648" s="8">
        <f>IF(RawSalesTable6[[#This Row],[Return_Status]]="Yes",1,0)</f>
        <v>0</v>
      </c>
    </row>
    <row r="649" spans="1:38">
      <c r="A649" t="s">
        <v>1096</v>
      </c>
      <c r="B649" s="3">
        <v>45787</v>
      </c>
      <c r="C649" t="s">
        <v>427</v>
      </c>
      <c r="D649" t="s">
        <v>133</v>
      </c>
      <c r="E649" t="s">
        <v>428</v>
      </c>
      <c r="F649" t="s">
        <v>103</v>
      </c>
      <c r="G649" t="s">
        <v>88</v>
      </c>
      <c r="H649" t="s">
        <v>89</v>
      </c>
      <c r="I649">
        <v>2</v>
      </c>
      <c r="J649" s="2">
        <v>336.56</v>
      </c>
      <c r="K649" s="4">
        <v>0.25</v>
      </c>
      <c r="L649" t="s">
        <v>154</v>
      </c>
      <c r="M649">
        <v>6</v>
      </c>
      <c r="N649" t="s">
        <v>91</v>
      </c>
      <c r="O649" t="str">
        <f>SUBSTITUTE(PROPER(TRIM(RawSalesTable6[[#This Row],[Channel_Raw]])),"Market Place","Marketplace")</f>
        <v>Online</v>
      </c>
      <c r="P649" t="str">
        <f>TRIM(RawSalesTable6[[#This Row],[Product_ID]])</f>
        <v>P1039</v>
      </c>
      <c r="Q649" t="str">
        <f>TRIM(RawSalesTable6[[#This Row],[Customer_ID]])</f>
        <v>C0062</v>
      </c>
      <c r="R649" s="8" t="str">
        <f>PROPER(TRIM(RawSalesTable6[[#This Row],[Store_Raw]]))</f>
        <v>Vancouver West</v>
      </c>
      <c r="S649" s="8" t="str">
        <f>IF(TRIM(RawSalesTable6[[#This Row],[Payment_Method_Raw]])="","Non renseigné",SUBSTITUTE(PROPER(TRIM(RawSalesTable6[[#This Row],[Payment_Method_Raw]])),"Cc","Credit Card"))</f>
        <v>Gift Card</v>
      </c>
      <c r="T649" s="8">
        <f>COUNTIF(A:A,RawSalesTable6[[#This Row],[Order_ID]])</f>
        <v>1</v>
      </c>
      <c r="U649" s="8" t="str">
        <f>TRIM(LEFT(RawSalesTable6[[#This Row],[Customer_Info]],FIND(",",RawSalesTable6[[#This Row],[Customer_Info]])-1))</f>
        <v>Yasmine Scott</v>
      </c>
      <c r="V649" s="8" t="str">
        <f>TRIM(MID(RawSalesTable6[[#This Row],[Customer_Info]],FIND(",",RawSalesTable6[[#This Row],[Customer_Info]])+1,FIND(",",RawSalesTable6[[#This Row],[Customer_Info]],FIND(",",RawSalesTable6[[#This Row],[Customer_Info]])+1)-FIND(",",RawSalesTable6[[#This Row],[Customer_Info]])-1))</f>
        <v>Toronto</v>
      </c>
      <c r="W649" s="8" t="str">
        <f>TRIM(RIGHT(RawSalesTable6[[#This Row],[Customer_Info]],LEN(RawSalesTable6[[#This Row],[Customer_Info]])-FIND(",",RawSalesTable6[[#This Row],[Customer_Info]],FIND(",",RawSalesTable6[[#This Row],[Customer_Info]])+1)))</f>
        <v>Consumer</v>
      </c>
      <c r="X649" s="8" t="str">
        <f>VLOOKUP(RawSalesTable6[[#This Row],[Product_ID_Clean]],ProductsTable[],2,FALSE)</f>
        <v>Travel Adapter</v>
      </c>
      <c r="Y649" s="8" t="str">
        <f>VLOOKUP(RawSalesTable6[[#This Row],[Product_ID_Clean]],ProductsTable[],3,FALSE)</f>
        <v>Accessories</v>
      </c>
      <c r="Z649" s="8">
        <f>VLOOKUP(RawSalesTable6[[#This Row],[Product_ID_Clean]],ProductsTable[],5,FALSE)</f>
        <v>229.86</v>
      </c>
      <c r="AA649" s="8">
        <f>RawSalesTable6[[#This Row],[Unit_Price]]*RawSalesTable6[[#This Row],[Quantity]]</f>
        <v>673.12</v>
      </c>
      <c r="AB649" s="8">
        <f>RawSalesTable6[[#This Row],[Gross_Sales]]*RawSalesTable6[[#This Row],[Discount_Pct]]</f>
        <v>168.28</v>
      </c>
      <c r="AC649" s="8">
        <f>RawSalesTable6[[#This Row],[Gross_Sales]]-RawSalesTable6[[#This Row],[Discount_Amount]]</f>
        <v>504.84000000000003</v>
      </c>
      <c r="AD649" s="8">
        <f>RawSalesTable6[[#This Row],[Unit_Cost]]*RawSalesTable6[[#This Row],[Quantity]]</f>
        <v>459.72</v>
      </c>
      <c r="AE649" s="8">
        <f>RawSalesTable6[[#This Row],[Net_Sales]]-RawSalesTable6[[#This Row],[Total_Cost]]</f>
        <v>45.120000000000005</v>
      </c>
      <c r="AF649" s="9">
        <f>RawSalesTable6[[#This Row],[Profit]]/RawSalesTable6[[#This Row],[Net_Sales]]</f>
        <v>8.9374851438079397E-2</v>
      </c>
      <c r="AG649" s="8">
        <f>YEAR(RawSalesTable6[[#This Row],[Order_Date]])</f>
        <v>2025</v>
      </c>
      <c r="AH649" s="8">
        <f>MONTH(RawSalesTable6[[#This Row],[Order_Date]])</f>
        <v>5</v>
      </c>
      <c r="AI649" s="8" t="str">
        <f>TEXT(RawSalesTable6[[#This Row],[Order_Date]],"mmmm")</f>
        <v>mai</v>
      </c>
      <c r="AJ649" s="8" t="str">
        <f>IF(RawSalesTable6[[#This Row],[Month_Number]]&lt;=3,"Q1",IF(RawSalesTable6[[#This Row],[Month_Number]]&lt;=6,"Q2",IF(RawSalesTable6[[#This Row],[Month_Number]]&lt;=9,"Q3","Q4")))</f>
        <v>Q2</v>
      </c>
      <c r="AK649" s="8" t="str">
        <f>VLOOKUP(RawSalesTable6[[#This Row],[Customer_ID_Clean]],CustomersTable[],4,FALSE)</f>
        <v>Ontario</v>
      </c>
      <c r="AL649" s="8">
        <f>IF(RawSalesTable6[[#This Row],[Return_Status]]="Yes",1,0)</f>
        <v>0</v>
      </c>
    </row>
    <row r="650" spans="1:38">
      <c r="A650" t="s">
        <v>1097</v>
      </c>
      <c r="B650" s="3">
        <v>46006</v>
      </c>
      <c r="C650" t="s">
        <v>463</v>
      </c>
      <c r="D650" t="s">
        <v>261</v>
      </c>
      <c r="E650" t="s">
        <v>464</v>
      </c>
      <c r="F650" t="s">
        <v>116</v>
      </c>
      <c r="G650" t="s">
        <v>171</v>
      </c>
      <c r="H650" t="s">
        <v>89</v>
      </c>
      <c r="I650">
        <v>2</v>
      </c>
      <c r="J650" s="2">
        <v>263.13</v>
      </c>
      <c r="K650" s="4">
        <v>0</v>
      </c>
      <c r="L650" t="s">
        <v>106</v>
      </c>
      <c r="M650">
        <v>4</v>
      </c>
      <c r="N650" t="s">
        <v>91</v>
      </c>
      <c r="O650" t="str">
        <f>SUBSTITUTE(PROPER(TRIM(RawSalesTable6[[#This Row],[Channel_Raw]])),"Market Place","Marketplace")</f>
        <v>Online</v>
      </c>
      <c r="P650" t="str">
        <f>TRIM(RawSalesTable6[[#This Row],[Product_ID]])</f>
        <v>P1031</v>
      </c>
      <c r="Q650" t="str">
        <f>TRIM(RawSalesTable6[[#This Row],[Customer_ID]])</f>
        <v>C0030</v>
      </c>
      <c r="R650" s="8" t="str">
        <f>PROPER(TRIM(RawSalesTable6[[#This Row],[Store_Raw]]))</f>
        <v>Toronto Downtown</v>
      </c>
      <c r="S650" s="8" t="str">
        <f>IF(TRIM(RawSalesTable6[[#This Row],[Payment_Method_Raw]])="","Non renseigné",SUBSTITUTE(PROPER(TRIM(RawSalesTable6[[#This Row],[Payment_Method_Raw]])),"Cc","Credit Card"))</f>
        <v>Credit Card</v>
      </c>
      <c r="T650" s="8">
        <f>COUNTIF(A:A,RawSalesTable6[[#This Row],[Order_ID]])</f>
        <v>1</v>
      </c>
      <c r="U650" s="8" t="str">
        <f>TRIM(LEFT(RawSalesTable6[[#This Row],[Customer_Info]],FIND(",",RawSalesTable6[[#This Row],[Customer_Info]])-1))</f>
        <v>Emma Lee</v>
      </c>
      <c r="V650" s="8" t="str">
        <f>TRIM(MID(RawSalesTable6[[#This Row],[Customer_Info]],FIND(",",RawSalesTable6[[#This Row],[Customer_Info]])+1,FIND(",",RawSalesTable6[[#This Row],[Customer_Info]],FIND(",",RawSalesTable6[[#This Row],[Customer_Info]])+1)-FIND(",",RawSalesTable6[[#This Row],[Customer_Info]])-1))</f>
        <v>Calgary</v>
      </c>
      <c r="W650" s="8" t="str">
        <f>TRIM(RIGHT(RawSalesTable6[[#This Row],[Customer_Info]],LEN(RawSalesTable6[[#This Row],[Customer_Info]])-FIND(",",RawSalesTable6[[#This Row],[Customer_Info]],FIND(",",RawSalesTable6[[#This Row],[Customer_Info]])+1)))</f>
        <v>Corporate</v>
      </c>
      <c r="X650" s="8" t="str">
        <f>VLOOKUP(RawSalesTable6[[#This Row],[Product_ID_Clean]],ProductsTable[],2,FALSE)</f>
        <v>Dumbbell Set</v>
      </c>
      <c r="Y650" s="8" t="str">
        <f>VLOOKUP(RawSalesTable6[[#This Row],[Product_ID_Clean]],ProductsTable[],3,FALSE)</f>
        <v>Fitness</v>
      </c>
      <c r="Z650" s="8">
        <f>VLOOKUP(RawSalesTable6[[#This Row],[Product_ID_Clean]],ProductsTable[],5,FALSE)</f>
        <v>131.72999999999999</v>
      </c>
      <c r="AA650" s="8">
        <f>RawSalesTable6[[#This Row],[Unit_Price]]*RawSalesTable6[[#This Row],[Quantity]]</f>
        <v>526.26</v>
      </c>
      <c r="AB650" s="8">
        <f>RawSalesTable6[[#This Row],[Gross_Sales]]*RawSalesTable6[[#This Row],[Discount_Pct]]</f>
        <v>0</v>
      </c>
      <c r="AC650" s="8">
        <f>RawSalesTable6[[#This Row],[Gross_Sales]]-RawSalesTable6[[#This Row],[Discount_Amount]]</f>
        <v>526.26</v>
      </c>
      <c r="AD650" s="8">
        <f>RawSalesTable6[[#This Row],[Unit_Cost]]*RawSalesTable6[[#This Row],[Quantity]]</f>
        <v>263.45999999999998</v>
      </c>
      <c r="AE650" s="8">
        <f>RawSalesTable6[[#This Row],[Net_Sales]]-RawSalesTable6[[#This Row],[Total_Cost]]</f>
        <v>262.8</v>
      </c>
      <c r="AF650" s="9">
        <f>RawSalesTable6[[#This Row],[Profit]]/RawSalesTable6[[#This Row],[Net_Sales]]</f>
        <v>0.4993729335309543</v>
      </c>
      <c r="AG650" s="8">
        <f>YEAR(RawSalesTable6[[#This Row],[Order_Date]])</f>
        <v>2025</v>
      </c>
      <c r="AH650" s="8">
        <f>MONTH(RawSalesTable6[[#This Row],[Order_Date]])</f>
        <v>12</v>
      </c>
      <c r="AI650" s="8" t="str">
        <f>TEXT(RawSalesTable6[[#This Row],[Order_Date]],"mmmm")</f>
        <v>décembre</v>
      </c>
      <c r="AJ650" s="8" t="str">
        <f>IF(RawSalesTable6[[#This Row],[Month_Number]]&lt;=3,"Q1",IF(RawSalesTable6[[#This Row],[Month_Number]]&lt;=6,"Q2",IF(RawSalesTable6[[#This Row],[Month_Number]]&lt;=9,"Q3","Q4")))</f>
        <v>Q4</v>
      </c>
      <c r="AK650" s="8" t="str">
        <f>VLOOKUP(RawSalesTable6[[#This Row],[Customer_ID_Clean]],CustomersTable[],4,FALSE)</f>
        <v>Alberta</v>
      </c>
      <c r="AL650" s="8">
        <f>IF(RawSalesTable6[[#This Row],[Return_Status]]="Yes",1,0)</f>
        <v>0</v>
      </c>
    </row>
    <row r="651" spans="1:38">
      <c r="A651" t="s">
        <v>1098</v>
      </c>
      <c r="B651" s="3">
        <v>45753</v>
      </c>
      <c r="C651" t="s">
        <v>538</v>
      </c>
      <c r="D651" t="s">
        <v>503</v>
      </c>
      <c r="E651" t="s">
        <v>1099</v>
      </c>
      <c r="F651" t="s">
        <v>87</v>
      </c>
      <c r="G651" t="s">
        <v>171</v>
      </c>
      <c r="H651" t="s">
        <v>89</v>
      </c>
      <c r="I651">
        <v>1</v>
      </c>
      <c r="J651" s="2">
        <v>117.96</v>
      </c>
      <c r="K651" s="4">
        <v>0</v>
      </c>
      <c r="L651" t="s">
        <v>106</v>
      </c>
      <c r="M651">
        <v>4</v>
      </c>
      <c r="N651" t="s">
        <v>91</v>
      </c>
      <c r="O651" t="str">
        <f>SUBSTITUTE(PROPER(TRIM(RawSalesTable6[[#This Row],[Channel_Raw]])),"Market Place","Marketplace")</f>
        <v>Online</v>
      </c>
      <c r="P651" t="str">
        <f>TRIM(RawSalesTable6[[#This Row],[Product_ID]])</f>
        <v>P1013</v>
      </c>
      <c r="Q651" t="str">
        <f>TRIM(RawSalesTable6[[#This Row],[Customer_ID]])</f>
        <v>C0086</v>
      </c>
      <c r="R651" s="8" t="str">
        <f>PROPER(TRIM(RawSalesTable6[[#This Row],[Store_Raw]]))</f>
        <v>Online Fulfillment</v>
      </c>
      <c r="S651" s="8" t="str">
        <f>IF(TRIM(RawSalesTable6[[#This Row],[Payment_Method_Raw]])="","Non renseigné",SUBSTITUTE(PROPER(TRIM(RawSalesTable6[[#This Row],[Payment_Method_Raw]])),"Cc","Credit Card"))</f>
        <v>Credit Card</v>
      </c>
      <c r="T651" s="8">
        <f>COUNTIF(A:A,RawSalesTable6[[#This Row],[Order_ID]])</f>
        <v>1</v>
      </c>
      <c r="U651" s="8" t="str">
        <f>TRIM(LEFT(RawSalesTable6[[#This Row],[Customer_Info]],FIND(",",RawSalesTable6[[#This Row],[Customer_Info]])-1))</f>
        <v>Adam Gagnon</v>
      </c>
      <c r="V651" s="8" t="str">
        <f>TRIM(MID(RawSalesTable6[[#This Row],[Customer_Info]],FIND(",",RawSalesTable6[[#This Row],[Customer_Info]])+1,FIND(",",RawSalesTable6[[#This Row],[Customer_Info]],FIND(",",RawSalesTable6[[#This Row],[Customer_Info]])+1)-FIND(",",RawSalesTable6[[#This Row],[Customer_Info]])-1))</f>
        <v>Winnipeg</v>
      </c>
      <c r="W651" s="8" t="str">
        <f>TRIM(RIGHT(RawSalesTable6[[#This Row],[Customer_Info]],LEN(RawSalesTable6[[#This Row],[Customer_Info]])-FIND(",",RawSalesTable6[[#This Row],[Customer_Info]],FIND(",",RawSalesTable6[[#This Row],[Customer_Info]])+1)))</f>
        <v>Consumer</v>
      </c>
      <c r="X651" s="8" t="str">
        <f>VLOOKUP(RawSalesTable6[[#This Row],[Product_ID_Clean]],ProductsTable[],2,FALSE)</f>
        <v>Whiteboard</v>
      </c>
      <c r="Y651" s="8" t="str">
        <f>VLOOKUP(RawSalesTable6[[#This Row],[Product_ID_Clean]],ProductsTable[],3,FALSE)</f>
        <v>Office</v>
      </c>
      <c r="Z651" s="8">
        <f>VLOOKUP(RawSalesTable6[[#This Row],[Product_ID_Clean]],ProductsTable[],5,FALSE)</f>
        <v>85.73</v>
      </c>
      <c r="AA651" s="8">
        <f>RawSalesTable6[[#This Row],[Unit_Price]]*RawSalesTable6[[#This Row],[Quantity]]</f>
        <v>117.96</v>
      </c>
      <c r="AB651" s="8">
        <f>RawSalesTable6[[#This Row],[Gross_Sales]]*RawSalesTable6[[#This Row],[Discount_Pct]]</f>
        <v>0</v>
      </c>
      <c r="AC651" s="8">
        <f>RawSalesTable6[[#This Row],[Gross_Sales]]-RawSalesTable6[[#This Row],[Discount_Amount]]</f>
        <v>117.96</v>
      </c>
      <c r="AD651" s="8">
        <f>RawSalesTable6[[#This Row],[Unit_Cost]]*RawSalesTable6[[#This Row],[Quantity]]</f>
        <v>85.73</v>
      </c>
      <c r="AE651" s="8">
        <f>RawSalesTable6[[#This Row],[Net_Sales]]-RawSalesTable6[[#This Row],[Total_Cost]]</f>
        <v>32.22999999999999</v>
      </c>
      <c r="AF651" s="9">
        <f>RawSalesTable6[[#This Row],[Profit]]/RawSalesTable6[[#This Row],[Net_Sales]]</f>
        <v>0.27322821295354349</v>
      </c>
      <c r="AG651" s="8">
        <f>YEAR(RawSalesTable6[[#This Row],[Order_Date]])</f>
        <v>2025</v>
      </c>
      <c r="AH651" s="8">
        <f>MONTH(RawSalesTable6[[#This Row],[Order_Date]])</f>
        <v>4</v>
      </c>
      <c r="AI651" s="8" t="str">
        <f>TEXT(RawSalesTable6[[#This Row],[Order_Date]],"mmmm")</f>
        <v>avril</v>
      </c>
      <c r="AJ651" s="8" t="str">
        <f>IF(RawSalesTable6[[#This Row],[Month_Number]]&lt;=3,"Q1",IF(RawSalesTable6[[#This Row],[Month_Number]]&lt;=6,"Q2",IF(RawSalesTable6[[#This Row],[Month_Number]]&lt;=9,"Q3","Q4")))</f>
        <v>Q2</v>
      </c>
      <c r="AK651" s="8" t="str">
        <f>VLOOKUP(RawSalesTable6[[#This Row],[Customer_ID_Clean]],CustomersTable[],4,FALSE)</f>
        <v>Manitoba</v>
      </c>
      <c r="AL651" s="8">
        <f>IF(RawSalesTable6[[#This Row],[Return_Status]]="Yes",1,0)</f>
        <v>0</v>
      </c>
    </row>
    <row r="652" spans="1:38">
      <c r="A652" t="s">
        <v>1100</v>
      </c>
      <c r="B652" s="3">
        <v>45694</v>
      </c>
      <c r="C652" t="s">
        <v>675</v>
      </c>
      <c r="D652" t="s">
        <v>255</v>
      </c>
      <c r="E652" t="s">
        <v>676</v>
      </c>
      <c r="F652" t="s">
        <v>223</v>
      </c>
      <c r="G652" t="s">
        <v>130</v>
      </c>
      <c r="H652" t="s">
        <v>89</v>
      </c>
      <c r="I652">
        <v>1</v>
      </c>
      <c r="J652" s="2">
        <v>246.22</v>
      </c>
      <c r="K652" s="4">
        <v>0.25</v>
      </c>
      <c r="L652" t="s">
        <v>98</v>
      </c>
      <c r="M652">
        <v>2</v>
      </c>
      <c r="N652" t="s">
        <v>91</v>
      </c>
      <c r="O652" t="str">
        <f>SUBSTITUTE(PROPER(TRIM(RawSalesTable6[[#This Row],[Channel_Raw]])),"Market Place","Marketplace")</f>
        <v>Online</v>
      </c>
      <c r="P652" t="str">
        <f>TRIM(RawSalesTable6[[#This Row],[Product_ID]])</f>
        <v>P1014</v>
      </c>
      <c r="Q652" t="str">
        <f>TRIM(RawSalesTable6[[#This Row],[Customer_ID]])</f>
        <v>C0101</v>
      </c>
      <c r="R652" s="8" t="str">
        <f>PROPER(TRIM(RawSalesTable6[[#This Row],[Store_Raw]]))</f>
        <v>Montreal Central</v>
      </c>
      <c r="S652" s="8" t="str">
        <f>IF(TRIM(RawSalesTable6[[#This Row],[Payment_Method_Raw]])="","Non renseigné",SUBSTITUTE(PROPER(TRIM(RawSalesTable6[[#This Row],[Payment_Method_Raw]])),"Cc","Credit Card"))</f>
        <v>Debit Card</v>
      </c>
      <c r="T652" s="8">
        <f>COUNTIF(A:A,RawSalesTable6[[#This Row],[Order_ID]])</f>
        <v>1</v>
      </c>
      <c r="U652" s="8" t="str">
        <f>TRIM(LEFT(RawSalesTable6[[#This Row],[Customer_Info]],FIND(",",RawSalesTable6[[#This Row],[Customer_Info]])-1))</f>
        <v>Noah Martin</v>
      </c>
      <c r="V652" s="8" t="str">
        <f>TRIM(MID(RawSalesTable6[[#This Row],[Customer_Info]],FIND(",",RawSalesTable6[[#This Row],[Customer_Info]])+1,FIND(",",RawSalesTable6[[#This Row],[Customer_Info]],FIND(",",RawSalesTable6[[#This Row],[Customer_Info]])+1)-FIND(",",RawSalesTable6[[#This Row],[Customer_Info]])-1))</f>
        <v>Saskatoon</v>
      </c>
      <c r="W652" s="8" t="str">
        <f>TRIM(RIGHT(RawSalesTable6[[#This Row],[Customer_Info]],LEN(RawSalesTable6[[#This Row],[Customer_Info]])-FIND(",",RawSalesTable6[[#This Row],[Customer_Info]],FIND(",",RawSalesTable6[[#This Row],[Customer_Info]])+1)))</f>
        <v>Small Business</v>
      </c>
      <c r="X652" s="8" t="str">
        <f>VLOOKUP(RawSalesTable6[[#This Row],[Product_ID_Clean]],ProductsTable[],2,FALSE)</f>
        <v>Document Shredder</v>
      </c>
      <c r="Y652" s="8" t="str">
        <f>VLOOKUP(RawSalesTable6[[#This Row],[Product_ID_Clean]],ProductsTable[],3,FALSE)</f>
        <v>Office</v>
      </c>
      <c r="Z652" s="8">
        <f>VLOOKUP(RawSalesTable6[[#This Row],[Product_ID_Clean]],ProductsTable[],5,FALSE)</f>
        <v>117.65</v>
      </c>
      <c r="AA652" s="8">
        <f>RawSalesTable6[[#This Row],[Unit_Price]]*RawSalesTable6[[#This Row],[Quantity]]</f>
        <v>246.22</v>
      </c>
      <c r="AB652" s="8">
        <f>RawSalesTable6[[#This Row],[Gross_Sales]]*RawSalesTable6[[#This Row],[Discount_Pct]]</f>
        <v>61.555</v>
      </c>
      <c r="AC652" s="8">
        <f>RawSalesTable6[[#This Row],[Gross_Sales]]-RawSalesTable6[[#This Row],[Discount_Amount]]</f>
        <v>184.66499999999999</v>
      </c>
      <c r="AD652" s="8">
        <f>RawSalesTable6[[#This Row],[Unit_Cost]]*RawSalesTable6[[#This Row],[Quantity]]</f>
        <v>117.65</v>
      </c>
      <c r="AE652" s="8">
        <f>RawSalesTable6[[#This Row],[Net_Sales]]-RawSalesTable6[[#This Row],[Total_Cost]]</f>
        <v>67.014999999999986</v>
      </c>
      <c r="AF652" s="9">
        <f>RawSalesTable6[[#This Row],[Profit]]/RawSalesTable6[[#This Row],[Net_Sales]]</f>
        <v>0.36290038718760992</v>
      </c>
      <c r="AG652" s="8">
        <f>YEAR(RawSalesTable6[[#This Row],[Order_Date]])</f>
        <v>2025</v>
      </c>
      <c r="AH652" s="8">
        <f>MONTH(RawSalesTable6[[#This Row],[Order_Date]])</f>
        <v>2</v>
      </c>
      <c r="AI652" s="8" t="str">
        <f>TEXT(RawSalesTable6[[#This Row],[Order_Date]],"mmmm")</f>
        <v>février</v>
      </c>
      <c r="AJ652" s="8" t="str">
        <f>IF(RawSalesTable6[[#This Row],[Month_Number]]&lt;=3,"Q1",IF(RawSalesTable6[[#This Row],[Month_Number]]&lt;=6,"Q2",IF(RawSalesTable6[[#This Row],[Month_Number]]&lt;=9,"Q3","Q4")))</f>
        <v>Q1</v>
      </c>
      <c r="AK652" s="8" t="str">
        <f>VLOOKUP(RawSalesTable6[[#This Row],[Customer_ID_Clean]],CustomersTable[],4,FALSE)</f>
        <v>Saskatchewan</v>
      </c>
      <c r="AL652" s="8">
        <f>IF(RawSalesTable6[[#This Row],[Return_Status]]="Yes",1,0)</f>
        <v>0</v>
      </c>
    </row>
    <row r="653" spans="1:38">
      <c r="A653" t="s">
        <v>1101</v>
      </c>
      <c r="B653" s="3">
        <v>45715</v>
      </c>
      <c r="C653" t="s">
        <v>410</v>
      </c>
      <c r="D653" t="s">
        <v>360</v>
      </c>
      <c r="E653" t="s">
        <v>411</v>
      </c>
      <c r="F653" t="s">
        <v>655</v>
      </c>
      <c r="G653" t="s">
        <v>104</v>
      </c>
      <c r="H653" t="s">
        <v>89</v>
      </c>
      <c r="I653">
        <v>1</v>
      </c>
      <c r="J653" s="2">
        <v>69.75</v>
      </c>
      <c r="K653" s="4">
        <v>0.05</v>
      </c>
      <c r="L653" t="s">
        <v>98</v>
      </c>
      <c r="M653">
        <v>4</v>
      </c>
      <c r="N653" t="s">
        <v>91</v>
      </c>
      <c r="O653" t="str">
        <f>SUBSTITUTE(PROPER(TRIM(RawSalesTable6[[#This Row],[Channel_Raw]])),"Market Place","Marketplace")</f>
        <v>Online</v>
      </c>
      <c r="P653" t="str">
        <f>TRIM(RawSalesTable6[[#This Row],[Product_ID]])</f>
        <v>P1020</v>
      </c>
      <c r="Q653" t="str">
        <f>TRIM(RawSalesTable6[[#This Row],[Customer_ID]])</f>
        <v>C0093</v>
      </c>
      <c r="R653" s="8" t="str">
        <f>PROPER(TRIM(RawSalesTable6[[#This Row],[Store_Raw]]))</f>
        <v>Online Fulfillment</v>
      </c>
      <c r="S653" s="8" t="str">
        <f>IF(TRIM(RawSalesTable6[[#This Row],[Payment_Method_Raw]])="","Non renseigné",SUBSTITUTE(PROPER(TRIM(RawSalesTable6[[#This Row],[Payment_Method_Raw]])),"Cc","Credit Card"))</f>
        <v>Debit Card</v>
      </c>
      <c r="T653" s="8">
        <f>COUNTIF(A:A,RawSalesTable6[[#This Row],[Order_ID]])</f>
        <v>1</v>
      </c>
      <c r="U653" s="8" t="str">
        <f>TRIM(LEFT(RawSalesTable6[[#This Row],[Customer_Info]],FIND(",",RawSalesTable6[[#This Row],[Customer_Info]])-1))</f>
        <v>Ethan Roy</v>
      </c>
      <c r="V653" s="8" t="str">
        <f>TRIM(MID(RawSalesTable6[[#This Row],[Customer_Info]],FIND(",",RawSalesTable6[[#This Row],[Customer_Info]])+1,FIND(",",RawSalesTable6[[#This Row],[Customer_Info]],FIND(",",RawSalesTable6[[#This Row],[Customer_Info]])+1)-FIND(",",RawSalesTable6[[#This Row],[Customer_Info]])-1))</f>
        <v>Winnipeg</v>
      </c>
      <c r="W653" s="8" t="str">
        <f>TRIM(RIGHT(RawSalesTable6[[#This Row],[Customer_Info]],LEN(RawSalesTable6[[#This Row],[Customer_Info]])-FIND(",",RawSalesTable6[[#This Row],[Customer_Info]],FIND(",",RawSalesTable6[[#This Row],[Customer_Info]])+1)))</f>
        <v>Consumer</v>
      </c>
      <c r="X653" s="8" t="str">
        <f>VLOOKUP(RawSalesTable6[[#This Row],[Product_ID_Clean]],ProductsTable[],2,FALSE)</f>
        <v>Blender</v>
      </c>
      <c r="Y653" s="8" t="str">
        <f>VLOOKUP(RawSalesTable6[[#This Row],[Product_ID_Clean]],ProductsTable[],3,FALSE)</f>
        <v>Home</v>
      </c>
      <c r="Z653" s="8">
        <f>VLOOKUP(RawSalesTable6[[#This Row],[Product_ID_Clean]],ProductsTable[],5,FALSE)</f>
        <v>37.46</v>
      </c>
      <c r="AA653" s="8">
        <f>RawSalesTable6[[#This Row],[Unit_Price]]*RawSalesTable6[[#This Row],[Quantity]]</f>
        <v>69.75</v>
      </c>
      <c r="AB653" s="8">
        <f>RawSalesTable6[[#This Row],[Gross_Sales]]*RawSalesTable6[[#This Row],[Discount_Pct]]</f>
        <v>3.4875000000000003</v>
      </c>
      <c r="AC653" s="8">
        <f>RawSalesTable6[[#This Row],[Gross_Sales]]-RawSalesTable6[[#This Row],[Discount_Amount]]</f>
        <v>66.262500000000003</v>
      </c>
      <c r="AD653" s="8">
        <f>RawSalesTable6[[#This Row],[Unit_Cost]]*RawSalesTable6[[#This Row],[Quantity]]</f>
        <v>37.46</v>
      </c>
      <c r="AE653" s="8">
        <f>RawSalesTable6[[#This Row],[Net_Sales]]-RawSalesTable6[[#This Row],[Total_Cost]]</f>
        <v>28.802500000000002</v>
      </c>
      <c r="AF653" s="9">
        <f>RawSalesTable6[[#This Row],[Profit]]/RawSalesTable6[[#This Row],[Net_Sales]]</f>
        <v>0.43467270326353519</v>
      </c>
      <c r="AG653" s="8">
        <f>YEAR(RawSalesTable6[[#This Row],[Order_Date]])</f>
        <v>2025</v>
      </c>
      <c r="AH653" s="8">
        <f>MONTH(RawSalesTable6[[#This Row],[Order_Date]])</f>
        <v>2</v>
      </c>
      <c r="AI653" s="8" t="str">
        <f>TEXT(RawSalesTable6[[#This Row],[Order_Date]],"mmmm")</f>
        <v>février</v>
      </c>
      <c r="AJ653" s="8" t="str">
        <f>IF(RawSalesTable6[[#This Row],[Month_Number]]&lt;=3,"Q1",IF(RawSalesTable6[[#This Row],[Month_Number]]&lt;=6,"Q2",IF(RawSalesTable6[[#This Row],[Month_Number]]&lt;=9,"Q3","Q4")))</f>
        <v>Q1</v>
      </c>
      <c r="AK653" s="8" t="str">
        <f>VLOOKUP(RawSalesTable6[[#This Row],[Customer_ID_Clean]],CustomersTable[],4,FALSE)</f>
        <v>Manitoba</v>
      </c>
      <c r="AL653" s="8">
        <f>IF(RawSalesTable6[[#This Row],[Return_Status]]="Yes",1,0)</f>
        <v>0</v>
      </c>
    </row>
    <row r="654" spans="1:38">
      <c r="A654" t="s">
        <v>1102</v>
      </c>
      <c r="B654" s="3">
        <v>45792</v>
      </c>
      <c r="C654" t="s">
        <v>326</v>
      </c>
      <c r="D654" t="s">
        <v>277</v>
      </c>
      <c r="E654" t="s">
        <v>327</v>
      </c>
      <c r="F654" t="s">
        <v>87</v>
      </c>
      <c r="G654" t="s">
        <v>122</v>
      </c>
      <c r="H654" t="s">
        <v>308</v>
      </c>
      <c r="I654">
        <v>3</v>
      </c>
      <c r="J654" s="2">
        <v>354.76</v>
      </c>
      <c r="K654" s="4">
        <v>0.15</v>
      </c>
      <c r="L654" t="s">
        <v>106</v>
      </c>
      <c r="M654">
        <v>3</v>
      </c>
      <c r="N654" t="s">
        <v>91</v>
      </c>
      <c r="O654" t="str">
        <f>SUBSTITUTE(PROPER(TRIM(RawSalesTable6[[#This Row],[Channel_Raw]])),"Market Place","Marketplace")</f>
        <v>Online</v>
      </c>
      <c r="P654" t="str">
        <f>TRIM(RawSalesTable6[[#This Row],[Product_ID]])</f>
        <v>P1001</v>
      </c>
      <c r="Q654" t="str">
        <f>TRIM(RawSalesTable6[[#This Row],[Customer_ID]])</f>
        <v>C0092</v>
      </c>
      <c r="R654" s="8" t="str">
        <f>PROPER(TRIM(RawSalesTable6[[#This Row],[Store_Raw]]))</f>
        <v>Online Fulfillment</v>
      </c>
      <c r="S654" s="8" t="str">
        <f>IF(TRIM(RawSalesTable6[[#This Row],[Payment_Method_Raw]])="","Non renseigné",SUBSTITUTE(PROPER(TRIM(RawSalesTable6[[#This Row],[Payment_Method_Raw]])),"Cc","Credit Card"))</f>
        <v>Credit Card</v>
      </c>
      <c r="T654" s="8">
        <f>COUNTIF(A:A,RawSalesTable6[[#This Row],[Order_ID]])</f>
        <v>1</v>
      </c>
      <c r="U654" s="8" t="str">
        <f>TRIM(LEFT(RawSalesTable6[[#This Row],[Customer_Info]],FIND(",",RawSalesTable6[[#This Row],[Customer_Info]])-1))</f>
        <v>Lucas Tremblay</v>
      </c>
      <c r="V654" s="8" t="str">
        <f>TRIM(MID(RawSalesTable6[[#This Row],[Customer_Info]],FIND(",",RawSalesTable6[[#This Row],[Customer_Info]])+1,FIND(",",RawSalesTable6[[#This Row],[Customer_Info]],FIND(",",RawSalesTable6[[#This Row],[Customer_Info]])+1)-FIND(",",RawSalesTable6[[#This Row],[Customer_Info]])-1))</f>
        <v>Saskatoon</v>
      </c>
      <c r="W654" s="8" t="str">
        <f>TRIM(RIGHT(RawSalesTable6[[#This Row],[Customer_Info]],LEN(RawSalesTable6[[#This Row],[Customer_Info]])-FIND(",",RawSalesTable6[[#This Row],[Customer_Info]],FIND(",",RawSalesTable6[[#This Row],[Customer_Info]])+1)))</f>
        <v>Consumer</v>
      </c>
      <c r="X654" s="8" t="str">
        <f>VLOOKUP(RawSalesTable6[[#This Row],[Product_ID_Clean]],ProductsTable[],2,FALSE)</f>
        <v>Headphones</v>
      </c>
      <c r="Y654" s="8" t="str">
        <f>VLOOKUP(RawSalesTable6[[#This Row],[Product_ID_Clean]],ProductsTable[],3,FALSE)</f>
        <v>Electronics</v>
      </c>
      <c r="Z654" s="8">
        <f>VLOOKUP(RawSalesTable6[[#This Row],[Product_ID_Clean]],ProductsTable[],5,FALSE)</f>
        <v>254.6</v>
      </c>
      <c r="AA654" s="8">
        <f>RawSalesTable6[[#This Row],[Unit_Price]]*RawSalesTable6[[#This Row],[Quantity]]</f>
        <v>1064.28</v>
      </c>
      <c r="AB654" s="8">
        <f>RawSalesTable6[[#This Row],[Gross_Sales]]*RawSalesTable6[[#This Row],[Discount_Pct]]</f>
        <v>159.642</v>
      </c>
      <c r="AC654" s="8">
        <f>RawSalesTable6[[#This Row],[Gross_Sales]]-RawSalesTable6[[#This Row],[Discount_Amount]]</f>
        <v>904.63799999999992</v>
      </c>
      <c r="AD654" s="8">
        <f>RawSalesTable6[[#This Row],[Unit_Cost]]*RawSalesTable6[[#This Row],[Quantity]]</f>
        <v>763.8</v>
      </c>
      <c r="AE654" s="8">
        <f>RawSalesTable6[[#This Row],[Net_Sales]]-RawSalesTable6[[#This Row],[Total_Cost]]</f>
        <v>140.83799999999997</v>
      </c>
      <c r="AF654" s="9">
        <f>RawSalesTable6[[#This Row],[Profit]]/RawSalesTable6[[#This Row],[Net_Sales]]</f>
        <v>0.15568437319679251</v>
      </c>
      <c r="AG654" s="8">
        <f>YEAR(RawSalesTable6[[#This Row],[Order_Date]])</f>
        <v>2025</v>
      </c>
      <c r="AH654" s="8">
        <f>MONTH(RawSalesTable6[[#This Row],[Order_Date]])</f>
        <v>5</v>
      </c>
      <c r="AI654" s="8" t="str">
        <f>TEXT(RawSalesTable6[[#This Row],[Order_Date]],"mmmm")</f>
        <v>mai</v>
      </c>
      <c r="AJ654" s="8" t="str">
        <f>IF(RawSalesTable6[[#This Row],[Month_Number]]&lt;=3,"Q1",IF(RawSalesTable6[[#This Row],[Month_Number]]&lt;=6,"Q2",IF(RawSalesTable6[[#This Row],[Month_Number]]&lt;=9,"Q3","Q4")))</f>
        <v>Q2</v>
      </c>
      <c r="AK654" s="8" t="str">
        <f>VLOOKUP(RawSalesTable6[[#This Row],[Customer_ID_Clean]],CustomersTable[],4,FALSE)</f>
        <v>Saskatchewan</v>
      </c>
      <c r="AL654" s="8">
        <f>IF(RawSalesTable6[[#This Row],[Return_Status]]="Yes",1,0)</f>
        <v>0</v>
      </c>
    </row>
    <row r="655" spans="1:38">
      <c r="A655" t="s">
        <v>1103</v>
      </c>
      <c r="B655" s="3">
        <v>45747</v>
      </c>
      <c r="C655" t="s">
        <v>338</v>
      </c>
      <c r="D655" t="s">
        <v>190</v>
      </c>
      <c r="E655" t="s">
        <v>339</v>
      </c>
      <c r="F655" t="s">
        <v>111</v>
      </c>
      <c r="G655" t="s">
        <v>104</v>
      </c>
      <c r="H655" t="s">
        <v>97</v>
      </c>
      <c r="I655">
        <v>1</v>
      </c>
      <c r="J655" s="2">
        <v>272.07</v>
      </c>
      <c r="K655" s="4">
        <v>0</v>
      </c>
      <c r="L655" t="s">
        <v>106</v>
      </c>
      <c r="M655">
        <v>3</v>
      </c>
      <c r="N655" t="s">
        <v>91</v>
      </c>
      <c r="O655" t="str">
        <f>SUBSTITUTE(PROPER(TRIM(RawSalesTable6[[#This Row],[Channel_Raw]])),"Market Place","Marketplace")</f>
        <v>Retail Store</v>
      </c>
      <c r="P655" t="str">
        <f>TRIM(RawSalesTable6[[#This Row],[Product_ID]])</f>
        <v>P1004</v>
      </c>
      <c r="Q655" t="str">
        <f>TRIM(RawSalesTable6[[#This Row],[Customer_ID]])</f>
        <v>C0047</v>
      </c>
      <c r="R655" s="8" t="str">
        <f>PROPER(TRIM(RawSalesTable6[[#This Row],[Store_Raw]]))</f>
        <v>Montreal Central</v>
      </c>
      <c r="S655" s="8" t="str">
        <f>IF(TRIM(RawSalesTable6[[#This Row],[Payment_Method_Raw]])="","Non renseigné",SUBSTITUTE(PROPER(TRIM(RawSalesTable6[[#This Row],[Payment_Method_Raw]])),"Cc","Credit Card"))</f>
        <v>Credit Card</v>
      </c>
      <c r="T655" s="8">
        <f>COUNTIF(A:A,RawSalesTable6[[#This Row],[Order_ID]])</f>
        <v>1</v>
      </c>
      <c r="U655" s="8" t="str">
        <f>TRIM(LEFT(RawSalesTable6[[#This Row],[Customer_Info]],FIND(",",RawSalesTable6[[#This Row],[Customer_Info]])-1))</f>
        <v>Amine King</v>
      </c>
      <c r="V655" s="8" t="str">
        <f>TRIM(MID(RawSalesTable6[[#This Row],[Customer_Info]],FIND(",",RawSalesTable6[[#This Row],[Customer_Info]])+1,FIND(",",RawSalesTable6[[#This Row],[Customer_Info]],FIND(",",RawSalesTable6[[#This Row],[Customer_Info]])+1)-FIND(",",RawSalesTable6[[#This Row],[Customer_Info]])-1))</f>
        <v>Victoria</v>
      </c>
      <c r="W655" s="8" t="str">
        <f>TRIM(RIGHT(RawSalesTable6[[#This Row],[Customer_Info]],LEN(RawSalesTable6[[#This Row],[Customer_Info]])-FIND(",",RawSalesTable6[[#This Row],[Customer_Info]],FIND(",",RawSalesTable6[[#This Row],[Customer_Info]])+1)))</f>
        <v>Consumer</v>
      </c>
      <c r="X655" s="8" t="str">
        <f>VLOOKUP(RawSalesTable6[[#This Row],[Product_ID_Clean]],ProductsTable[],2,FALSE)</f>
        <v>Webcam</v>
      </c>
      <c r="Y655" s="8" t="str">
        <f>VLOOKUP(RawSalesTable6[[#This Row],[Product_ID_Clean]],ProductsTable[],3,FALSE)</f>
        <v>Electronics</v>
      </c>
      <c r="Z655" s="8">
        <f>VLOOKUP(RawSalesTable6[[#This Row],[Product_ID_Clean]],ProductsTable[],5,FALSE)</f>
        <v>154.72999999999999</v>
      </c>
      <c r="AA655" s="8">
        <f>RawSalesTable6[[#This Row],[Unit_Price]]*RawSalesTable6[[#This Row],[Quantity]]</f>
        <v>272.07</v>
      </c>
      <c r="AB655" s="8">
        <f>RawSalesTable6[[#This Row],[Gross_Sales]]*RawSalesTable6[[#This Row],[Discount_Pct]]</f>
        <v>0</v>
      </c>
      <c r="AC655" s="8">
        <f>RawSalesTable6[[#This Row],[Gross_Sales]]-RawSalesTable6[[#This Row],[Discount_Amount]]</f>
        <v>272.07</v>
      </c>
      <c r="AD655" s="8">
        <f>RawSalesTable6[[#This Row],[Unit_Cost]]*RawSalesTable6[[#This Row],[Quantity]]</f>
        <v>154.72999999999999</v>
      </c>
      <c r="AE655" s="8">
        <f>RawSalesTable6[[#This Row],[Net_Sales]]-RawSalesTable6[[#This Row],[Total_Cost]]</f>
        <v>117.34</v>
      </c>
      <c r="AF655" s="9">
        <f>RawSalesTable6[[#This Row],[Profit]]/RawSalesTable6[[#This Row],[Net_Sales]]</f>
        <v>0.43128606608593378</v>
      </c>
      <c r="AG655" s="8">
        <f>YEAR(RawSalesTable6[[#This Row],[Order_Date]])</f>
        <v>2025</v>
      </c>
      <c r="AH655" s="8">
        <f>MONTH(RawSalesTable6[[#This Row],[Order_Date]])</f>
        <v>3</v>
      </c>
      <c r="AI655" s="8" t="str">
        <f>TEXT(RawSalesTable6[[#This Row],[Order_Date]],"mmmm")</f>
        <v>mars</v>
      </c>
      <c r="AJ655" s="8" t="str">
        <f>IF(RawSalesTable6[[#This Row],[Month_Number]]&lt;=3,"Q1",IF(RawSalesTable6[[#This Row],[Month_Number]]&lt;=6,"Q2",IF(RawSalesTable6[[#This Row],[Month_Number]]&lt;=9,"Q3","Q4")))</f>
        <v>Q1</v>
      </c>
      <c r="AK655" s="8" t="str">
        <f>VLOOKUP(RawSalesTable6[[#This Row],[Customer_ID_Clean]],CustomersTable[],4,FALSE)</f>
        <v>British Columbia</v>
      </c>
      <c r="AL655" s="8">
        <f>IF(RawSalesTable6[[#This Row],[Return_Status]]="Yes",1,0)</f>
        <v>0</v>
      </c>
    </row>
    <row r="656" spans="1:38">
      <c r="A656" t="s">
        <v>1104</v>
      </c>
      <c r="B656" s="3">
        <v>45735</v>
      </c>
      <c r="C656" t="s">
        <v>389</v>
      </c>
      <c r="D656" t="s">
        <v>174</v>
      </c>
      <c r="E656" t="s">
        <v>390</v>
      </c>
      <c r="F656" t="s">
        <v>145</v>
      </c>
      <c r="G656" t="s">
        <v>104</v>
      </c>
      <c r="H656" t="s">
        <v>89</v>
      </c>
      <c r="I656">
        <v>1</v>
      </c>
      <c r="J656" s="2">
        <v>38.159999999999997</v>
      </c>
      <c r="K656" s="4">
        <v>0</v>
      </c>
      <c r="L656" t="s">
        <v>90</v>
      </c>
      <c r="M656">
        <v>5</v>
      </c>
      <c r="N656" t="s">
        <v>91</v>
      </c>
      <c r="O656" t="str">
        <f>SUBSTITUTE(PROPER(TRIM(RawSalesTable6[[#This Row],[Channel_Raw]])),"Market Place","Marketplace")</f>
        <v>Online</v>
      </c>
      <c r="P656" t="str">
        <f>TRIM(RawSalesTable6[[#This Row],[Product_ID]])</f>
        <v>P1002</v>
      </c>
      <c r="Q656" t="str">
        <f>TRIM(RawSalesTable6[[#This Row],[Customer_ID]])</f>
        <v>C0103</v>
      </c>
      <c r="R656" s="8" t="str">
        <f>PROPER(TRIM(RawSalesTable6[[#This Row],[Store_Raw]]))</f>
        <v>Calgary North</v>
      </c>
      <c r="S656" s="8" t="str">
        <f>IF(TRIM(RawSalesTable6[[#This Row],[Payment_Method_Raw]])="","Non renseigné",SUBSTITUTE(PROPER(TRIM(RawSalesTable6[[#This Row],[Payment_Method_Raw]])),"Cc","Credit Card"))</f>
        <v>Paypal</v>
      </c>
      <c r="T656" s="8">
        <f>COUNTIF(A:A,RawSalesTable6[[#This Row],[Order_ID]])</f>
        <v>1</v>
      </c>
      <c r="U656" s="8" t="str">
        <f>TRIM(LEFT(RawSalesTable6[[#This Row],[Customer_Info]],FIND(",",RawSalesTable6[[#This Row],[Customer_Info]])-1))</f>
        <v>Zoe Singh</v>
      </c>
      <c r="V656" s="8" t="str">
        <f>TRIM(MID(RawSalesTable6[[#This Row],[Customer_Info]],FIND(",",RawSalesTable6[[#This Row],[Customer_Info]])+1,FIND(",",RawSalesTable6[[#This Row],[Customer_Info]],FIND(",",RawSalesTable6[[#This Row],[Customer_Info]])+1)-FIND(",",RawSalesTable6[[#This Row],[Customer_Info]])-1))</f>
        <v>Saskatoon</v>
      </c>
      <c r="W656" s="8" t="str">
        <f>TRIM(RIGHT(RawSalesTable6[[#This Row],[Customer_Info]],LEN(RawSalesTable6[[#This Row],[Customer_Info]])-FIND(",",RawSalesTable6[[#This Row],[Customer_Info]],FIND(",",RawSalesTable6[[#This Row],[Customer_Info]])+1)))</f>
        <v>Corporate</v>
      </c>
      <c r="X656" s="8" t="str">
        <f>VLOOKUP(RawSalesTable6[[#This Row],[Product_ID_Clean]],ProductsTable[],2,FALSE)</f>
        <v>Keyboard</v>
      </c>
      <c r="Y656" s="8" t="str">
        <f>VLOOKUP(RawSalesTable6[[#This Row],[Product_ID_Clean]],ProductsTable[],3,FALSE)</f>
        <v>Electronics</v>
      </c>
      <c r="Z656" s="8">
        <f>VLOOKUP(RawSalesTable6[[#This Row],[Product_ID_Clean]],ProductsTable[],5,FALSE)</f>
        <v>23.5</v>
      </c>
      <c r="AA656" s="8">
        <f>RawSalesTable6[[#This Row],[Unit_Price]]*RawSalesTable6[[#This Row],[Quantity]]</f>
        <v>38.159999999999997</v>
      </c>
      <c r="AB656" s="8">
        <f>RawSalesTable6[[#This Row],[Gross_Sales]]*RawSalesTable6[[#This Row],[Discount_Pct]]</f>
        <v>0</v>
      </c>
      <c r="AC656" s="8">
        <f>RawSalesTable6[[#This Row],[Gross_Sales]]-RawSalesTable6[[#This Row],[Discount_Amount]]</f>
        <v>38.159999999999997</v>
      </c>
      <c r="AD656" s="8">
        <f>RawSalesTable6[[#This Row],[Unit_Cost]]*RawSalesTable6[[#This Row],[Quantity]]</f>
        <v>23.5</v>
      </c>
      <c r="AE656" s="8">
        <f>RawSalesTable6[[#This Row],[Net_Sales]]-RawSalesTable6[[#This Row],[Total_Cost]]</f>
        <v>14.659999999999997</v>
      </c>
      <c r="AF656" s="9">
        <f>RawSalesTable6[[#This Row],[Profit]]/RawSalesTable6[[#This Row],[Net_Sales]]</f>
        <v>0.38417190775681337</v>
      </c>
      <c r="AG656" s="8">
        <f>YEAR(RawSalesTable6[[#This Row],[Order_Date]])</f>
        <v>2025</v>
      </c>
      <c r="AH656" s="8">
        <f>MONTH(RawSalesTable6[[#This Row],[Order_Date]])</f>
        <v>3</v>
      </c>
      <c r="AI656" s="8" t="str">
        <f>TEXT(RawSalesTable6[[#This Row],[Order_Date]],"mmmm")</f>
        <v>mars</v>
      </c>
      <c r="AJ656" s="8" t="str">
        <f>IF(RawSalesTable6[[#This Row],[Month_Number]]&lt;=3,"Q1",IF(RawSalesTable6[[#This Row],[Month_Number]]&lt;=6,"Q2",IF(RawSalesTable6[[#This Row],[Month_Number]]&lt;=9,"Q3","Q4")))</f>
        <v>Q1</v>
      </c>
      <c r="AK656" s="8" t="str">
        <f>VLOOKUP(RawSalesTable6[[#This Row],[Customer_ID_Clean]],CustomersTable[],4,FALSE)</f>
        <v>Saskatchewan</v>
      </c>
      <c r="AL656" s="8">
        <f>IF(RawSalesTable6[[#This Row],[Return_Status]]="Yes",1,0)</f>
        <v>0</v>
      </c>
    </row>
    <row r="657" spans="1:38">
      <c r="A657" t="s">
        <v>1105</v>
      </c>
      <c r="B657" s="3">
        <v>45962</v>
      </c>
      <c r="C657" t="s">
        <v>538</v>
      </c>
      <c r="D657" t="s">
        <v>120</v>
      </c>
      <c r="E657" t="s">
        <v>539</v>
      </c>
      <c r="F657" t="s">
        <v>87</v>
      </c>
      <c r="G657" t="s">
        <v>117</v>
      </c>
      <c r="H657" t="s">
        <v>89</v>
      </c>
      <c r="I657">
        <v>4</v>
      </c>
      <c r="J657" s="2">
        <v>380.79</v>
      </c>
      <c r="K657" s="4">
        <v>0.15</v>
      </c>
      <c r="L657" t="s">
        <v>106</v>
      </c>
      <c r="M657">
        <v>5</v>
      </c>
      <c r="N657" t="s">
        <v>91</v>
      </c>
      <c r="O657" t="str">
        <f>SUBSTITUTE(PROPER(TRIM(RawSalesTable6[[#This Row],[Channel_Raw]])),"Market Place","Marketplace")</f>
        <v>Online</v>
      </c>
      <c r="P657" t="str">
        <f>TRIM(RawSalesTable6[[#This Row],[Product_ID]])</f>
        <v>P1015</v>
      </c>
      <c r="Q657" t="str">
        <f>TRIM(RawSalesTable6[[#This Row],[Customer_ID]])</f>
        <v>C0086</v>
      </c>
      <c r="R657" s="8" t="str">
        <f>PROPER(TRIM(RawSalesTable6[[#This Row],[Store_Raw]]))</f>
        <v>Online Fulfillment</v>
      </c>
      <c r="S657" s="8" t="str">
        <f>IF(TRIM(RawSalesTable6[[#This Row],[Payment_Method_Raw]])="","Non renseigné",SUBSTITUTE(PROPER(TRIM(RawSalesTable6[[#This Row],[Payment_Method_Raw]])),"Cc","Credit Card"))</f>
        <v>Credit Card</v>
      </c>
      <c r="T657" s="8">
        <f>COUNTIF(A:A,RawSalesTable6[[#This Row],[Order_ID]])</f>
        <v>1</v>
      </c>
      <c r="U657" s="8" t="str">
        <f>TRIM(LEFT(RawSalesTable6[[#This Row],[Customer_Info]],FIND(",",RawSalesTable6[[#This Row],[Customer_Info]])-1))</f>
        <v>Adam Gagnon</v>
      </c>
      <c r="V657" s="8" t="str">
        <f>TRIM(MID(RawSalesTable6[[#This Row],[Customer_Info]],FIND(",",RawSalesTable6[[#This Row],[Customer_Info]])+1,FIND(",",RawSalesTable6[[#This Row],[Customer_Info]],FIND(",",RawSalesTable6[[#This Row],[Customer_Info]])+1)-FIND(",",RawSalesTable6[[#This Row],[Customer_Info]])-1))</f>
        <v>Winnipeg</v>
      </c>
      <c r="W657" s="8" t="str">
        <f>TRIM(RIGHT(RawSalesTable6[[#This Row],[Customer_Info]],LEN(RawSalesTable6[[#This Row],[Customer_Info]])-FIND(",",RawSalesTable6[[#This Row],[Customer_Info]],FIND(",",RawSalesTable6[[#This Row],[Customer_Info]])+1)))</f>
        <v>Consumer</v>
      </c>
      <c r="X657" s="8" t="str">
        <f>VLOOKUP(RawSalesTable6[[#This Row],[Product_ID_Clean]],ProductsTable[],2,FALSE)</f>
        <v>Desk Organizer</v>
      </c>
      <c r="Y657" s="8" t="str">
        <f>VLOOKUP(RawSalesTable6[[#This Row],[Product_ID_Clean]],ProductsTable[],3,FALSE)</f>
        <v>Office</v>
      </c>
      <c r="Z657" s="8">
        <f>VLOOKUP(RawSalesTable6[[#This Row],[Product_ID_Clean]],ProductsTable[],5,FALSE)</f>
        <v>235.76</v>
      </c>
      <c r="AA657" s="8">
        <f>RawSalesTable6[[#This Row],[Unit_Price]]*RawSalesTable6[[#This Row],[Quantity]]</f>
        <v>1523.16</v>
      </c>
      <c r="AB657" s="8">
        <f>RawSalesTable6[[#This Row],[Gross_Sales]]*RawSalesTable6[[#This Row],[Discount_Pct]]</f>
        <v>228.47400000000002</v>
      </c>
      <c r="AC657" s="8">
        <f>RawSalesTable6[[#This Row],[Gross_Sales]]-RawSalesTable6[[#This Row],[Discount_Amount]]</f>
        <v>1294.6860000000001</v>
      </c>
      <c r="AD657" s="8">
        <f>RawSalesTable6[[#This Row],[Unit_Cost]]*RawSalesTable6[[#This Row],[Quantity]]</f>
        <v>943.04</v>
      </c>
      <c r="AE657" s="8">
        <f>RawSalesTable6[[#This Row],[Net_Sales]]-RawSalesTable6[[#This Row],[Total_Cost]]</f>
        <v>351.64600000000019</v>
      </c>
      <c r="AF657" s="9">
        <f>RawSalesTable6[[#This Row],[Profit]]/RawSalesTable6[[#This Row],[Net_Sales]]</f>
        <v>0.27160716961487197</v>
      </c>
      <c r="AG657" s="8">
        <f>YEAR(RawSalesTable6[[#This Row],[Order_Date]])</f>
        <v>2025</v>
      </c>
      <c r="AH657" s="8">
        <f>MONTH(RawSalesTable6[[#This Row],[Order_Date]])</f>
        <v>11</v>
      </c>
      <c r="AI657" s="8" t="str">
        <f>TEXT(RawSalesTable6[[#This Row],[Order_Date]],"mmmm")</f>
        <v>novembre</v>
      </c>
      <c r="AJ657" s="8" t="str">
        <f>IF(RawSalesTable6[[#This Row],[Month_Number]]&lt;=3,"Q1",IF(RawSalesTable6[[#This Row],[Month_Number]]&lt;=6,"Q2",IF(RawSalesTable6[[#This Row],[Month_Number]]&lt;=9,"Q3","Q4")))</f>
        <v>Q4</v>
      </c>
      <c r="AK657" s="8" t="str">
        <f>VLOOKUP(RawSalesTable6[[#This Row],[Customer_ID_Clean]],CustomersTable[],4,FALSE)</f>
        <v>Manitoba</v>
      </c>
      <c r="AL657" s="8">
        <f>IF(RawSalesTable6[[#This Row],[Return_Status]]="Yes",1,0)</f>
        <v>0</v>
      </c>
    </row>
    <row r="658" spans="1:38">
      <c r="A658" t="s">
        <v>1106</v>
      </c>
      <c r="B658" s="3">
        <v>46006</v>
      </c>
      <c r="C658" t="s">
        <v>699</v>
      </c>
      <c r="D658" t="s">
        <v>181</v>
      </c>
      <c r="E658" t="s">
        <v>700</v>
      </c>
      <c r="F658" t="s">
        <v>111</v>
      </c>
      <c r="G658" t="s">
        <v>130</v>
      </c>
      <c r="H658" t="s">
        <v>89</v>
      </c>
      <c r="I658">
        <v>2</v>
      </c>
      <c r="J658" s="2">
        <v>373.93</v>
      </c>
      <c r="K658" s="4">
        <v>0</v>
      </c>
      <c r="L658" t="s">
        <v>106</v>
      </c>
      <c r="M658">
        <v>1</v>
      </c>
      <c r="N658" t="s">
        <v>91</v>
      </c>
      <c r="O658" t="str">
        <f>SUBSTITUTE(PROPER(TRIM(RawSalesTable6[[#This Row],[Channel_Raw]])),"Market Place","Marketplace")</f>
        <v>Online</v>
      </c>
      <c r="P658" t="str">
        <f>TRIM(RawSalesTable6[[#This Row],[Product_ID]])</f>
        <v>P1007</v>
      </c>
      <c r="Q658" t="str">
        <f>TRIM(RawSalesTable6[[#This Row],[Customer_ID]])</f>
        <v>C0097</v>
      </c>
      <c r="R658" s="8" t="str">
        <f>PROPER(TRIM(RawSalesTable6[[#This Row],[Store_Raw]]))</f>
        <v>Montreal Central</v>
      </c>
      <c r="S658" s="8" t="str">
        <f>IF(TRIM(RawSalesTable6[[#This Row],[Payment_Method_Raw]])="","Non renseigné",SUBSTITUTE(PROPER(TRIM(RawSalesTable6[[#This Row],[Payment_Method_Raw]])),"Cc","Credit Card"))</f>
        <v>Credit Card</v>
      </c>
      <c r="T658" s="8">
        <f>COUNTIF(A:A,RawSalesTable6[[#This Row],[Order_ID]])</f>
        <v>1</v>
      </c>
      <c r="U658" s="8" t="str">
        <f>TRIM(LEFT(RawSalesTable6[[#This Row],[Customer_Info]],FIND(",",RawSalesTable6[[#This Row],[Customer_Info]])-1))</f>
        <v>Sarah Khan</v>
      </c>
      <c r="V658" s="8" t="str">
        <f>TRIM(MID(RawSalesTable6[[#This Row],[Customer_Info]],FIND(",",RawSalesTable6[[#This Row],[Customer_Info]])+1,FIND(",",RawSalesTable6[[#This Row],[Customer_Info]],FIND(",",RawSalesTable6[[#This Row],[Customer_Info]])+1)-FIND(",",RawSalesTable6[[#This Row],[Customer_Info]])-1))</f>
        <v>Montreal</v>
      </c>
      <c r="W658" s="8" t="str">
        <f>TRIM(RIGHT(RawSalesTable6[[#This Row],[Customer_Info]],LEN(RawSalesTable6[[#This Row],[Customer_Info]])-FIND(",",RawSalesTable6[[#This Row],[Customer_Info]],FIND(",",RawSalesTable6[[#This Row],[Customer_Info]])+1)))</f>
        <v>Consumer</v>
      </c>
      <c r="X658" s="8" t="str">
        <f>VLOOKUP(RawSalesTable6[[#This Row],[Product_ID_Clean]],ProductsTable[],2,FALSE)</f>
        <v>Monitor</v>
      </c>
      <c r="Y658" s="8" t="str">
        <f>VLOOKUP(RawSalesTable6[[#This Row],[Product_ID_Clean]],ProductsTable[],3,FALSE)</f>
        <v>Electronics</v>
      </c>
      <c r="Z658" s="8">
        <f>VLOOKUP(RawSalesTable6[[#This Row],[Product_ID_Clean]],ProductsTable[],5,FALSE)</f>
        <v>224.47</v>
      </c>
      <c r="AA658" s="8">
        <f>RawSalesTable6[[#This Row],[Unit_Price]]*RawSalesTable6[[#This Row],[Quantity]]</f>
        <v>747.86</v>
      </c>
      <c r="AB658" s="8">
        <f>RawSalesTable6[[#This Row],[Gross_Sales]]*RawSalesTable6[[#This Row],[Discount_Pct]]</f>
        <v>0</v>
      </c>
      <c r="AC658" s="8">
        <f>RawSalesTable6[[#This Row],[Gross_Sales]]-RawSalesTable6[[#This Row],[Discount_Amount]]</f>
        <v>747.86</v>
      </c>
      <c r="AD658" s="8">
        <f>RawSalesTable6[[#This Row],[Unit_Cost]]*RawSalesTable6[[#This Row],[Quantity]]</f>
        <v>448.94</v>
      </c>
      <c r="AE658" s="8">
        <f>RawSalesTable6[[#This Row],[Net_Sales]]-RawSalesTable6[[#This Row],[Total_Cost]]</f>
        <v>298.92</v>
      </c>
      <c r="AF658" s="9">
        <f>RawSalesTable6[[#This Row],[Profit]]/RawSalesTable6[[#This Row],[Net_Sales]]</f>
        <v>0.39970047869922182</v>
      </c>
      <c r="AG658" s="8">
        <f>YEAR(RawSalesTable6[[#This Row],[Order_Date]])</f>
        <v>2025</v>
      </c>
      <c r="AH658" s="8">
        <f>MONTH(RawSalesTable6[[#This Row],[Order_Date]])</f>
        <v>12</v>
      </c>
      <c r="AI658" s="8" t="str">
        <f>TEXT(RawSalesTable6[[#This Row],[Order_Date]],"mmmm")</f>
        <v>décembre</v>
      </c>
      <c r="AJ658" s="8" t="str">
        <f>IF(RawSalesTable6[[#This Row],[Month_Number]]&lt;=3,"Q1",IF(RawSalesTable6[[#This Row],[Month_Number]]&lt;=6,"Q2",IF(RawSalesTable6[[#This Row],[Month_Number]]&lt;=9,"Q3","Q4")))</f>
        <v>Q4</v>
      </c>
      <c r="AK658" s="8" t="str">
        <f>VLOOKUP(RawSalesTable6[[#This Row],[Customer_ID_Clean]],CustomersTable[],4,FALSE)</f>
        <v>Quebec</v>
      </c>
      <c r="AL658" s="8">
        <f>IF(RawSalesTable6[[#This Row],[Return_Status]]="Yes",1,0)</f>
        <v>0</v>
      </c>
    </row>
    <row r="659" spans="1:38">
      <c r="A659" t="s">
        <v>1107</v>
      </c>
      <c r="B659" s="3">
        <v>45816</v>
      </c>
      <c r="C659" t="s">
        <v>453</v>
      </c>
      <c r="D659" t="s">
        <v>418</v>
      </c>
      <c r="E659" t="s">
        <v>454</v>
      </c>
      <c r="F659" t="s">
        <v>116</v>
      </c>
      <c r="G659" t="s">
        <v>130</v>
      </c>
      <c r="H659" t="s">
        <v>89</v>
      </c>
      <c r="I659">
        <v>2</v>
      </c>
      <c r="J659" s="2">
        <v>375.09</v>
      </c>
      <c r="K659" s="4">
        <v>0.05</v>
      </c>
      <c r="L659" t="s">
        <v>521</v>
      </c>
      <c r="M659">
        <v>1</v>
      </c>
      <c r="N659" t="s">
        <v>91</v>
      </c>
      <c r="O659" t="str">
        <f>SUBSTITUTE(PROPER(TRIM(RawSalesTable6[[#This Row],[Channel_Raw]])),"Market Place","Marketplace")</f>
        <v>Online</v>
      </c>
      <c r="P659" t="str">
        <f>TRIM(RawSalesTable6[[#This Row],[Product_ID]])</f>
        <v>P1028</v>
      </c>
      <c r="Q659" t="str">
        <f>TRIM(RawSalesTable6[[#This Row],[Customer_ID]])</f>
        <v>C0070</v>
      </c>
      <c r="R659" s="8" t="str">
        <f>PROPER(TRIM(RawSalesTable6[[#This Row],[Store_Raw]]))</f>
        <v>Toronto Downtown</v>
      </c>
      <c r="S659" s="8" t="str">
        <f>IF(TRIM(RawSalesTable6[[#This Row],[Payment_Method_Raw]])="","Non renseigné",SUBSTITUTE(PROPER(TRIM(RawSalesTable6[[#This Row],[Payment_Method_Raw]])),"Cc","Credit Card"))</f>
        <v>Debit Card</v>
      </c>
      <c r="T659" s="8">
        <f>COUNTIF(A:A,RawSalesTable6[[#This Row],[Order_ID]])</f>
        <v>1</v>
      </c>
      <c r="U659" s="8" t="str">
        <f>TRIM(LEFT(RawSalesTable6[[#This Row],[Customer_Info]],FIND(",",RawSalesTable6[[#This Row],[Customer_Info]])-1))</f>
        <v>Sophia Young</v>
      </c>
      <c r="V659" s="8" t="str">
        <f>TRIM(MID(RawSalesTable6[[#This Row],[Customer_Info]],FIND(",",RawSalesTable6[[#This Row],[Customer_Info]])+1,FIND(",",RawSalesTable6[[#This Row],[Customer_Info]],FIND(",",RawSalesTable6[[#This Row],[Customer_Info]])+1)-FIND(",",RawSalesTable6[[#This Row],[Customer_Info]])-1))</f>
        <v>Halifax</v>
      </c>
      <c r="W659" s="8" t="str">
        <f>TRIM(RIGHT(RawSalesTable6[[#This Row],[Customer_Info]],LEN(RawSalesTable6[[#This Row],[Customer_Info]])-FIND(",",RawSalesTable6[[#This Row],[Customer_Info]],FIND(",",RawSalesTable6[[#This Row],[Customer_Info]])+1)))</f>
        <v>Corporate</v>
      </c>
      <c r="X659" s="8" t="str">
        <f>VLOOKUP(RawSalesTable6[[#This Row],[Product_ID_Clean]],ProductsTable[],2,FALSE)</f>
        <v>Foam Roller</v>
      </c>
      <c r="Y659" s="8" t="str">
        <f>VLOOKUP(RawSalesTable6[[#This Row],[Product_ID_Clean]],ProductsTable[],3,FALSE)</f>
        <v>Fitness</v>
      </c>
      <c r="Z659" s="8">
        <f>VLOOKUP(RawSalesTable6[[#This Row],[Product_ID_Clean]],ProductsTable[],5,FALSE)</f>
        <v>212.02</v>
      </c>
      <c r="AA659" s="8">
        <f>RawSalesTable6[[#This Row],[Unit_Price]]*RawSalesTable6[[#This Row],[Quantity]]</f>
        <v>750.18</v>
      </c>
      <c r="AB659" s="8">
        <f>RawSalesTable6[[#This Row],[Gross_Sales]]*RawSalesTable6[[#This Row],[Discount_Pct]]</f>
        <v>37.509</v>
      </c>
      <c r="AC659" s="8">
        <f>RawSalesTable6[[#This Row],[Gross_Sales]]-RawSalesTable6[[#This Row],[Discount_Amount]]</f>
        <v>712.67099999999994</v>
      </c>
      <c r="AD659" s="8">
        <f>RawSalesTable6[[#This Row],[Unit_Cost]]*RawSalesTable6[[#This Row],[Quantity]]</f>
        <v>424.04</v>
      </c>
      <c r="AE659" s="8">
        <f>RawSalesTable6[[#This Row],[Net_Sales]]-RawSalesTable6[[#This Row],[Total_Cost]]</f>
        <v>288.63099999999991</v>
      </c>
      <c r="AF659" s="9">
        <f>RawSalesTable6[[#This Row],[Profit]]/RawSalesTable6[[#This Row],[Net_Sales]]</f>
        <v>0.40499894060513186</v>
      </c>
      <c r="AG659" s="8">
        <f>YEAR(RawSalesTable6[[#This Row],[Order_Date]])</f>
        <v>2025</v>
      </c>
      <c r="AH659" s="8">
        <f>MONTH(RawSalesTable6[[#This Row],[Order_Date]])</f>
        <v>6</v>
      </c>
      <c r="AI659" s="8" t="str">
        <f>TEXT(RawSalesTable6[[#This Row],[Order_Date]],"mmmm")</f>
        <v>juin</v>
      </c>
      <c r="AJ659" s="8" t="str">
        <f>IF(RawSalesTable6[[#This Row],[Month_Number]]&lt;=3,"Q1",IF(RawSalesTable6[[#This Row],[Month_Number]]&lt;=6,"Q2",IF(RawSalesTable6[[#This Row],[Month_Number]]&lt;=9,"Q3","Q4")))</f>
        <v>Q2</v>
      </c>
      <c r="AK659" s="8" t="str">
        <f>VLOOKUP(RawSalesTable6[[#This Row],[Customer_ID_Clean]],CustomersTable[],4,FALSE)</f>
        <v>Nova Scotia</v>
      </c>
      <c r="AL659" s="8">
        <f>IF(RawSalesTable6[[#This Row],[Return_Status]]="Yes",1,0)</f>
        <v>0</v>
      </c>
    </row>
    <row r="660" spans="1:38">
      <c r="A660" t="s">
        <v>1108</v>
      </c>
      <c r="B660" s="3">
        <v>45938</v>
      </c>
      <c r="C660" t="s">
        <v>613</v>
      </c>
      <c r="D660" t="s">
        <v>149</v>
      </c>
      <c r="E660" t="s">
        <v>710</v>
      </c>
      <c r="F660" t="s">
        <v>116</v>
      </c>
      <c r="G660" t="s">
        <v>104</v>
      </c>
      <c r="H660" t="s">
        <v>89</v>
      </c>
      <c r="I660">
        <v>1</v>
      </c>
      <c r="J660" s="2">
        <v>80.88</v>
      </c>
      <c r="K660" s="4">
        <v>0.05</v>
      </c>
      <c r="L660" t="s">
        <v>106</v>
      </c>
      <c r="M660">
        <v>6</v>
      </c>
      <c r="N660" t="s">
        <v>147</v>
      </c>
      <c r="O660" t="str">
        <f>SUBSTITUTE(PROPER(TRIM(RawSalesTable6[[#This Row],[Channel_Raw]])),"Market Place","Marketplace")</f>
        <v>Online</v>
      </c>
      <c r="P660" t="str">
        <f>TRIM(RawSalesTable6[[#This Row],[Product_ID]])</f>
        <v>P1011</v>
      </c>
      <c r="Q660" t="str">
        <f>TRIM(RawSalesTable6[[#This Row],[Customer_ID]])</f>
        <v>C0060</v>
      </c>
      <c r="R660" s="8" t="str">
        <f>PROPER(TRIM(RawSalesTable6[[#This Row],[Store_Raw]]))</f>
        <v>Toronto Downtown</v>
      </c>
      <c r="S660" s="8" t="str">
        <f>IF(TRIM(RawSalesTable6[[#This Row],[Payment_Method_Raw]])="","Non renseigné",SUBSTITUTE(PROPER(TRIM(RawSalesTable6[[#This Row],[Payment_Method_Raw]])),"Cc","Credit Card"))</f>
        <v>Credit Card</v>
      </c>
      <c r="T660" s="8">
        <f>COUNTIF(A:A,RawSalesTable6[[#This Row],[Order_ID]])</f>
        <v>1</v>
      </c>
      <c r="U660" s="8" t="str">
        <f>TRIM(LEFT(RawSalesTable6[[#This Row],[Customer_Info]],FIND(",",RawSalesTable6[[#This Row],[Customer_Info]])-1))</f>
        <v>Sarah Wilson</v>
      </c>
      <c r="V660" s="8" t="str">
        <f>TRIM(MID(RawSalesTable6[[#This Row],[Customer_Info]],FIND(",",RawSalesTable6[[#This Row],[Customer_Info]])+1,FIND(",",RawSalesTable6[[#This Row],[Customer_Info]],FIND(",",RawSalesTable6[[#This Row],[Customer_Info]])+1)-FIND(",",RawSalesTable6[[#This Row],[Customer_Info]])-1))</f>
        <v>Quebec City</v>
      </c>
      <c r="W660" s="8" t="str">
        <f>TRIM(RIGHT(RawSalesTable6[[#This Row],[Customer_Info]],LEN(RawSalesTable6[[#This Row],[Customer_Info]])-FIND(",",RawSalesTable6[[#This Row],[Customer_Info]],FIND(",",RawSalesTable6[[#This Row],[Customer_Info]])+1)))</f>
        <v>Corporate</v>
      </c>
      <c r="X660" s="8" t="str">
        <f>VLOOKUP(RawSalesTable6[[#This Row],[Product_ID_Clean]],ProductsTable[],2,FALSE)</f>
        <v>Office Chair</v>
      </c>
      <c r="Y660" s="8" t="str">
        <f>VLOOKUP(RawSalesTable6[[#This Row],[Product_ID_Clean]],ProductsTable[],3,FALSE)</f>
        <v>Office</v>
      </c>
      <c r="Z660" s="8">
        <f>VLOOKUP(RawSalesTable6[[#This Row],[Product_ID_Clean]],ProductsTable[],5,FALSE)</f>
        <v>39.26</v>
      </c>
      <c r="AA660" s="8">
        <f>RawSalesTable6[[#This Row],[Unit_Price]]*RawSalesTable6[[#This Row],[Quantity]]</f>
        <v>80.88</v>
      </c>
      <c r="AB660" s="8">
        <f>RawSalesTable6[[#This Row],[Gross_Sales]]*RawSalesTable6[[#This Row],[Discount_Pct]]</f>
        <v>4.0439999999999996</v>
      </c>
      <c r="AC660" s="8">
        <f>RawSalesTable6[[#This Row],[Gross_Sales]]-RawSalesTable6[[#This Row],[Discount_Amount]]</f>
        <v>76.835999999999999</v>
      </c>
      <c r="AD660" s="8">
        <f>RawSalesTable6[[#This Row],[Unit_Cost]]*RawSalesTable6[[#This Row],[Quantity]]</f>
        <v>39.26</v>
      </c>
      <c r="AE660" s="8">
        <f>RawSalesTable6[[#This Row],[Net_Sales]]-RawSalesTable6[[#This Row],[Total_Cost]]</f>
        <v>37.576000000000001</v>
      </c>
      <c r="AF660" s="9">
        <f>RawSalesTable6[[#This Row],[Profit]]/RawSalesTable6[[#This Row],[Net_Sales]]</f>
        <v>0.48904159508563694</v>
      </c>
      <c r="AG660" s="8">
        <f>YEAR(RawSalesTable6[[#This Row],[Order_Date]])</f>
        <v>2025</v>
      </c>
      <c r="AH660" s="8">
        <f>MONTH(RawSalesTable6[[#This Row],[Order_Date]])</f>
        <v>10</v>
      </c>
      <c r="AI660" s="8" t="str">
        <f>TEXT(RawSalesTable6[[#This Row],[Order_Date]],"mmmm")</f>
        <v>octobre</v>
      </c>
      <c r="AJ660" s="8" t="str">
        <f>IF(RawSalesTable6[[#This Row],[Month_Number]]&lt;=3,"Q1",IF(RawSalesTable6[[#This Row],[Month_Number]]&lt;=6,"Q2",IF(RawSalesTable6[[#This Row],[Month_Number]]&lt;=9,"Q3","Q4")))</f>
        <v>Q4</v>
      </c>
      <c r="AK660" s="8" t="str">
        <f>VLOOKUP(RawSalesTable6[[#This Row],[Customer_ID_Clean]],CustomersTable[],4,FALSE)</f>
        <v>Quebec</v>
      </c>
      <c r="AL660" s="8">
        <f>IF(RawSalesTable6[[#This Row],[Return_Status]]="Yes",1,0)</f>
        <v>1</v>
      </c>
    </row>
    <row r="661" spans="1:38">
      <c r="A661" t="s">
        <v>1109</v>
      </c>
      <c r="B661" s="3">
        <v>45673</v>
      </c>
      <c r="C661" t="s">
        <v>466</v>
      </c>
      <c r="D661" t="s">
        <v>271</v>
      </c>
      <c r="E661" t="s">
        <v>1110</v>
      </c>
      <c r="F661" t="s">
        <v>87</v>
      </c>
      <c r="G661" t="s">
        <v>117</v>
      </c>
      <c r="H661" t="s">
        <v>89</v>
      </c>
      <c r="I661">
        <v>2</v>
      </c>
      <c r="J661" s="2">
        <v>217.75</v>
      </c>
      <c r="K661" s="4">
        <v>0.15</v>
      </c>
      <c r="L661" t="s">
        <v>106</v>
      </c>
      <c r="M661">
        <v>2</v>
      </c>
      <c r="N661" t="s">
        <v>91</v>
      </c>
      <c r="O661" t="str">
        <f>SUBSTITUTE(PROPER(TRIM(RawSalesTable6[[#This Row],[Channel_Raw]])),"Market Place","Marketplace")</f>
        <v>Online</v>
      </c>
      <c r="P661" t="str">
        <f>TRIM(RawSalesTable6[[#This Row],[Product_ID]])</f>
        <v>P1026</v>
      </c>
      <c r="Q661" t="str">
        <f>TRIM(RawSalesTable6[[#This Row],[Customer_ID]])</f>
        <v>C0096</v>
      </c>
      <c r="R661" s="8" t="str">
        <f>PROPER(TRIM(RawSalesTable6[[#This Row],[Store_Raw]]))</f>
        <v>Online Fulfillment</v>
      </c>
      <c r="S661" s="8" t="str">
        <f>IF(TRIM(RawSalesTable6[[#This Row],[Payment_Method_Raw]])="","Non renseigné",SUBSTITUTE(PROPER(TRIM(RawSalesTable6[[#This Row],[Payment_Method_Raw]])),"Cc","Credit Card"))</f>
        <v>Credit Card</v>
      </c>
      <c r="T661" s="8">
        <f>COUNTIF(A:A,RawSalesTable6[[#This Row],[Order_ID]])</f>
        <v>1</v>
      </c>
      <c r="U661" s="8" t="str">
        <f>TRIM(LEFT(RawSalesTable6[[#This Row],[Customer_Info]],FIND(",",RawSalesTable6[[#This Row],[Customer_Info]])-1))</f>
        <v>Ryan Roy</v>
      </c>
      <c r="V661" s="8" t="str">
        <f>TRIM(MID(RawSalesTable6[[#This Row],[Customer_Info]],FIND(",",RawSalesTable6[[#This Row],[Customer_Info]])+1,FIND(",",RawSalesTable6[[#This Row],[Customer_Info]],FIND(",",RawSalesTable6[[#This Row],[Customer_Info]])+1)-FIND(",",RawSalesTable6[[#This Row],[Customer_Info]])-1))</f>
        <v>Laval</v>
      </c>
      <c r="W661" s="8" t="str">
        <f>TRIM(RIGHT(RawSalesTable6[[#This Row],[Customer_Info]],LEN(RawSalesTable6[[#This Row],[Customer_Info]])-FIND(",",RawSalesTable6[[#This Row],[Customer_Info]],FIND(",",RawSalesTable6[[#This Row],[Customer_Info]])+1)))</f>
        <v>Corporate</v>
      </c>
      <c r="X661" s="8" t="str">
        <f>VLOOKUP(RawSalesTable6[[#This Row],[Product_ID_Clean]],ProductsTable[],2,FALSE)</f>
        <v>Resistance Bands</v>
      </c>
      <c r="Y661" s="8" t="str">
        <f>VLOOKUP(RawSalesTable6[[#This Row],[Product_ID_Clean]],ProductsTable[],3,FALSE)</f>
        <v>Fitness</v>
      </c>
      <c r="Z661" s="8">
        <f>VLOOKUP(RawSalesTable6[[#This Row],[Product_ID_Clean]],ProductsTable[],5,FALSE)</f>
        <v>139.19999999999999</v>
      </c>
      <c r="AA661" s="8">
        <f>RawSalesTable6[[#This Row],[Unit_Price]]*RawSalesTable6[[#This Row],[Quantity]]</f>
        <v>435.5</v>
      </c>
      <c r="AB661" s="8">
        <f>RawSalesTable6[[#This Row],[Gross_Sales]]*RawSalesTable6[[#This Row],[Discount_Pct]]</f>
        <v>65.325000000000003</v>
      </c>
      <c r="AC661" s="8">
        <f>RawSalesTable6[[#This Row],[Gross_Sales]]-RawSalesTable6[[#This Row],[Discount_Amount]]</f>
        <v>370.17500000000001</v>
      </c>
      <c r="AD661" s="8">
        <f>RawSalesTable6[[#This Row],[Unit_Cost]]*RawSalesTable6[[#This Row],[Quantity]]</f>
        <v>278.39999999999998</v>
      </c>
      <c r="AE661" s="8">
        <f>RawSalesTable6[[#This Row],[Net_Sales]]-RawSalesTable6[[#This Row],[Total_Cost]]</f>
        <v>91.775000000000034</v>
      </c>
      <c r="AF661" s="9">
        <f>RawSalesTable6[[#This Row],[Profit]]/RawSalesTable6[[#This Row],[Net_Sales]]</f>
        <v>0.24792327952995213</v>
      </c>
      <c r="AG661" s="8">
        <f>YEAR(RawSalesTable6[[#This Row],[Order_Date]])</f>
        <v>2025</v>
      </c>
      <c r="AH661" s="8">
        <f>MONTH(RawSalesTable6[[#This Row],[Order_Date]])</f>
        <v>1</v>
      </c>
      <c r="AI661" s="8" t="str">
        <f>TEXT(RawSalesTable6[[#This Row],[Order_Date]],"mmmm")</f>
        <v>janvier</v>
      </c>
      <c r="AJ661" s="8" t="str">
        <f>IF(RawSalesTable6[[#This Row],[Month_Number]]&lt;=3,"Q1",IF(RawSalesTable6[[#This Row],[Month_Number]]&lt;=6,"Q2",IF(RawSalesTable6[[#This Row],[Month_Number]]&lt;=9,"Q3","Q4")))</f>
        <v>Q1</v>
      </c>
      <c r="AK661" s="8" t="str">
        <f>VLOOKUP(RawSalesTable6[[#This Row],[Customer_ID_Clean]],CustomersTable[],4,FALSE)</f>
        <v>Quebec</v>
      </c>
      <c r="AL661" s="8">
        <f>IF(RawSalesTable6[[#This Row],[Return_Status]]="Yes",1,0)</f>
        <v>0</v>
      </c>
    </row>
    <row r="662" spans="1:38">
      <c r="A662" t="s">
        <v>1111</v>
      </c>
      <c r="B662" s="3">
        <v>45782</v>
      </c>
      <c r="C662" t="s">
        <v>695</v>
      </c>
      <c r="D662" t="s">
        <v>271</v>
      </c>
      <c r="E662" t="s">
        <v>696</v>
      </c>
      <c r="F662" t="s">
        <v>116</v>
      </c>
      <c r="G662" t="s">
        <v>88</v>
      </c>
      <c r="H662" t="s">
        <v>105</v>
      </c>
      <c r="I662">
        <v>1</v>
      </c>
      <c r="J662" s="2">
        <v>223.78</v>
      </c>
      <c r="K662" s="4">
        <v>0.1</v>
      </c>
      <c r="L662" t="s">
        <v>106</v>
      </c>
      <c r="M662">
        <v>3</v>
      </c>
      <c r="N662" t="s">
        <v>91</v>
      </c>
      <c r="O662" t="str">
        <f>SUBSTITUTE(PROPER(TRIM(RawSalesTable6[[#This Row],[Channel_Raw]])),"Market Place","Marketplace")</f>
        <v>Marketplace</v>
      </c>
      <c r="P662" t="str">
        <f>TRIM(RawSalesTable6[[#This Row],[Product_ID]])</f>
        <v>P1026</v>
      </c>
      <c r="Q662" t="str">
        <f>TRIM(RawSalesTable6[[#This Row],[Customer_ID]])</f>
        <v>C0019</v>
      </c>
      <c r="R662" s="8" t="str">
        <f>PROPER(TRIM(RawSalesTable6[[#This Row],[Store_Raw]]))</f>
        <v>Toronto Downtown</v>
      </c>
      <c r="S662" s="8" t="str">
        <f>IF(TRIM(RawSalesTable6[[#This Row],[Payment_Method_Raw]])="","Non renseigné",SUBSTITUTE(PROPER(TRIM(RawSalesTable6[[#This Row],[Payment_Method_Raw]])),"Cc","Credit Card"))</f>
        <v>Credit Card</v>
      </c>
      <c r="T662" s="8">
        <f>COUNTIF(A:A,RawSalesTable6[[#This Row],[Order_ID]])</f>
        <v>1</v>
      </c>
      <c r="U662" s="8" t="str">
        <f>TRIM(LEFT(RawSalesTable6[[#This Row],[Customer_Info]],FIND(",",RawSalesTable6[[#This Row],[Customer_Info]])-1))</f>
        <v>Lucas Taylor</v>
      </c>
      <c r="V662" s="8" t="str">
        <f>TRIM(MID(RawSalesTable6[[#This Row],[Customer_Info]],FIND(",",RawSalesTable6[[#This Row],[Customer_Info]])+1,FIND(",",RawSalesTable6[[#This Row],[Customer_Info]],FIND(",",RawSalesTable6[[#This Row],[Customer_Info]])+1)-FIND(",",RawSalesTable6[[#This Row],[Customer_Info]])-1))</f>
        <v>Montreal</v>
      </c>
      <c r="W662" s="8" t="str">
        <f>TRIM(RIGHT(RawSalesTable6[[#This Row],[Customer_Info]],LEN(RawSalesTable6[[#This Row],[Customer_Info]])-FIND(",",RawSalesTable6[[#This Row],[Customer_Info]],FIND(",",RawSalesTable6[[#This Row],[Customer_Info]])+1)))</f>
        <v>Small Business</v>
      </c>
      <c r="X662" s="8" t="str">
        <f>VLOOKUP(RawSalesTable6[[#This Row],[Product_ID_Clean]],ProductsTable[],2,FALSE)</f>
        <v>Resistance Bands</v>
      </c>
      <c r="Y662" s="8" t="str">
        <f>VLOOKUP(RawSalesTable6[[#This Row],[Product_ID_Clean]],ProductsTable[],3,FALSE)</f>
        <v>Fitness</v>
      </c>
      <c r="Z662" s="8">
        <f>VLOOKUP(RawSalesTable6[[#This Row],[Product_ID_Clean]],ProductsTable[],5,FALSE)</f>
        <v>139.19999999999999</v>
      </c>
      <c r="AA662" s="8">
        <f>RawSalesTable6[[#This Row],[Unit_Price]]*RawSalesTable6[[#This Row],[Quantity]]</f>
        <v>223.78</v>
      </c>
      <c r="AB662" s="8">
        <f>RawSalesTable6[[#This Row],[Gross_Sales]]*RawSalesTable6[[#This Row],[Discount_Pct]]</f>
        <v>22.378</v>
      </c>
      <c r="AC662" s="8">
        <f>RawSalesTable6[[#This Row],[Gross_Sales]]-RawSalesTable6[[#This Row],[Discount_Amount]]</f>
        <v>201.40199999999999</v>
      </c>
      <c r="AD662" s="8">
        <f>RawSalesTable6[[#This Row],[Unit_Cost]]*RawSalesTable6[[#This Row],[Quantity]]</f>
        <v>139.19999999999999</v>
      </c>
      <c r="AE662" s="8">
        <f>RawSalesTable6[[#This Row],[Net_Sales]]-RawSalesTable6[[#This Row],[Total_Cost]]</f>
        <v>62.201999999999998</v>
      </c>
      <c r="AF662" s="9">
        <f>RawSalesTable6[[#This Row],[Profit]]/RawSalesTable6[[#This Row],[Net_Sales]]</f>
        <v>0.30884499657401615</v>
      </c>
      <c r="AG662" s="8">
        <f>YEAR(RawSalesTable6[[#This Row],[Order_Date]])</f>
        <v>2025</v>
      </c>
      <c r="AH662" s="8">
        <f>MONTH(RawSalesTable6[[#This Row],[Order_Date]])</f>
        <v>5</v>
      </c>
      <c r="AI662" s="8" t="str">
        <f>TEXT(RawSalesTable6[[#This Row],[Order_Date]],"mmmm")</f>
        <v>mai</v>
      </c>
      <c r="AJ662" s="8" t="str">
        <f>IF(RawSalesTable6[[#This Row],[Month_Number]]&lt;=3,"Q1",IF(RawSalesTable6[[#This Row],[Month_Number]]&lt;=6,"Q2",IF(RawSalesTable6[[#This Row],[Month_Number]]&lt;=9,"Q3","Q4")))</f>
        <v>Q2</v>
      </c>
      <c r="AK662" s="8" t="str">
        <f>VLOOKUP(RawSalesTable6[[#This Row],[Customer_ID_Clean]],CustomersTable[],4,FALSE)</f>
        <v>Quebec</v>
      </c>
      <c r="AL662" s="8">
        <f>IF(RawSalesTable6[[#This Row],[Return_Status]]="Yes",1,0)</f>
        <v>0</v>
      </c>
    </row>
    <row r="663" spans="1:38">
      <c r="A663" t="s">
        <v>1112</v>
      </c>
      <c r="B663" s="3">
        <v>45775</v>
      </c>
      <c r="C663" t="s">
        <v>406</v>
      </c>
      <c r="D663" t="s">
        <v>217</v>
      </c>
      <c r="E663" t="s">
        <v>407</v>
      </c>
      <c r="F663" t="s">
        <v>103</v>
      </c>
      <c r="G663" t="s">
        <v>117</v>
      </c>
      <c r="H663" t="s">
        <v>89</v>
      </c>
      <c r="I663">
        <v>1</v>
      </c>
      <c r="J663" s="2">
        <v>99.27</v>
      </c>
      <c r="K663" s="4">
        <v>0</v>
      </c>
      <c r="L663" t="s">
        <v>106</v>
      </c>
      <c r="M663">
        <v>5</v>
      </c>
      <c r="N663" t="s">
        <v>91</v>
      </c>
      <c r="O663" t="str">
        <f>SUBSTITUTE(PROPER(TRIM(RawSalesTable6[[#This Row],[Channel_Raw]])),"Market Place","Marketplace")</f>
        <v>Online</v>
      </c>
      <c r="P663" t="str">
        <f>TRIM(RawSalesTable6[[#This Row],[Product_ID]])</f>
        <v>P1006</v>
      </c>
      <c r="Q663" t="str">
        <f>TRIM(RawSalesTable6[[#This Row],[Customer_ID]])</f>
        <v>C0038</v>
      </c>
      <c r="R663" s="8" t="str">
        <f>PROPER(TRIM(RawSalesTable6[[#This Row],[Store_Raw]]))</f>
        <v>Vancouver West</v>
      </c>
      <c r="S663" s="8" t="str">
        <f>IF(TRIM(RawSalesTable6[[#This Row],[Payment_Method_Raw]])="","Non renseigné",SUBSTITUTE(PROPER(TRIM(RawSalesTable6[[#This Row],[Payment_Method_Raw]])),"Cc","Credit Card"))</f>
        <v>Credit Card</v>
      </c>
      <c r="T663" s="8">
        <f>COUNTIF(A:A,RawSalesTable6[[#This Row],[Order_ID]])</f>
        <v>1</v>
      </c>
      <c r="U663" s="8" t="str">
        <f>TRIM(LEFT(RawSalesTable6[[#This Row],[Customer_Info]],FIND(",",RawSalesTable6[[#This Row],[Customer_Info]])-1))</f>
        <v>Noah Brown</v>
      </c>
      <c r="V663" s="8" t="str">
        <f>TRIM(MID(RawSalesTable6[[#This Row],[Customer_Info]],FIND(",",RawSalesTable6[[#This Row],[Customer_Info]])+1,FIND(",",RawSalesTable6[[#This Row],[Customer_Info]],FIND(",",RawSalesTable6[[#This Row],[Customer_Info]])+1)-FIND(",",RawSalesTable6[[#This Row],[Customer_Info]])-1))</f>
        <v>Montreal</v>
      </c>
      <c r="W663" s="8" t="str">
        <f>TRIM(RIGHT(RawSalesTable6[[#This Row],[Customer_Info]],LEN(RawSalesTable6[[#This Row],[Customer_Info]])-FIND(",",RawSalesTable6[[#This Row],[Customer_Info]],FIND(",",RawSalesTable6[[#This Row],[Customer_Info]])+1)))</f>
        <v>Consumer</v>
      </c>
      <c r="X663" s="8" t="str">
        <f>VLOOKUP(RawSalesTable6[[#This Row],[Product_ID_Clean]],ProductsTable[],2,FALSE)</f>
        <v>USB-C Hub</v>
      </c>
      <c r="Y663" s="8" t="str">
        <f>VLOOKUP(RawSalesTable6[[#This Row],[Product_ID_Clean]],ProductsTable[],3,FALSE)</f>
        <v>Electronics</v>
      </c>
      <c r="Z663" s="8">
        <f>VLOOKUP(RawSalesTable6[[#This Row],[Product_ID_Clean]],ProductsTable[],5,FALSE)</f>
        <v>72</v>
      </c>
      <c r="AA663" s="8">
        <f>RawSalesTable6[[#This Row],[Unit_Price]]*RawSalesTable6[[#This Row],[Quantity]]</f>
        <v>99.27</v>
      </c>
      <c r="AB663" s="8">
        <f>RawSalesTable6[[#This Row],[Gross_Sales]]*RawSalesTable6[[#This Row],[Discount_Pct]]</f>
        <v>0</v>
      </c>
      <c r="AC663" s="8">
        <f>RawSalesTable6[[#This Row],[Gross_Sales]]-RawSalesTable6[[#This Row],[Discount_Amount]]</f>
        <v>99.27</v>
      </c>
      <c r="AD663" s="8">
        <f>RawSalesTable6[[#This Row],[Unit_Cost]]*RawSalesTable6[[#This Row],[Quantity]]</f>
        <v>72</v>
      </c>
      <c r="AE663" s="8">
        <f>RawSalesTable6[[#This Row],[Net_Sales]]-RawSalesTable6[[#This Row],[Total_Cost]]</f>
        <v>27.269999999999996</v>
      </c>
      <c r="AF663" s="9">
        <f>RawSalesTable6[[#This Row],[Profit]]/RawSalesTable6[[#This Row],[Net_Sales]]</f>
        <v>0.27470534904805072</v>
      </c>
      <c r="AG663" s="8">
        <f>YEAR(RawSalesTable6[[#This Row],[Order_Date]])</f>
        <v>2025</v>
      </c>
      <c r="AH663" s="8">
        <f>MONTH(RawSalesTable6[[#This Row],[Order_Date]])</f>
        <v>4</v>
      </c>
      <c r="AI663" s="8" t="str">
        <f>TEXT(RawSalesTable6[[#This Row],[Order_Date]],"mmmm")</f>
        <v>avril</v>
      </c>
      <c r="AJ663" s="8" t="str">
        <f>IF(RawSalesTable6[[#This Row],[Month_Number]]&lt;=3,"Q1",IF(RawSalesTable6[[#This Row],[Month_Number]]&lt;=6,"Q2",IF(RawSalesTable6[[#This Row],[Month_Number]]&lt;=9,"Q3","Q4")))</f>
        <v>Q2</v>
      </c>
      <c r="AK663" s="8" t="str">
        <f>VLOOKUP(RawSalesTable6[[#This Row],[Customer_ID_Clean]],CustomersTable[],4,FALSE)</f>
        <v>Quebec</v>
      </c>
      <c r="AL663" s="8">
        <f>IF(RawSalesTable6[[#This Row],[Return_Status]]="Yes",1,0)</f>
        <v>0</v>
      </c>
    </row>
    <row r="664" spans="1:38">
      <c r="A664" t="s">
        <v>1113</v>
      </c>
      <c r="B664" s="3">
        <v>45658</v>
      </c>
      <c r="C664" t="s">
        <v>594</v>
      </c>
      <c r="D664" t="s">
        <v>323</v>
      </c>
      <c r="E664" t="s">
        <v>1114</v>
      </c>
      <c r="F664" t="s">
        <v>87</v>
      </c>
      <c r="G664" t="s">
        <v>96</v>
      </c>
      <c r="H664" t="s">
        <v>97</v>
      </c>
      <c r="I664">
        <v>3</v>
      </c>
      <c r="J664" s="2">
        <v>335.87</v>
      </c>
      <c r="K664" s="4">
        <v>0.2</v>
      </c>
      <c r="L664" t="s">
        <v>98</v>
      </c>
      <c r="M664">
        <v>2</v>
      </c>
      <c r="N664" t="s">
        <v>147</v>
      </c>
      <c r="O664" t="str">
        <f>SUBSTITUTE(PROPER(TRIM(RawSalesTable6[[#This Row],[Channel_Raw]])),"Market Place","Marketplace")</f>
        <v>Retail Store</v>
      </c>
      <c r="P664" t="str">
        <f>TRIM(RawSalesTable6[[#This Row],[Product_ID]])</f>
        <v>P1023</v>
      </c>
      <c r="Q664" t="str">
        <f>TRIM(RawSalesTable6[[#This Row],[Customer_ID]])</f>
        <v>C0027</v>
      </c>
      <c r="R664" s="8" t="str">
        <f>PROPER(TRIM(RawSalesTable6[[#This Row],[Store_Raw]]))</f>
        <v>Online Fulfillment</v>
      </c>
      <c r="S664" s="8" t="str">
        <f>IF(TRIM(RawSalesTable6[[#This Row],[Payment_Method_Raw]])="","Non renseigné",SUBSTITUTE(PROPER(TRIM(RawSalesTable6[[#This Row],[Payment_Method_Raw]])),"Cc","Credit Card"))</f>
        <v>Debit Card</v>
      </c>
      <c r="T664" s="8">
        <f>COUNTIF(A:A,RawSalesTable6[[#This Row],[Order_ID]])</f>
        <v>1</v>
      </c>
      <c r="U664" s="8" t="str">
        <f>TRIM(LEFT(RawSalesTable6[[#This Row],[Customer_Info]],FIND(",",RawSalesTable6[[#This Row],[Customer_Info]])-1))</f>
        <v>Nora Wilson</v>
      </c>
      <c r="V664" s="8" t="str">
        <f>TRIM(MID(RawSalesTable6[[#This Row],[Customer_Info]],FIND(",",RawSalesTable6[[#This Row],[Customer_Info]])+1,FIND(",",RawSalesTable6[[#This Row],[Customer_Info]],FIND(",",RawSalesTable6[[#This Row],[Customer_Info]])+1)-FIND(",",RawSalesTable6[[#This Row],[Customer_Info]])-1))</f>
        <v>Toronto</v>
      </c>
      <c r="W664" s="8" t="str">
        <f>TRIM(RIGHT(RawSalesTable6[[#This Row],[Customer_Info]],LEN(RawSalesTable6[[#This Row],[Customer_Info]])-FIND(",",RawSalesTable6[[#This Row],[Customer_Info]],FIND(",",RawSalesTable6[[#This Row],[Customer_Info]])+1)))</f>
        <v>Small Business</v>
      </c>
      <c r="X664" s="8" t="str">
        <f>VLOOKUP(RawSalesTable6[[#This Row],[Product_ID_Clean]],ProductsTable[],2,FALSE)</f>
        <v>Toaster</v>
      </c>
      <c r="Y664" s="8" t="str">
        <f>VLOOKUP(RawSalesTable6[[#This Row],[Product_ID_Clean]],ProductsTable[],3,FALSE)</f>
        <v>Home</v>
      </c>
      <c r="Z664" s="8">
        <f>VLOOKUP(RawSalesTable6[[#This Row],[Product_ID_Clean]],ProductsTable[],5,FALSE)</f>
        <v>152.88</v>
      </c>
      <c r="AA664" s="8">
        <f>RawSalesTable6[[#This Row],[Unit_Price]]*RawSalesTable6[[#This Row],[Quantity]]</f>
        <v>1007.61</v>
      </c>
      <c r="AB664" s="8">
        <f>RawSalesTable6[[#This Row],[Gross_Sales]]*RawSalesTable6[[#This Row],[Discount_Pct]]</f>
        <v>201.52200000000002</v>
      </c>
      <c r="AC664" s="8">
        <f>RawSalesTable6[[#This Row],[Gross_Sales]]-RawSalesTable6[[#This Row],[Discount_Amount]]</f>
        <v>806.08799999999997</v>
      </c>
      <c r="AD664" s="8">
        <f>RawSalesTable6[[#This Row],[Unit_Cost]]*RawSalesTable6[[#This Row],[Quantity]]</f>
        <v>458.64</v>
      </c>
      <c r="AE664" s="8">
        <f>RawSalesTable6[[#This Row],[Net_Sales]]-RawSalesTable6[[#This Row],[Total_Cost]]</f>
        <v>347.44799999999998</v>
      </c>
      <c r="AF664" s="9">
        <f>RawSalesTable6[[#This Row],[Profit]]/RawSalesTable6[[#This Row],[Net_Sales]]</f>
        <v>0.43102986274451421</v>
      </c>
      <c r="AG664" s="8">
        <f>YEAR(RawSalesTable6[[#This Row],[Order_Date]])</f>
        <v>2025</v>
      </c>
      <c r="AH664" s="8">
        <f>MONTH(RawSalesTable6[[#This Row],[Order_Date]])</f>
        <v>1</v>
      </c>
      <c r="AI664" s="8" t="str">
        <f>TEXT(RawSalesTable6[[#This Row],[Order_Date]],"mmmm")</f>
        <v>janvier</v>
      </c>
      <c r="AJ664" s="8" t="str">
        <f>IF(RawSalesTable6[[#This Row],[Month_Number]]&lt;=3,"Q1",IF(RawSalesTable6[[#This Row],[Month_Number]]&lt;=6,"Q2",IF(RawSalesTable6[[#This Row],[Month_Number]]&lt;=9,"Q3","Q4")))</f>
        <v>Q1</v>
      </c>
      <c r="AK664" s="8" t="str">
        <f>VLOOKUP(RawSalesTable6[[#This Row],[Customer_ID_Clean]],CustomersTable[],4,FALSE)</f>
        <v>Ontario</v>
      </c>
      <c r="AL664" s="8">
        <f>IF(RawSalesTable6[[#This Row],[Return_Status]]="Yes",1,0)</f>
        <v>1</v>
      </c>
    </row>
    <row r="665" spans="1:38">
      <c r="A665" t="s">
        <v>1115</v>
      </c>
      <c r="B665" s="3">
        <v>45922</v>
      </c>
      <c r="C665" t="s">
        <v>296</v>
      </c>
      <c r="D665" t="s">
        <v>114</v>
      </c>
      <c r="E665" t="s">
        <v>297</v>
      </c>
      <c r="F665" t="s">
        <v>145</v>
      </c>
      <c r="G665" t="s">
        <v>104</v>
      </c>
      <c r="H665" t="s">
        <v>89</v>
      </c>
      <c r="I665">
        <v>3</v>
      </c>
      <c r="J665" s="2">
        <v>143.22999999999999</v>
      </c>
      <c r="K665" s="4">
        <v>0.1</v>
      </c>
      <c r="L665" t="s">
        <v>90</v>
      </c>
      <c r="M665">
        <v>3</v>
      </c>
      <c r="N665" t="s">
        <v>91</v>
      </c>
      <c r="O665" t="str">
        <f>SUBSTITUTE(PROPER(TRIM(RawSalesTable6[[#This Row],[Channel_Raw]])),"Market Place","Marketplace")</f>
        <v>Online</v>
      </c>
      <c r="P665" t="str">
        <f>TRIM(RawSalesTable6[[#This Row],[Product_ID]])</f>
        <v>P1034</v>
      </c>
      <c r="Q665" t="str">
        <f>TRIM(RawSalesTable6[[#This Row],[Customer_ID]])</f>
        <v>C0040</v>
      </c>
      <c r="R665" s="8" t="str">
        <f>PROPER(TRIM(RawSalesTable6[[#This Row],[Store_Raw]]))</f>
        <v>Calgary North</v>
      </c>
      <c r="S665" s="8" t="str">
        <f>IF(TRIM(RawSalesTable6[[#This Row],[Payment_Method_Raw]])="","Non renseigné",SUBSTITUTE(PROPER(TRIM(RawSalesTable6[[#This Row],[Payment_Method_Raw]])),"Cc","Credit Card"))</f>
        <v>Paypal</v>
      </c>
      <c r="T665" s="8">
        <f>COUNTIF(A:A,RawSalesTable6[[#This Row],[Order_ID]])</f>
        <v>1</v>
      </c>
      <c r="U665" s="8" t="str">
        <f>TRIM(LEFT(RawSalesTable6[[#This Row],[Customer_Info]],FIND(",",RawSalesTable6[[#This Row],[Customer_Info]])-1))</f>
        <v>Ethan Young</v>
      </c>
      <c r="V665" s="8" t="str">
        <f>TRIM(MID(RawSalesTable6[[#This Row],[Customer_Info]],FIND(",",RawSalesTable6[[#This Row],[Customer_Info]])+1,FIND(",",RawSalesTable6[[#This Row],[Customer_Info]],FIND(",",RawSalesTable6[[#This Row],[Customer_Info]])+1)-FIND(",",RawSalesTable6[[#This Row],[Customer_Info]])-1))</f>
        <v>Surrey</v>
      </c>
      <c r="W665" s="8" t="str">
        <f>TRIM(RIGHT(RawSalesTable6[[#This Row],[Customer_Info]],LEN(RawSalesTable6[[#This Row],[Customer_Info]])-FIND(",",RawSalesTable6[[#This Row],[Customer_Info]],FIND(",",RawSalesTable6[[#This Row],[Customer_Info]])+1)))</f>
        <v>Consumer</v>
      </c>
      <c r="X665" s="8" t="str">
        <f>VLOOKUP(RawSalesTable6[[#This Row],[Product_ID_Clean]],ProductsTable[],2,FALSE)</f>
        <v>Laptop Sleeve</v>
      </c>
      <c r="Y665" s="8" t="str">
        <f>VLOOKUP(RawSalesTable6[[#This Row],[Product_ID_Clean]],ProductsTable[],3,FALSE)</f>
        <v>Accessories</v>
      </c>
      <c r="Z665" s="8">
        <f>VLOOKUP(RawSalesTable6[[#This Row],[Product_ID_Clean]],ProductsTable[],5,FALSE)</f>
        <v>78.95</v>
      </c>
      <c r="AA665" s="8">
        <f>RawSalesTable6[[#This Row],[Unit_Price]]*RawSalesTable6[[#This Row],[Quantity]]</f>
        <v>429.68999999999994</v>
      </c>
      <c r="AB665" s="8">
        <f>RawSalesTable6[[#This Row],[Gross_Sales]]*RawSalesTable6[[#This Row],[Discount_Pct]]</f>
        <v>42.968999999999994</v>
      </c>
      <c r="AC665" s="8">
        <f>RawSalesTable6[[#This Row],[Gross_Sales]]-RawSalesTable6[[#This Row],[Discount_Amount]]</f>
        <v>386.72099999999995</v>
      </c>
      <c r="AD665" s="8">
        <f>RawSalesTable6[[#This Row],[Unit_Cost]]*RawSalesTable6[[#This Row],[Quantity]]</f>
        <v>236.85000000000002</v>
      </c>
      <c r="AE665" s="8">
        <f>RawSalesTable6[[#This Row],[Net_Sales]]-RawSalesTable6[[#This Row],[Total_Cost]]</f>
        <v>149.87099999999992</v>
      </c>
      <c r="AF665" s="9">
        <f>RawSalesTable6[[#This Row],[Profit]]/RawSalesTable6[[#This Row],[Net_Sales]]</f>
        <v>0.38754295732582389</v>
      </c>
      <c r="AG665" s="8">
        <f>YEAR(RawSalesTable6[[#This Row],[Order_Date]])</f>
        <v>2025</v>
      </c>
      <c r="AH665" s="8">
        <f>MONTH(RawSalesTable6[[#This Row],[Order_Date]])</f>
        <v>9</v>
      </c>
      <c r="AI665" s="8" t="str">
        <f>TEXT(RawSalesTable6[[#This Row],[Order_Date]],"mmmm")</f>
        <v>septembre</v>
      </c>
      <c r="AJ665" s="8" t="str">
        <f>IF(RawSalesTable6[[#This Row],[Month_Number]]&lt;=3,"Q1",IF(RawSalesTable6[[#This Row],[Month_Number]]&lt;=6,"Q2",IF(RawSalesTable6[[#This Row],[Month_Number]]&lt;=9,"Q3","Q4")))</f>
        <v>Q3</v>
      </c>
      <c r="AK665" s="8" t="str">
        <f>VLOOKUP(RawSalesTable6[[#This Row],[Customer_ID_Clean]],CustomersTable[],4,FALSE)</f>
        <v>British Columbia</v>
      </c>
      <c r="AL665" s="8">
        <f>IF(RawSalesTable6[[#This Row],[Return_Status]]="Yes",1,0)</f>
        <v>0</v>
      </c>
    </row>
    <row r="666" spans="1:38">
      <c r="A666" t="s">
        <v>1116</v>
      </c>
      <c r="B666" s="3">
        <v>45737</v>
      </c>
      <c r="C666" t="s">
        <v>480</v>
      </c>
      <c r="D666" t="s">
        <v>94</v>
      </c>
      <c r="E666" t="s">
        <v>773</v>
      </c>
      <c r="F666" t="s">
        <v>116</v>
      </c>
      <c r="G666" t="s">
        <v>183</v>
      </c>
      <c r="H666" t="s">
        <v>89</v>
      </c>
      <c r="I666">
        <v>2</v>
      </c>
      <c r="J666" s="2">
        <v>304.67</v>
      </c>
      <c r="K666" s="4">
        <v>0.1</v>
      </c>
      <c r="L666" t="s">
        <v>98</v>
      </c>
      <c r="M666">
        <v>6</v>
      </c>
      <c r="N666" t="s">
        <v>91</v>
      </c>
      <c r="O666" t="str">
        <f>SUBSTITUTE(PROPER(TRIM(RawSalesTable6[[#This Row],[Channel_Raw]])),"Market Place","Marketplace")</f>
        <v>Online</v>
      </c>
      <c r="P666" t="str">
        <f>TRIM(RawSalesTable6[[#This Row],[Product_ID]])</f>
        <v>P1033</v>
      </c>
      <c r="Q666" t="str">
        <f>TRIM(RawSalesTable6[[#This Row],[Customer_ID]])</f>
        <v>C0053</v>
      </c>
      <c r="R666" s="8" t="str">
        <f>PROPER(TRIM(RawSalesTable6[[#This Row],[Store_Raw]]))</f>
        <v>Toronto Downtown</v>
      </c>
      <c r="S666" s="8" t="str">
        <f>IF(TRIM(RawSalesTable6[[#This Row],[Payment_Method_Raw]])="","Non renseigné",SUBSTITUTE(PROPER(TRIM(RawSalesTable6[[#This Row],[Payment_Method_Raw]])),"Cc","Credit Card"))</f>
        <v>Debit Card</v>
      </c>
      <c r="T666" s="8">
        <f>COUNTIF(A:A,RawSalesTable6[[#This Row],[Order_ID]])</f>
        <v>1</v>
      </c>
      <c r="U666" s="8" t="str">
        <f>TRIM(LEFT(RawSalesTable6[[#This Row],[Customer_Info]],FIND(",",RawSalesTable6[[#This Row],[Customer_Info]])-1))</f>
        <v>Ryan Lee</v>
      </c>
      <c r="V666" s="8" t="str">
        <f>TRIM(MID(RawSalesTable6[[#This Row],[Customer_Info]],FIND(",",RawSalesTable6[[#This Row],[Customer_Info]])+1,FIND(",",RawSalesTable6[[#This Row],[Customer_Info]],FIND(",",RawSalesTable6[[#This Row],[Customer_Info]])+1)-FIND(",",RawSalesTable6[[#This Row],[Customer_Info]])-1))</f>
        <v>Laval</v>
      </c>
      <c r="W666" s="8" t="str">
        <f>TRIM(RIGHT(RawSalesTable6[[#This Row],[Customer_Info]],LEN(RawSalesTable6[[#This Row],[Customer_Info]])-FIND(",",RawSalesTable6[[#This Row],[Customer_Info]],FIND(",",RawSalesTable6[[#This Row],[Customer_Info]])+1)))</f>
        <v>Consumer</v>
      </c>
      <c r="X666" s="8" t="str">
        <f>VLOOKUP(RawSalesTable6[[#This Row],[Product_ID_Clean]],ProductsTable[],2,FALSE)</f>
        <v>Backpack</v>
      </c>
      <c r="Y666" s="8" t="str">
        <f>VLOOKUP(RawSalesTable6[[#This Row],[Product_ID_Clean]],ProductsTable[],3,FALSE)</f>
        <v>Accessories</v>
      </c>
      <c r="Z666" s="8">
        <f>VLOOKUP(RawSalesTable6[[#This Row],[Product_ID_Clean]],ProductsTable[],5,FALSE)</f>
        <v>152.55000000000001</v>
      </c>
      <c r="AA666" s="8">
        <f>RawSalesTable6[[#This Row],[Unit_Price]]*RawSalesTable6[[#This Row],[Quantity]]</f>
        <v>609.34</v>
      </c>
      <c r="AB666" s="8">
        <f>RawSalesTable6[[#This Row],[Gross_Sales]]*RawSalesTable6[[#This Row],[Discount_Pct]]</f>
        <v>60.934000000000005</v>
      </c>
      <c r="AC666" s="8">
        <f>RawSalesTable6[[#This Row],[Gross_Sales]]-RawSalesTable6[[#This Row],[Discount_Amount]]</f>
        <v>548.40600000000006</v>
      </c>
      <c r="AD666" s="8">
        <f>RawSalesTable6[[#This Row],[Unit_Cost]]*RawSalesTable6[[#This Row],[Quantity]]</f>
        <v>305.10000000000002</v>
      </c>
      <c r="AE666" s="8">
        <f>RawSalesTable6[[#This Row],[Net_Sales]]-RawSalesTable6[[#This Row],[Total_Cost]]</f>
        <v>243.30600000000004</v>
      </c>
      <c r="AF666" s="9">
        <f>RawSalesTable6[[#This Row],[Profit]]/RawSalesTable6[[#This Row],[Net_Sales]]</f>
        <v>0.44366035382545049</v>
      </c>
      <c r="AG666" s="8">
        <f>YEAR(RawSalesTable6[[#This Row],[Order_Date]])</f>
        <v>2025</v>
      </c>
      <c r="AH666" s="8">
        <f>MONTH(RawSalesTable6[[#This Row],[Order_Date]])</f>
        <v>3</v>
      </c>
      <c r="AI666" s="8" t="str">
        <f>TEXT(RawSalesTable6[[#This Row],[Order_Date]],"mmmm")</f>
        <v>mars</v>
      </c>
      <c r="AJ666" s="8" t="str">
        <f>IF(RawSalesTable6[[#This Row],[Month_Number]]&lt;=3,"Q1",IF(RawSalesTable6[[#This Row],[Month_Number]]&lt;=6,"Q2",IF(RawSalesTable6[[#This Row],[Month_Number]]&lt;=9,"Q3","Q4")))</f>
        <v>Q1</v>
      </c>
      <c r="AK666" s="8" t="str">
        <f>VLOOKUP(RawSalesTable6[[#This Row],[Customer_ID_Clean]],CustomersTable[],4,FALSE)</f>
        <v>Quebec</v>
      </c>
      <c r="AL666" s="8">
        <f>IF(RawSalesTable6[[#This Row],[Return_Status]]="Yes",1,0)</f>
        <v>0</v>
      </c>
    </row>
    <row r="667" spans="1:38">
      <c r="A667" t="s">
        <v>1117</v>
      </c>
      <c r="B667" s="3">
        <v>45905</v>
      </c>
      <c r="C667" t="s">
        <v>661</v>
      </c>
      <c r="D667" t="s">
        <v>101</v>
      </c>
      <c r="E667" t="s">
        <v>662</v>
      </c>
      <c r="F667" t="s">
        <v>87</v>
      </c>
      <c r="G667" t="s">
        <v>171</v>
      </c>
      <c r="H667" t="s">
        <v>97</v>
      </c>
      <c r="I667">
        <v>1</v>
      </c>
      <c r="J667" s="2">
        <v>320.24</v>
      </c>
      <c r="K667" s="4">
        <v>0.05</v>
      </c>
      <c r="L667" t="s">
        <v>106</v>
      </c>
      <c r="M667">
        <v>3</v>
      </c>
      <c r="N667" t="s">
        <v>91</v>
      </c>
      <c r="O667" t="str">
        <f>SUBSTITUTE(PROPER(TRIM(RawSalesTable6[[#This Row],[Channel_Raw]])),"Market Place","Marketplace")</f>
        <v>Retail Store</v>
      </c>
      <c r="P667" t="str">
        <f>TRIM(RawSalesTable6[[#This Row],[Product_ID]])</f>
        <v>P1021</v>
      </c>
      <c r="Q667" t="str">
        <f>TRIM(RawSalesTable6[[#This Row],[Customer_ID]])</f>
        <v>C0111</v>
      </c>
      <c r="R667" s="8" t="str">
        <f>PROPER(TRIM(RawSalesTable6[[#This Row],[Store_Raw]]))</f>
        <v>Online Fulfillment</v>
      </c>
      <c r="S667" s="8" t="str">
        <f>IF(TRIM(RawSalesTable6[[#This Row],[Payment_Method_Raw]])="","Non renseigné",SUBSTITUTE(PROPER(TRIM(RawSalesTable6[[#This Row],[Payment_Method_Raw]])),"Cc","Credit Card"))</f>
        <v>Credit Card</v>
      </c>
      <c r="T667" s="8">
        <f>COUNTIF(A:A,RawSalesTable6[[#This Row],[Order_ID]])</f>
        <v>1</v>
      </c>
      <c r="U667" s="8" t="str">
        <f>TRIM(LEFT(RawSalesTable6[[#This Row],[Customer_Info]],FIND(",",RawSalesTable6[[#This Row],[Customer_Info]])-1))</f>
        <v>Noah Khan</v>
      </c>
      <c r="V667" s="8" t="str">
        <f>TRIM(MID(RawSalesTable6[[#This Row],[Customer_Info]],FIND(",",RawSalesTable6[[#This Row],[Customer_Info]])+1,FIND(",",RawSalesTable6[[#This Row],[Customer_Info]],FIND(",",RawSalesTable6[[#This Row],[Customer_Info]])+1)-FIND(",",RawSalesTable6[[#This Row],[Customer_Info]])-1))</f>
        <v>Halifax</v>
      </c>
      <c r="W667" s="8" t="str">
        <f>TRIM(RIGHT(RawSalesTable6[[#This Row],[Customer_Info]],LEN(RawSalesTable6[[#This Row],[Customer_Info]])-FIND(",",RawSalesTable6[[#This Row],[Customer_Info]],FIND(",",RawSalesTable6[[#This Row],[Customer_Info]])+1)))</f>
        <v>Consumer</v>
      </c>
      <c r="X667" s="8" t="str">
        <f>VLOOKUP(RawSalesTable6[[#This Row],[Product_ID_Clean]],ProductsTable[],2,FALSE)</f>
        <v>Kettle</v>
      </c>
      <c r="Y667" s="8" t="str">
        <f>VLOOKUP(RawSalesTable6[[#This Row],[Product_ID_Clean]],ProductsTable[],3,FALSE)</f>
        <v>Home</v>
      </c>
      <c r="Z667" s="8">
        <f>VLOOKUP(RawSalesTable6[[#This Row],[Product_ID_Clean]],ProductsTable[],5,FALSE)</f>
        <v>139.86000000000001</v>
      </c>
      <c r="AA667" s="8">
        <f>RawSalesTable6[[#This Row],[Unit_Price]]*RawSalesTable6[[#This Row],[Quantity]]</f>
        <v>320.24</v>
      </c>
      <c r="AB667" s="8">
        <f>RawSalesTable6[[#This Row],[Gross_Sales]]*RawSalesTable6[[#This Row],[Discount_Pct]]</f>
        <v>16.012</v>
      </c>
      <c r="AC667" s="8">
        <f>RawSalesTable6[[#This Row],[Gross_Sales]]-RawSalesTable6[[#This Row],[Discount_Amount]]</f>
        <v>304.22800000000001</v>
      </c>
      <c r="AD667" s="8">
        <f>RawSalesTable6[[#This Row],[Unit_Cost]]*RawSalesTable6[[#This Row],[Quantity]]</f>
        <v>139.86000000000001</v>
      </c>
      <c r="AE667" s="8">
        <f>RawSalesTable6[[#This Row],[Net_Sales]]-RawSalesTable6[[#This Row],[Total_Cost]]</f>
        <v>164.36799999999999</v>
      </c>
      <c r="AF667" s="9">
        <f>RawSalesTable6[[#This Row],[Profit]]/RawSalesTable6[[#This Row],[Net_Sales]]</f>
        <v>0.54027900127535922</v>
      </c>
      <c r="AG667" s="8">
        <f>YEAR(RawSalesTable6[[#This Row],[Order_Date]])</f>
        <v>2025</v>
      </c>
      <c r="AH667" s="8">
        <f>MONTH(RawSalesTable6[[#This Row],[Order_Date]])</f>
        <v>9</v>
      </c>
      <c r="AI667" s="8" t="str">
        <f>TEXT(RawSalesTable6[[#This Row],[Order_Date]],"mmmm")</f>
        <v>septembre</v>
      </c>
      <c r="AJ667" s="8" t="str">
        <f>IF(RawSalesTable6[[#This Row],[Month_Number]]&lt;=3,"Q1",IF(RawSalesTable6[[#This Row],[Month_Number]]&lt;=6,"Q2",IF(RawSalesTable6[[#This Row],[Month_Number]]&lt;=9,"Q3","Q4")))</f>
        <v>Q3</v>
      </c>
      <c r="AK667" s="8" t="str">
        <f>VLOOKUP(RawSalesTable6[[#This Row],[Customer_ID_Clean]],CustomersTable[],4,FALSE)</f>
        <v>Nova Scotia</v>
      </c>
      <c r="AL667" s="8">
        <f>IF(RawSalesTable6[[#This Row],[Return_Status]]="Yes",1,0)</f>
        <v>0</v>
      </c>
    </row>
    <row r="668" spans="1:38">
      <c r="A668" t="s">
        <v>1118</v>
      </c>
      <c r="B668" s="3">
        <v>45971</v>
      </c>
      <c r="C668" t="s">
        <v>230</v>
      </c>
      <c r="D668" t="s">
        <v>277</v>
      </c>
      <c r="E668" t="s">
        <v>232</v>
      </c>
      <c r="F668" t="s">
        <v>145</v>
      </c>
      <c r="G668" t="s">
        <v>171</v>
      </c>
      <c r="H668" t="s">
        <v>89</v>
      </c>
      <c r="I668">
        <v>5</v>
      </c>
      <c r="J668" s="2">
        <v>377.75</v>
      </c>
      <c r="K668" s="4">
        <v>0.1</v>
      </c>
      <c r="L668" t="s">
        <v>98</v>
      </c>
      <c r="M668">
        <v>7</v>
      </c>
      <c r="N668" t="s">
        <v>91</v>
      </c>
      <c r="O668" t="str">
        <f>SUBSTITUTE(PROPER(TRIM(RawSalesTable6[[#This Row],[Channel_Raw]])),"Market Place","Marketplace")</f>
        <v>Online</v>
      </c>
      <c r="P668" t="str">
        <f>TRIM(RawSalesTable6[[#This Row],[Product_ID]])</f>
        <v>P1001</v>
      </c>
      <c r="Q668" t="str">
        <f>TRIM(RawSalesTable6[[#This Row],[Customer_ID]])</f>
        <v>C0063</v>
      </c>
      <c r="R668" s="8" t="str">
        <f>PROPER(TRIM(RawSalesTable6[[#This Row],[Store_Raw]]))</f>
        <v>Calgary North</v>
      </c>
      <c r="S668" s="8" t="str">
        <f>IF(TRIM(RawSalesTable6[[#This Row],[Payment_Method_Raw]])="","Non renseigné",SUBSTITUTE(PROPER(TRIM(RawSalesTable6[[#This Row],[Payment_Method_Raw]])),"Cc","Credit Card"))</f>
        <v>Debit Card</v>
      </c>
      <c r="T668" s="8">
        <f>COUNTIF(A:A,RawSalesTable6[[#This Row],[Order_ID]])</f>
        <v>1</v>
      </c>
      <c r="U668" s="8" t="str">
        <f>TRIM(LEFT(RawSalesTable6[[#This Row],[Customer_Info]],FIND(",",RawSalesTable6[[#This Row],[Customer_Info]])-1))</f>
        <v>Adam Singh</v>
      </c>
      <c r="V668" s="8" t="str">
        <f>TRIM(MID(RawSalesTable6[[#This Row],[Customer_Info]],FIND(",",RawSalesTable6[[#This Row],[Customer_Info]])+1,FIND(",",RawSalesTable6[[#This Row],[Customer_Info]],FIND(",",RawSalesTable6[[#This Row],[Customer_Info]])+1)-FIND(",",RawSalesTable6[[#This Row],[Customer_Info]])-1))</f>
        <v>Laval</v>
      </c>
      <c r="W668" s="8" t="str">
        <f>TRIM(RIGHT(RawSalesTable6[[#This Row],[Customer_Info]],LEN(RawSalesTable6[[#This Row],[Customer_Info]])-FIND(",",RawSalesTable6[[#This Row],[Customer_Info]],FIND(",",RawSalesTable6[[#This Row],[Customer_Info]])+1)))</f>
        <v>Small Business</v>
      </c>
      <c r="X668" s="8" t="str">
        <f>VLOOKUP(RawSalesTable6[[#This Row],[Product_ID_Clean]],ProductsTable[],2,FALSE)</f>
        <v>Headphones</v>
      </c>
      <c r="Y668" s="8" t="str">
        <f>VLOOKUP(RawSalesTable6[[#This Row],[Product_ID_Clean]],ProductsTable[],3,FALSE)</f>
        <v>Electronics</v>
      </c>
      <c r="Z668" s="8">
        <f>VLOOKUP(RawSalesTable6[[#This Row],[Product_ID_Clean]],ProductsTable[],5,FALSE)</f>
        <v>254.6</v>
      </c>
      <c r="AA668" s="8">
        <f>RawSalesTable6[[#This Row],[Unit_Price]]*RawSalesTable6[[#This Row],[Quantity]]</f>
        <v>1888.75</v>
      </c>
      <c r="AB668" s="8">
        <f>RawSalesTable6[[#This Row],[Gross_Sales]]*RawSalesTable6[[#This Row],[Discount_Pct]]</f>
        <v>188.875</v>
      </c>
      <c r="AC668" s="8">
        <f>RawSalesTable6[[#This Row],[Gross_Sales]]-RawSalesTable6[[#This Row],[Discount_Amount]]</f>
        <v>1699.875</v>
      </c>
      <c r="AD668" s="8">
        <f>RawSalesTable6[[#This Row],[Unit_Cost]]*RawSalesTable6[[#This Row],[Quantity]]</f>
        <v>1273</v>
      </c>
      <c r="AE668" s="8">
        <f>RawSalesTable6[[#This Row],[Net_Sales]]-RawSalesTable6[[#This Row],[Total_Cost]]</f>
        <v>426.875</v>
      </c>
      <c r="AF668" s="9">
        <f>RawSalesTable6[[#This Row],[Profit]]/RawSalesTable6[[#This Row],[Net_Sales]]</f>
        <v>0.25112140598573424</v>
      </c>
      <c r="AG668" s="8">
        <f>YEAR(RawSalesTable6[[#This Row],[Order_Date]])</f>
        <v>2025</v>
      </c>
      <c r="AH668" s="8">
        <f>MONTH(RawSalesTable6[[#This Row],[Order_Date]])</f>
        <v>11</v>
      </c>
      <c r="AI668" s="8" t="str">
        <f>TEXT(RawSalesTable6[[#This Row],[Order_Date]],"mmmm")</f>
        <v>novembre</v>
      </c>
      <c r="AJ668" s="8" t="str">
        <f>IF(RawSalesTable6[[#This Row],[Month_Number]]&lt;=3,"Q1",IF(RawSalesTable6[[#This Row],[Month_Number]]&lt;=6,"Q2",IF(RawSalesTable6[[#This Row],[Month_Number]]&lt;=9,"Q3","Q4")))</f>
        <v>Q4</v>
      </c>
      <c r="AK668" s="8" t="str">
        <f>VLOOKUP(RawSalesTable6[[#This Row],[Customer_ID_Clean]],CustomersTable[],4,FALSE)</f>
        <v>Quebec</v>
      </c>
      <c r="AL668" s="8">
        <f>IF(RawSalesTable6[[#This Row],[Return_Status]]="Yes",1,0)</f>
        <v>0</v>
      </c>
    </row>
    <row r="669" spans="1:38">
      <c r="A669" t="s">
        <v>1119</v>
      </c>
      <c r="B669" s="3">
        <v>45951</v>
      </c>
      <c r="C669" t="s">
        <v>363</v>
      </c>
      <c r="D669" t="s">
        <v>139</v>
      </c>
      <c r="E669" t="s">
        <v>364</v>
      </c>
      <c r="F669" t="s">
        <v>116</v>
      </c>
      <c r="G669" t="s">
        <v>104</v>
      </c>
      <c r="H669" t="s">
        <v>167</v>
      </c>
      <c r="I669">
        <v>1</v>
      </c>
      <c r="J669" s="2">
        <v>83.34</v>
      </c>
      <c r="K669" s="4">
        <v>0.15</v>
      </c>
      <c r="L669" t="s">
        <v>369</v>
      </c>
      <c r="M669">
        <v>2</v>
      </c>
      <c r="N669" t="s">
        <v>91</v>
      </c>
      <c r="O669" t="str">
        <f>SUBSTITUTE(PROPER(TRIM(RawSalesTable6[[#This Row],[Channel_Raw]])),"Market Place","Marketplace")</f>
        <v>Marketplace</v>
      </c>
      <c r="P669" t="str">
        <f>TRIM(RawSalesTable6[[#This Row],[Product_ID]])</f>
        <v>P1012</v>
      </c>
      <c r="Q669" t="str">
        <f>TRIM(RawSalesTable6[[#This Row],[Customer_ID]])</f>
        <v>C0025</v>
      </c>
      <c r="R669" s="8" t="str">
        <f>PROPER(TRIM(RawSalesTable6[[#This Row],[Store_Raw]]))</f>
        <v>Toronto Downtown</v>
      </c>
      <c r="S669" s="8" t="str">
        <f>IF(TRIM(RawSalesTable6[[#This Row],[Payment_Method_Raw]])="","Non renseigné",SUBSTITUTE(PROPER(TRIM(RawSalesTable6[[#This Row],[Payment_Method_Raw]])),"Cc","Credit Card"))</f>
        <v>Paypal</v>
      </c>
      <c r="T669" s="8">
        <f>COUNTIF(A:A,RawSalesTable6[[#This Row],[Order_ID]])</f>
        <v>1</v>
      </c>
      <c r="U669" s="8" t="str">
        <f>TRIM(LEFT(RawSalesTable6[[#This Row],[Customer_Info]],FIND(",",RawSalesTable6[[#This Row],[Customer_Info]])-1))</f>
        <v>Emma Gagnon</v>
      </c>
      <c r="V669" s="8" t="str">
        <f>TRIM(MID(RawSalesTable6[[#This Row],[Customer_Info]],FIND(",",RawSalesTable6[[#This Row],[Customer_Info]])+1,FIND(",",RawSalesTable6[[#This Row],[Customer_Info]],FIND(",",RawSalesTable6[[#This Row],[Customer_Info]])+1)-FIND(",",RawSalesTable6[[#This Row],[Customer_Info]])-1))</f>
        <v>Surrey</v>
      </c>
      <c r="W669" s="8" t="str">
        <f>TRIM(RIGHT(RawSalesTable6[[#This Row],[Customer_Info]],LEN(RawSalesTable6[[#This Row],[Customer_Info]])-FIND(",",RawSalesTable6[[#This Row],[Customer_Info]],FIND(",",RawSalesTable6[[#This Row],[Customer_Info]])+1)))</f>
        <v>Corporate</v>
      </c>
      <c r="X669" s="8" t="str">
        <f>VLOOKUP(RawSalesTable6[[#This Row],[Product_ID_Clean]],ProductsTable[],2,FALSE)</f>
        <v>Standing Desk</v>
      </c>
      <c r="Y669" s="8" t="str">
        <f>VLOOKUP(RawSalesTable6[[#This Row],[Product_ID_Clean]],ProductsTable[],3,FALSE)</f>
        <v>Office</v>
      </c>
      <c r="Z669" s="8">
        <f>VLOOKUP(RawSalesTable6[[#This Row],[Product_ID_Clean]],ProductsTable[],5,FALSE)</f>
        <v>45.17</v>
      </c>
      <c r="AA669" s="8">
        <f>RawSalesTable6[[#This Row],[Unit_Price]]*RawSalesTable6[[#This Row],[Quantity]]</f>
        <v>83.34</v>
      </c>
      <c r="AB669" s="8">
        <f>RawSalesTable6[[#This Row],[Gross_Sales]]*RawSalesTable6[[#This Row],[Discount_Pct]]</f>
        <v>12.500999999999999</v>
      </c>
      <c r="AC669" s="8">
        <f>RawSalesTable6[[#This Row],[Gross_Sales]]-RawSalesTable6[[#This Row],[Discount_Amount]]</f>
        <v>70.838999999999999</v>
      </c>
      <c r="AD669" s="8">
        <f>RawSalesTable6[[#This Row],[Unit_Cost]]*RawSalesTable6[[#This Row],[Quantity]]</f>
        <v>45.17</v>
      </c>
      <c r="AE669" s="8">
        <f>RawSalesTable6[[#This Row],[Net_Sales]]-RawSalesTable6[[#This Row],[Total_Cost]]</f>
        <v>25.668999999999997</v>
      </c>
      <c r="AF669" s="9">
        <f>RawSalesTable6[[#This Row],[Profit]]/RawSalesTable6[[#This Row],[Net_Sales]]</f>
        <v>0.36235689380143704</v>
      </c>
      <c r="AG669" s="8">
        <f>YEAR(RawSalesTable6[[#This Row],[Order_Date]])</f>
        <v>2025</v>
      </c>
      <c r="AH669" s="8">
        <f>MONTH(RawSalesTable6[[#This Row],[Order_Date]])</f>
        <v>10</v>
      </c>
      <c r="AI669" s="8" t="str">
        <f>TEXT(RawSalesTable6[[#This Row],[Order_Date]],"mmmm")</f>
        <v>octobre</v>
      </c>
      <c r="AJ669" s="8" t="str">
        <f>IF(RawSalesTable6[[#This Row],[Month_Number]]&lt;=3,"Q1",IF(RawSalesTable6[[#This Row],[Month_Number]]&lt;=6,"Q2",IF(RawSalesTable6[[#This Row],[Month_Number]]&lt;=9,"Q3","Q4")))</f>
        <v>Q4</v>
      </c>
      <c r="AK669" s="8" t="str">
        <f>VLOOKUP(RawSalesTable6[[#This Row],[Customer_ID_Clean]],CustomersTable[],4,FALSE)</f>
        <v>British Columbia</v>
      </c>
      <c r="AL669" s="8">
        <f>IF(RawSalesTable6[[#This Row],[Return_Status]]="Yes",1,0)</f>
        <v>0</v>
      </c>
    </row>
    <row r="670" spans="1:38">
      <c r="A670" t="s">
        <v>1120</v>
      </c>
      <c r="B670" s="3">
        <v>45879</v>
      </c>
      <c r="C670" t="s">
        <v>279</v>
      </c>
      <c r="D670" t="s">
        <v>231</v>
      </c>
      <c r="E670" t="s">
        <v>280</v>
      </c>
      <c r="F670" t="s">
        <v>116</v>
      </c>
      <c r="G670" t="s">
        <v>96</v>
      </c>
      <c r="H670" t="s">
        <v>97</v>
      </c>
      <c r="I670">
        <v>1</v>
      </c>
      <c r="J670" s="2">
        <v>354.02</v>
      </c>
      <c r="K670" s="4">
        <v>0.15</v>
      </c>
      <c r="L670" t="s">
        <v>90</v>
      </c>
      <c r="M670">
        <v>0</v>
      </c>
      <c r="N670" t="s">
        <v>147</v>
      </c>
      <c r="O670" t="str">
        <f>SUBSTITUTE(PROPER(TRIM(RawSalesTable6[[#This Row],[Channel_Raw]])),"Market Place","Marketplace")</f>
        <v>Retail Store</v>
      </c>
      <c r="P670" t="str">
        <f>TRIM(RawSalesTable6[[#This Row],[Product_ID]])</f>
        <v>P1037</v>
      </c>
      <c r="Q670" t="str">
        <f>TRIM(RawSalesTable6[[#This Row],[Customer_ID]])</f>
        <v>C0069</v>
      </c>
      <c r="R670" s="8" t="str">
        <f>PROPER(TRIM(RawSalesTable6[[#This Row],[Store_Raw]]))</f>
        <v>Toronto Downtown</v>
      </c>
      <c r="S670" s="8" t="str">
        <f>IF(TRIM(RawSalesTable6[[#This Row],[Payment_Method_Raw]])="","Non renseigné",SUBSTITUTE(PROPER(TRIM(RawSalesTable6[[#This Row],[Payment_Method_Raw]])),"Cc","Credit Card"))</f>
        <v>Paypal</v>
      </c>
      <c r="T670" s="8">
        <f>COUNTIF(A:A,RawSalesTable6[[#This Row],[Order_ID]])</f>
        <v>1</v>
      </c>
      <c r="U670" s="8" t="str">
        <f>TRIM(LEFT(RawSalesTable6[[#This Row],[Customer_Info]],FIND(",",RawSalesTable6[[#This Row],[Customer_Info]])-1))</f>
        <v>Sarah White</v>
      </c>
      <c r="V670" s="8" t="str">
        <f>TRIM(MID(RawSalesTable6[[#This Row],[Customer_Info]],FIND(",",RawSalesTable6[[#This Row],[Customer_Info]])+1,FIND(",",RawSalesTable6[[#This Row],[Customer_Info]],FIND(",",RawSalesTable6[[#This Row],[Customer_Info]])+1)-FIND(",",RawSalesTable6[[#This Row],[Customer_Info]])-1))</f>
        <v>Ottawa</v>
      </c>
      <c r="W670" s="8" t="str">
        <f>TRIM(RIGHT(RawSalesTable6[[#This Row],[Customer_Info]],LEN(RawSalesTable6[[#This Row],[Customer_Info]])-FIND(",",RawSalesTable6[[#This Row],[Customer_Info]],FIND(",",RawSalesTable6[[#This Row],[Customer_Info]])+1)))</f>
        <v>Consumer</v>
      </c>
      <c r="X670" s="8" t="str">
        <f>VLOOKUP(RawSalesTable6[[#This Row],[Product_ID_Clean]],ProductsTable[],2,FALSE)</f>
        <v>Cable Set</v>
      </c>
      <c r="Y670" s="8" t="str">
        <f>VLOOKUP(RawSalesTable6[[#This Row],[Product_ID_Clean]],ProductsTable[],3,FALSE)</f>
        <v>Accessories</v>
      </c>
      <c r="Z670" s="8">
        <f>VLOOKUP(RawSalesTable6[[#This Row],[Product_ID_Clean]],ProductsTable[],5,FALSE)</f>
        <v>200.16</v>
      </c>
      <c r="AA670" s="8">
        <f>RawSalesTable6[[#This Row],[Unit_Price]]*RawSalesTable6[[#This Row],[Quantity]]</f>
        <v>354.02</v>
      </c>
      <c r="AB670" s="8">
        <f>RawSalesTable6[[#This Row],[Gross_Sales]]*RawSalesTable6[[#This Row],[Discount_Pct]]</f>
        <v>53.102999999999994</v>
      </c>
      <c r="AC670" s="8">
        <f>RawSalesTable6[[#This Row],[Gross_Sales]]-RawSalesTable6[[#This Row],[Discount_Amount]]</f>
        <v>300.91699999999997</v>
      </c>
      <c r="AD670" s="8">
        <f>RawSalesTable6[[#This Row],[Unit_Cost]]*RawSalesTable6[[#This Row],[Quantity]]</f>
        <v>200.16</v>
      </c>
      <c r="AE670" s="8">
        <f>RawSalesTable6[[#This Row],[Net_Sales]]-RawSalesTable6[[#This Row],[Total_Cost]]</f>
        <v>100.75699999999998</v>
      </c>
      <c r="AF670" s="9">
        <f>RawSalesTable6[[#This Row],[Profit]]/RawSalesTable6[[#This Row],[Net_Sales]]</f>
        <v>0.3348331932061</v>
      </c>
      <c r="AG670" s="8">
        <f>YEAR(RawSalesTable6[[#This Row],[Order_Date]])</f>
        <v>2025</v>
      </c>
      <c r="AH670" s="8">
        <f>MONTH(RawSalesTable6[[#This Row],[Order_Date]])</f>
        <v>8</v>
      </c>
      <c r="AI670" s="8" t="str">
        <f>TEXT(RawSalesTable6[[#This Row],[Order_Date]],"mmmm")</f>
        <v>août</v>
      </c>
      <c r="AJ670" s="8" t="str">
        <f>IF(RawSalesTable6[[#This Row],[Month_Number]]&lt;=3,"Q1",IF(RawSalesTable6[[#This Row],[Month_Number]]&lt;=6,"Q2",IF(RawSalesTable6[[#This Row],[Month_Number]]&lt;=9,"Q3","Q4")))</f>
        <v>Q3</v>
      </c>
      <c r="AK670" s="8" t="str">
        <f>VLOOKUP(RawSalesTable6[[#This Row],[Customer_ID_Clean]],CustomersTable[],4,FALSE)</f>
        <v>Ontario</v>
      </c>
      <c r="AL670" s="8">
        <f>IF(RawSalesTable6[[#This Row],[Return_Status]]="Yes",1,0)</f>
        <v>1</v>
      </c>
    </row>
    <row r="671" spans="1:38">
      <c r="A671" t="s">
        <v>1121</v>
      </c>
      <c r="B671" s="3">
        <v>45992</v>
      </c>
      <c r="C671" t="s">
        <v>675</v>
      </c>
      <c r="D671" t="s">
        <v>303</v>
      </c>
      <c r="E671" t="s">
        <v>676</v>
      </c>
      <c r="F671" t="s">
        <v>103</v>
      </c>
      <c r="G671" t="s">
        <v>122</v>
      </c>
      <c r="H671" t="s">
        <v>89</v>
      </c>
      <c r="I671">
        <v>1</v>
      </c>
      <c r="J671" s="2">
        <v>163.31</v>
      </c>
      <c r="K671" s="4">
        <v>0.2</v>
      </c>
      <c r="L671" t="s">
        <v>106</v>
      </c>
      <c r="M671">
        <v>3</v>
      </c>
      <c r="N671" t="s">
        <v>91</v>
      </c>
      <c r="O671" t="str">
        <f>SUBSTITUTE(PROPER(TRIM(RawSalesTable6[[#This Row],[Channel_Raw]])),"Market Place","Marketplace")</f>
        <v>Online</v>
      </c>
      <c r="P671" t="str">
        <f>TRIM(RawSalesTable6[[#This Row],[Product_ID]])</f>
        <v>P1036</v>
      </c>
      <c r="Q671" t="str">
        <f>TRIM(RawSalesTable6[[#This Row],[Customer_ID]])</f>
        <v>C0101</v>
      </c>
      <c r="R671" s="8" t="str">
        <f>PROPER(TRIM(RawSalesTable6[[#This Row],[Store_Raw]]))</f>
        <v>Vancouver West</v>
      </c>
      <c r="S671" s="8" t="str">
        <f>IF(TRIM(RawSalesTable6[[#This Row],[Payment_Method_Raw]])="","Non renseigné",SUBSTITUTE(PROPER(TRIM(RawSalesTable6[[#This Row],[Payment_Method_Raw]])),"Cc","Credit Card"))</f>
        <v>Credit Card</v>
      </c>
      <c r="T671" s="8">
        <f>COUNTIF(A:A,RawSalesTable6[[#This Row],[Order_ID]])</f>
        <v>1</v>
      </c>
      <c r="U671" s="8" t="str">
        <f>TRIM(LEFT(RawSalesTable6[[#This Row],[Customer_Info]],FIND(",",RawSalesTable6[[#This Row],[Customer_Info]])-1))</f>
        <v>Noah Martin</v>
      </c>
      <c r="V671" s="8" t="str">
        <f>TRIM(MID(RawSalesTable6[[#This Row],[Customer_Info]],FIND(",",RawSalesTable6[[#This Row],[Customer_Info]])+1,FIND(",",RawSalesTable6[[#This Row],[Customer_Info]],FIND(",",RawSalesTable6[[#This Row],[Customer_Info]])+1)-FIND(",",RawSalesTable6[[#This Row],[Customer_Info]])-1))</f>
        <v>Saskatoon</v>
      </c>
      <c r="W671" s="8" t="str">
        <f>TRIM(RIGHT(RawSalesTable6[[#This Row],[Customer_Info]],LEN(RawSalesTable6[[#This Row],[Customer_Info]])-FIND(",",RawSalesTable6[[#This Row],[Customer_Info]],FIND(",",RawSalesTable6[[#This Row],[Customer_Info]])+1)))</f>
        <v>Small Business</v>
      </c>
      <c r="X671" s="8" t="str">
        <f>VLOOKUP(RawSalesTable6[[#This Row],[Product_ID_Clean]],ProductsTable[],2,FALSE)</f>
        <v>Power Bank</v>
      </c>
      <c r="Y671" s="8" t="str">
        <f>VLOOKUP(RawSalesTable6[[#This Row],[Product_ID_Clean]],ProductsTable[],3,FALSE)</f>
        <v>Accessories</v>
      </c>
      <c r="Z671" s="8">
        <f>VLOOKUP(RawSalesTable6[[#This Row],[Product_ID_Clean]],ProductsTable[],5,FALSE)</f>
        <v>76.97</v>
      </c>
      <c r="AA671" s="8">
        <f>RawSalesTable6[[#This Row],[Unit_Price]]*RawSalesTable6[[#This Row],[Quantity]]</f>
        <v>163.31</v>
      </c>
      <c r="AB671" s="8">
        <f>RawSalesTable6[[#This Row],[Gross_Sales]]*RawSalesTable6[[#This Row],[Discount_Pct]]</f>
        <v>32.661999999999999</v>
      </c>
      <c r="AC671" s="8">
        <f>RawSalesTable6[[#This Row],[Gross_Sales]]-RawSalesTable6[[#This Row],[Discount_Amount]]</f>
        <v>130.648</v>
      </c>
      <c r="AD671" s="8">
        <f>RawSalesTable6[[#This Row],[Unit_Cost]]*RawSalesTable6[[#This Row],[Quantity]]</f>
        <v>76.97</v>
      </c>
      <c r="AE671" s="8">
        <f>RawSalesTable6[[#This Row],[Net_Sales]]-RawSalesTable6[[#This Row],[Total_Cost]]</f>
        <v>53.677999999999997</v>
      </c>
      <c r="AF671" s="9">
        <f>RawSalesTable6[[#This Row],[Profit]]/RawSalesTable6[[#This Row],[Net_Sales]]</f>
        <v>0.41085971465311372</v>
      </c>
      <c r="AG671" s="8">
        <f>YEAR(RawSalesTable6[[#This Row],[Order_Date]])</f>
        <v>2025</v>
      </c>
      <c r="AH671" s="8">
        <f>MONTH(RawSalesTable6[[#This Row],[Order_Date]])</f>
        <v>12</v>
      </c>
      <c r="AI671" s="8" t="str">
        <f>TEXT(RawSalesTable6[[#This Row],[Order_Date]],"mmmm")</f>
        <v>décembre</v>
      </c>
      <c r="AJ671" s="8" t="str">
        <f>IF(RawSalesTable6[[#This Row],[Month_Number]]&lt;=3,"Q1",IF(RawSalesTable6[[#This Row],[Month_Number]]&lt;=6,"Q2",IF(RawSalesTable6[[#This Row],[Month_Number]]&lt;=9,"Q3","Q4")))</f>
        <v>Q4</v>
      </c>
      <c r="AK671" s="8" t="str">
        <f>VLOOKUP(RawSalesTable6[[#This Row],[Customer_ID_Clean]],CustomersTable[],4,FALSE)</f>
        <v>Saskatchewan</v>
      </c>
      <c r="AL671" s="8">
        <f>IF(RawSalesTable6[[#This Row],[Return_Status]]="Yes",1,0)</f>
        <v>0</v>
      </c>
    </row>
    <row r="672" spans="1:38">
      <c r="A672" t="s">
        <v>1122</v>
      </c>
      <c r="B672" s="3">
        <v>46012</v>
      </c>
      <c r="C672" t="s">
        <v>359</v>
      </c>
      <c r="D672" t="s">
        <v>346</v>
      </c>
      <c r="E672" t="s">
        <v>361</v>
      </c>
      <c r="F672" t="s">
        <v>87</v>
      </c>
      <c r="G672" t="s">
        <v>96</v>
      </c>
      <c r="H672" t="s">
        <v>89</v>
      </c>
      <c r="I672">
        <v>2</v>
      </c>
      <c r="J672" s="2">
        <v>243.64</v>
      </c>
      <c r="K672" s="4">
        <v>0.25</v>
      </c>
      <c r="L672" t="s">
        <v>521</v>
      </c>
      <c r="M672">
        <v>1</v>
      </c>
      <c r="N672" t="s">
        <v>91</v>
      </c>
      <c r="O672" t="str">
        <f>SUBSTITUTE(PROPER(TRIM(RawSalesTable6[[#This Row],[Channel_Raw]])),"Market Place","Marketplace")</f>
        <v>Online</v>
      </c>
      <c r="P672" t="str">
        <f>TRIM(RawSalesTable6[[#This Row],[Product_ID]])</f>
        <v>P1030</v>
      </c>
      <c r="Q672" t="str">
        <f>TRIM(RawSalesTable6[[#This Row],[Customer_ID]])</f>
        <v>C0044</v>
      </c>
      <c r="R672" s="8" t="str">
        <f>PROPER(TRIM(RawSalesTable6[[#This Row],[Store_Raw]]))</f>
        <v>Online Fulfillment</v>
      </c>
      <c r="S672" s="8" t="str">
        <f>IF(TRIM(RawSalesTable6[[#This Row],[Payment_Method_Raw]])="","Non renseigné",SUBSTITUTE(PROPER(TRIM(RawSalesTable6[[#This Row],[Payment_Method_Raw]])),"Cc","Credit Card"))</f>
        <v>Debit Card</v>
      </c>
      <c r="T672" s="8">
        <f>COUNTIF(A:A,RawSalesTable6[[#This Row],[Order_ID]])</f>
        <v>1</v>
      </c>
      <c r="U672" s="8" t="str">
        <f>TRIM(LEFT(RawSalesTable6[[#This Row],[Customer_Info]],FIND(",",RawSalesTable6[[#This Row],[Customer_Info]])-1))</f>
        <v>Nora Young</v>
      </c>
      <c r="V672" s="8" t="str">
        <f>TRIM(MID(RawSalesTable6[[#This Row],[Customer_Info]],FIND(",",RawSalesTable6[[#This Row],[Customer_Info]])+1,FIND(",",RawSalesTable6[[#This Row],[Customer_Info]],FIND(",",RawSalesTable6[[#This Row],[Customer_Info]])+1)-FIND(",",RawSalesTable6[[#This Row],[Customer_Info]])-1))</f>
        <v>Vancouver</v>
      </c>
      <c r="W672" s="8" t="str">
        <f>TRIM(RIGHT(RawSalesTable6[[#This Row],[Customer_Info]],LEN(RawSalesTable6[[#This Row],[Customer_Info]])-FIND(",",RawSalesTable6[[#This Row],[Customer_Info]],FIND(",",RawSalesTable6[[#This Row],[Customer_Info]])+1)))</f>
        <v>Corporate</v>
      </c>
      <c r="X672" s="8" t="str">
        <f>VLOOKUP(RawSalesTable6[[#This Row],[Product_ID_Clean]],ProductsTable[],2,FALSE)</f>
        <v>Pull-up Bar</v>
      </c>
      <c r="Y672" s="8" t="str">
        <f>VLOOKUP(RawSalesTable6[[#This Row],[Product_ID_Clean]],ProductsTable[],3,FALSE)</f>
        <v>Fitness</v>
      </c>
      <c r="Z672" s="8">
        <f>VLOOKUP(RawSalesTable6[[#This Row],[Product_ID_Clean]],ProductsTable[],5,FALSE)</f>
        <v>125.4</v>
      </c>
      <c r="AA672" s="8">
        <f>RawSalesTable6[[#This Row],[Unit_Price]]*RawSalesTable6[[#This Row],[Quantity]]</f>
        <v>487.28</v>
      </c>
      <c r="AB672" s="8">
        <f>RawSalesTable6[[#This Row],[Gross_Sales]]*RawSalesTable6[[#This Row],[Discount_Pct]]</f>
        <v>121.82</v>
      </c>
      <c r="AC672" s="8">
        <f>RawSalesTable6[[#This Row],[Gross_Sales]]-RawSalesTable6[[#This Row],[Discount_Amount]]</f>
        <v>365.46</v>
      </c>
      <c r="AD672" s="8">
        <f>RawSalesTable6[[#This Row],[Unit_Cost]]*RawSalesTable6[[#This Row],[Quantity]]</f>
        <v>250.8</v>
      </c>
      <c r="AE672" s="8">
        <f>RawSalesTable6[[#This Row],[Net_Sales]]-RawSalesTable6[[#This Row],[Total_Cost]]</f>
        <v>114.65999999999997</v>
      </c>
      <c r="AF672" s="9">
        <f>RawSalesTable6[[#This Row],[Profit]]/RawSalesTable6[[#This Row],[Net_Sales]]</f>
        <v>0.31374158594647833</v>
      </c>
      <c r="AG672" s="8">
        <f>YEAR(RawSalesTable6[[#This Row],[Order_Date]])</f>
        <v>2025</v>
      </c>
      <c r="AH672" s="8">
        <f>MONTH(RawSalesTable6[[#This Row],[Order_Date]])</f>
        <v>12</v>
      </c>
      <c r="AI672" s="8" t="str">
        <f>TEXT(RawSalesTable6[[#This Row],[Order_Date]],"mmmm")</f>
        <v>décembre</v>
      </c>
      <c r="AJ672" s="8" t="str">
        <f>IF(RawSalesTable6[[#This Row],[Month_Number]]&lt;=3,"Q1",IF(RawSalesTable6[[#This Row],[Month_Number]]&lt;=6,"Q2",IF(RawSalesTable6[[#This Row],[Month_Number]]&lt;=9,"Q3","Q4")))</f>
        <v>Q4</v>
      </c>
      <c r="AK672" s="8" t="str">
        <f>VLOOKUP(RawSalesTable6[[#This Row],[Customer_ID_Clean]],CustomersTable[],4,FALSE)</f>
        <v>British Columbia</v>
      </c>
      <c r="AL672" s="8">
        <f>IF(RawSalesTable6[[#This Row],[Return_Status]]="Yes",1,0)</f>
        <v>0</v>
      </c>
    </row>
    <row r="673" spans="1:38">
      <c r="A673" t="s">
        <v>1123</v>
      </c>
      <c r="B673" s="3">
        <v>45795</v>
      </c>
      <c r="C673" t="s">
        <v>248</v>
      </c>
      <c r="D673" t="s">
        <v>738</v>
      </c>
      <c r="E673" t="s">
        <v>250</v>
      </c>
      <c r="F673" t="s">
        <v>111</v>
      </c>
      <c r="G673" t="s">
        <v>96</v>
      </c>
      <c r="H673" t="s">
        <v>89</v>
      </c>
      <c r="I673">
        <v>1</v>
      </c>
      <c r="J673" s="2">
        <v>333.13</v>
      </c>
      <c r="K673" s="4">
        <v>0</v>
      </c>
      <c r="L673" t="s">
        <v>106</v>
      </c>
      <c r="M673">
        <v>9</v>
      </c>
      <c r="N673" t="s">
        <v>91</v>
      </c>
      <c r="O673" t="str">
        <f>SUBSTITUTE(PROPER(TRIM(RawSalesTable6[[#This Row],[Channel_Raw]])),"Market Place","Marketplace")</f>
        <v>Online</v>
      </c>
      <c r="P673" t="str">
        <f>TRIM(RawSalesTable6[[#This Row],[Product_ID]])</f>
        <v>P1016</v>
      </c>
      <c r="Q673" t="str">
        <f>TRIM(RawSalesTable6[[#This Row],[Customer_ID]])</f>
        <v>C0012</v>
      </c>
      <c r="R673" s="8" t="str">
        <f>PROPER(TRIM(RawSalesTable6[[#This Row],[Store_Raw]]))</f>
        <v>Montreal Central</v>
      </c>
      <c r="S673" s="8" t="str">
        <f>IF(TRIM(RawSalesTable6[[#This Row],[Payment_Method_Raw]])="","Non renseigné",SUBSTITUTE(PROPER(TRIM(RawSalesTable6[[#This Row],[Payment_Method_Raw]])),"Cc","Credit Card"))</f>
        <v>Credit Card</v>
      </c>
      <c r="T673" s="8">
        <f>COUNTIF(A:A,RawSalesTable6[[#This Row],[Order_ID]])</f>
        <v>1</v>
      </c>
      <c r="U673" s="8" t="str">
        <f>TRIM(LEFT(RawSalesTable6[[#This Row],[Customer_Info]],FIND(",",RawSalesTable6[[#This Row],[Customer_Info]])-1))</f>
        <v>Daniel Taylor</v>
      </c>
      <c r="V673" s="8" t="str">
        <f>TRIM(MID(RawSalesTable6[[#This Row],[Customer_Info]],FIND(",",RawSalesTable6[[#This Row],[Customer_Info]])+1,FIND(",",RawSalesTable6[[#This Row],[Customer_Info]],FIND(",",RawSalesTable6[[#This Row],[Customer_Info]])+1)-FIND(",",RawSalesTable6[[#This Row],[Customer_Info]])-1))</f>
        <v>Victoria</v>
      </c>
      <c r="W673" s="8" t="str">
        <f>TRIM(RIGHT(RawSalesTable6[[#This Row],[Customer_Info]],LEN(RawSalesTable6[[#This Row],[Customer_Info]])-FIND(",",RawSalesTable6[[#This Row],[Customer_Info]],FIND(",",RawSalesTable6[[#This Row],[Customer_Info]])+1)))</f>
        <v>Corporate</v>
      </c>
      <c r="X673" s="8" t="str">
        <f>VLOOKUP(RawSalesTable6[[#This Row],[Product_ID_Clean]],ProductsTable[],2,FALSE)</f>
        <v>Printer</v>
      </c>
      <c r="Y673" s="8" t="str">
        <f>VLOOKUP(RawSalesTable6[[#This Row],[Product_ID_Clean]],ProductsTable[],3,FALSE)</f>
        <v>Office</v>
      </c>
      <c r="Z673" s="8">
        <f>VLOOKUP(RawSalesTable6[[#This Row],[Product_ID_Clean]],ProductsTable[],5,FALSE)</f>
        <v>156.75</v>
      </c>
      <c r="AA673" s="8">
        <f>RawSalesTable6[[#This Row],[Unit_Price]]*RawSalesTable6[[#This Row],[Quantity]]</f>
        <v>333.13</v>
      </c>
      <c r="AB673" s="8">
        <f>RawSalesTable6[[#This Row],[Gross_Sales]]*RawSalesTable6[[#This Row],[Discount_Pct]]</f>
        <v>0</v>
      </c>
      <c r="AC673" s="8">
        <f>RawSalesTable6[[#This Row],[Gross_Sales]]-RawSalesTable6[[#This Row],[Discount_Amount]]</f>
        <v>333.13</v>
      </c>
      <c r="AD673" s="8">
        <f>RawSalesTable6[[#This Row],[Unit_Cost]]*RawSalesTable6[[#This Row],[Quantity]]</f>
        <v>156.75</v>
      </c>
      <c r="AE673" s="8">
        <f>RawSalesTable6[[#This Row],[Net_Sales]]-RawSalesTable6[[#This Row],[Total_Cost]]</f>
        <v>176.38</v>
      </c>
      <c r="AF673" s="9">
        <f>RawSalesTable6[[#This Row],[Profit]]/RawSalesTable6[[#This Row],[Net_Sales]]</f>
        <v>0.52946297241317208</v>
      </c>
      <c r="AG673" s="8">
        <f>YEAR(RawSalesTable6[[#This Row],[Order_Date]])</f>
        <v>2025</v>
      </c>
      <c r="AH673" s="8">
        <f>MONTH(RawSalesTable6[[#This Row],[Order_Date]])</f>
        <v>5</v>
      </c>
      <c r="AI673" s="8" t="str">
        <f>TEXT(RawSalesTable6[[#This Row],[Order_Date]],"mmmm")</f>
        <v>mai</v>
      </c>
      <c r="AJ673" s="8" t="str">
        <f>IF(RawSalesTable6[[#This Row],[Month_Number]]&lt;=3,"Q1",IF(RawSalesTable6[[#This Row],[Month_Number]]&lt;=6,"Q2",IF(RawSalesTable6[[#This Row],[Month_Number]]&lt;=9,"Q3","Q4")))</f>
        <v>Q2</v>
      </c>
      <c r="AK673" s="8" t="str">
        <f>VLOOKUP(RawSalesTable6[[#This Row],[Customer_ID_Clean]],CustomersTable[],4,FALSE)</f>
        <v>British Columbia</v>
      </c>
      <c r="AL673" s="8">
        <f>IF(RawSalesTable6[[#This Row],[Return_Status]]="Yes",1,0)</f>
        <v>0</v>
      </c>
    </row>
    <row r="674" spans="1:38">
      <c r="A674" t="s">
        <v>1124</v>
      </c>
      <c r="B674" s="3">
        <v>45725</v>
      </c>
      <c r="C674" t="s">
        <v>84</v>
      </c>
      <c r="D674" t="s">
        <v>94</v>
      </c>
      <c r="E674" t="s">
        <v>629</v>
      </c>
      <c r="F674" t="s">
        <v>111</v>
      </c>
      <c r="G674" t="s">
        <v>171</v>
      </c>
      <c r="H674" t="s">
        <v>89</v>
      </c>
      <c r="I674">
        <v>1</v>
      </c>
      <c r="J674" s="2">
        <v>300.93</v>
      </c>
      <c r="K674" s="4">
        <v>0.15</v>
      </c>
      <c r="L674" t="s">
        <v>106</v>
      </c>
      <c r="M674">
        <v>6</v>
      </c>
      <c r="N674" t="s">
        <v>91</v>
      </c>
      <c r="O674" t="str">
        <f>SUBSTITUTE(PROPER(TRIM(RawSalesTable6[[#This Row],[Channel_Raw]])),"Market Place","Marketplace")</f>
        <v>Online</v>
      </c>
      <c r="P674" t="str">
        <f>TRIM(RawSalesTable6[[#This Row],[Product_ID]])</f>
        <v>P1033</v>
      </c>
      <c r="Q674" t="str">
        <f>TRIM(RawSalesTable6[[#This Row],[Customer_ID]])</f>
        <v>C0113</v>
      </c>
      <c r="R674" s="8" t="str">
        <f>PROPER(TRIM(RawSalesTable6[[#This Row],[Store_Raw]]))</f>
        <v>Montreal Central</v>
      </c>
      <c r="S674" s="8" t="str">
        <f>IF(TRIM(RawSalesTable6[[#This Row],[Payment_Method_Raw]])="","Non renseigné",SUBSTITUTE(PROPER(TRIM(RawSalesTable6[[#This Row],[Payment_Method_Raw]])),"Cc","Credit Card"))</f>
        <v>Credit Card</v>
      </c>
      <c r="T674" s="8">
        <f>COUNTIF(A:A,RawSalesTable6[[#This Row],[Order_ID]])</f>
        <v>1</v>
      </c>
      <c r="U674" s="8" t="str">
        <f>TRIM(LEFT(RawSalesTable6[[#This Row],[Customer_Info]],FIND(",",RawSalesTable6[[#This Row],[Customer_Info]])-1))</f>
        <v>Olivia Johnson</v>
      </c>
      <c r="V674" s="8" t="str">
        <f>TRIM(MID(RawSalesTable6[[#This Row],[Customer_Info]],FIND(",",RawSalesTable6[[#This Row],[Customer_Info]])+1,FIND(",",RawSalesTable6[[#This Row],[Customer_Info]],FIND(",",RawSalesTable6[[#This Row],[Customer_Info]])+1)-FIND(",",RawSalesTable6[[#This Row],[Customer_Info]])-1))</f>
        <v>Surrey</v>
      </c>
      <c r="W674" s="8" t="str">
        <f>TRIM(RIGHT(RawSalesTable6[[#This Row],[Customer_Info]],LEN(RawSalesTable6[[#This Row],[Customer_Info]])-FIND(",",RawSalesTable6[[#This Row],[Customer_Info]],FIND(",",RawSalesTable6[[#This Row],[Customer_Info]])+1)))</f>
        <v>Consumer</v>
      </c>
      <c r="X674" s="8" t="str">
        <f>VLOOKUP(RawSalesTable6[[#This Row],[Product_ID_Clean]],ProductsTable[],2,FALSE)</f>
        <v>Backpack</v>
      </c>
      <c r="Y674" s="8" t="str">
        <f>VLOOKUP(RawSalesTable6[[#This Row],[Product_ID_Clean]],ProductsTable[],3,FALSE)</f>
        <v>Accessories</v>
      </c>
      <c r="Z674" s="8">
        <f>VLOOKUP(RawSalesTable6[[#This Row],[Product_ID_Clean]],ProductsTable[],5,FALSE)</f>
        <v>152.55000000000001</v>
      </c>
      <c r="AA674" s="8">
        <f>RawSalesTable6[[#This Row],[Unit_Price]]*RawSalesTable6[[#This Row],[Quantity]]</f>
        <v>300.93</v>
      </c>
      <c r="AB674" s="8">
        <f>RawSalesTable6[[#This Row],[Gross_Sales]]*RawSalesTable6[[#This Row],[Discount_Pct]]</f>
        <v>45.139499999999998</v>
      </c>
      <c r="AC674" s="8">
        <f>RawSalesTable6[[#This Row],[Gross_Sales]]-RawSalesTable6[[#This Row],[Discount_Amount]]</f>
        <v>255.79050000000001</v>
      </c>
      <c r="AD674" s="8">
        <f>RawSalesTable6[[#This Row],[Unit_Cost]]*RawSalesTable6[[#This Row],[Quantity]]</f>
        <v>152.55000000000001</v>
      </c>
      <c r="AE674" s="8">
        <f>RawSalesTable6[[#This Row],[Net_Sales]]-RawSalesTable6[[#This Row],[Total_Cost]]</f>
        <v>103.2405</v>
      </c>
      <c r="AF674" s="9">
        <f>RawSalesTable6[[#This Row],[Profit]]/RawSalesTable6[[#This Row],[Net_Sales]]</f>
        <v>0.40361350401989127</v>
      </c>
      <c r="AG674" s="8">
        <f>YEAR(RawSalesTable6[[#This Row],[Order_Date]])</f>
        <v>2025</v>
      </c>
      <c r="AH674" s="8">
        <f>MONTH(RawSalesTable6[[#This Row],[Order_Date]])</f>
        <v>3</v>
      </c>
      <c r="AI674" s="8" t="str">
        <f>TEXT(RawSalesTable6[[#This Row],[Order_Date]],"mmmm")</f>
        <v>mars</v>
      </c>
      <c r="AJ674" s="8" t="str">
        <f>IF(RawSalesTable6[[#This Row],[Month_Number]]&lt;=3,"Q1",IF(RawSalesTable6[[#This Row],[Month_Number]]&lt;=6,"Q2",IF(RawSalesTable6[[#This Row],[Month_Number]]&lt;=9,"Q3","Q4")))</f>
        <v>Q1</v>
      </c>
      <c r="AK674" s="8" t="str">
        <f>VLOOKUP(RawSalesTable6[[#This Row],[Customer_ID_Clean]],CustomersTable[],4,FALSE)</f>
        <v>British Columbia</v>
      </c>
      <c r="AL674" s="8">
        <f>IF(RawSalesTable6[[#This Row],[Return_Status]]="Yes",1,0)</f>
        <v>0</v>
      </c>
    </row>
    <row r="675" spans="1:38">
      <c r="A675" t="s">
        <v>1125</v>
      </c>
      <c r="B675" s="3">
        <v>45969</v>
      </c>
      <c r="C675" t="s">
        <v>463</v>
      </c>
      <c r="D675" t="s">
        <v>226</v>
      </c>
      <c r="E675" t="s">
        <v>464</v>
      </c>
      <c r="F675" t="s">
        <v>87</v>
      </c>
      <c r="G675" t="s">
        <v>104</v>
      </c>
      <c r="H675" t="s">
        <v>89</v>
      </c>
      <c r="I675">
        <v>3</v>
      </c>
      <c r="J675" s="2">
        <v>211.4</v>
      </c>
      <c r="K675" s="4">
        <v>0.15</v>
      </c>
      <c r="M675">
        <v>2</v>
      </c>
      <c r="N675" t="s">
        <v>91</v>
      </c>
      <c r="O675" t="str">
        <f>SUBSTITUTE(PROPER(TRIM(RawSalesTable6[[#This Row],[Channel_Raw]])),"Market Place","Marketplace")</f>
        <v>Online</v>
      </c>
      <c r="P675" t="str">
        <f>TRIM(RawSalesTable6[[#This Row],[Product_ID]])</f>
        <v>P1010</v>
      </c>
      <c r="Q675" t="str">
        <f>TRIM(RawSalesTable6[[#This Row],[Customer_ID]])</f>
        <v>C0030</v>
      </c>
      <c r="R675" s="8" t="str">
        <f>PROPER(TRIM(RawSalesTable6[[#This Row],[Store_Raw]]))</f>
        <v>Online Fulfillment</v>
      </c>
      <c r="S675" s="8" t="str">
        <f>IF(TRIM(RawSalesTable6[[#This Row],[Payment_Method_Raw]])="","Non renseigné",SUBSTITUTE(PROPER(TRIM(RawSalesTable6[[#This Row],[Payment_Method_Raw]])),"Cc","Credit Card"))</f>
        <v>Non renseigné</v>
      </c>
      <c r="T675" s="8">
        <f>COUNTIF(A:A,RawSalesTable6[[#This Row],[Order_ID]])</f>
        <v>1</v>
      </c>
      <c r="U675" s="8" t="str">
        <f>TRIM(LEFT(RawSalesTable6[[#This Row],[Customer_Info]],FIND(",",RawSalesTable6[[#This Row],[Customer_Info]])-1))</f>
        <v>Emma Lee</v>
      </c>
      <c r="V675" s="8" t="str">
        <f>TRIM(MID(RawSalesTable6[[#This Row],[Customer_Info]],FIND(",",RawSalesTable6[[#This Row],[Customer_Info]])+1,FIND(",",RawSalesTable6[[#This Row],[Customer_Info]],FIND(",",RawSalesTable6[[#This Row],[Customer_Info]])+1)-FIND(",",RawSalesTable6[[#This Row],[Customer_Info]])-1))</f>
        <v>Calgary</v>
      </c>
      <c r="W675" s="8" t="str">
        <f>TRIM(RIGHT(RawSalesTable6[[#This Row],[Customer_Info]],LEN(RawSalesTable6[[#This Row],[Customer_Info]])-FIND(",",RawSalesTable6[[#This Row],[Customer_Info]],FIND(",",RawSalesTable6[[#This Row],[Customer_Info]])+1)))</f>
        <v>Corporate</v>
      </c>
      <c r="X675" s="8" t="str">
        <f>VLOOKUP(RawSalesTable6[[#This Row],[Product_ID_Clean]],ProductsTable[],2,FALSE)</f>
        <v>Desk Lamp</v>
      </c>
      <c r="Y675" s="8" t="str">
        <f>VLOOKUP(RawSalesTable6[[#This Row],[Product_ID_Clean]],ProductsTable[],3,FALSE)</f>
        <v>Office</v>
      </c>
      <c r="Z675" s="8">
        <f>VLOOKUP(RawSalesTable6[[#This Row],[Product_ID_Clean]],ProductsTable[],5,FALSE)</f>
        <v>127.21</v>
      </c>
      <c r="AA675" s="8">
        <f>RawSalesTable6[[#This Row],[Unit_Price]]*RawSalesTable6[[#This Row],[Quantity]]</f>
        <v>634.20000000000005</v>
      </c>
      <c r="AB675" s="8">
        <f>RawSalesTable6[[#This Row],[Gross_Sales]]*RawSalesTable6[[#This Row],[Discount_Pct]]</f>
        <v>95.13000000000001</v>
      </c>
      <c r="AC675" s="8">
        <f>RawSalesTable6[[#This Row],[Gross_Sales]]-RawSalesTable6[[#This Row],[Discount_Amount]]</f>
        <v>539.07000000000005</v>
      </c>
      <c r="AD675" s="8">
        <f>RawSalesTable6[[#This Row],[Unit_Cost]]*RawSalesTable6[[#This Row],[Quantity]]</f>
        <v>381.63</v>
      </c>
      <c r="AE675" s="8">
        <f>RawSalesTable6[[#This Row],[Net_Sales]]-RawSalesTable6[[#This Row],[Total_Cost]]</f>
        <v>157.44000000000005</v>
      </c>
      <c r="AF675" s="9">
        <f>RawSalesTable6[[#This Row],[Profit]]/RawSalesTable6[[#This Row],[Net_Sales]]</f>
        <v>0.29205854527241365</v>
      </c>
      <c r="AG675" s="8">
        <f>YEAR(RawSalesTable6[[#This Row],[Order_Date]])</f>
        <v>2025</v>
      </c>
      <c r="AH675" s="8">
        <f>MONTH(RawSalesTable6[[#This Row],[Order_Date]])</f>
        <v>11</v>
      </c>
      <c r="AI675" s="8" t="str">
        <f>TEXT(RawSalesTable6[[#This Row],[Order_Date]],"mmmm")</f>
        <v>novembre</v>
      </c>
      <c r="AJ675" s="8" t="str">
        <f>IF(RawSalesTable6[[#This Row],[Month_Number]]&lt;=3,"Q1",IF(RawSalesTable6[[#This Row],[Month_Number]]&lt;=6,"Q2",IF(RawSalesTable6[[#This Row],[Month_Number]]&lt;=9,"Q3","Q4")))</f>
        <v>Q4</v>
      </c>
      <c r="AK675" s="8" t="str">
        <f>VLOOKUP(RawSalesTable6[[#This Row],[Customer_ID_Clean]],CustomersTable[],4,FALSE)</f>
        <v>Alberta</v>
      </c>
      <c r="AL675" s="8">
        <f>IF(RawSalesTable6[[#This Row],[Return_Status]]="Yes",1,0)</f>
        <v>0</v>
      </c>
    </row>
    <row r="676" spans="1:38">
      <c r="A676" t="s">
        <v>1126</v>
      </c>
      <c r="B676" s="3">
        <v>45980</v>
      </c>
      <c r="C676" t="s">
        <v>386</v>
      </c>
      <c r="D676" t="s">
        <v>194</v>
      </c>
      <c r="E676" t="s">
        <v>576</v>
      </c>
      <c r="F676" t="s">
        <v>116</v>
      </c>
      <c r="G676" t="s">
        <v>104</v>
      </c>
      <c r="H676" t="s">
        <v>89</v>
      </c>
      <c r="I676">
        <v>1</v>
      </c>
      <c r="J676" s="2">
        <v>196.11</v>
      </c>
      <c r="K676" s="4">
        <v>0.1</v>
      </c>
      <c r="L676" t="s">
        <v>98</v>
      </c>
      <c r="M676">
        <v>3</v>
      </c>
      <c r="N676" t="s">
        <v>91</v>
      </c>
      <c r="O676" t="str">
        <f>SUBSTITUTE(PROPER(TRIM(RawSalesTable6[[#This Row],[Channel_Raw]])),"Market Place","Marketplace")</f>
        <v>Online</v>
      </c>
      <c r="P676" t="str">
        <f>TRIM(RawSalesTable6[[#This Row],[Product_ID]])</f>
        <v>P1029</v>
      </c>
      <c r="Q676" t="str">
        <f>TRIM(RawSalesTable6[[#This Row],[Customer_ID]])</f>
        <v>C0009</v>
      </c>
      <c r="R676" s="8" t="str">
        <f>PROPER(TRIM(RawSalesTable6[[#This Row],[Store_Raw]]))</f>
        <v>Toronto Downtown</v>
      </c>
      <c r="S676" s="8" t="str">
        <f>IF(TRIM(RawSalesTable6[[#This Row],[Payment_Method_Raw]])="","Non renseigné",SUBSTITUTE(PROPER(TRIM(RawSalesTable6[[#This Row],[Payment_Method_Raw]])),"Cc","Credit Card"))</f>
        <v>Debit Card</v>
      </c>
      <c r="T676" s="8">
        <f>COUNTIF(A:A,RawSalesTable6[[#This Row],[Order_ID]])</f>
        <v>1</v>
      </c>
      <c r="U676" s="8" t="str">
        <f>TRIM(LEFT(RawSalesTable6[[#This Row],[Customer_Info]],FIND(",",RawSalesTable6[[#This Row],[Customer_Info]])-1))</f>
        <v>Ethan Tremblay</v>
      </c>
      <c r="V676" s="8" t="str">
        <f>TRIM(MID(RawSalesTable6[[#This Row],[Customer_Info]],FIND(",",RawSalesTable6[[#This Row],[Customer_Info]])+1,FIND(",",RawSalesTable6[[#This Row],[Customer_Info]],FIND(",",RawSalesTable6[[#This Row],[Customer_Info]])+1)-FIND(",",RawSalesTable6[[#This Row],[Customer_Info]])-1))</f>
        <v>Mississauga</v>
      </c>
      <c r="W676" s="8" t="str">
        <f>TRIM(RIGHT(RawSalesTable6[[#This Row],[Customer_Info]],LEN(RawSalesTable6[[#This Row],[Customer_Info]])-FIND(",",RawSalesTable6[[#This Row],[Customer_Info]],FIND(",",RawSalesTable6[[#This Row],[Customer_Info]])+1)))</f>
        <v>Corporate</v>
      </c>
      <c r="X676" s="8" t="str">
        <f>VLOOKUP(RawSalesTable6[[#This Row],[Product_ID_Clean]],ProductsTable[],2,FALSE)</f>
        <v>Jump Rope</v>
      </c>
      <c r="Y676" s="8" t="str">
        <f>VLOOKUP(RawSalesTable6[[#This Row],[Product_ID_Clean]],ProductsTable[],3,FALSE)</f>
        <v>Fitness</v>
      </c>
      <c r="Z676" s="8">
        <f>VLOOKUP(RawSalesTable6[[#This Row],[Product_ID_Clean]],ProductsTable[],5,FALSE)</f>
        <v>101</v>
      </c>
      <c r="AA676" s="8">
        <f>RawSalesTable6[[#This Row],[Unit_Price]]*RawSalesTable6[[#This Row],[Quantity]]</f>
        <v>196.11</v>
      </c>
      <c r="AB676" s="8">
        <f>RawSalesTable6[[#This Row],[Gross_Sales]]*RawSalesTable6[[#This Row],[Discount_Pct]]</f>
        <v>19.611000000000004</v>
      </c>
      <c r="AC676" s="8">
        <f>RawSalesTable6[[#This Row],[Gross_Sales]]-RawSalesTable6[[#This Row],[Discount_Amount]]</f>
        <v>176.49900000000002</v>
      </c>
      <c r="AD676" s="8">
        <f>RawSalesTable6[[#This Row],[Unit_Cost]]*RawSalesTable6[[#This Row],[Quantity]]</f>
        <v>101</v>
      </c>
      <c r="AE676" s="8">
        <f>RawSalesTable6[[#This Row],[Net_Sales]]-RawSalesTable6[[#This Row],[Total_Cost]]</f>
        <v>75.499000000000024</v>
      </c>
      <c r="AF676" s="9">
        <f>RawSalesTable6[[#This Row],[Profit]]/RawSalesTable6[[#This Row],[Net_Sales]]</f>
        <v>0.42775879750026918</v>
      </c>
      <c r="AG676" s="8">
        <f>YEAR(RawSalesTable6[[#This Row],[Order_Date]])</f>
        <v>2025</v>
      </c>
      <c r="AH676" s="8">
        <f>MONTH(RawSalesTable6[[#This Row],[Order_Date]])</f>
        <v>11</v>
      </c>
      <c r="AI676" s="8" t="str">
        <f>TEXT(RawSalesTable6[[#This Row],[Order_Date]],"mmmm")</f>
        <v>novembre</v>
      </c>
      <c r="AJ676" s="8" t="str">
        <f>IF(RawSalesTable6[[#This Row],[Month_Number]]&lt;=3,"Q1",IF(RawSalesTable6[[#This Row],[Month_Number]]&lt;=6,"Q2",IF(RawSalesTable6[[#This Row],[Month_Number]]&lt;=9,"Q3","Q4")))</f>
        <v>Q4</v>
      </c>
      <c r="AK676" s="8" t="str">
        <f>VLOOKUP(RawSalesTable6[[#This Row],[Customer_ID_Clean]],CustomersTable[],4,FALSE)</f>
        <v>Ontario</v>
      </c>
      <c r="AL676" s="8">
        <f>IF(RawSalesTable6[[#This Row],[Return_Status]]="Yes",1,0)</f>
        <v>0</v>
      </c>
    </row>
    <row r="677" spans="1:38">
      <c r="A677" t="s">
        <v>1127</v>
      </c>
      <c r="B677" s="3">
        <v>45665</v>
      </c>
      <c r="C677" t="s">
        <v>180</v>
      </c>
      <c r="D677" t="s">
        <v>244</v>
      </c>
      <c r="E677" t="s">
        <v>182</v>
      </c>
      <c r="F677" t="s">
        <v>145</v>
      </c>
      <c r="G677" t="s">
        <v>171</v>
      </c>
      <c r="H677" t="s">
        <v>89</v>
      </c>
      <c r="I677">
        <v>2</v>
      </c>
      <c r="J677" s="2">
        <v>232.33</v>
      </c>
      <c r="K677" s="4">
        <v>0.15</v>
      </c>
      <c r="L677" t="s">
        <v>90</v>
      </c>
      <c r="M677">
        <v>5</v>
      </c>
      <c r="N677" t="s">
        <v>91</v>
      </c>
      <c r="O677" t="str">
        <f>SUBSTITUTE(PROPER(TRIM(RawSalesTable6[[#This Row],[Channel_Raw]])),"Market Place","Marketplace")</f>
        <v>Online</v>
      </c>
      <c r="P677" t="str">
        <f>TRIM(RawSalesTable6[[#This Row],[Product_ID]])</f>
        <v>P1005</v>
      </c>
      <c r="Q677" t="str">
        <f>TRIM(RawSalesTable6[[#This Row],[Customer_ID]])</f>
        <v>C0085</v>
      </c>
      <c r="R677" s="8" t="str">
        <f>PROPER(TRIM(RawSalesTable6[[#This Row],[Store_Raw]]))</f>
        <v>Calgary North</v>
      </c>
      <c r="S677" s="8" t="str">
        <f>IF(TRIM(RawSalesTable6[[#This Row],[Payment_Method_Raw]])="","Non renseigné",SUBSTITUTE(PROPER(TRIM(RawSalesTable6[[#This Row],[Payment_Method_Raw]])),"Cc","Credit Card"))</f>
        <v>Paypal</v>
      </c>
      <c r="T677" s="8">
        <f>COUNTIF(A:A,RawSalesTable6[[#This Row],[Order_ID]])</f>
        <v>1</v>
      </c>
      <c r="U677" s="8" t="str">
        <f>TRIM(LEFT(RawSalesTable6[[#This Row],[Customer_Info]],FIND(",",RawSalesTable6[[#This Row],[Customer_Info]])-1))</f>
        <v>Yasmine Clark</v>
      </c>
      <c r="V677" s="8" t="str">
        <f>TRIM(MID(RawSalesTable6[[#This Row],[Customer_Info]],FIND(",",RawSalesTable6[[#This Row],[Customer_Info]])+1,FIND(",",RawSalesTable6[[#This Row],[Customer_Info]],FIND(",",RawSalesTable6[[#This Row],[Customer_Info]])+1)-FIND(",",RawSalesTable6[[#This Row],[Customer_Info]])-1))</f>
        <v>Calgary</v>
      </c>
      <c r="W677" s="8" t="str">
        <f>TRIM(RIGHT(RawSalesTable6[[#This Row],[Customer_Info]],LEN(RawSalesTable6[[#This Row],[Customer_Info]])-FIND(",",RawSalesTable6[[#This Row],[Customer_Info]],FIND(",",RawSalesTable6[[#This Row],[Customer_Info]])+1)))</f>
        <v>Consumer</v>
      </c>
      <c r="X677" s="8" t="str">
        <f>VLOOKUP(RawSalesTable6[[#This Row],[Product_ID_Clean]],ProductsTable[],2,FALSE)</f>
        <v>Portable SSD</v>
      </c>
      <c r="Y677" s="8" t="str">
        <f>VLOOKUP(RawSalesTable6[[#This Row],[Product_ID_Clean]],ProductsTable[],3,FALSE)</f>
        <v>Electronics</v>
      </c>
      <c r="Z677" s="8">
        <f>VLOOKUP(RawSalesTable6[[#This Row],[Product_ID_Clean]],ProductsTable[],5,FALSE)</f>
        <v>131.19</v>
      </c>
      <c r="AA677" s="8">
        <f>RawSalesTable6[[#This Row],[Unit_Price]]*RawSalesTable6[[#This Row],[Quantity]]</f>
        <v>464.66</v>
      </c>
      <c r="AB677" s="8">
        <f>RawSalesTable6[[#This Row],[Gross_Sales]]*RawSalesTable6[[#This Row],[Discount_Pct]]</f>
        <v>69.698999999999998</v>
      </c>
      <c r="AC677" s="8">
        <f>RawSalesTable6[[#This Row],[Gross_Sales]]-RawSalesTable6[[#This Row],[Discount_Amount]]</f>
        <v>394.96100000000001</v>
      </c>
      <c r="AD677" s="8">
        <f>RawSalesTable6[[#This Row],[Unit_Cost]]*RawSalesTable6[[#This Row],[Quantity]]</f>
        <v>262.38</v>
      </c>
      <c r="AE677" s="8">
        <f>RawSalesTable6[[#This Row],[Net_Sales]]-RawSalesTable6[[#This Row],[Total_Cost]]</f>
        <v>132.58100000000002</v>
      </c>
      <c r="AF677" s="9">
        <f>RawSalesTable6[[#This Row],[Profit]]/RawSalesTable6[[#This Row],[Net_Sales]]</f>
        <v>0.33568124447730285</v>
      </c>
      <c r="AG677" s="8">
        <f>YEAR(RawSalesTable6[[#This Row],[Order_Date]])</f>
        <v>2025</v>
      </c>
      <c r="AH677" s="8">
        <f>MONTH(RawSalesTable6[[#This Row],[Order_Date]])</f>
        <v>1</v>
      </c>
      <c r="AI677" s="8" t="str">
        <f>TEXT(RawSalesTable6[[#This Row],[Order_Date]],"mmmm")</f>
        <v>janvier</v>
      </c>
      <c r="AJ677" s="8" t="str">
        <f>IF(RawSalesTable6[[#This Row],[Month_Number]]&lt;=3,"Q1",IF(RawSalesTable6[[#This Row],[Month_Number]]&lt;=6,"Q2",IF(RawSalesTable6[[#This Row],[Month_Number]]&lt;=9,"Q3","Q4")))</f>
        <v>Q1</v>
      </c>
      <c r="AK677" s="8" t="str">
        <f>VLOOKUP(RawSalesTable6[[#This Row],[Customer_ID_Clean]],CustomersTable[],4,FALSE)</f>
        <v>Alberta</v>
      </c>
      <c r="AL677" s="8">
        <f>IF(RawSalesTable6[[#This Row],[Return_Status]]="Yes",1,0)</f>
        <v>0</v>
      </c>
    </row>
    <row r="678" spans="1:38">
      <c r="A678" t="s">
        <v>1128</v>
      </c>
      <c r="B678" s="3">
        <v>45984</v>
      </c>
      <c r="C678" t="s">
        <v>675</v>
      </c>
      <c r="D678" t="s">
        <v>133</v>
      </c>
      <c r="E678" t="s">
        <v>676</v>
      </c>
      <c r="F678" t="s">
        <v>145</v>
      </c>
      <c r="G678" t="s">
        <v>122</v>
      </c>
      <c r="H678" t="s">
        <v>89</v>
      </c>
      <c r="I678">
        <v>1</v>
      </c>
      <c r="J678" s="2">
        <v>328.26</v>
      </c>
      <c r="K678" s="4">
        <v>0.2</v>
      </c>
      <c r="L678" t="s">
        <v>106</v>
      </c>
      <c r="M678">
        <v>1</v>
      </c>
      <c r="N678" t="s">
        <v>147</v>
      </c>
      <c r="O678" t="str">
        <f>SUBSTITUTE(PROPER(TRIM(RawSalesTable6[[#This Row],[Channel_Raw]])),"Market Place","Marketplace")</f>
        <v>Online</v>
      </c>
      <c r="P678" t="str">
        <f>TRIM(RawSalesTable6[[#This Row],[Product_ID]])</f>
        <v>P1039</v>
      </c>
      <c r="Q678" t="str">
        <f>TRIM(RawSalesTable6[[#This Row],[Customer_ID]])</f>
        <v>C0101</v>
      </c>
      <c r="R678" s="8" t="str">
        <f>PROPER(TRIM(RawSalesTable6[[#This Row],[Store_Raw]]))</f>
        <v>Calgary North</v>
      </c>
      <c r="S678" s="8" t="str">
        <f>IF(TRIM(RawSalesTable6[[#This Row],[Payment_Method_Raw]])="","Non renseigné",SUBSTITUTE(PROPER(TRIM(RawSalesTable6[[#This Row],[Payment_Method_Raw]])),"Cc","Credit Card"))</f>
        <v>Credit Card</v>
      </c>
      <c r="T678" s="8">
        <f>COUNTIF(A:A,RawSalesTable6[[#This Row],[Order_ID]])</f>
        <v>1</v>
      </c>
      <c r="U678" s="8" t="str">
        <f>TRIM(LEFT(RawSalesTable6[[#This Row],[Customer_Info]],FIND(",",RawSalesTable6[[#This Row],[Customer_Info]])-1))</f>
        <v>Noah Martin</v>
      </c>
      <c r="V678" s="8" t="str">
        <f>TRIM(MID(RawSalesTable6[[#This Row],[Customer_Info]],FIND(",",RawSalesTable6[[#This Row],[Customer_Info]])+1,FIND(",",RawSalesTable6[[#This Row],[Customer_Info]],FIND(",",RawSalesTable6[[#This Row],[Customer_Info]])+1)-FIND(",",RawSalesTable6[[#This Row],[Customer_Info]])-1))</f>
        <v>Saskatoon</v>
      </c>
      <c r="W678" s="8" t="str">
        <f>TRIM(RIGHT(RawSalesTable6[[#This Row],[Customer_Info]],LEN(RawSalesTable6[[#This Row],[Customer_Info]])-FIND(",",RawSalesTable6[[#This Row],[Customer_Info]],FIND(",",RawSalesTable6[[#This Row],[Customer_Info]])+1)))</f>
        <v>Small Business</v>
      </c>
      <c r="X678" s="8" t="str">
        <f>VLOOKUP(RawSalesTable6[[#This Row],[Product_ID_Clean]],ProductsTable[],2,FALSE)</f>
        <v>Travel Adapter</v>
      </c>
      <c r="Y678" s="8" t="str">
        <f>VLOOKUP(RawSalesTable6[[#This Row],[Product_ID_Clean]],ProductsTable[],3,FALSE)</f>
        <v>Accessories</v>
      </c>
      <c r="Z678" s="8">
        <f>VLOOKUP(RawSalesTable6[[#This Row],[Product_ID_Clean]],ProductsTable[],5,FALSE)</f>
        <v>229.86</v>
      </c>
      <c r="AA678" s="8">
        <f>RawSalesTable6[[#This Row],[Unit_Price]]*RawSalesTable6[[#This Row],[Quantity]]</f>
        <v>328.26</v>
      </c>
      <c r="AB678" s="8">
        <f>RawSalesTable6[[#This Row],[Gross_Sales]]*RawSalesTable6[[#This Row],[Discount_Pct]]</f>
        <v>65.652000000000001</v>
      </c>
      <c r="AC678" s="8">
        <f>RawSalesTable6[[#This Row],[Gross_Sales]]-RawSalesTable6[[#This Row],[Discount_Amount]]</f>
        <v>262.608</v>
      </c>
      <c r="AD678" s="8">
        <f>RawSalesTable6[[#This Row],[Unit_Cost]]*RawSalesTable6[[#This Row],[Quantity]]</f>
        <v>229.86</v>
      </c>
      <c r="AE678" s="8">
        <f>RawSalesTable6[[#This Row],[Net_Sales]]-RawSalesTable6[[#This Row],[Total_Cost]]</f>
        <v>32.74799999999999</v>
      </c>
      <c r="AF678" s="9">
        <f>RawSalesTable6[[#This Row],[Profit]]/RawSalesTable6[[#This Row],[Net_Sales]]</f>
        <v>0.12470297934564062</v>
      </c>
      <c r="AG678" s="8">
        <f>YEAR(RawSalesTable6[[#This Row],[Order_Date]])</f>
        <v>2025</v>
      </c>
      <c r="AH678" s="8">
        <f>MONTH(RawSalesTable6[[#This Row],[Order_Date]])</f>
        <v>11</v>
      </c>
      <c r="AI678" s="8" t="str">
        <f>TEXT(RawSalesTable6[[#This Row],[Order_Date]],"mmmm")</f>
        <v>novembre</v>
      </c>
      <c r="AJ678" s="8" t="str">
        <f>IF(RawSalesTable6[[#This Row],[Month_Number]]&lt;=3,"Q1",IF(RawSalesTable6[[#This Row],[Month_Number]]&lt;=6,"Q2",IF(RawSalesTable6[[#This Row],[Month_Number]]&lt;=9,"Q3","Q4")))</f>
        <v>Q4</v>
      </c>
      <c r="AK678" s="8" t="str">
        <f>VLOOKUP(RawSalesTable6[[#This Row],[Customer_ID_Clean]],CustomersTable[],4,FALSE)</f>
        <v>Saskatchewan</v>
      </c>
      <c r="AL678" s="8">
        <f>IF(RawSalesTable6[[#This Row],[Return_Status]]="Yes",1,0)</f>
        <v>1</v>
      </c>
    </row>
    <row r="679" spans="1:38">
      <c r="A679" t="s">
        <v>1129</v>
      </c>
      <c r="B679" s="3">
        <v>45870</v>
      </c>
      <c r="C679" t="s">
        <v>268</v>
      </c>
      <c r="D679" t="s">
        <v>221</v>
      </c>
      <c r="E679" t="s">
        <v>269</v>
      </c>
      <c r="F679" t="s">
        <v>145</v>
      </c>
      <c r="G679" t="s">
        <v>88</v>
      </c>
      <c r="H679" t="s">
        <v>89</v>
      </c>
      <c r="I679">
        <v>1</v>
      </c>
      <c r="J679" s="2">
        <v>29.28</v>
      </c>
      <c r="K679" s="4">
        <v>0.2</v>
      </c>
      <c r="L679" t="s">
        <v>90</v>
      </c>
      <c r="M679">
        <v>9</v>
      </c>
      <c r="N679" t="s">
        <v>91</v>
      </c>
      <c r="O679" t="str">
        <f>SUBSTITUTE(PROPER(TRIM(RawSalesTable6[[#This Row],[Channel_Raw]])),"Market Place","Marketplace")</f>
        <v>Online</v>
      </c>
      <c r="P679" t="str">
        <f>TRIM(RawSalesTable6[[#This Row],[Product_ID]])</f>
        <v>P1018</v>
      </c>
      <c r="Q679" t="str">
        <f>TRIM(RawSalesTable6[[#This Row],[Customer_ID]])</f>
        <v>C0043</v>
      </c>
      <c r="R679" s="8" t="str">
        <f>PROPER(TRIM(RawSalesTable6[[#This Row],[Store_Raw]]))</f>
        <v>Calgary North</v>
      </c>
      <c r="S679" s="8" t="str">
        <f>IF(TRIM(RawSalesTable6[[#This Row],[Payment_Method_Raw]])="","Non renseigné",SUBSTITUTE(PROPER(TRIM(RawSalesTable6[[#This Row],[Payment_Method_Raw]])),"Cc","Credit Card"))</f>
        <v>Paypal</v>
      </c>
      <c r="T679" s="8">
        <f>COUNTIF(A:A,RawSalesTable6[[#This Row],[Order_ID]])</f>
        <v>1</v>
      </c>
      <c r="U679" s="8" t="str">
        <f>TRIM(LEFT(RawSalesTable6[[#This Row],[Customer_Info]],FIND(",",RawSalesTable6[[#This Row],[Customer_Info]])-1))</f>
        <v>Ava Brown</v>
      </c>
      <c r="V679" s="8" t="str">
        <f>TRIM(MID(RawSalesTable6[[#This Row],[Customer_Info]],FIND(",",RawSalesTable6[[#This Row],[Customer_Info]])+1,FIND(",",RawSalesTable6[[#This Row],[Customer_Info]],FIND(",",RawSalesTable6[[#This Row],[Customer_Info]])+1)-FIND(",",RawSalesTable6[[#This Row],[Customer_Info]])-1))</f>
        <v>Ottawa</v>
      </c>
      <c r="W679" s="8" t="str">
        <f>TRIM(RIGHT(RawSalesTable6[[#This Row],[Customer_Info]],LEN(RawSalesTable6[[#This Row],[Customer_Info]])-FIND(",",RawSalesTable6[[#This Row],[Customer_Info]],FIND(",",RawSalesTable6[[#This Row],[Customer_Info]])+1)))</f>
        <v>Small Business</v>
      </c>
      <c r="X679" s="8" t="str">
        <f>VLOOKUP(RawSalesTable6[[#This Row],[Product_ID_Clean]],ProductsTable[],2,FALSE)</f>
        <v>Air Fryer</v>
      </c>
      <c r="Y679" s="8" t="str">
        <f>VLOOKUP(RawSalesTable6[[#This Row],[Product_ID_Clean]],ProductsTable[],3,FALSE)</f>
        <v>Home</v>
      </c>
      <c r="Z679" s="8">
        <f>VLOOKUP(RawSalesTable6[[#This Row],[Product_ID_Clean]],ProductsTable[],5,FALSE)</f>
        <v>14.58</v>
      </c>
      <c r="AA679" s="8">
        <f>RawSalesTable6[[#This Row],[Unit_Price]]*RawSalesTable6[[#This Row],[Quantity]]</f>
        <v>29.28</v>
      </c>
      <c r="AB679" s="8">
        <f>RawSalesTable6[[#This Row],[Gross_Sales]]*RawSalesTable6[[#This Row],[Discount_Pct]]</f>
        <v>5.8560000000000008</v>
      </c>
      <c r="AC679" s="8">
        <f>RawSalesTable6[[#This Row],[Gross_Sales]]-RawSalesTable6[[#This Row],[Discount_Amount]]</f>
        <v>23.423999999999999</v>
      </c>
      <c r="AD679" s="8">
        <f>RawSalesTable6[[#This Row],[Unit_Cost]]*RawSalesTable6[[#This Row],[Quantity]]</f>
        <v>14.58</v>
      </c>
      <c r="AE679" s="8">
        <f>RawSalesTable6[[#This Row],[Net_Sales]]-RawSalesTable6[[#This Row],[Total_Cost]]</f>
        <v>8.8439999999999994</v>
      </c>
      <c r="AF679" s="9">
        <f>RawSalesTable6[[#This Row],[Profit]]/RawSalesTable6[[#This Row],[Net_Sales]]</f>
        <v>0.37756147540983603</v>
      </c>
      <c r="AG679" s="8">
        <f>YEAR(RawSalesTable6[[#This Row],[Order_Date]])</f>
        <v>2025</v>
      </c>
      <c r="AH679" s="8">
        <f>MONTH(RawSalesTable6[[#This Row],[Order_Date]])</f>
        <v>8</v>
      </c>
      <c r="AI679" s="8" t="str">
        <f>TEXT(RawSalesTable6[[#This Row],[Order_Date]],"mmmm")</f>
        <v>août</v>
      </c>
      <c r="AJ679" s="8" t="str">
        <f>IF(RawSalesTable6[[#This Row],[Month_Number]]&lt;=3,"Q1",IF(RawSalesTable6[[#This Row],[Month_Number]]&lt;=6,"Q2",IF(RawSalesTable6[[#This Row],[Month_Number]]&lt;=9,"Q3","Q4")))</f>
        <v>Q3</v>
      </c>
      <c r="AK679" s="8" t="str">
        <f>VLOOKUP(RawSalesTable6[[#This Row],[Customer_ID_Clean]],CustomersTable[],4,FALSE)</f>
        <v>Ontario</v>
      </c>
      <c r="AL679" s="8">
        <f>IF(RawSalesTable6[[#This Row],[Return_Status]]="Yes",1,0)</f>
        <v>0</v>
      </c>
    </row>
    <row r="680" spans="1:38">
      <c r="A680" t="s">
        <v>1130</v>
      </c>
      <c r="B680" s="3">
        <v>45687</v>
      </c>
      <c r="C680" t="s">
        <v>386</v>
      </c>
      <c r="D680" t="s">
        <v>133</v>
      </c>
      <c r="E680" t="s">
        <v>576</v>
      </c>
      <c r="F680" t="s">
        <v>111</v>
      </c>
      <c r="G680" t="s">
        <v>122</v>
      </c>
      <c r="H680" t="s">
        <v>89</v>
      </c>
      <c r="I680">
        <v>2</v>
      </c>
      <c r="J680" s="2">
        <v>339.82</v>
      </c>
      <c r="K680" s="4">
        <v>0.05</v>
      </c>
      <c r="L680" t="s">
        <v>98</v>
      </c>
      <c r="M680">
        <v>7</v>
      </c>
      <c r="N680" t="s">
        <v>91</v>
      </c>
      <c r="O680" t="str">
        <f>SUBSTITUTE(PROPER(TRIM(RawSalesTable6[[#This Row],[Channel_Raw]])),"Market Place","Marketplace")</f>
        <v>Online</v>
      </c>
      <c r="P680" t="str">
        <f>TRIM(RawSalesTable6[[#This Row],[Product_ID]])</f>
        <v>P1039</v>
      </c>
      <c r="Q680" t="str">
        <f>TRIM(RawSalesTable6[[#This Row],[Customer_ID]])</f>
        <v>C0009</v>
      </c>
      <c r="R680" s="8" t="str">
        <f>PROPER(TRIM(RawSalesTable6[[#This Row],[Store_Raw]]))</f>
        <v>Montreal Central</v>
      </c>
      <c r="S680" s="8" t="str">
        <f>IF(TRIM(RawSalesTable6[[#This Row],[Payment_Method_Raw]])="","Non renseigné",SUBSTITUTE(PROPER(TRIM(RawSalesTable6[[#This Row],[Payment_Method_Raw]])),"Cc","Credit Card"))</f>
        <v>Debit Card</v>
      </c>
      <c r="T680" s="8">
        <f>COUNTIF(A:A,RawSalesTable6[[#This Row],[Order_ID]])</f>
        <v>1</v>
      </c>
      <c r="U680" s="8" t="str">
        <f>TRIM(LEFT(RawSalesTable6[[#This Row],[Customer_Info]],FIND(",",RawSalesTable6[[#This Row],[Customer_Info]])-1))</f>
        <v>Ethan Tremblay</v>
      </c>
      <c r="V680" s="8" t="str">
        <f>TRIM(MID(RawSalesTable6[[#This Row],[Customer_Info]],FIND(",",RawSalesTable6[[#This Row],[Customer_Info]])+1,FIND(",",RawSalesTable6[[#This Row],[Customer_Info]],FIND(",",RawSalesTable6[[#This Row],[Customer_Info]])+1)-FIND(",",RawSalesTable6[[#This Row],[Customer_Info]])-1))</f>
        <v>Mississauga</v>
      </c>
      <c r="W680" s="8" t="str">
        <f>TRIM(RIGHT(RawSalesTable6[[#This Row],[Customer_Info]],LEN(RawSalesTable6[[#This Row],[Customer_Info]])-FIND(",",RawSalesTable6[[#This Row],[Customer_Info]],FIND(",",RawSalesTable6[[#This Row],[Customer_Info]])+1)))</f>
        <v>Corporate</v>
      </c>
      <c r="X680" s="8" t="str">
        <f>VLOOKUP(RawSalesTable6[[#This Row],[Product_ID_Clean]],ProductsTable[],2,FALSE)</f>
        <v>Travel Adapter</v>
      </c>
      <c r="Y680" s="8" t="str">
        <f>VLOOKUP(RawSalesTable6[[#This Row],[Product_ID_Clean]],ProductsTable[],3,FALSE)</f>
        <v>Accessories</v>
      </c>
      <c r="Z680" s="8">
        <f>VLOOKUP(RawSalesTable6[[#This Row],[Product_ID_Clean]],ProductsTable[],5,FALSE)</f>
        <v>229.86</v>
      </c>
      <c r="AA680" s="8">
        <f>RawSalesTable6[[#This Row],[Unit_Price]]*RawSalesTable6[[#This Row],[Quantity]]</f>
        <v>679.64</v>
      </c>
      <c r="AB680" s="8">
        <f>RawSalesTable6[[#This Row],[Gross_Sales]]*RawSalesTable6[[#This Row],[Discount_Pct]]</f>
        <v>33.981999999999999</v>
      </c>
      <c r="AC680" s="8">
        <f>RawSalesTable6[[#This Row],[Gross_Sales]]-RawSalesTable6[[#This Row],[Discount_Amount]]</f>
        <v>645.65800000000002</v>
      </c>
      <c r="AD680" s="8">
        <f>RawSalesTable6[[#This Row],[Unit_Cost]]*RawSalesTable6[[#This Row],[Quantity]]</f>
        <v>459.72</v>
      </c>
      <c r="AE680" s="8">
        <f>RawSalesTable6[[#This Row],[Net_Sales]]-RawSalesTable6[[#This Row],[Total_Cost]]</f>
        <v>185.93799999999999</v>
      </c>
      <c r="AF680" s="9">
        <f>RawSalesTable6[[#This Row],[Profit]]/RawSalesTable6[[#This Row],[Net_Sales]]</f>
        <v>0.2879821825176796</v>
      </c>
      <c r="AG680" s="8">
        <f>YEAR(RawSalesTable6[[#This Row],[Order_Date]])</f>
        <v>2025</v>
      </c>
      <c r="AH680" s="8">
        <f>MONTH(RawSalesTable6[[#This Row],[Order_Date]])</f>
        <v>1</v>
      </c>
      <c r="AI680" s="8" t="str">
        <f>TEXT(RawSalesTable6[[#This Row],[Order_Date]],"mmmm")</f>
        <v>janvier</v>
      </c>
      <c r="AJ680" s="8" t="str">
        <f>IF(RawSalesTable6[[#This Row],[Month_Number]]&lt;=3,"Q1",IF(RawSalesTable6[[#This Row],[Month_Number]]&lt;=6,"Q2",IF(RawSalesTable6[[#This Row],[Month_Number]]&lt;=9,"Q3","Q4")))</f>
        <v>Q1</v>
      </c>
      <c r="AK680" s="8" t="str">
        <f>VLOOKUP(RawSalesTable6[[#This Row],[Customer_ID_Clean]],CustomersTable[],4,FALSE)</f>
        <v>Ontario</v>
      </c>
      <c r="AL680" s="8">
        <f>IF(RawSalesTable6[[#This Row],[Return_Status]]="Yes",1,0)</f>
        <v>0</v>
      </c>
    </row>
    <row r="681" spans="1:38">
      <c r="A681" t="s">
        <v>1131</v>
      </c>
      <c r="B681" s="3">
        <v>45680</v>
      </c>
      <c r="C681" t="s">
        <v>453</v>
      </c>
      <c r="D681" t="s">
        <v>109</v>
      </c>
      <c r="E681" t="s">
        <v>454</v>
      </c>
      <c r="F681" t="s">
        <v>655</v>
      </c>
      <c r="G681" t="s">
        <v>171</v>
      </c>
      <c r="H681" t="s">
        <v>105</v>
      </c>
      <c r="I681">
        <v>5</v>
      </c>
      <c r="J681" s="2">
        <v>210.76</v>
      </c>
      <c r="K681" s="4">
        <v>0</v>
      </c>
      <c r="L681" t="s">
        <v>106</v>
      </c>
      <c r="M681">
        <v>7</v>
      </c>
      <c r="N681" t="s">
        <v>91</v>
      </c>
      <c r="O681" t="str">
        <f>SUBSTITUTE(PROPER(TRIM(RawSalesTable6[[#This Row],[Channel_Raw]])),"Market Place","Marketplace")</f>
        <v>Marketplace</v>
      </c>
      <c r="P681" t="str">
        <f>TRIM(RawSalesTable6[[#This Row],[Product_ID]])</f>
        <v>P1032</v>
      </c>
      <c r="Q681" t="str">
        <f>TRIM(RawSalesTable6[[#This Row],[Customer_ID]])</f>
        <v>C0070</v>
      </c>
      <c r="R681" s="8" t="str">
        <f>PROPER(TRIM(RawSalesTable6[[#This Row],[Store_Raw]]))</f>
        <v>Online Fulfillment</v>
      </c>
      <c r="S681" s="8" t="str">
        <f>IF(TRIM(RawSalesTable6[[#This Row],[Payment_Method_Raw]])="","Non renseigné",SUBSTITUTE(PROPER(TRIM(RawSalesTable6[[#This Row],[Payment_Method_Raw]])),"Cc","Credit Card"))</f>
        <v>Credit Card</v>
      </c>
      <c r="T681" s="8">
        <f>COUNTIF(A:A,RawSalesTable6[[#This Row],[Order_ID]])</f>
        <v>1</v>
      </c>
      <c r="U681" s="8" t="str">
        <f>TRIM(LEFT(RawSalesTable6[[#This Row],[Customer_Info]],FIND(",",RawSalesTable6[[#This Row],[Customer_Info]])-1))</f>
        <v>Sophia Young</v>
      </c>
      <c r="V681" s="8" t="str">
        <f>TRIM(MID(RawSalesTable6[[#This Row],[Customer_Info]],FIND(",",RawSalesTable6[[#This Row],[Customer_Info]])+1,FIND(",",RawSalesTable6[[#This Row],[Customer_Info]],FIND(",",RawSalesTable6[[#This Row],[Customer_Info]])+1)-FIND(",",RawSalesTable6[[#This Row],[Customer_Info]])-1))</f>
        <v>Halifax</v>
      </c>
      <c r="W681" s="8" t="str">
        <f>TRIM(RIGHT(RawSalesTable6[[#This Row],[Customer_Info]],LEN(RawSalesTable6[[#This Row],[Customer_Info]])-FIND(",",RawSalesTable6[[#This Row],[Customer_Info]],FIND(",",RawSalesTable6[[#This Row],[Customer_Info]])+1)))</f>
        <v>Corporate</v>
      </c>
      <c r="X681" s="8" t="str">
        <f>VLOOKUP(RawSalesTable6[[#This Row],[Product_ID_Clean]],ProductsTable[],2,FALSE)</f>
        <v>Gym Bag</v>
      </c>
      <c r="Y681" s="8" t="str">
        <f>VLOOKUP(RawSalesTable6[[#This Row],[Product_ID_Clean]],ProductsTable[],3,FALSE)</f>
        <v>Fitness</v>
      </c>
      <c r="Z681" s="8">
        <f>VLOOKUP(RawSalesTable6[[#This Row],[Product_ID_Clean]],ProductsTable[],5,FALSE)</f>
        <v>132.72</v>
      </c>
      <c r="AA681" s="8">
        <f>RawSalesTable6[[#This Row],[Unit_Price]]*RawSalesTable6[[#This Row],[Quantity]]</f>
        <v>1053.8</v>
      </c>
      <c r="AB681" s="8">
        <f>RawSalesTable6[[#This Row],[Gross_Sales]]*RawSalesTable6[[#This Row],[Discount_Pct]]</f>
        <v>0</v>
      </c>
      <c r="AC681" s="8">
        <f>RawSalesTable6[[#This Row],[Gross_Sales]]-RawSalesTable6[[#This Row],[Discount_Amount]]</f>
        <v>1053.8</v>
      </c>
      <c r="AD681" s="8">
        <f>RawSalesTable6[[#This Row],[Unit_Cost]]*RawSalesTable6[[#This Row],[Quantity]]</f>
        <v>663.6</v>
      </c>
      <c r="AE681" s="8">
        <f>RawSalesTable6[[#This Row],[Net_Sales]]-RawSalesTable6[[#This Row],[Total_Cost]]</f>
        <v>390.19999999999993</v>
      </c>
      <c r="AF681" s="9">
        <f>RawSalesTable6[[#This Row],[Profit]]/RawSalesTable6[[#This Row],[Net_Sales]]</f>
        <v>0.37027899032074391</v>
      </c>
      <c r="AG681" s="8">
        <f>YEAR(RawSalesTable6[[#This Row],[Order_Date]])</f>
        <v>2025</v>
      </c>
      <c r="AH681" s="8">
        <f>MONTH(RawSalesTable6[[#This Row],[Order_Date]])</f>
        <v>1</v>
      </c>
      <c r="AI681" s="8" t="str">
        <f>TEXT(RawSalesTable6[[#This Row],[Order_Date]],"mmmm")</f>
        <v>janvier</v>
      </c>
      <c r="AJ681" s="8" t="str">
        <f>IF(RawSalesTable6[[#This Row],[Month_Number]]&lt;=3,"Q1",IF(RawSalesTable6[[#This Row],[Month_Number]]&lt;=6,"Q2",IF(RawSalesTable6[[#This Row],[Month_Number]]&lt;=9,"Q3","Q4")))</f>
        <v>Q1</v>
      </c>
      <c r="AK681" s="8" t="str">
        <f>VLOOKUP(RawSalesTable6[[#This Row],[Customer_ID_Clean]],CustomersTable[],4,FALSE)</f>
        <v>Nova Scotia</v>
      </c>
      <c r="AL681" s="8">
        <f>IF(RawSalesTable6[[#This Row],[Return_Status]]="Yes",1,0)</f>
        <v>0</v>
      </c>
    </row>
    <row r="682" spans="1:38">
      <c r="A682" t="s">
        <v>1132</v>
      </c>
      <c r="B682" s="3">
        <v>45859</v>
      </c>
      <c r="C682" t="s">
        <v>414</v>
      </c>
      <c r="D682" t="s">
        <v>120</v>
      </c>
      <c r="E682" t="s">
        <v>415</v>
      </c>
      <c r="F682" t="s">
        <v>87</v>
      </c>
      <c r="G682" t="s">
        <v>183</v>
      </c>
      <c r="H682" t="s">
        <v>89</v>
      </c>
      <c r="I682">
        <v>2</v>
      </c>
      <c r="J682" s="2">
        <v>399.06</v>
      </c>
      <c r="K682" s="4">
        <v>0</v>
      </c>
      <c r="L682" t="s">
        <v>106</v>
      </c>
      <c r="M682">
        <v>7</v>
      </c>
      <c r="N682" t="s">
        <v>91</v>
      </c>
      <c r="O682" t="str">
        <f>SUBSTITUTE(PROPER(TRIM(RawSalesTable6[[#This Row],[Channel_Raw]])),"Market Place","Marketplace")</f>
        <v>Online</v>
      </c>
      <c r="P682" t="str">
        <f>TRIM(RawSalesTable6[[#This Row],[Product_ID]])</f>
        <v>P1015</v>
      </c>
      <c r="Q682" t="str">
        <f>TRIM(RawSalesTable6[[#This Row],[Customer_ID]])</f>
        <v>C0052</v>
      </c>
      <c r="R682" s="8" t="str">
        <f>PROPER(TRIM(RawSalesTable6[[#This Row],[Store_Raw]]))</f>
        <v>Online Fulfillment</v>
      </c>
      <c r="S682" s="8" t="str">
        <f>IF(TRIM(RawSalesTable6[[#This Row],[Payment_Method_Raw]])="","Non renseigné",SUBSTITUTE(PROPER(TRIM(RawSalesTable6[[#This Row],[Payment_Method_Raw]])),"Cc","Credit Card"))</f>
        <v>Credit Card</v>
      </c>
      <c r="T682" s="8">
        <f>COUNTIF(A:A,RawSalesTable6[[#This Row],[Order_ID]])</f>
        <v>1</v>
      </c>
      <c r="U682" s="8" t="str">
        <f>TRIM(LEFT(RawSalesTable6[[#This Row],[Customer_Info]],FIND(",",RawSalesTable6[[#This Row],[Customer_Info]])-1))</f>
        <v>Liam Bennett</v>
      </c>
      <c r="V682" s="8" t="str">
        <f>TRIM(MID(RawSalesTable6[[#This Row],[Customer_Info]],FIND(",",RawSalesTable6[[#This Row],[Customer_Info]])+1,FIND(",",RawSalesTable6[[#This Row],[Customer_Info]],FIND(",",RawSalesTable6[[#This Row],[Customer_Info]])+1)-FIND(",",RawSalesTable6[[#This Row],[Customer_Info]])-1))</f>
        <v>Edmonton</v>
      </c>
      <c r="W682" s="8" t="str">
        <f>TRIM(RIGHT(RawSalesTable6[[#This Row],[Customer_Info]],LEN(RawSalesTable6[[#This Row],[Customer_Info]])-FIND(",",RawSalesTable6[[#This Row],[Customer_Info]],FIND(",",RawSalesTable6[[#This Row],[Customer_Info]])+1)))</f>
        <v>Corporate</v>
      </c>
      <c r="X682" s="8" t="str">
        <f>VLOOKUP(RawSalesTable6[[#This Row],[Product_ID_Clean]],ProductsTable[],2,FALSE)</f>
        <v>Desk Organizer</v>
      </c>
      <c r="Y682" s="8" t="str">
        <f>VLOOKUP(RawSalesTable6[[#This Row],[Product_ID_Clean]],ProductsTable[],3,FALSE)</f>
        <v>Office</v>
      </c>
      <c r="Z682" s="8">
        <f>VLOOKUP(RawSalesTable6[[#This Row],[Product_ID_Clean]],ProductsTable[],5,FALSE)</f>
        <v>235.76</v>
      </c>
      <c r="AA682" s="8">
        <f>RawSalesTable6[[#This Row],[Unit_Price]]*RawSalesTable6[[#This Row],[Quantity]]</f>
        <v>798.12</v>
      </c>
      <c r="AB682" s="8">
        <f>RawSalesTable6[[#This Row],[Gross_Sales]]*RawSalesTable6[[#This Row],[Discount_Pct]]</f>
        <v>0</v>
      </c>
      <c r="AC682" s="8">
        <f>RawSalesTable6[[#This Row],[Gross_Sales]]-RawSalesTable6[[#This Row],[Discount_Amount]]</f>
        <v>798.12</v>
      </c>
      <c r="AD682" s="8">
        <f>RawSalesTable6[[#This Row],[Unit_Cost]]*RawSalesTable6[[#This Row],[Quantity]]</f>
        <v>471.52</v>
      </c>
      <c r="AE682" s="8">
        <f>RawSalesTable6[[#This Row],[Net_Sales]]-RawSalesTable6[[#This Row],[Total_Cost]]</f>
        <v>326.60000000000002</v>
      </c>
      <c r="AF682" s="9">
        <f>RawSalesTable6[[#This Row],[Profit]]/RawSalesTable6[[#This Row],[Net_Sales]]</f>
        <v>0.40921164737132265</v>
      </c>
      <c r="AG682" s="8">
        <f>YEAR(RawSalesTable6[[#This Row],[Order_Date]])</f>
        <v>2025</v>
      </c>
      <c r="AH682" s="8">
        <f>MONTH(RawSalesTable6[[#This Row],[Order_Date]])</f>
        <v>7</v>
      </c>
      <c r="AI682" s="8" t="str">
        <f>TEXT(RawSalesTable6[[#This Row],[Order_Date]],"mmmm")</f>
        <v>juillet</v>
      </c>
      <c r="AJ682" s="8" t="str">
        <f>IF(RawSalesTable6[[#This Row],[Month_Number]]&lt;=3,"Q1",IF(RawSalesTable6[[#This Row],[Month_Number]]&lt;=6,"Q2",IF(RawSalesTable6[[#This Row],[Month_Number]]&lt;=9,"Q3","Q4")))</f>
        <v>Q3</v>
      </c>
      <c r="AK682" s="8" t="str">
        <f>VLOOKUP(RawSalesTable6[[#This Row],[Customer_ID_Clean]],CustomersTable[],4,FALSE)</f>
        <v>Alberta</v>
      </c>
      <c r="AL682" s="8">
        <f>IF(RawSalesTable6[[#This Row],[Return_Status]]="Yes",1,0)</f>
        <v>0</v>
      </c>
    </row>
    <row r="683" spans="1:38">
      <c r="A683" t="s">
        <v>1133</v>
      </c>
      <c r="B683" s="3">
        <v>45870</v>
      </c>
      <c r="C683" t="s">
        <v>225</v>
      </c>
      <c r="D683" t="s">
        <v>114</v>
      </c>
      <c r="E683" t="s">
        <v>227</v>
      </c>
      <c r="F683" t="s">
        <v>87</v>
      </c>
      <c r="G683" t="s">
        <v>88</v>
      </c>
      <c r="H683" t="s">
        <v>97</v>
      </c>
      <c r="I683">
        <v>1</v>
      </c>
      <c r="J683" s="2">
        <v>144.43</v>
      </c>
      <c r="K683" s="4">
        <v>0.15</v>
      </c>
      <c r="L683" t="s">
        <v>90</v>
      </c>
      <c r="M683">
        <v>4</v>
      </c>
      <c r="N683" t="s">
        <v>91</v>
      </c>
      <c r="O683" t="str">
        <f>SUBSTITUTE(PROPER(TRIM(RawSalesTable6[[#This Row],[Channel_Raw]])),"Market Place","Marketplace")</f>
        <v>Retail Store</v>
      </c>
      <c r="P683" t="str">
        <f>TRIM(RawSalesTable6[[#This Row],[Product_ID]])</f>
        <v>P1034</v>
      </c>
      <c r="Q683" t="str">
        <f>TRIM(RawSalesTable6[[#This Row],[Customer_ID]])</f>
        <v>C0110</v>
      </c>
      <c r="R683" s="8" t="str">
        <f>PROPER(TRIM(RawSalesTable6[[#This Row],[Store_Raw]]))</f>
        <v>Online Fulfillment</v>
      </c>
      <c r="S683" s="8" t="str">
        <f>IF(TRIM(RawSalesTable6[[#This Row],[Payment_Method_Raw]])="","Non renseigné",SUBSTITUTE(PROPER(TRIM(RawSalesTable6[[#This Row],[Payment_Method_Raw]])),"Cc","Credit Card"))</f>
        <v>Paypal</v>
      </c>
      <c r="T683" s="8">
        <f>COUNTIF(A:A,RawSalesTable6[[#This Row],[Order_ID]])</f>
        <v>1</v>
      </c>
      <c r="U683" s="8" t="str">
        <f>TRIM(LEFT(RawSalesTable6[[#This Row],[Customer_Info]],FIND(",",RawSalesTable6[[#This Row],[Customer_Info]])-1))</f>
        <v>Sarah Smith</v>
      </c>
      <c r="V683" s="8" t="str">
        <f>TRIM(MID(RawSalesTable6[[#This Row],[Customer_Info]],FIND(",",RawSalesTable6[[#This Row],[Customer_Info]])+1,FIND(",",RawSalesTable6[[#This Row],[Customer_Info]],FIND(",",RawSalesTable6[[#This Row],[Customer_Info]])+1)-FIND(",",RawSalesTable6[[#This Row],[Customer_Info]])-1))</f>
        <v>Laval</v>
      </c>
      <c r="W683" s="8" t="str">
        <f>TRIM(RIGHT(RawSalesTable6[[#This Row],[Customer_Info]],LEN(RawSalesTable6[[#This Row],[Customer_Info]])-FIND(",",RawSalesTable6[[#This Row],[Customer_Info]],FIND(",",RawSalesTable6[[#This Row],[Customer_Info]])+1)))</f>
        <v>Consumer</v>
      </c>
      <c r="X683" s="8" t="str">
        <f>VLOOKUP(RawSalesTable6[[#This Row],[Product_ID_Clean]],ProductsTable[],2,FALSE)</f>
        <v>Laptop Sleeve</v>
      </c>
      <c r="Y683" s="8" t="str">
        <f>VLOOKUP(RawSalesTable6[[#This Row],[Product_ID_Clean]],ProductsTable[],3,FALSE)</f>
        <v>Accessories</v>
      </c>
      <c r="Z683" s="8">
        <f>VLOOKUP(RawSalesTable6[[#This Row],[Product_ID_Clean]],ProductsTable[],5,FALSE)</f>
        <v>78.95</v>
      </c>
      <c r="AA683" s="8">
        <f>RawSalesTable6[[#This Row],[Unit_Price]]*RawSalesTable6[[#This Row],[Quantity]]</f>
        <v>144.43</v>
      </c>
      <c r="AB683" s="8">
        <f>RawSalesTable6[[#This Row],[Gross_Sales]]*RawSalesTable6[[#This Row],[Discount_Pct]]</f>
        <v>21.6645</v>
      </c>
      <c r="AC683" s="8">
        <f>RawSalesTable6[[#This Row],[Gross_Sales]]-RawSalesTable6[[#This Row],[Discount_Amount]]</f>
        <v>122.7655</v>
      </c>
      <c r="AD683" s="8">
        <f>RawSalesTable6[[#This Row],[Unit_Cost]]*RawSalesTable6[[#This Row],[Quantity]]</f>
        <v>78.95</v>
      </c>
      <c r="AE683" s="8">
        <f>RawSalesTable6[[#This Row],[Net_Sales]]-RawSalesTable6[[#This Row],[Total_Cost]]</f>
        <v>43.8155</v>
      </c>
      <c r="AF683" s="9">
        <f>RawSalesTable6[[#This Row],[Profit]]/RawSalesTable6[[#This Row],[Net_Sales]]</f>
        <v>0.35690401619347456</v>
      </c>
      <c r="AG683" s="8">
        <f>YEAR(RawSalesTable6[[#This Row],[Order_Date]])</f>
        <v>2025</v>
      </c>
      <c r="AH683" s="8">
        <f>MONTH(RawSalesTable6[[#This Row],[Order_Date]])</f>
        <v>8</v>
      </c>
      <c r="AI683" s="8" t="str">
        <f>TEXT(RawSalesTable6[[#This Row],[Order_Date]],"mmmm")</f>
        <v>août</v>
      </c>
      <c r="AJ683" s="8" t="str">
        <f>IF(RawSalesTable6[[#This Row],[Month_Number]]&lt;=3,"Q1",IF(RawSalesTable6[[#This Row],[Month_Number]]&lt;=6,"Q2",IF(RawSalesTable6[[#This Row],[Month_Number]]&lt;=9,"Q3","Q4")))</f>
        <v>Q3</v>
      </c>
      <c r="AK683" s="8" t="str">
        <f>VLOOKUP(RawSalesTable6[[#This Row],[Customer_ID_Clean]],CustomersTable[],4,FALSE)</f>
        <v>Quebec</v>
      </c>
      <c r="AL683" s="8">
        <f>IF(RawSalesTable6[[#This Row],[Return_Status]]="Yes",1,0)</f>
        <v>0</v>
      </c>
    </row>
    <row r="684" spans="1:38">
      <c r="A684" t="s">
        <v>1134</v>
      </c>
      <c r="B684" s="3">
        <v>45988</v>
      </c>
      <c r="C684" t="s">
        <v>203</v>
      </c>
      <c r="D684" t="s">
        <v>101</v>
      </c>
      <c r="E684" t="s">
        <v>573</v>
      </c>
      <c r="F684" t="s">
        <v>87</v>
      </c>
      <c r="G684" t="s">
        <v>130</v>
      </c>
      <c r="H684" t="s">
        <v>228</v>
      </c>
      <c r="I684">
        <v>3</v>
      </c>
      <c r="J684" s="2">
        <v>308.36</v>
      </c>
      <c r="K684" s="4">
        <v>0.1</v>
      </c>
      <c r="L684" t="s">
        <v>106</v>
      </c>
      <c r="M684">
        <v>8</v>
      </c>
      <c r="N684" t="s">
        <v>91</v>
      </c>
      <c r="O684" t="str">
        <f>SUBSTITUTE(PROPER(TRIM(RawSalesTable6[[#This Row],[Channel_Raw]])),"Market Place","Marketplace")</f>
        <v>Online</v>
      </c>
      <c r="P684" t="str">
        <f>TRIM(RawSalesTable6[[#This Row],[Product_ID]])</f>
        <v>P1021</v>
      </c>
      <c r="Q684" t="str">
        <f>TRIM(RawSalesTable6[[#This Row],[Customer_ID]])</f>
        <v>C0029</v>
      </c>
      <c r="R684" s="8" t="str">
        <f>PROPER(TRIM(RawSalesTable6[[#This Row],[Store_Raw]]))</f>
        <v>Online Fulfillment</v>
      </c>
      <c r="S684" s="8" t="str">
        <f>IF(TRIM(RawSalesTable6[[#This Row],[Payment_Method_Raw]])="","Non renseigné",SUBSTITUTE(PROPER(TRIM(RawSalesTable6[[#This Row],[Payment_Method_Raw]])),"Cc","Credit Card"))</f>
        <v>Credit Card</v>
      </c>
      <c r="T684" s="8">
        <f>COUNTIF(A:A,RawSalesTable6[[#This Row],[Order_ID]])</f>
        <v>1</v>
      </c>
      <c r="U684" s="8" t="str">
        <f>TRIM(LEFT(RawSalesTable6[[#This Row],[Customer_Info]],FIND(",",RawSalesTable6[[#This Row],[Customer_Info]])-1))</f>
        <v>Olivia White</v>
      </c>
      <c r="V684" s="8" t="str">
        <f>TRIM(MID(RawSalesTable6[[#This Row],[Customer_Info]],FIND(",",RawSalesTable6[[#This Row],[Customer_Info]])+1,FIND(",",RawSalesTable6[[#This Row],[Customer_Info]],FIND(",",RawSalesTable6[[#This Row],[Customer_Info]])+1)-FIND(",",RawSalesTable6[[#This Row],[Customer_Info]])-1))</f>
        <v>Victoria</v>
      </c>
      <c r="W684" s="8" t="str">
        <f>TRIM(RIGHT(RawSalesTable6[[#This Row],[Customer_Info]],LEN(RawSalesTable6[[#This Row],[Customer_Info]])-FIND(",",RawSalesTable6[[#This Row],[Customer_Info]],FIND(",",RawSalesTable6[[#This Row],[Customer_Info]])+1)))</f>
        <v>Consumer</v>
      </c>
      <c r="X684" s="8" t="str">
        <f>VLOOKUP(RawSalesTable6[[#This Row],[Product_ID_Clean]],ProductsTable[],2,FALSE)</f>
        <v>Kettle</v>
      </c>
      <c r="Y684" s="8" t="str">
        <f>VLOOKUP(RawSalesTable6[[#This Row],[Product_ID_Clean]],ProductsTable[],3,FALSE)</f>
        <v>Home</v>
      </c>
      <c r="Z684" s="8">
        <f>VLOOKUP(RawSalesTable6[[#This Row],[Product_ID_Clean]],ProductsTable[],5,FALSE)</f>
        <v>139.86000000000001</v>
      </c>
      <c r="AA684" s="8">
        <f>RawSalesTable6[[#This Row],[Unit_Price]]*RawSalesTable6[[#This Row],[Quantity]]</f>
        <v>925.08</v>
      </c>
      <c r="AB684" s="8">
        <f>RawSalesTable6[[#This Row],[Gross_Sales]]*RawSalesTable6[[#This Row],[Discount_Pct]]</f>
        <v>92.50800000000001</v>
      </c>
      <c r="AC684" s="8">
        <f>RawSalesTable6[[#This Row],[Gross_Sales]]-RawSalesTable6[[#This Row],[Discount_Amount]]</f>
        <v>832.572</v>
      </c>
      <c r="AD684" s="8">
        <f>RawSalesTable6[[#This Row],[Unit_Cost]]*RawSalesTable6[[#This Row],[Quantity]]</f>
        <v>419.58000000000004</v>
      </c>
      <c r="AE684" s="8">
        <f>RawSalesTable6[[#This Row],[Net_Sales]]-RawSalesTable6[[#This Row],[Total_Cost]]</f>
        <v>412.99199999999996</v>
      </c>
      <c r="AF684" s="9">
        <f>RawSalesTable6[[#This Row],[Profit]]/RawSalesTable6[[#This Row],[Net_Sales]]</f>
        <v>0.49604358541963933</v>
      </c>
      <c r="AG684" s="8">
        <f>YEAR(RawSalesTable6[[#This Row],[Order_Date]])</f>
        <v>2025</v>
      </c>
      <c r="AH684" s="8">
        <f>MONTH(RawSalesTable6[[#This Row],[Order_Date]])</f>
        <v>11</v>
      </c>
      <c r="AI684" s="8" t="str">
        <f>TEXT(RawSalesTable6[[#This Row],[Order_Date]],"mmmm")</f>
        <v>novembre</v>
      </c>
      <c r="AJ684" s="8" t="str">
        <f>IF(RawSalesTable6[[#This Row],[Month_Number]]&lt;=3,"Q1",IF(RawSalesTable6[[#This Row],[Month_Number]]&lt;=6,"Q2",IF(RawSalesTable6[[#This Row],[Month_Number]]&lt;=9,"Q3","Q4")))</f>
        <v>Q4</v>
      </c>
      <c r="AK684" s="8" t="str">
        <f>VLOOKUP(RawSalesTable6[[#This Row],[Customer_ID_Clean]],CustomersTable[],4,FALSE)</f>
        <v>British Columbia</v>
      </c>
      <c r="AL684" s="8">
        <f>IF(RawSalesTable6[[#This Row],[Return_Status]]="Yes",1,0)</f>
        <v>0</v>
      </c>
    </row>
    <row r="685" spans="1:38">
      <c r="A685" t="s">
        <v>1135</v>
      </c>
      <c r="B685" s="3">
        <v>45984</v>
      </c>
      <c r="C685" t="s">
        <v>248</v>
      </c>
      <c r="D685" t="s">
        <v>255</v>
      </c>
      <c r="E685" t="s">
        <v>250</v>
      </c>
      <c r="F685" t="s">
        <v>103</v>
      </c>
      <c r="G685" t="s">
        <v>183</v>
      </c>
      <c r="H685" t="s">
        <v>97</v>
      </c>
      <c r="I685">
        <v>1</v>
      </c>
      <c r="J685" s="2">
        <v>229.18</v>
      </c>
      <c r="K685" s="4">
        <v>0.25</v>
      </c>
      <c r="L685" t="s">
        <v>106</v>
      </c>
      <c r="M685">
        <v>0</v>
      </c>
      <c r="N685" t="s">
        <v>91</v>
      </c>
      <c r="O685" t="str">
        <f>SUBSTITUTE(PROPER(TRIM(RawSalesTable6[[#This Row],[Channel_Raw]])),"Market Place","Marketplace")</f>
        <v>Retail Store</v>
      </c>
      <c r="P685" t="str">
        <f>TRIM(RawSalesTable6[[#This Row],[Product_ID]])</f>
        <v>P1014</v>
      </c>
      <c r="Q685" t="str">
        <f>TRIM(RawSalesTable6[[#This Row],[Customer_ID]])</f>
        <v>C0012</v>
      </c>
      <c r="R685" s="8" t="str">
        <f>PROPER(TRIM(RawSalesTable6[[#This Row],[Store_Raw]]))</f>
        <v>Vancouver West</v>
      </c>
      <c r="S685" s="8" t="str">
        <f>IF(TRIM(RawSalesTable6[[#This Row],[Payment_Method_Raw]])="","Non renseigné",SUBSTITUTE(PROPER(TRIM(RawSalesTable6[[#This Row],[Payment_Method_Raw]])),"Cc","Credit Card"))</f>
        <v>Credit Card</v>
      </c>
      <c r="T685" s="8">
        <f>COUNTIF(A:A,RawSalesTable6[[#This Row],[Order_ID]])</f>
        <v>1</v>
      </c>
      <c r="U685" s="8" t="str">
        <f>TRIM(LEFT(RawSalesTable6[[#This Row],[Customer_Info]],FIND(",",RawSalesTable6[[#This Row],[Customer_Info]])-1))</f>
        <v>Daniel Taylor</v>
      </c>
      <c r="V685" s="8" t="str">
        <f>TRIM(MID(RawSalesTable6[[#This Row],[Customer_Info]],FIND(",",RawSalesTable6[[#This Row],[Customer_Info]])+1,FIND(",",RawSalesTable6[[#This Row],[Customer_Info]],FIND(",",RawSalesTable6[[#This Row],[Customer_Info]])+1)-FIND(",",RawSalesTable6[[#This Row],[Customer_Info]])-1))</f>
        <v>Victoria</v>
      </c>
      <c r="W685" s="8" t="str">
        <f>TRIM(RIGHT(RawSalesTable6[[#This Row],[Customer_Info]],LEN(RawSalesTable6[[#This Row],[Customer_Info]])-FIND(",",RawSalesTable6[[#This Row],[Customer_Info]],FIND(",",RawSalesTable6[[#This Row],[Customer_Info]])+1)))</f>
        <v>Corporate</v>
      </c>
      <c r="X685" s="8" t="str">
        <f>VLOOKUP(RawSalesTable6[[#This Row],[Product_ID_Clean]],ProductsTable[],2,FALSE)</f>
        <v>Document Shredder</v>
      </c>
      <c r="Y685" s="8" t="str">
        <f>VLOOKUP(RawSalesTable6[[#This Row],[Product_ID_Clean]],ProductsTable[],3,FALSE)</f>
        <v>Office</v>
      </c>
      <c r="Z685" s="8">
        <f>VLOOKUP(RawSalesTable6[[#This Row],[Product_ID_Clean]],ProductsTable[],5,FALSE)</f>
        <v>117.65</v>
      </c>
      <c r="AA685" s="8">
        <f>RawSalesTable6[[#This Row],[Unit_Price]]*RawSalesTable6[[#This Row],[Quantity]]</f>
        <v>229.18</v>
      </c>
      <c r="AB685" s="8">
        <f>RawSalesTable6[[#This Row],[Gross_Sales]]*RawSalesTable6[[#This Row],[Discount_Pct]]</f>
        <v>57.295000000000002</v>
      </c>
      <c r="AC685" s="8">
        <f>RawSalesTable6[[#This Row],[Gross_Sales]]-RawSalesTable6[[#This Row],[Discount_Amount]]</f>
        <v>171.88499999999999</v>
      </c>
      <c r="AD685" s="8">
        <f>RawSalesTable6[[#This Row],[Unit_Cost]]*RawSalesTable6[[#This Row],[Quantity]]</f>
        <v>117.65</v>
      </c>
      <c r="AE685" s="8">
        <f>RawSalesTable6[[#This Row],[Net_Sales]]-RawSalesTable6[[#This Row],[Total_Cost]]</f>
        <v>54.234999999999985</v>
      </c>
      <c r="AF685" s="9">
        <f>RawSalesTable6[[#This Row],[Profit]]/RawSalesTable6[[#This Row],[Net_Sales]]</f>
        <v>0.31553073275736676</v>
      </c>
      <c r="AG685" s="8">
        <f>YEAR(RawSalesTable6[[#This Row],[Order_Date]])</f>
        <v>2025</v>
      </c>
      <c r="AH685" s="8">
        <f>MONTH(RawSalesTable6[[#This Row],[Order_Date]])</f>
        <v>11</v>
      </c>
      <c r="AI685" s="8" t="str">
        <f>TEXT(RawSalesTable6[[#This Row],[Order_Date]],"mmmm")</f>
        <v>novembre</v>
      </c>
      <c r="AJ685" s="8" t="str">
        <f>IF(RawSalesTable6[[#This Row],[Month_Number]]&lt;=3,"Q1",IF(RawSalesTable6[[#This Row],[Month_Number]]&lt;=6,"Q2",IF(RawSalesTable6[[#This Row],[Month_Number]]&lt;=9,"Q3","Q4")))</f>
        <v>Q4</v>
      </c>
      <c r="AK685" s="8" t="str">
        <f>VLOOKUP(RawSalesTable6[[#This Row],[Customer_ID_Clean]],CustomersTable[],4,FALSE)</f>
        <v>British Columbia</v>
      </c>
      <c r="AL685" s="8">
        <f>IF(RawSalesTable6[[#This Row],[Return_Status]]="Yes",1,0)</f>
        <v>0</v>
      </c>
    </row>
    <row r="686" spans="1:38">
      <c r="A686" t="s">
        <v>1136</v>
      </c>
      <c r="B686" s="3">
        <v>45735</v>
      </c>
      <c r="C686" t="s">
        <v>322</v>
      </c>
      <c r="D686" t="s">
        <v>252</v>
      </c>
      <c r="E686" t="s">
        <v>470</v>
      </c>
      <c r="F686" t="s">
        <v>145</v>
      </c>
      <c r="G686" t="s">
        <v>183</v>
      </c>
      <c r="H686" t="s">
        <v>105</v>
      </c>
      <c r="I686">
        <v>1</v>
      </c>
      <c r="J686" s="2">
        <v>280.38</v>
      </c>
      <c r="K686" s="4">
        <v>0.25</v>
      </c>
      <c r="L686" t="s">
        <v>98</v>
      </c>
      <c r="M686">
        <v>2</v>
      </c>
      <c r="N686" t="s">
        <v>147</v>
      </c>
      <c r="O686" t="str">
        <f>SUBSTITUTE(PROPER(TRIM(RawSalesTable6[[#This Row],[Channel_Raw]])),"Market Place","Marketplace")</f>
        <v>Marketplace</v>
      </c>
      <c r="P686" t="str">
        <f>TRIM(RawSalesTable6[[#This Row],[Product_ID]])</f>
        <v>P1019</v>
      </c>
      <c r="Q686" t="str">
        <f>TRIM(RawSalesTable6[[#This Row],[Customer_ID]])</f>
        <v>C0119</v>
      </c>
      <c r="R686" s="8" t="str">
        <f>PROPER(TRIM(RawSalesTable6[[#This Row],[Store_Raw]]))</f>
        <v>Calgary North</v>
      </c>
      <c r="S686" s="8" t="str">
        <f>IF(TRIM(RawSalesTable6[[#This Row],[Payment_Method_Raw]])="","Non renseigné",SUBSTITUTE(PROPER(TRIM(RawSalesTable6[[#This Row],[Payment_Method_Raw]])),"Cc","Credit Card"))</f>
        <v>Debit Card</v>
      </c>
      <c r="T686" s="8">
        <f>COUNTIF(A:A,RawSalesTable6[[#This Row],[Order_ID]])</f>
        <v>1</v>
      </c>
      <c r="U686" s="8" t="str">
        <f>TRIM(LEFT(RawSalesTable6[[#This Row],[Customer_Info]],FIND(",",RawSalesTable6[[#This Row],[Customer_Info]])-1))</f>
        <v>Liam Chen</v>
      </c>
      <c r="V686" s="8" t="str">
        <f>TRIM(MID(RawSalesTable6[[#This Row],[Customer_Info]],FIND(",",RawSalesTable6[[#This Row],[Customer_Info]])+1,FIND(",",RawSalesTable6[[#This Row],[Customer_Info]],FIND(",",RawSalesTable6[[#This Row],[Customer_Info]])+1)-FIND(",",RawSalesTable6[[#This Row],[Customer_Info]])-1))</f>
        <v>Winnipeg</v>
      </c>
      <c r="W686" s="8" t="str">
        <f>TRIM(RIGHT(RawSalesTable6[[#This Row],[Customer_Info]],LEN(RawSalesTable6[[#This Row],[Customer_Info]])-FIND(",",RawSalesTable6[[#This Row],[Customer_Info]],FIND(",",RawSalesTable6[[#This Row],[Customer_Info]])+1)))</f>
        <v>Consumer</v>
      </c>
      <c r="X686" s="8" t="str">
        <f>VLOOKUP(RawSalesTable6[[#This Row],[Product_ID_Clean]],ProductsTable[],2,FALSE)</f>
        <v>Vacuum</v>
      </c>
      <c r="Y686" s="8" t="str">
        <f>VLOOKUP(RawSalesTable6[[#This Row],[Product_ID_Clean]],ProductsTable[],3,FALSE)</f>
        <v>Home</v>
      </c>
      <c r="Z686" s="8">
        <f>VLOOKUP(RawSalesTable6[[#This Row],[Product_ID_Clean]],ProductsTable[],5,FALSE)</f>
        <v>186.94</v>
      </c>
      <c r="AA686" s="8">
        <f>RawSalesTable6[[#This Row],[Unit_Price]]*RawSalesTable6[[#This Row],[Quantity]]</f>
        <v>280.38</v>
      </c>
      <c r="AB686" s="8">
        <f>RawSalesTable6[[#This Row],[Gross_Sales]]*RawSalesTable6[[#This Row],[Discount_Pct]]</f>
        <v>70.094999999999999</v>
      </c>
      <c r="AC686" s="8">
        <f>RawSalesTable6[[#This Row],[Gross_Sales]]-RawSalesTable6[[#This Row],[Discount_Amount]]</f>
        <v>210.285</v>
      </c>
      <c r="AD686" s="8">
        <f>RawSalesTable6[[#This Row],[Unit_Cost]]*RawSalesTable6[[#This Row],[Quantity]]</f>
        <v>186.94</v>
      </c>
      <c r="AE686" s="8">
        <f>RawSalesTable6[[#This Row],[Net_Sales]]-RawSalesTable6[[#This Row],[Total_Cost]]</f>
        <v>23.344999999999999</v>
      </c>
      <c r="AF686" s="9">
        <f>RawSalesTable6[[#This Row],[Profit]]/RawSalesTable6[[#This Row],[Net_Sales]]</f>
        <v>0.11101600209239841</v>
      </c>
      <c r="AG686" s="8">
        <f>YEAR(RawSalesTable6[[#This Row],[Order_Date]])</f>
        <v>2025</v>
      </c>
      <c r="AH686" s="8">
        <f>MONTH(RawSalesTable6[[#This Row],[Order_Date]])</f>
        <v>3</v>
      </c>
      <c r="AI686" s="8" t="str">
        <f>TEXT(RawSalesTable6[[#This Row],[Order_Date]],"mmmm")</f>
        <v>mars</v>
      </c>
      <c r="AJ686" s="8" t="str">
        <f>IF(RawSalesTable6[[#This Row],[Month_Number]]&lt;=3,"Q1",IF(RawSalesTable6[[#This Row],[Month_Number]]&lt;=6,"Q2",IF(RawSalesTable6[[#This Row],[Month_Number]]&lt;=9,"Q3","Q4")))</f>
        <v>Q1</v>
      </c>
      <c r="AK686" s="8" t="str">
        <f>VLOOKUP(RawSalesTable6[[#This Row],[Customer_ID_Clean]],CustomersTable[],4,FALSE)</f>
        <v>Manitoba</v>
      </c>
      <c r="AL686" s="8">
        <f>IF(RawSalesTable6[[#This Row],[Return_Status]]="Yes",1,0)</f>
        <v>1</v>
      </c>
    </row>
    <row r="687" spans="1:38">
      <c r="A687" t="s">
        <v>1137</v>
      </c>
      <c r="B687" s="3">
        <v>45797</v>
      </c>
      <c r="C687" t="s">
        <v>239</v>
      </c>
      <c r="D687" t="s">
        <v>277</v>
      </c>
      <c r="E687" t="s">
        <v>240</v>
      </c>
      <c r="F687" t="s">
        <v>87</v>
      </c>
      <c r="G687" t="s">
        <v>88</v>
      </c>
      <c r="H687" t="s">
        <v>89</v>
      </c>
      <c r="I687">
        <v>2</v>
      </c>
      <c r="J687" s="2">
        <v>350.77</v>
      </c>
      <c r="K687" s="4">
        <v>0.1</v>
      </c>
      <c r="L687" t="s">
        <v>90</v>
      </c>
      <c r="M687">
        <v>9</v>
      </c>
      <c r="N687" t="s">
        <v>91</v>
      </c>
      <c r="O687" t="str">
        <f>SUBSTITUTE(PROPER(TRIM(RawSalesTable6[[#This Row],[Channel_Raw]])),"Market Place","Marketplace")</f>
        <v>Online</v>
      </c>
      <c r="P687" t="str">
        <f>TRIM(RawSalesTable6[[#This Row],[Product_ID]])</f>
        <v>P1001</v>
      </c>
      <c r="Q687" t="str">
        <f>TRIM(RawSalesTable6[[#This Row],[Customer_ID]])</f>
        <v>C0089</v>
      </c>
      <c r="R687" s="8" t="str">
        <f>PROPER(TRIM(RawSalesTable6[[#This Row],[Store_Raw]]))</f>
        <v>Online Fulfillment</v>
      </c>
      <c r="S687" s="8" t="str">
        <f>IF(TRIM(RawSalesTable6[[#This Row],[Payment_Method_Raw]])="","Non renseigné",SUBSTITUTE(PROPER(TRIM(RawSalesTable6[[#This Row],[Payment_Method_Raw]])),"Cc","Credit Card"))</f>
        <v>Paypal</v>
      </c>
      <c r="T687" s="8">
        <f>COUNTIF(A:A,RawSalesTable6[[#This Row],[Order_ID]])</f>
        <v>1</v>
      </c>
      <c r="U687" s="8" t="str">
        <f>TRIM(LEFT(RawSalesTable6[[#This Row],[Customer_Info]],FIND(",",RawSalesTable6[[#This Row],[Customer_Info]])-1))</f>
        <v>Lucas Martin</v>
      </c>
      <c r="V687" s="8" t="str">
        <f>TRIM(MID(RawSalesTable6[[#This Row],[Customer_Info]],FIND(",",RawSalesTable6[[#This Row],[Customer_Info]])+1,FIND(",",RawSalesTable6[[#This Row],[Customer_Info]],FIND(",",RawSalesTable6[[#This Row],[Customer_Info]])+1)-FIND(",",RawSalesTable6[[#This Row],[Customer_Info]])-1))</f>
        <v>Vancouver</v>
      </c>
      <c r="W687" s="8" t="str">
        <f>TRIM(RIGHT(RawSalesTable6[[#This Row],[Customer_Info]],LEN(RawSalesTable6[[#This Row],[Customer_Info]])-FIND(",",RawSalesTable6[[#This Row],[Customer_Info]],FIND(",",RawSalesTable6[[#This Row],[Customer_Info]])+1)))</f>
        <v>Consumer</v>
      </c>
      <c r="X687" s="8" t="str">
        <f>VLOOKUP(RawSalesTable6[[#This Row],[Product_ID_Clean]],ProductsTable[],2,FALSE)</f>
        <v>Headphones</v>
      </c>
      <c r="Y687" s="8" t="str">
        <f>VLOOKUP(RawSalesTable6[[#This Row],[Product_ID_Clean]],ProductsTable[],3,FALSE)</f>
        <v>Electronics</v>
      </c>
      <c r="Z687" s="8">
        <f>VLOOKUP(RawSalesTable6[[#This Row],[Product_ID_Clean]],ProductsTable[],5,FALSE)</f>
        <v>254.6</v>
      </c>
      <c r="AA687" s="8">
        <f>RawSalesTable6[[#This Row],[Unit_Price]]*RawSalesTable6[[#This Row],[Quantity]]</f>
        <v>701.54</v>
      </c>
      <c r="AB687" s="8">
        <f>RawSalesTable6[[#This Row],[Gross_Sales]]*RawSalesTable6[[#This Row],[Discount_Pct]]</f>
        <v>70.153999999999996</v>
      </c>
      <c r="AC687" s="8">
        <f>RawSalesTable6[[#This Row],[Gross_Sales]]-RawSalesTable6[[#This Row],[Discount_Amount]]</f>
        <v>631.38599999999997</v>
      </c>
      <c r="AD687" s="8">
        <f>RawSalesTable6[[#This Row],[Unit_Cost]]*RawSalesTable6[[#This Row],[Quantity]]</f>
        <v>509.2</v>
      </c>
      <c r="AE687" s="8">
        <f>RawSalesTable6[[#This Row],[Net_Sales]]-RawSalesTable6[[#This Row],[Total_Cost]]</f>
        <v>122.18599999999998</v>
      </c>
      <c r="AF687" s="9">
        <f>RawSalesTable6[[#This Row],[Profit]]/RawSalesTable6[[#This Row],[Net_Sales]]</f>
        <v>0.19352028711438007</v>
      </c>
      <c r="AG687" s="8">
        <f>YEAR(RawSalesTable6[[#This Row],[Order_Date]])</f>
        <v>2025</v>
      </c>
      <c r="AH687" s="8">
        <f>MONTH(RawSalesTable6[[#This Row],[Order_Date]])</f>
        <v>5</v>
      </c>
      <c r="AI687" s="8" t="str">
        <f>TEXT(RawSalesTable6[[#This Row],[Order_Date]],"mmmm")</f>
        <v>mai</v>
      </c>
      <c r="AJ687" s="8" t="str">
        <f>IF(RawSalesTable6[[#This Row],[Month_Number]]&lt;=3,"Q1",IF(RawSalesTable6[[#This Row],[Month_Number]]&lt;=6,"Q2",IF(RawSalesTable6[[#This Row],[Month_Number]]&lt;=9,"Q3","Q4")))</f>
        <v>Q2</v>
      </c>
      <c r="AK687" s="8" t="str">
        <f>VLOOKUP(RawSalesTable6[[#This Row],[Customer_ID_Clean]],CustomersTable[],4,FALSE)</f>
        <v>British Columbia</v>
      </c>
      <c r="AL687" s="8">
        <f>IF(RawSalesTable6[[#This Row],[Return_Status]]="Yes",1,0)</f>
        <v>0</v>
      </c>
    </row>
    <row r="688" spans="1:38">
      <c r="A688" t="s">
        <v>1138</v>
      </c>
      <c r="B688" s="3">
        <v>45956</v>
      </c>
      <c r="C688" t="s">
        <v>516</v>
      </c>
      <c r="D688" t="s">
        <v>346</v>
      </c>
      <c r="E688" t="s">
        <v>517</v>
      </c>
      <c r="F688" t="s">
        <v>111</v>
      </c>
      <c r="G688" t="s">
        <v>122</v>
      </c>
      <c r="H688" t="s">
        <v>89</v>
      </c>
      <c r="I688">
        <v>1</v>
      </c>
      <c r="J688" s="2">
        <v>240.35</v>
      </c>
      <c r="K688" s="4">
        <v>0</v>
      </c>
      <c r="L688" t="s">
        <v>106</v>
      </c>
      <c r="M688">
        <v>8</v>
      </c>
      <c r="N688" t="s">
        <v>91</v>
      </c>
      <c r="O688" t="str">
        <f>SUBSTITUTE(PROPER(TRIM(RawSalesTable6[[#This Row],[Channel_Raw]])),"Market Place","Marketplace")</f>
        <v>Online</v>
      </c>
      <c r="P688" t="str">
        <f>TRIM(RawSalesTable6[[#This Row],[Product_ID]])</f>
        <v>P1030</v>
      </c>
      <c r="Q688" t="str">
        <f>TRIM(RawSalesTable6[[#This Row],[Customer_ID]])</f>
        <v>C0120</v>
      </c>
      <c r="R688" s="8" t="str">
        <f>PROPER(TRIM(RawSalesTable6[[#This Row],[Store_Raw]]))</f>
        <v>Montreal Central</v>
      </c>
      <c r="S688" s="8" t="str">
        <f>IF(TRIM(RawSalesTable6[[#This Row],[Payment_Method_Raw]])="","Non renseigné",SUBSTITUTE(PROPER(TRIM(RawSalesTable6[[#This Row],[Payment_Method_Raw]])),"Cc","Credit Card"))</f>
        <v>Credit Card</v>
      </c>
      <c r="T688" s="8">
        <f>COUNTIF(A:A,RawSalesTable6[[#This Row],[Order_ID]])</f>
        <v>1</v>
      </c>
      <c r="U688" s="8" t="str">
        <f>TRIM(LEFT(RawSalesTable6[[#This Row],[Customer_Info]],FIND(",",RawSalesTable6[[#This Row],[Customer_Info]])-1))</f>
        <v>Ethan King</v>
      </c>
      <c r="V688" s="8" t="str">
        <f>TRIM(MID(RawSalesTable6[[#This Row],[Customer_Info]],FIND(",",RawSalesTable6[[#This Row],[Customer_Info]])+1,FIND(",",RawSalesTable6[[#This Row],[Customer_Info]],FIND(",",RawSalesTable6[[#This Row],[Customer_Info]])+1)-FIND(",",RawSalesTable6[[#This Row],[Customer_Info]])-1))</f>
        <v>Mississauga</v>
      </c>
      <c r="W688" s="8" t="str">
        <f>TRIM(RIGHT(RawSalesTable6[[#This Row],[Customer_Info]],LEN(RawSalesTable6[[#This Row],[Customer_Info]])-FIND(",",RawSalesTable6[[#This Row],[Customer_Info]],FIND(",",RawSalesTable6[[#This Row],[Customer_Info]])+1)))</f>
        <v>Small Business</v>
      </c>
      <c r="X688" s="8" t="str">
        <f>VLOOKUP(RawSalesTable6[[#This Row],[Product_ID_Clean]],ProductsTable[],2,FALSE)</f>
        <v>Pull-up Bar</v>
      </c>
      <c r="Y688" s="8" t="str">
        <f>VLOOKUP(RawSalesTable6[[#This Row],[Product_ID_Clean]],ProductsTable[],3,FALSE)</f>
        <v>Fitness</v>
      </c>
      <c r="Z688" s="8">
        <f>VLOOKUP(RawSalesTable6[[#This Row],[Product_ID_Clean]],ProductsTable[],5,FALSE)</f>
        <v>125.4</v>
      </c>
      <c r="AA688" s="8">
        <f>RawSalesTable6[[#This Row],[Unit_Price]]*RawSalesTable6[[#This Row],[Quantity]]</f>
        <v>240.35</v>
      </c>
      <c r="AB688" s="8">
        <f>RawSalesTable6[[#This Row],[Gross_Sales]]*RawSalesTable6[[#This Row],[Discount_Pct]]</f>
        <v>0</v>
      </c>
      <c r="AC688" s="8">
        <f>RawSalesTable6[[#This Row],[Gross_Sales]]-RawSalesTable6[[#This Row],[Discount_Amount]]</f>
        <v>240.35</v>
      </c>
      <c r="AD688" s="8">
        <f>RawSalesTable6[[#This Row],[Unit_Cost]]*RawSalesTable6[[#This Row],[Quantity]]</f>
        <v>125.4</v>
      </c>
      <c r="AE688" s="8">
        <f>RawSalesTable6[[#This Row],[Net_Sales]]-RawSalesTable6[[#This Row],[Total_Cost]]</f>
        <v>114.94999999999999</v>
      </c>
      <c r="AF688" s="9">
        <f>RawSalesTable6[[#This Row],[Profit]]/RawSalesTable6[[#This Row],[Net_Sales]]</f>
        <v>0.47826086956521735</v>
      </c>
      <c r="AG688" s="8">
        <f>YEAR(RawSalesTable6[[#This Row],[Order_Date]])</f>
        <v>2025</v>
      </c>
      <c r="AH688" s="8">
        <f>MONTH(RawSalesTable6[[#This Row],[Order_Date]])</f>
        <v>10</v>
      </c>
      <c r="AI688" s="8" t="str">
        <f>TEXT(RawSalesTable6[[#This Row],[Order_Date]],"mmmm")</f>
        <v>octobre</v>
      </c>
      <c r="AJ688" s="8" t="str">
        <f>IF(RawSalesTable6[[#This Row],[Month_Number]]&lt;=3,"Q1",IF(RawSalesTable6[[#This Row],[Month_Number]]&lt;=6,"Q2",IF(RawSalesTable6[[#This Row],[Month_Number]]&lt;=9,"Q3","Q4")))</f>
        <v>Q4</v>
      </c>
      <c r="AK688" s="8" t="str">
        <f>VLOOKUP(RawSalesTable6[[#This Row],[Customer_ID_Clean]],CustomersTable[],4,FALSE)</f>
        <v>Ontario</v>
      </c>
      <c r="AL688" s="8">
        <f>IF(RawSalesTable6[[#This Row],[Return_Status]]="Yes",1,0)</f>
        <v>0</v>
      </c>
    </row>
    <row r="689" spans="1:38">
      <c r="A689" t="s">
        <v>1139</v>
      </c>
      <c r="B689" s="3">
        <v>45691</v>
      </c>
      <c r="C689" t="s">
        <v>512</v>
      </c>
      <c r="D689" t="s">
        <v>143</v>
      </c>
      <c r="E689" t="s">
        <v>513</v>
      </c>
      <c r="F689" t="s">
        <v>111</v>
      </c>
      <c r="G689" t="s">
        <v>117</v>
      </c>
      <c r="H689" t="s">
        <v>89</v>
      </c>
      <c r="I689">
        <v>2</v>
      </c>
      <c r="J689" s="2">
        <v>261.43</v>
      </c>
      <c r="K689" s="4">
        <v>0.15</v>
      </c>
      <c r="L689" t="s">
        <v>106</v>
      </c>
      <c r="M689">
        <v>2</v>
      </c>
      <c r="N689" t="s">
        <v>91</v>
      </c>
      <c r="O689" t="str">
        <f>SUBSTITUTE(PROPER(TRIM(RawSalesTable6[[#This Row],[Channel_Raw]])),"Market Place","Marketplace")</f>
        <v>Online</v>
      </c>
      <c r="P689" t="str">
        <f>TRIM(RawSalesTable6[[#This Row],[Product_ID]])</f>
        <v>P1038</v>
      </c>
      <c r="Q689" t="str">
        <f>TRIM(RawSalesTable6[[#This Row],[Customer_ID]])</f>
        <v>C0082</v>
      </c>
      <c r="R689" s="8" t="str">
        <f>PROPER(TRIM(RawSalesTable6[[#This Row],[Store_Raw]]))</f>
        <v>Montreal Central</v>
      </c>
      <c r="S689" s="8" t="str">
        <f>IF(TRIM(RawSalesTable6[[#This Row],[Payment_Method_Raw]])="","Non renseigné",SUBSTITUTE(PROPER(TRIM(RawSalesTable6[[#This Row],[Payment_Method_Raw]])),"Cc","Credit Card"))</f>
        <v>Credit Card</v>
      </c>
      <c r="T689" s="8">
        <f>COUNTIF(A:A,RawSalesTable6[[#This Row],[Order_ID]])</f>
        <v>1</v>
      </c>
      <c r="U689" s="8" t="str">
        <f>TRIM(LEFT(RawSalesTable6[[#This Row],[Customer_Info]],FIND(",",RawSalesTable6[[#This Row],[Customer_Info]])-1))</f>
        <v>Ryan King</v>
      </c>
      <c r="V689" s="8" t="str">
        <f>TRIM(MID(RawSalesTable6[[#This Row],[Customer_Info]],FIND(",",RawSalesTable6[[#This Row],[Customer_Info]])+1,FIND(",",RawSalesTable6[[#This Row],[Customer_Info]],FIND(",",RawSalesTable6[[#This Row],[Customer_Info]])+1)-FIND(",",RawSalesTable6[[#This Row],[Customer_Info]])-1))</f>
        <v>Winnipeg</v>
      </c>
      <c r="W689" s="8" t="str">
        <f>TRIM(RIGHT(RawSalesTable6[[#This Row],[Customer_Info]],LEN(RawSalesTable6[[#This Row],[Customer_Info]])-FIND(",",RawSalesTable6[[#This Row],[Customer_Info]],FIND(",",RawSalesTable6[[#This Row],[Customer_Info]])+1)))</f>
        <v>Small Business</v>
      </c>
      <c r="X689" s="8" t="str">
        <f>VLOOKUP(RawSalesTable6[[#This Row],[Product_ID_Clean]],ProductsTable[],2,FALSE)</f>
        <v>Water Bottle</v>
      </c>
      <c r="Y689" s="8" t="str">
        <f>VLOOKUP(RawSalesTable6[[#This Row],[Product_ID_Clean]],ProductsTable[],3,FALSE)</f>
        <v>Accessories</v>
      </c>
      <c r="Z689" s="8">
        <f>VLOOKUP(RawSalesTable6[[#This Row],[Product_ID_Clean]],ProductsTable[],5,FALSE)</f>
        <v>119.16</v>
      </c>
      <c r="AA689" s="8">
        <f>RawSalesTable6[[#This Row],[Unit_Price]]*RawSalesTable6[[#This Row],[Quantity]]</f>
        <v>522.86</v>
      </c>
      <c r="AB689" s="8">
        <f>RawSalesTable6[[#This Row],[Gross_Sales]]*RawSalesTable6[[#This Row],[Discount_Pct]]</f>
        <v>78.429000000000002</v>
      </c>
      <c r="AC689" s="8">
        <f>RawSalesTable6[[#This Row],[Gross_Sales]]-RawSalesTable6[[#This Row],[Discount_Amount]]</f>
        <v>444.43100000000004</v>
      </c>
      <c r="AD689" s="8">
        <f>RawSalesTable6[[#This Row],[Unit_Cost]]*RawSalesTable6[[#This Row],[Quantity]]</f>
        <v>238.32</v>
      </c>
      <c r="AE689" s="8">
        <f>RawSalesTable6[[#This Row],[Net_Sales]]-RawSalesTable6[[#This Row],[Total_Cost]]</f>
        <v>206.11100000000005</v>
      </c>
      <c r="AF689" s="9">
        <f>RawSalesTable6[[#This Row],[Profit]]/RawSalesTable6[[#This Row],[Net_Sales]]</f>
        <v>0.46376377885431042</v>
      </c>
      <c r="AG689" s="8">
        <f>YEAR(RawSalesTable6[[#This Row],[Order_Date]])</f>
        <v>2025</v>
      </c>
      <c r="AH689" s="8">
        <f>MONTH(RawSalesTable6[[#This Row],[Order_Date]])</f>
        <v>2</v>
      </c>
      <c r="AI689" s="8" t="str">
        <f>TEXT(RawSalesTable6[[#This Row],[Order_Date]],"mmmm")</f>
        <v>février</v>
      </c>
      <c r="AJ689" s="8" t="str">
        <f>IF(RawSalesTable6[[#This Row],[Month_Number]]&lt;=3,"Q1",IF(RawSalesTable6[[#This Row],[Month_Number]]&lt;=6,"Q2",IF(RawSalesTable6[[#This Row],[Month_Number]]&lt;=9,"Q3","Q4")))</f>
        <v>Q1</v>
      </c>
      <c r="AK689" s="8" t="str">
        <f>VLOOKUP(RawSalesTable6[[#This Row],[Customer_ID_Clean]],CustomersTable[],4,FALSE)</f>
        <v>Manitoba</v>
      </c>
      <c r="AL689" s="8">
        <f>IF(RawSalesTable6[[#This Row],[Return_Status]]="Yes",1,0)</f>
        <v>0</v>
      </c>
    </row>
    <row r="690" spans="1:38">
      <c r="A690" t="s">
        <v>1140</v>
      </c>
      <c r="B690" s="3">
        <v>45833</v>
      </c>
      <c r="C690" t="s">
        <v>399</v>
      </c>
      <c r="D690" t="s">
        <v>252</v>
      </c>
      <c r="E690" t="s">
        <v>400</v>
      </c>
      <c r="F690" t="s">
        <v>87</v>
      </c>
      <c r="G690" t="s">
        <v>104</v>
      </c>
      <c r="H690" t="s">
        <v>97</v>
      </c>
      <c r="I690">
        <v>2</v>
      </c>
      <c r="J690" s="2">
        <v>279.02999999999997</v>
      </c>
      <c r="K690" s="4">
        <v>0.05</v>
      </c>
      <c r="L690" t="s">
        <v>106</v>
      </c>
      <c r="M690">
        <v>4</v>
      </c>
      <c r="N690" t="s">
        <v>91</v>
      </c>
      <c r="O690" t="str">
        <f>SUBSTITUTE(PROPER(TRIM(RawSalesTable6[[#This Row],[Channel_Raw]])),"Market Place","Marketplace")</f>
        <v>Retail Store</v>
      </c>
      <c r="P690" t="str">
        <f>TRIM(RawSalesTable6[[#This Row],[Product_ID]])</f>
        <v>P1019</v>
      </c>
      <c r="Q690" t="str">
        <f>TRIM(RawSalesTable6[[#This Row],[Customer_ID]])</f>
        <v>C0090</v>
      </c>
      <c r="R690" s="8" t="str">
        <f>PROPER(TRIM(RawSalesTable6[[#This Row],[Store_Raw]]))</f>
        <v>Online Fulfillment</v>
      </c>
      <c r="S690" s="8" t="str">
        <f>IF(TRIM(RawSalesTable6[[#This Row],[Payment_Method_Raw]])="","Non renseigné",SUBSTITUTE(PROPER(TRIM(RawSalesTable6[[#This Row],[Payment_Method_Raw]])),"Cc","Credit Card"))</f>
        <v>Credit Card</v>
      </c>
      <c r="T690" s="8">
        <f>COUNTIF(A:A,RawSalesTable6[[#This Row],[Order_ID]])</f>
        <v>1</v>
      </c>
      <c r="U690" s="8" t="str">
        <f>TRIM(LEFT(RawSalesTable6[[#This Row],[Customer_Info]],FIND(",",RawSalesTable6[[#This Row],[Customer_Info]])-1))</f>
        <v>Nora Young</v>
      </c>
      <c r="V690" s="8" t="str">
        <f>TRIM(MID(RawSalesTable6[[#This Row],[Customer_Info]],FIND(",",RawSalesTable6[[#This Row],[Customer_Info]])+1,FIND(",",RawSalesTable6[[#This Row],[Customer_Info]],FIND(",",RawSalesTable6[[#This Row],[Customer_Info]])+1)-FIND(",",RawSalesTable6[[#This Row],[Customer_Info]])-1))</f>
        <v>Montreal</v>
      </c>
      <c r="W690" s="8" t="str">
        <f>TRIM(RIGHT(RawSalesTable6[[#This Row],[Customer_Info]],LEN(RawSalesTable6[[#This Row],[Customer_Info]])-FIND(",",RawSalesTable6[[#This Row],[Customer_Info]],FIND(",",RawSalesTable6[[#This Row],[Customer_Info]])+1)))</f>
        <v>Small Business</v>
      </c>
      <c r="X690" s="8" t="str">
        <f>VLOOKUP(RawSalesTable6[[#This Row],[Product_ID_Clean]],ProductsTable[],2,FALSE)</f>
        <v>Vacuum</v>
      </c>
      <c r="Y690" s="8" t="str">
        <f>VLOOKUP(RawSalesTable6[[#This Row],[Product_ID_Clean]],ProductsTable[],3,FALSE)</f>
        <v>Home</v>
      </c>
      <c r="Z690" s="8">
        <f>VLOOKUP(RawSalesTable6[[#This Row],[Product_ID_Clean]],ProductsTable[],5,FALSE)</f>
        <v>186.94</v>
      </c>
      <c r="AA690" s="8">
        <f>RawSalesTable6[[#This Row],[Unit_Price]]*RawSalesTable6[[#This Row],[Quantity]]</f>
        <v>558.05999999999995</v>
      </c>
      <c r="AB690" s="8">
        <f>RawSalesTable6[[#This Row],[Gross_Sales]]*RawSalesTable6[[#This Row],[Discount_Pct]]</f>
        <v>27.902999999999999</v>
      </c>
      <c r="AC690" s="8">
        <f>RawSalesTable6[[#This Row],[Gross_Sales]]-RawSalesTable6[[#This Row],[Discount_Amount]]</f>
        <v>530.15699999999993</v>
      </c>
      <c r="AD690" s="8">
        <f>RawSalesTable6[[#This Row],[Unit_Cost]]*RawSalesTable6[[#This Row],[Quantity]]</f>
        <v>373.88</v>
      </c>
      <c r="AE690" s="8">
        <f>RawSalesTable6[[#This Row],[Net_Sales]]-RawSalesTable6[[#This Row],[Total_Cost]]</f>
        <v>156.27699999999993</v>
      </c>
      <c r="AF690" s="9">
        <f>RawSalesTable6[[#This Row],[Profit]]/RawSalesTable6[[#This Row],[Net_Sales]]</f>
        <v>0.29477494402601484</v>
      </c>
      <c r="AG690" s="8">
        <f>YEAR(RawSalesTable6[[#This Row],[Order_Date]])</f>
        <v>2025</v>
      </c>
      <c r="AH690" s="8">
        <f>MONTH(RawSalesTable6[[#This Row],[Order_Date]])</f>
        <v>6</v>
      </c>
      <c r="AI690" s="8" t="str">
        <f>TEXT(RawSalesTable6[[#This Row],[Order_Date]],"mmmm")</f>
        <v>juin</v>
      </c>
      <c r="AJ690" s="8" t="str">
        <f>IF(RawSalesTable6[[#This Row],[Month_Number]]&lt;=3,"Q1",IF(RawSalesTable6[[#This Row],[Month_Number]]&lt;=6,"Q2",IF(RawSalesTable6[[#This Row],[Month_Number]]&lt;=9,"Q3","Q4")))</f>
        <v>Q2</v>
      </c>
      <c r="AK690" s="8" t="str">
        <f>VLOOKUP(RawSalesTable6[[#This Row],[Customer_ID_Clean]],CustomersTable[],4,FALSE)</f>
        <v>Quebec</v>
      </c>
      <c r="AL690" s="8">
        <f>IF(RawSalesTable6[[#This Row],[Return_Status]]="Yes",1,0)</f>
        <v>0</v>
      </c>
    </row>
    <row r="691" spans="1:38">
      <c r="A691" t="s">
        <v>1141</v>
      </c>
      <c r="B691" s="3">
        <v>45768</v>
      </c>
      <c r="C691" t="s">
        <v>699</v>
      </c>
      <c r="D691" t="s">
        <v>323</v>
      </c>
      <c r="E691" t="s">
        <v>700</v>
      </c>
      <c r="F691" t="s">
        <v>103</v>
      </c>
      <c r="G691" t="s">
        <v>130</v>
      </c>
      <c r="H691" t="s">
        <v>105</v>
      </c>
      <c r="I691">
        <v>1</v>
      </c>
      <c r="J691" s="2">
        <v>312.32</v>
      </c>
      <c r="K691" s="4">
        <v>0.05</v>
      </c>
      <c r="L691" t="s">
        <v>106</v>
      </c>
      <c r="M691">
        <v>7</v>
      </c>
      <c r="N691" t="s">
        <v>91</v>
      </c>
      <c r="O691" t="str">
        <f>SUBSTITUTE(PROPER(TRIM(RawSalesTable6[[#This Row],[Channel_Raw]])),"Market Place","Marketplace")</f>
        <v>Marketplace</v>
      </c>
      <c r="P691" t="str">
        <f>TRIM(RawSalesTable6[[#This Row],[Product_ID]])</f>
        <v>P1023</v>
      </c>
      <c r="Q691" t="str">
        <f>TRIM(RawSalesTable6[[#This Row],[Customer_ID]])</f>
        <v>C0097</v>
      </c>
      <c r="R691" s="8" t="str">
        <f>PROPER(TRIM(RawSalesTable6[[#This Row],[Store_Raw]]))</f>
        <v>Vancouver West</v>
      </c>
      <c r="S691" s="8" t="str">
        <f>IF(TRIM(RawSalesTable6[[#This Row],[Payment_Method_Raw]])="","Non renseigné",SUBSTITUTE(PROPER(TRIM(RawSalesTable6[[#This Row],[Payment_Method_Raw]])),"Cc","Credit Card"))</f>
        <v>Credit Card</v>
      </c>
      <c r="T691" s="8">
        <f>COUNTIF(A:A,RawSalesTable6[[#This Row],[Order_ID]])</f>
        <v>1</v>
      </c>
      <c r="U691" s="8" t="str">
        <f>TRIM(LEFT(RawSalesTable6[[#This Row],[Customer_Info]],FIND(",",RawSalesTable6[[#This Row],[Customer_Info]])-1))</f>
        <v>Sarah Khan</v>
      </c>
      <c r="V691" s="8" t="str">
        <f>TRIM(MID(RawSalesTable6[[#This Row],[Customer_Info]],FIND(",",RawSalesTable6[[#This Row],[Customer_Info]])+1,FIND(",",RawSalesTable6[[#This Row],[Customer_Info]],FIND(",",RawSalesTable6[[#This Row],[Customer_Info]])+1)-FIND(",",RawSalesTable6[[#This Row],[Customer_Info]])-1))</f>
        <v>Montreal</v>
      </c>
      <c r="W691" s="8" t="str">
        <f>TRIM(RIGHT(RawSalesTable6[[#This Row],[Customer_Info]],LEN(RawSalesTable6[[#This Row],[Customer_Info]])-FIND(",",RawSalesTable6[[#This Row],[Customer_Info]],FIND(",",RawSalesTable6[[#This Row],[Customer_Info]])+1)))</f>
        <v>Consumer</v>
      </c>
      <c r="X691" s="8" t="str">
        <f>VLOOKUP(RawSalesTable6[[#This Row],[Product_ID_Clean]],ProductsTable[],2,FALSE)</f>
        <v>Toaster</v>
      </c>
      <c r="Y691" s="8" t="str">
        <f>VLOOKUP(RawSalesTable6[[#This Row],[Product_ID_Clean]],ProductsTable[],3,FALSE)</f>
        <v>Home</v>
      </c>
      <c r="Z691" s="8">
        <f>VLOOKUP(RawSalesTable6[[#This Row],[Product_ID_Clean]],ProductsTable[],5,FALSE)</f>
        <v>152.88</v>
      </c>
      <c r="AA691" s="8">
        <f>RawSalesTable6[[#This Row],[Unit_Price]]*RawSalesTable6[[#This Row],[Quantity]]</f>
        <v>312.32</v>
      </c>
      <c r="AB691" s="8">
        <f>RawSalesTable6[[#This Row],[Gross_Sales]]*RawSalesTable6[[#This Row],[Discount_Pct]]</f>
        <v>15.616</v>
      </c>
      <c r="AC691" s="8">
        <f>RawSalesTable6[[#This Row],[Gross_Sales]]-RawSalesTable6[[#This Row],[Discount_Amount]]</f>
        <v>296.70400000000001</v>
      </c>
      <c r="AD691" s="8">
        <f>RawSalesTable6[[#This Row],[Unit_Cost]]*RawSalesTable6[[#This Row],[Quantity]]</f>
        <v>152.88</v>
      </c>
      <c r="AE691" s="8">
        <f>RawSalesTable6[[#This Row],[Net_Sales]]-RawSalesTable6[[#This Row],[Total_Cost]]</f>
        <v>143.82400000000001</v>
      </c>
      <c r="AF691" s="9">
        <f>RawSalesTable6[[#This Row],[Profit]]/RawSalesTable6[[#This Row],[Net_Sales]]</f>
        <v>0.48473899913718727</v>
      </c>
      <c r="AG691" s="8">
        <f>YEAR(RawSalesTable6[[#This Row],[Order_Date]])</f>
        <v>2025</v>
      </c>
      <c r="AH691" s="8">
        <f>MONTH(RawSalesTable6[[#This Row],[Order_Date]])</f>
        <v>4</v>
      </c>
      <c r="AI691" s="8" t="str">
        <f>TEXT(RawSalesTable6[[#This Row],[Order_Date]],"mmmm")</f>
        <v>avril</v>
      </c>
      <c r="AJ691" s="8" t="str">
        <f>IF(RawSalesTable6[[#This Row],[Month_Number]]&lt;=3,"Q1",IF(RawSalesTable6[[#This Row],[Month_Number]]&lt;=6,"Q2",IF(RawSalesTable6[[#This Row],[Month_Number]]&lt;=9,"Q3","Q4")))</f>
        <v>Q2</v>
      </c>
      <c r="AK691" s="8" t="str">
        <f>VLOOKUP(RawSalesTable6[[#This Row],[Customer_ID_Clean]],CustomersTable[],4,FALSE)</f>
        <v>Quebec</v>
      </c>
      <c r="AL691" s="8">
        <f>IF(RawSalesTable6[[#This Row],[Return_Status]]="Yes",1,0)</f>
        <v>0</v>
      </c>
    </row>
    <row r="692" spans="1:38">
      <c r="A692" t="s">
        <v>1142</v>
      </c>
      <c r="B692" s="3">
        <v>45756</v>
      </c>
      <c r="C692" t="s">
        <v>414</v>
      </c>
      <c r="D692" t="s">
        <v>503</v>
      </c>
      <c r="E692" t="s">
        <v>415</v>
      </c>
      <c r="F692" t="s">
        <v>87</v>
      </c>
      <c r="G692" t="s">
        <v>183</v>
      </c>
      <c r="H692" t="s">
        <v>89</v>
      </c>
      <c r="I692">
        <v>2</v>
      </c>
      <c r="J692" s="2">
        <v>128.16</v>
      </c>
      <c r="K692" s="4">
        <v>0.15</v>
      </c>
      <c r="L692" t="s">
        <v>106</v>
      </c>
      <c r="M692">
        <v>1</v>
      </c>
      <c r="N692" t="s">
        <v>91</v>
      </c>
      <c r="O692" t="str">
        <f>SUBSTITUTE(PROPER(TRIM(RawSalesTable6[[#This Row],[Channel_Raw]])),"Market Place","Marketplace")</f>
        <v>Online</v>
      </c>
      <c r="P692" t="str">
        <f>TRIM(RawSalesTable6[[#This Row],[Product_ID]])</f>
        <v>P1013</v>
      </c>
      <c r="Q692" t="str">
        <f>TRIM(RawSalesTable6[[#This Row],[Customer_ID]])</f>
        <v>C0052</v>
      </c>
      <c r="R692" s="8" t="str">
        <f>PROPER(TRIM(RawSalesTable6[[#This Row],[Store_Raw]]))</f>
        <v>Online Fulfillment</v>
      </c>
      <c r="S692" s="8" t="str">
        <f>IF(TRIM(RawSalesTable6[[#This Row],[Payment_Method_Raw]])="","Non renseigné",SUBSTITUTE(PROPER(TRIM(RawSalesTable6[[#This Row],[Payment_Method_Raw]])),"Cc","Credit Card"))</f>
        <v>Credit Card</v>
      </c>
      <c r="T692" s="8">
        <f>COUNTIF(A:A,RawSalesTable6[[#This Row],[Order_ID]])</f>
        <v>1</v>
      </c>
      <c r="U692" s="8" t="str">
        <f>TRIM(LEFT(RawSalesTable6[[#This Row],[Customer_Info]],FIND(",",RawSalesTable6[[#This Row],[Customer_Info]])-1))</f>
        <v>Liam Bennett</v>
      </c>
      <c r="V692" s="8" t="str">
        <f>TRIM(MID(RawSalesTable6[[#This Row],[Customer_Info]],FIND(",",RawSalesTable6[[#This Row],[Customer_Info]])+1,FIND(",",RawSalesTable6[[#This Row],[Customer_Info]],FIND(",",RawSalesTable6[[#This Row],[Customer_Info]])+1)-FIND(",",RawSalesTable6[[#This Row],[Customer_Info]])-1))</f>
        <v>Edmonton</v>
      </c>
      <c r="W692" s="8" t="str">
        <f>TRIM(RIGHT(RawSalesTable6[[#This Row],[Customer_Info]],LEN(RawSalesTable6[[#This Row],[Customer_Info]])-FIND(",",RawSalesTable6[[#This Row],[Customer_Info]],FIND(",",RawSalesTable6[[#This Row],[Customer_Info]])+1)))</f>
        <v>Corporate</v>
      </c>
      <c r="X692" s="8" t="str">
        <f>VLOOKUP(RawSalesTable6[[#This Row],[Product_ID_Clean]],ProductsTable[],2,FALSE)</f>
        <v>Whiteboard</v>
      </c>
      <c r="Y692" s="8" t="str">
        <f>VLOOKUP(RawSalesTable6[[#This Row],[Product_ID_Clean]],ProductsTable[],3,FALSE)</f>
        <v>Office</v>
      </c>
      <c r="Z692" s="8">
        <f>VLOOKUP(RawSalesTable6[[#This Row],[Product_ID_Clean]],ProductsTable[],5,FALSE)</f>
        <v>85.73</v>
      </c>
      <c r="AA692" s="8">
        <f>RawSalesTable6[[#This Row],[Unit_Price]]*RawSalesTable6[[#This Row],[Quantity]]</f>
        <v>256.32</v>
      </c>
      <c r="AB692" s="8">
        <f>RawSalesTable6[[#This Row],[Gross_Sales]]*RawSalesTable6[[#This Row],[Discount_Pct]]</f>
        <v>38.448</v>
      </c>
      <c r="AC692" s="8">
        <f>RawSalesTable6[[#This Row],[Gross_Sales]]-RawSalesTable6[[#This Row],[Discount_Amount]]</f>
        <v>217.87199999999999</v>
      </c>
      <c r="AD692" s="8">
        <f>RawSalesTable6[[#This Row],[Unit_Cost]]*RawSalesTable6[[#This Row],[Quantity]]</f>
        <v>171.46</v>
      </c>
      <c r="AE692" s="8">
        <f>RawSalesTable6[[#This Row],[Net_Sales]]-RawSalesTable6[[#This Row],[Total_Cost]]</f>
        <v>46.411999999999978</v>
      </c>
      <c r="AF692" s="9">
        <f>RawSalesTable6[[#This Row],[Profit]]/RawSalesTable6[[#This Row],[Net_Sales]]</f>
        <v>0.21302416097525143</v>
      </c>
      <c r="AG692" s="8">
        <f>YEAR(RawSalesTable6[[#This Row],[Order_Date]])</f>
        <v>2025</v>
      </c>
      <c r="AH692" s="8">
        <f>MONTH(RawSalesTable6[[#This Row],[Order_Date]])</f>
        <v>4</v>
      </c>
      <c r="AI692" s="8" t="str">
        <f>TEXT(RawSalesTable6[[#This Row],[Order_Date]],"mmmm")</f>
        <v>avril</v>
      </c>
      <c r="AJ692" s="8" t="str">
        <f>IF(RawSalesTable6[[#This Row],[Month_Number]]&lt;=3,"Q1",IF(RawSalesTable6[[#This Row],[Month_Number]]&lt;=6,"Q2",IF(RawSalesTable6[[#This Row],[Month_Number]]&lt;=9,"Q3","Q4")))</f>
        <v>Q2</v>
      </c>
      <c r="AK692" s="8" t="str">
        <f>VLOOKUP(RawSalesTable6[[#This Row],[Customer_ID_Clean]],CustomersTable[],4,FALSE)</f>
        <v>Alberta</v>
      </c>
      <c r="AL692" s="8">
        <f>IF(RawSalesTable6[[#This Row],[Return_Status]]="Yes",1,0)</f>
        <v>0</v>
      </c>
    </row>
    <row r="693" spans="1:38">
      <c r="A693" t="s">
        <v>1143</v>
      </c>
      <c r="B693" s="3">
        <v>45796</v>
      </c>
      <c r="C693" t="s">
        <v>257</v>
      </c>
      <c r="D693" t="s">
        <v>181</v>
      </c>
      <c r="E693" t="s">
        <v>258</v>
      </c>
      <c r="F693" t="s">
        <v>145</v>
      </c>
      <c r="G693" t="s">
        <v>130</v>
      </c>
      <c r="H693" t="s">
        <v>89</v>
      </c>
      <c r="I693">
        <v>3</v>
      </c>
      <c r="J693" s="2">
        <v>367.91</v>
      </c>
      <c r="K693" s="4">
        <v>0</v>
      </c>
      <c r="L693" t="s">
        <v>106</v>
      </c>
      <c r="M693">
        <v>8</v>
      </c>
      <c r="N693" t="s">
        <v>91</v>
      </c>
      <c r="O693" t="str">
        <f>SUBSTITUTE(PROPER(TRIM(RawSalesTable6[[#This Row],[Channel_Raw]])),"Market Place","Marketplace")</f>
        <v>Online</v>
      </c>
      <c r="P693" t="str">
        <f>TRIM(RawSalesTable6[[#This Row],[Product_ID]])</f>
        <v>P1007</v>
      </c>
      <c r="Q693" t="str">
        <f>TRIM(RawSalesTable6[[#This Row],[Customer_ID]])</f>
        <v>C0068</v>
      </c>
      <c r="R693" s="8" t="str">
        <f>PROPER(TRIM(RawSalesTable6[[#This Row],[Store_Raw]]))</f>
        <v>Calgary North</v>
      </c>
      <c r="S693" s="8" t="str">
        <f>IF(TRIM(RawSalesTable6[[#This Row],[Payment_Method_Raw]])="","Non renseigné",SUBSTITUTE(PROPER(TRIM(RawSalesTable6[[#This Row],[Payment_Method_Raw]])),"Cc","Credit Card"))</f>
        <v>Credit Card</v>
      </c>
      <c r="T693" s="8">
        <f>COUNTIF(A:A,RawSalesTable6[[#This Row],[Order_ID]])</f>
        <v>1</v>
      </c>
      <c r="U693" s="8" t="str">
        <f>TRIM(LEFT(RawSalesTable6[[#This Row],[Customer_Info]],FIND(",",RawSalesTable6[[#This Row],[Customer_Info]])-1))</f>
        <v>Yasmine Martin</v>
      </c>
      <c r="V693" s="8" t="str">
        <f>TRIM(MID(RawSalesTable6[[#This Row],[Customer_Info]],FIND(",",RawSalesTable6[[#This Row],[Customer_Info]])+1,FIND(",",RawSalesTable6[[#This Row],[Customer_Info]],FIND(",",RawSalesTable6[[#This Row],[Customer_Info]])+1)-FIND(",",RawSalesTable6[[#This Row],[Customer_Info]])-1))</f>
        <v>Calgary</v>
      </c>
      <c r="W693" s="8" t="str">
        <f>TRIM(RIGHT(RawSalesTable6[[#This Row],[Customer_Info]],LEN(RawSalesTable6[[#This Row],[Customer_Info]])-FIND(",",RawSalesTable6[[#This Row],[Customer_Info]],FIND(",",RawSalesTable6[[#This Row],[Customer_Info]])+1)))</f>
        <v>Consumer</v>
      </c>
      <c r="X693" s="8" t="str">
        <f>VLOOKUP(RawSalesTable6[[#This Row],[Product_ID_Clean]],ProductsTable[],2,FALSE)</f>
        <v>Monitor</v>
      </c>
      <c r="Y693" s="8" t="str">
        <f>VLOOKUP(RawSalesTable6[[#This Row],[Product_ID_Clean]],ProductsTable[],3,FALSE)</f>
        <v>Electronics</v>
      </c>
      <c r="Z693" s="8">
        <f>VLOOKUP(RawSalesTable6[[#This Row],[Product_ID_Clean]],ProductsTable[],5,FALSE)</f>
        <v>224.47</v>
      </c>
      <c r="AA693" s="8">
        <f>RawSalesTable6[[#This Row],[Unit_Price]]*RawSalesTable6[[#This Row],[Quantity]]</f>
        <v>1103.73</v>
      </c>
      <c r="AB693" s="8">
        <f>RawSalesTable6[[#This Row],[Gross_Sales]]*RawSalesTable6[[#This Row],[Discount_Pct]]</f>
        <v>0</v>
      </c>
      <c r="AC693" s="8">
        <f>RawSalesTable6[[#This Row],[Gross_Sales]]-RawSalesTable6[[#This Row],[Discount_Amount]]</f>
        <v>1103.73</v>
      </c>
      <c r="AD693" s="8">
        <f>RawSalesTable6[[#This Row],[Unit_Cost]]*RawSalesTable6[[#This Row],[Quantity]]</f>
        <v>673.41</v>
      </c>
      <c r="AE693" s="8">
        <f>RawSalesTable6[[#This Row],[Net_Sales]]-RawSalesTable6[[#This Row],[Total_Cost]]</f>
        <v>430.32000000000005</v>
      </c>
      <c r="AF693" s="9">
        <f>RawSalesTable6[[#This Row],[Profit]]/RawSalesTable6[[#This Row],[Net_Sales]]</f>
        <v>0.38987795928352048</v>
      </c>
      <c r="AG693" s="8">
        <f>YEAR(RawSalesTable6[[#This Row],[Order_Date]])</f>
        <v>2025</v>
      </c>
      <c r="AH693" s="8">
        <f>MONTH(RawSalesTable6[[#This Row],[Order_Date]])</f>
        <v>5</v>
      </c>
      <c r="AI693" s="8" t="str">
        <f>TEXT(RawSalesTable6[[#This Row],[Order_Date]],"mmmm")</f>
        <v>mai</v>
      </c>
      <c r="AJ693" s="8" t="str">
        <f>IF(RawSalesTable6[[#This Row],[Month_Number]]&lt;=3,"Q1",IF(RawSalesTable6[[#This Row],[Month_Number]]&lt;=6,"Q2",IF(RawSalesTable6[[#This Row],[Month_Number]]&lt;=9,"Q3","Q4")))</f>
        <v>Q2</v>
      </c>
      <c r="AK693" s="8" t="str">
        <f>VLOOKUP(RawSalesTable6[[#This Row],[Customer_ID_Clean]],CustomersTable[],4,FALSE)</f>
        <v>Alberta</v>
      </c>
      <c r="AL693" s="8">
        <f>IF(RawSalesTable6[[#This Row],[Return_Status]]="Yes",1,0)</f>
        <v>0</v>
      </c>
    </row>
    <row r="694" spans="1:38">
      <c r="A694" t="s">
        <v>1144</v>
      </c>
      <c r="B694" s="3">
        <v>45875</v>
      </c>
      <c r="C694" t="s">
        <v>600</v>
      </c>
      <c r="D694" t="s">
        <v>165</v>
      </c>
      <c r="E694" t="s">
        <v>601</v>
      </c>
      <c r="F694" t="s">
        <v>145</v>
      </c>
      <c r="G694" t="s">
        <v>88</v>
      </c>
      <c r="H694" t="s">
        <v>97</v>
      </c>
      <c r="I694">
        <v>3</v>
      </c>
      <c r="J694" s="2">
        <v>103.07</v>
      </c>
      <c r="K694" s="4">
        <v>0.1</v>
      </c>
      <c r="L694" t="s">
        <v>90</v>
      </c>
      <c r="M694">
        <v>4</v>
      </c>
      <c r="N694" t="s">
        <v>91</v>
      </c>
      <c r="O694" t="str">
        <f>SUBSTITUTE(PROPER(TRIM(RawSalesTable6[[#This Row],[Channel_Raw]])),"Market Place","Marketplace")</f>
        <v>Retail Store</v>
      </c>
      <c r="P694" t="str">
        <f>TRIM(RawSalesTable6[[#This Row],[Product_ID]])</f>
        <v>P1024</v>
      </c>
      <c r="Q694" t="str">
        <f>TRIM(RawSalesTable6[[#This Row],[Customer_ID]])</f>
        <v>C0109</v>
      </c>
      <c r="R694" s="8" t="str">
        <f>PROPER(TRIM(RawSalesTable6[[#This Row],[Store_Raw]]))</f>
        <v>Calgary North</v>
      </c>
      <c r="S694" s="8" t="str">
        <f>IF(TRIM(RawSalesTable6[[#This Row],[Payment_Method_Raw]])="","Non renseigné",SUBSTITUTE(PROPER(TRIM(RawSalesTable6[[#This Row],[Payment_Method_Raw]])),"Cc","Credit Card"))</f>
        <v>Paypal</v>
      </c>
      <c r="T694" s="8">
        <f>COUNTIF(A:A,RawSalesTable6[[#This Row],[Order_ID]])</f>
        <v>1</v>
      </c>
      <c r="U694" s="8" t="str">
        <f>TRIM(LEFT(RawSalesTable6[[#This Row],[Customer_Info]],FIND(",",RawSalesTable6[[#This Row],[Customer_Info]])-1))</f>
        <v>Emma Wilson</v>
      </c>
      <c r="V694" s="8" t="str">
        <f>TRIM(MID(RawSalesTable6[[#This Row],[Customer_Info]],FIND(",",RawSalesTable6[[#This Row],[Customer_Info]])+1,FIND(",",RawSalesTable6[[#This Row],[Customer_Info]],FIND(",",RawSalesTable6[[#This Row],[Customer_Info]])+1)-FIND(",",RawSalesTable6[[#This Row],[Customer_Info]])-1))</f>
        <v>Victoria</v>
      </c>
      <c r="W694" s="8" t="str">
        <f>TRIM(RIGHT(RawSalesTable6[[#This Row],[Customer_Info]],LEN(RawSalesTable6[[#This Row],[Customer_Info]])-FIND(",",RawSalesTable6[[#This Row],[Customer_Info]],FIND(",",RawSalesTable6[[#This Row],[Customer_Info]])+1)))</f>
        <v>Consumer</v>
      </c>
      <c r="X694" s="8" t="str">
        <f>VLOOKUP(RawSalesTable6[[#This Row],[Product_ID_Clean]],ProductsTable[],2,FALSE)</f>
        <v>Food Scale</v>
      </c>
      <c r="Y694" s="8" t="str">
        <f>VLOOKUP(RawSalesTable6[[#This Row],[Product_ID_Clean]],ProductsTable[],3,FALSE)</f>
        <v>Home</v>
      </c>
      <c r="Z694" s="8">
        <f>VLOOKUP(RawSalesTable6[[#This Row],[Product_ID_Clean]],ProductsTable[],5,FALSE)</f>
        <v>46.07</v>
      </c>
      <c r="AA694" s="8">
        <f>RawSalesTable6[[#This Row],[Unit_Price]]*RawSalesTable6[[#This Row],[Quantity]]</f>
        <v>309.20999999999998</v>
      </c>
      <c r="AB694" s="8">
        <f>RawSalesTable6[[#This Row],[Gross_Sales]]*RawSalesTable6[[#This Row],[Discount_Pct]]</f>
        <v>30.920999999999999</v>
      </c>
      <c r="AC694" s="8">
        <f>RawSalesTable6[[#This Row],[Gross_Sales]]-RawSalesTable6[[#This Row],[Discount_Amount]]</f>
        <v>278.28899999999999</v>
      </c>
      <c r="AD694" s="8">
        <f>RawSalesTable6[[#This Row],[Unit_Cost]]*RawSalesTable6[[#This Row],[Quantity]]</f>
        <v>138.21</v>
      </c>
      <c r="AE694" s="8">
        <f>RawSalesTable6[[#This Row],[Net_Sales]]-RawSalesTable6[[#This Row],[Total_Cost]]</f>
        <v>140.07899999999998</v>
      </c>
      <c r="AF694" s="9">
        <f>RawSalesTable6[[#This Row],[Profit]]/RawSalesTable6[[#This Row],[Net_Sales]]</f>
        <v>0.5033580199001757</v>
      </c>
      <c r="AG694" s="8">
        <f>YEAR(RawSalesTable6[[#This Row],[Order_Date]])</f>
        <v>2025</v>
      </c>
      <c r="AH694" s="8">
        <f>MONTH(RawSalesTable6[[#This Row],[Order_Date]])</f>
        <v>8</v>
      </c>
      <c r="AI694" s="8" t="str">
        <f>TEXT(RawSalesTable6[[#This Row],[Order_Date]],"mmmm")</f>
        <v>août</v>
      </c>
      <c r="AJ694" s="8" t="str">
        <f>IF(RawSalesTable6[[#This Row],[Month_Number]]&lt;=3,"Q1",IF(RawSalesTable6[[#This Row],[Month_Number]]&lt;=6,"Q2",IF(RawSalesTable6[[#This Row],[Month_Number]]&lt;=9,"Q3","Q4")))</f>
        <v>Q3</v>
      </c>
      <c r="AK694" s="8" t="str">
        <f>VLOOKUP(RawSalesTable6[[#This Row],[Customer_ID_Clean]],CustomersTable[],4,FALSE)</f>
        <v>British Columbia</v>
      </c>
      <c r="AL694" s="8">
        <f>IF(RawSalesTable6[[#This Row],[Return_Status]]="Yes",1,0)</f>
        <v>0</v>
      </c>
    </row>
    <row r="695" spans="1:38">
      <c r="A695" t="s">
        <v>1145</v>
      </c>
      <c r="B695" s="3">
        <v>45961</v>
      </c>
      <c r="C695" t="s">
        <v>675</v>
      </c>
      <c r="D695" t="s">
        <v>226</v>
      </c>
      <c r="E695" t="s">
        <v>676</v>
      </c>
      <c r="F695" t="s">
        <v>111</v>
      </c>
      <c r="G695" t="s">
        <v>96</v>
      </c>
      <c r="H695" t="s">
        <v>89</v>
      </c>
      <c r="I695">
        <v>4</v>
      </c>
      <c r="J695" s="2">
        <v>210.06</v>
      </c>
      <c r="K695" s="4">
        <v>0.05</v>
      </c>
      <c r="L695" t="s">
        <v>504</v>
      </c>
      <c r="M695">
        <v>1</v>
      </c>
      <c r="N695" t="s">
        <v>91</v>
      </c>
      <c r="O695" t="str">
        <f>SUBSTITUTE(PROPER(TRIM(RawSalesTable6[[#This Row],[Channel_Raw]])),"Market Place","Marketplace")</f>
        <v>Online</v>
      </c>
      <c r="P695" t="str">
        <f>TRIM(RawSalesTable6[[#This Row],[Product_ID]])</f>
        <v>P1010</v>
      </c>
      <c r="Q695" t="str">
        <f>TRIM(RawSalesTable6[[#This Row],[Customer_ID]])</f>
        <v>C0101</v>
      </c>
      <c r="R695" s="8" t="str">
        <f>PROPER(TRIM(RawSalesTable6[[#This Row],[Store_Raw]]))</f>
        <v>Montreal Central</v>
      </c>
      <c r="S695" s="8" t="str">
        <f>IF(TRIM(RawSalesTable6[[#This Row],[Payment_Method_Raw]])="","Non renseigné",SUBSTITUTE(PROPER(TRIM(RawSalesTable6[[#This Row],[Payment_Method_Raw]])),"Cc","Credit Card"))</f>
        <v>Debit Card</v>
      </c>
      <c r="T695" s="8">
        <f>COUNTIF(A:A,RawSalesTable6[[#This Row],[Order_ID]])</f>
        <v>1</v>
      </c>
      <c r="U695" s="8" t="str">
        <f>TRIM(LEFT(RawSalesTable6[[#This Row],[Customer_Info]],FIND(",",RawSalesTable6[[#This Row],[Customer_Info]])-1))</f>
        <v>Noah Martin</v>
      </c>
      <c r="V695" s="8" t="str">
        <f>TRIM(MID(RawSalesTable6[[#This Row],[Customer_Info]],FIND(",",RawSalesTable6[[#This Row],[Customer_Info]])+1,FIND(",",RawSalesTable6[[#This Row],[Customer_Info]],FIND(",",RawSalesTable6[[#This Row],[Customer_Info]])+1)-FIND(",",RawSalesTable6[[#This Row],[Customer_Info]])-1))</f>
        <v>Saskatoon</v>
      </c>
      <c r="W695" s="8" t="str">
        <f>TRIM(RIGHT(RawSalesTable6[[#This Row],[Customer_Info]],LEN(RawSalesTable6[[#This Row],[Customer_Info]])-FIND(",",RawSalesTable6[[#This Row],[Customer_Info]],FIND(",",RawSalesTable6[[#This Row],[Customer_Info]])+1)))</f>
        <v>Small Business</v>
      </c>
      <c r="X695" s="8" t="str">
        <f>VLOOKUP(RawSalesTable6[[#This Row],[Product_ID_Clean]],ProductsTable[],2,FALSE)</f>
        <v>Desk Lamp</v>
      </c>
      <c r="Y695" s="8" t="str">
        <f>VLOOKUP(RawSalesTable6[[#This Row],[Product_ID_Clean]],ProductsTable[],3,FALSE)</f>
        <v>Office</v>
      </c>
      <c r="Z695" s="8">
        <f>VLOOKUP(RawSalesTable6[[#This Row],[Product_ID_Clean]],ProductsTable[],5,FALSE)</f>
        <v>127.21</v>
      </c>
      <c r="AA695" s="8">
        <f>RawSalesTable6[[#This Row],[Unit_Price]]*RawSalesTable6[[#This Row],[Quantity]]</f>
        <v>840.24</v>
      </c>
      <c r="AB695" s="8">
        <f>RawSalesTable6[[#This Row],[Gross_Sales]]*RawSalesTable6[[#This Row],[Discount_Pct]]</f>
        <v>42.012</v>
      </c>
      <c r="AC695" s="8">
        <f>RawSalesTable6[[#This Row],[Gross_Sales]]-RawSalesTable6[[#This Row],[Discount_Amount]]</f>
        <v>798.22800000000007</v>
      </c>
      <c r="AD695" s="8">
        <f>RawSalesTable6[[#This Row],[Unit_Cost]]*RawSalesTable6[[#This Row],[Quantity]]</f>
        <v>508.84</v>
      </c>
      <c r="AE695" s="8">
        <f>RawSalesTable6[[#This Row],[Net_Sales]]-RawSalesTable6[[#This Row],[Total_Cost]]</f>
        <v>289.38800000000009</v>
      </c>
      <c r="AF695" s="9">
        <f>RawSalesTable6[[#This Row],[Profit]]/RawSalesTable6[[#This Row],[Net_Sales]]</f>
        <v>0.36253802171810567</v>
      </c>
      <c r="AG695" s="8">
        <f>YEAR(RawSalesTable6[[#This Row],[Order_Date]])</f>
        <v>2025</v>
      </c>
      <c r="AH695" s="8">
        <f>MONTH(RawSalesTable6[[#This Row],[Order_Date]])</f>
        <v>10</v>
      </c>
      <c r="AI695" s="8" t="str">
        <f>TEXT(RawSalesTable6[[#This Row],[Order_Date]],"mmmm")</f>
        <v>octobre</v>
      </c>
      <c r="AJ695" s="8" t="str">
        <f>IF(RawSalesTable6[[#This Row],[Month_Number]]&lt;=3,"Q1",IF(RawSalesTable6[[#This Row],[Month_Number]]&lt;=6,"Q2",IF(RawSalesTable6[[#This Row],[Month_Number]]&lt;=9,"Q3","Q4")))</f>
        <v>Q4</v>
      </c>
      <c r="AK695" s="8" t="str">
        <f>VLOOKUP(RawSalesTable6[[#This Row],[Customer_ID_Clean]],CustomersTable[],4,FALSE)</f>
        <v>Saskatchewan</v>
      </c>
      <c r="AL695" s="8">
        <f>IF(RawSalesTable6[[#This Row],[Return_Status]]="Yes",1,0)</f>
        <v>0</v>
      </c>
    </row>
    <row r="696" spans="1:38">
      <c r="A696" t="s">
        <v>1146</v>
      </c>
      <c r="B696" s="3">
        <v>45706</v>
      </c>
      <c r="C696" t="s">
        <v>142</v>
      </c>
      <c r="D696" t="s">
        <v>231</v>
      </c>
      <c r="E696" t="s">
        <v>144</v>
      </c>
      <c r="F696" t="s">
        <v>87</v>
      </c>
      <c r="G696" t="s">
        <v>130</v>
      </c>
      <c r="H696" t="s">
        <v>89</v>
      </c>
      <c r="I696">
        <v>2</v>
      </c>
      <c r="J696" s="2">
        <v>352.47</v>
      </c>
      <c r="K696" s="4">
        <v>0</v>
      </c>
      <c r="L696" t="s">
        <v>154</v>
      </c>
      <c r="M696">
        <v>9</v>
      </c>
      <c r="N696" t="s">
        <v>147</v>
      </c>
      <c r="O696" t="str">
        <f>SUBSTITUTE(PROPER(TRIM(RawSalesTable6[[#This Row],[Channel_Raw]])),"Market Place","Marketplace")</f>
        <v>Online</v>
      </c>
      <c r="P696" t="str">
        <f>TRIM(RawSalesTable6[[#This Row],[Product_ID]])</f>
        <v>P1037</v>
      </c>
      <c r="Q696" t="str">
        <f>TRIM(RawSalesTable6[[#This Row],[Customer_ID]])</f>
        <v>C0002</v>
      </c>
      <c r="R696" s="8" t="str">
        <f>PROPER(TRIM(RawSalesTable6[[#This Row],[Store_Raw]]))</f>
        <v>Online Fulfillment</v>
      </c>
      <c r="S696" s="8" t="str">
        <f>IF(TRIM(RawSalesTable6[[#This Row],[Payment_Method_Raw]])="","Non renseigné",SUBSTITUTE(PROPER(TRIM(RawSalesTable6[[#This Row],[Payment_Method_Raw]])),"Cc","Credit Card"))</f>
        <v>Gift Card</v>
      </c>
      <c r="T696" s="8">
        <f>COUNTIF(A:A,RawSalesTable6[[#This Row],[Order_ID]])</f>
        <v>1</v>
      </c>
      <c r="U696" s="8" t="str">
        <f>TRIM(LEFT(RawSalesTable6[[#This Row],[Customer_Info]],FIND(",",RawSalesTable6[[#This Row],[Customer_Info]])-1))</f>
        <v>Ryan Johnson</v>
      </c>
      <c r="V696" s="8" t="str">
        <f>TRIM(MID(RawSalesTable6[[#This Row],[Customer_Info]],FIND(",",RawSalesTable6[[#This Row],[Customer_Info]])+1,FIND(",",RawSalesTable6[[#This Row],[Customer_Info]],FIND(",",RawSalesTable6[[#This Row],[Customer_Info]])+1)-FIND(",",RawSalesTable6[[#This Row],[Customer_Info]])-1))</f>
        <v>Montreal</v>
      </c>
      <c r="W696" s="8" t="str">
        <f>TRIM(RIGHT(RawSalesTable6[[#This Row],[Customer_Info]],LEN(RawSalesTable6[[#This Row],[Customer_Info]])-FIND(",",RawSalesTable6[[#This Row],[Customer_Info]],FIND(",",RawSalesTable6[[#This Row],[Customer_Info]])+1)))</f>
        <v>Small Business</v>
      </c>
      <c r="X696" s="8" t="str">
        <f>VLOOKUP(RawSalesTable6[[#This Row],[Product_ID_Clean]],ProductsTable[],2,FALSE)</f>
        <v>Cable Set</v>
      </c>
      <c r="Y696" s="8" t="str">
        <f>VLOOKUP(RawSalesTable6[[#This Row],[Product_ID_Clean]],ProductsTable[],3,FALSE)</f>
        <v>Accessories</v>
      </c>
      <c r="Z696" s="8">
        <f>VLOOKUP(RawSalesTable6[[#This Row],[Product_ID_Clean]],ProductsTable[],5,FALSE)</f>
        <v>200.16</v>
      </c>
      <c r="AA696" s="8">
        <f>RawSalesTable6[[#This Row],[Unit_Price]]*RawSalesTable6[[#This Row],[Quantity]]</f>
        <v>704.94</v>
      </c>
      <c r="AB696" s="8">
        <f>RawSalesTable6[[#This Row],[Gross_Sales]]*RawSalesTable6[[#This Row],[Discount_Pct]]</f>
        <v>0</v>
      </c>
      <c r="AC696" s="8">
        <f>RawSalesTable6[[#This Row],[Gross_Sales]]-RawSalesTable6[[#This Row],[Discount_Amount]]</f>
        <v>704.94</v>
      </c>
      <c r="AD696" s="8">
        <f>RawSalesTable6[[#This Row],[Unit_Cost]]*RawSalesTable6[[#This Row],[Quantity]]</f>
        <v>400.32</v>
      </c>
      <c r="AE696" s="8">
        <f>RawSalesTable6[[#This Row],[Net_Sales]]-RawSalesTable6[[#This Row],[Total_Cost]]</f>
        <v>304.62000000000006</v>
      </c>
      <c r="AF696" s="9">
        <f>RawSalesTable6[[#This Row],[Profit]]/RawSalesTable6[[#This Row],[Net_Sales]]</f>
        <v>0.43212188271342244</v>
      </c>
      <c r="AG696" s="8">
        <f>YEAR(RawSalesTable6[[#This Row],[Order_Date]])</f>
        <v>2025</v>
      </c>
      <c r="AH696" s="8">
        <f>MONTH(RawSalesTable6[[#This Row],[Order_Date]])</f>
        <v>2</v>
      </c>
      <c r="AI696" s="8" t="str">
        <f>TEXT(RawSalesTable6[[#This Row],[Order_Date]],"mmmm")</f>
        <v>février</v>
      </c>
      <c r="AJ696" s="8" t="str">
        <f>IF(RawSalesTable6[[#This Row],[Month_Number]]&lt;=3,"Q1",IF(RawSalesTable6[[#This Row],[Month_Number]]&lt;=6,"Q2",IF(RawSalesTable6[[#This Row],[Month_Number]]&lt;=9,"Q3","Q4")))</f>
        <v>Q1</v>
      </c>
      <c r="AK696" s="8" t="str">
        <f>VLOOKUP(RawSalesTable6[[#This Row],[Customer_ID_Clean]],CustomersTable[],4,FALSE)</f>
        <v>Quebec</v>
      </c>
      <c r="AL696" s="8">
        <f>IF(RawSalesTable6[[#This Row],[Return_Status]]="Yes",1,0)</f>
        <v>1</v>
      </c>
    </row>
    <row r="697" spans="1:38">
      <c r="A697" t="s">
        <v>1147</v>
      </c>
      <c r="B697" s="3">
        <v>45747</v>
      </c>
      <c r="C697" t="s">
        <v>84</v>
      </c>
      <c r="D697" t="s">
        <v>520</v>
      </c>
      <c r="E697" t="s">
        <v>86</v>
      </c>
      <c r="F697" t="s">
        <v>116</v>
      </c>
      <c r="G697" t="s">
        <v>96</v>
      </c>
      <c r="H697" t="s">
        <v>89</v>
      </c>
      <c r="I697">
        <v>3</v>
      </c>
      <c r="J697" s="2">
        <v>363.97</v>
      </c>
      <c r="K697" s="4">
        <v>0</v>
      </c>
      <c r="L697" t="s">
        <v>90</v>
      </c>
      <c r="M697">
        <v>1</v>
      </c>
      <c r="N697" t="s">
        <v>91</v>
      </c>
      <c r="O697" t="str">
        <f>SUBSTITUTE(PROPER(TRIM(RawSalesTable6[[#This Row],[Channel_Raw]])),"Market Place","Marketplace")</f>
        <v>Online</v>
      </c>
      <c r="P697" t="str">
        <f>TRIM(RawSalesTable6[[#This Row],[Product_ID]])</f>
        <v>P1017</v>
      </c>
      <c r="Q697" t="str">
        <f>TRIM(RawSalesTable6[[#This Row],[Customer_ID]])</f>
        <v>C0113</v>
      </c>
      <c r="R697" s="8" t="str">
        <f>PROPER(TRIM(RawSalesTable6[[#This Row],[Store_Raw]]))</f>
        <v>Toronto Downtown</v>
      </c>
      <c r="S697" s="8" t="str">
        <f>IF(TRIM(RawSalesTable6[[#This Row],[Payment_Method_Raw]])="","Non renseigné",SUBSTITUTE(PROPER(TRIM(RawSalesTable6[[#This Row],[Payment_Method_Raw]])),"Cc","Credit Card"))</f>
        <v>Paypal</v>
      </c>
      <c r="T697" s="8">
        <f>COUNTIF(A:A,RawSalesTable6[[#This Row],[Order_ID]])</f>
        <v>1</v>
      </c>
      <c r="U697" s="8" t="str">
        <f>TRIM(LEFT(RawSalesTable6[[#This Row],[Customer_Info]],FIND(",",RawSalesTable6[[#This Row],[Customer_Info]])-1))</f>
        <v>Olivia Johnson</v>
      </c>
      <c r="V697" s="8" t="str">
        <f>TRIM(MID(RawSalesTable6[[#This Row],[Customer_Info]],FIND(",",RawSalesTable6[[#This Row],[Customer_Info]])+1,FIND(",",RawSalesTable6[[#This Row],[Customer_Info]],FIND(",",RawSalesTable6[[#This Row],[Customer_Info]])+1)-FIND(",",RawSalesTable6[[#This Row],[Customer_Info]])-1))</f>
        <v>Surrey</v>
      </c>
      <c r="W697" s="8" t="str">
        <f>TRIM(RIGHT(RawSalesTable6[[#This Row],[Customer_Info]],LEN(RawSalesTable6[[#This Row],[Customer_Info]])-FIND(",",RawSalesTable6[[#This Row],[Customer_Info]],FIND(",",RawSalesTable6[[#This Row],[Customer_Info]])+1)))</f>
        <v>Consumer</v>
      </c>
      <c r="X697" s="8" t="str">
        <f>VLOOKUP(RawSalesTable6[[#This Row],[Product_ID_Clean]],ProductsTable[],2,FALSE)</f>
        <v>Coffee Maker</v>
      </c>
      <c r="Y697" s="8" t="str">
        <f>VLOOKUP(RawSalesTable6[[#This Row],[Product_ID_Clean]],ProductsTable[],3,FALSE)</f>
        <v>Home</v>
      </c>
      <c r="Z697" s="8">
        <f>VLOOKUP(RawSalesTable6[[#This Row],[Product_ID_Clean]],ProductsTable[],5,FALSE)</f>
        <v>241.16</v>
      </c>
      <c r="AA697" s="8">
        <f>RawSalesTable6[[#This Row],[Unit_Price]]*RawSalesTable6[[#This Row],[Quantity]]</f>
        <v>1091.9100000000001</v>
      </c>
      <c r="AB697" s="8">
        <f>RawSalesTable6[[#This Row],[Gross_Sales]]*RawSalesTable6[[#This Row],[Discount_Pct]]</f>
        <v>0</v>
      </c>
      <c r="AC697" s="8">
        <f>RawSalesTable6[[#This Row],[Gross_Sales]]-RawSalesTable6[[#This Row],[Discount_Amount]]</f>
        <v>1091.9100000000001</v>
      </c>
      <c r="AD697" s="8">
        <f>RawSalesTable6[[#This Row],[Unit_Cost]]*RawSalesTable6[[#This Row],[Quantity]]</f>
        <v>723.48</v>
      </c>
      <c r="AE697" s="8">
        <f>RawSalesTable6[[#This Row],[Net_Sales]]-RawSalesTable6[[#This Row],[Total_Cost]]</f>
        <v>368.43000000000006</v>
      </c>
      <c r="AF697" s="9">
        <f>RawSalesTable6[[#This Row],[Profit]]/RawSalesTable6[[#This Row],[Net_Sales]]</f>
        <v>0.33741791905926316</v>
      </c>
      <c r="AG697" s="8">
        <f>YEAR(RawSalesTable6[[#This Row],[Order_Date]])</f>
        <v>2025</v>
      </c>
      <c r="AH697" s="8">
        <f>MONTH(RawSalesTable6[[#This Row],[Order_Date]])</f>
        <v>3</v>
      </c>
      <c r="AI697" s="8" t="str">
        <f>TEXT(RawSalesTable6[[#This Row],[Order_Date]],"mmmm")</f>
        <v>mars</v>
      </c>
      <c r="AJ697" s="8" t="str">
        <f>IF(RawSalesTable6[[#This Row],[Month_Number]]&lt;=3,"Q1",IF(RawSalesTable6[[#This Row],[Month_Number]]&lt;=6,"Q2",IF(RawSalesTable6[[#This Row],[Month_Number]]&lt;=9,"Q3","Q4")))</f>
        <v>Q1</v>
      </c>
      <c r="AK697" s="8" t="str">
        <f>VLOOKUP(RawSalesTable6[[#This Row],[Customer_ID_Clean]],CustomersTable[],4,FALSE)</f>
        <v>British Columbia</v>
      </c>
      <c r="AL697" s="8">
        <f>IF(RawSalesTable6[[#This Row],[Return_Status]]="Yes",1,0)</f>
        <v>0</v>
      </c>
    </row>
    <row r="698" spans="1:38">
      <c r="A698" t="s">
        <v>1148</v>
      </c>
      <c r="B698" s="3">
        <v>45942</v>
      </c>
      <c r="C698" t="s">
        <v>322</v>
      </c>
      <c r="D698" t="s">
        <v>469</v>
      </c>
      <c r="E698" t="s">
        <v>470</v>
      </c>
      <c r="F698" t="s">
        <v>116</v>
      </c>
      <c r="G698" t="s">
        <v>130</v>
      </c>
      <c r="H698" t="s">
        <v>97</v>
      </c>
      <c r="I698">
        <v>1</v>
      </c>
      <c r="J698" s="2">
        <v>82.58</v>
      </c>
      <c r="K698" s="4">
        <v>0</v>
      </c>
      <c r="L698" t="s">
        <v>90</v>
      </c>
      <c r="M698">
        <v>4</v>
      </c>
      <c r="N698" t="s">
        <v>91</v>
      </c>
      <c r="O698" t="str">
        <f>SUBSTITUTE(PROPER(TRIM(RawSalesTable6[[#This Row],[Channel_Raw]])),"Market Place","Marketplace")</f>
        <v>Retail Store</v>
      </c>
      <c r="P698" t="str">
        <f>TRIM(RawSalesTable6[[#This Row],[Product_ID]])</f>
        <v>P1035</v>
      </c>
      <c r="Q698" t="str">
        <f>TRIM(RawSalesTable6[[#This Row],[Customer_ID]])</f>
        <v>C0119</v>
      </c>
      <c r="R698" s="8" t="str">
        <f>PROPER(TRIM(RawSalesTable6[[#This Row],[Store_Raw]]))</f>
        <v>Toronto Downtown</v>
      </c>
      <c r="S698" s="8" t="str">
        <f>IF(TRIM(RawSalesTable6[[#This Row],[Payment_Method_Raw]])="","Non renseigné",SUBSTITUTE(PROPER(TRIM(RawSalesTable6[[#This Row],[Payment_Method_Raw]])),"Cc","Credit Card"))</f>
        <v>Paypal</v>
      </c>
      <c r="T698" s="8">
        <f>COUNTIF(A:A,RawSalesTable6[[#This Row],[Order_ID]])</f>
        <v>1</v>
      </c>
      <c r="U698" s="8" t="str">
        <f>TRIM(LEFT(RawSalesTable6[[#This Row],[Customer_Info]],FIND(",",RawSalesTable6[[#This Row],[Customer_Info]])-1))</f>
        <v>Liam Chen</v>
      </c>
      <c r="V698" s="8" t="str">
        <f>TRIM(MID(RawSalesTable6[[#This Row],[Customer_Info]],FIND(",",RawSalesTable6[[#This Row],[Customer_Info]])+1,FIND(",",RawSalesTable6[[#This Row],[Customer_Info]],FIND(",",RawSalesTable6[[#This Row],[Customer_Info]])+1)-FIND(",",RawSalesTable6[[#This Row],[Customer_Info]])-1))</f>
        <v>Winnipeg</v>
      </c>
      <c r="W698" s="8" t="str">
        <f>TRIM(RIGHT(RawSalesTable6[[#This Row],[Customer_Info]],LEN(RawSalesTable6[[#This Row],[Customer_Info]])-FIND(",",RawSalesTable6[[#This Row],[Customer_Info]],FIND(",",RawSalesTable6[[#This Row],[Customer_Info]])+1)))</f>
        <v>Consumer</v>
      </c>
      <c r="X698" s="8" t="str">
        <f>VLOOKUP(RawSalesTable6[[#This Row],[Product_ID_Clean]],ProductsTable[],2,FALSE)</f>
        <v>Phone Stand</v>
      </c>
      <c r="Y698" s="8" t="str">
        <f>VLOOKUP(RawSalesTable6[[#This Row],[Product_ID_Clean]],ProductsTable[],3,FALSE)</f>
        <v>Accessories</v>
      </c>
      <c r="Z698" s="8">
        <f>VLOOKUP(RawSalesTable6[[#This Row],[Product_ID_Clean]],ProductsTable[],5,FALSE)</f>
        <v>59.85</v>
      </c>
      <c r="AA698" s="8">
        <f>RawSalesTable6[[#This Row],[Unit_Price]]*RawSalesTable6[[#This Row],[Quantity]]</f>
        <v>82.58</v>
      </c>
      <c r="AB698" s="8">
        <f>RawSalesTable6[[#This Row],[Gross_Sales]]*RawSalesTable6[[#This Row],[Discount_Pct]]</f>
        <v>0</v>
      </c>
      <c r="AC698" s="8">
        <f>RawSalesTable6[[#This Row],[Gross_Sales]]-RawSalesTable6[[#This Row],[Discount_Amount]]</f>
        <v>82.58</v>
      </c>
      <c r="AD698" s="8">
        <f>RawSalesTable6[[#This Row],[Unit_Cost]]*RawSalesTable6[[#This Row],[Quantity]]</f>
        <v>59.85</v>
      </c>
      <c r="AE698" s="8">
        <f>RawSalesTable6[[#This Row],[Net_Sales]]-RawSalesTable6[[#This Row],[Total_Cost]]</f>
        <v>22.729999999999997</v>
      </c>
      <c r="AF698" s="9">
        <f>RawSalesTable6[[#This Row],[Profit]]/RawSalesTable6[[#This Row],[Net_Sales]]</f>
        <v>0.27524824412690718</v>
      </c>
      <c r="AG698" s="8">
        <f>YEAR(RawSalesTable6[[#This Row],[Order_Date]])</f>
        <v>2025</v>
      </c>
      <c r="AH698" s="8">
        <f>MONTH(RawSalesTable6[[#This Row],[Order_Date]])</f>
        <v>10</v>
      </c>
      <c r="AI698" s="8" t="str">
        <f>TEXT(RawSalesTable6[[#This Row],[Order_Date]],"mmmm")</f>
        <v>octobre</v>
      </c>
      <c r="AJ698" s="8" t="str">
        <f>IF(RawSalesTable6[[#This Row],[Month_Number]]&lt;=3,"Q1",IF(RawSalesTable6[[#This Row],[Month_Number]]&lt;=6,"Q2",IF(RawSalesTable6[[#This Row],[Month_Number]]&lt;=9,"Q3","Q4")))</f>
        <v>Q4</v>
      </c>
      <c r="AK698" s="8" t="str">
        <f>VLOOKUP(RawSalesTable6[[#This Row],[Customer_ID_Clean]],CustomersTable[],4,FALSE)</f>
        <v>Manitoba</v>
      </c>
      <c r="AL698" s="8">
        <f>IF(RawSalesTable6[[#This Row],[Return_Status]]="Yes",1,0)</f>
        <v>0</v>
      </c>
    </row>
    <row r="699" spans="1:38">
      <c r="A699" t="s">
        <v>1149</v>
      </c>
      <c r="B699" s="3">
        <v>45925</v>
      </c>
      <c r="C699" t="s">
        <v>516</v>
      </c>
      <c r="D699" t="s">
        <v>114</v>
      </c>
      <c r="E699" t="s">
        <v>517</v>
      </c>
      <c r="F699" t="s">
        <v>87</v>
      </c>
      <c r="G699" t="s">
        <v>183</v>
      </c>
      <c r="H699" t="s">
        <v>308</v>
      </c>
      <c r="I699">
        <v>1</v>
      </c>
      <c r="J699" s="2">
        <v>149.07</v>
      </c>
      <c r="K699" s="4">
        <v>0.1</v>
      </c>
      <c r="L699" t="s">
        <v>106</v>
      </c>
      <c r="M699">
        <v>8</v>
      </c>
      <c r="N699" t="s">
        <v>91</v>
      </c>
      <c r="O699" t="str">
        <f>SUBSTITUTE(PROPER(TRIM(RawSalesTable6[[#This Row],[Channel_Raw]])),"Market Place","Marketplace")</f>
        <v>Online</v>
      </c>
      <c r="P699" t="str">
        <f>TRIM(RawSalesTable6[[#This Row],[Product_ID]])</f>
        <v>P1034</v>
      </c>
      <c r="Q699" t="str">
        <f>TRIM(RawSalesTable6[[#This Row],[Customer_ID]])</f>
        <v>C0120</v>
      </c>
      <c r="R699" s="8" t="str">
        <f>PROPER(TRIM(RawSalesTable6[[#This Row],[Store_Raw]]))</f>
        <v>Online Fulfillment</v>
      </c>
      <c r="S699" s="8" t="str">
        <f>IF(TRIM(RawSalesTable6[[#This Row],[Payment_Method_Raw]])="","Non renseigné",SUBSTITUTE(PROPER(TRIM(RawSalesTable6[[#This Row],[Payment_Method_Raw]])),"Cc","Credit Card"))</f>
        <v>Credit Card</v>
      </c>
      <c r="T699" s="8">
        <f>COUNTIF(A:A,RawSalesTable6[[#This Row],[Order_ID]])</f>
        <v>1</v>
      </c>
      <c r="U699" s="8" t="str">
        <f>TRIM(LEFT(RawSalesTable6[[#This Row],[Customer_Info]],FIND(",",RawSalesTable6[[#This Row],[Customer_Info]])-1))</f>
        <v>Ethan King</v>
      </c>
      <c r="V699" s="8" t="str">
        <f>TRIM(MID(RawSalesTable6[[#This Row],[Customer_Info]],FIND(",",RawSalesTable6[[#This Row],[Customer_Info]])+1,FIND(",",RawSalesTable6[[#This Row],[Customer_Info]],FIND(",",RawSalesTable6[[#This Row],[Customer_Info]])+1)-FIND(",",RawSalesTable6[[#This Row],[Customer_Info]])-1))</f>
        <v>Mississauga</v>
      </c>
      <c r="W699" s="8" t="str">
        <f>TRIM(RIGHT(RawSalesTable6[[#This Row],[Customer_Info]],LEN(RawSalesTable6[[#This Row],[Customer_Info]])-FIND(",",RawSalesTable6[[#This Row],[Customer_Info]],FIND(",",RawSalesTable6[[#This Row],[Customer_Info]])+1)))</f>
        <v>Small Business</v>
      </c>
      <c r="X699" s="8" t="str">
        <f>VLOOKUP(RawSalesTable6[[#This Row],[Product_ID_Clean]],ProductsTable[],2,FALSE)</f>
        <v>Laptop Sleeve</v>
      </c>
      <c r="Y699" s="8" t="str">
        <f>VLOOKUP(RawSalesTable6[[#This Row],[Product_ID_Clean]],ProductsTable[],3,FALSE)</f>
        <v>Accessories</v>
      </c>
      <c r="Z699" s="8">
        <f>VLOOKUP(RawSalesTable6[[#This Row],[Product_ID_Clean]],ProductsTable[],5,FALSE)</f>
        <v>78.95</v>
      </c>
      <c r="AA699" s="8">
        <f>RawSalesTable6[[#This Row],[Unit_Price]]*RawSalesTable6[[#This Row],[Quantity]]</f>
        <v>149.07</v>
      </c>
      <c r="AB699" s="8">
        <f>RawSalesTable6[[#This Row],[Gross_Sales]]*RawSalesTable6[[#This Row],[Discount_Pct]]</f>
        <v>14.907</v>
      </c>
      <c r="AC699" s="8">
        <f>RawSalesTable6[[#This Row],[Gross_Sales]]-RawSalesTable6[[#This Row],[Discount_Amount]]</f>
        <v>134.16299999999998</v>
      </c>
      <c r="AD699" s="8">
        <f>RawSalesTable6[[#This Row],[Unit_Cost]]*RawSalesTable6[[#This Row],[Quantity]]</f>
        <v>78.95</v>
      </c>
      <c r="AE699" s="8">
        <f>RawSalesTable6[[#This Row],[Net_Sales]]-RawSalesTable6[[#This Row],[Total_Cost]]</f>
        <v>55.21299999999998</v>
      </c>
      <c r="AF699" s="9">
        <f>RawSalesTable6[[#This Row],[Profit]]/RawSalesTable6[[#This Row],[Net_Sales]]</f>
        <v>0.41153671280457343</v>
      </c>
      <c r="AG699" s="8">
        <f>YEAR(RawSalesTable6[[#This Row],[Order_Date]])</f>
        <v>2025</v>
      </c>
      <c r="AH699" s="8">
        <f>MONTH(RawSalesTable6[[#This Row],[Order_Date]])</f>
        <v>9</v>
      </c>
      <c r="AI699" s="8" t="str">
        <f>TEXT(RawSalesTable6[[#This Row],[Order_Date]],"mmmm")</f>
        <v>septembre</v>
      </c>
      <c r="AJ699" s="8" t="str">
        <f>IF(RawSalesTable6[[#This Row],[Month_Number]]&lt;=3,"Q1",IF(RawSalesTable6[[#This Row],[Month_Number]]&lt;=6,"Q2",IF(RawSalesTable6[[#This Row],[Month_Number]]&lt;=9,"Q3","Q4")))</f>
        <v>Q3</v>
      </c>
      <c r="AK699" s="8" t="str">
        <f>VLOOKUP(RawSalesTable6[[#This Row],[Customer_ID_Clean]],CustomersTable[],4,FALSE)</f>
        <v>Ontario</v>
      </c>
      <c r="AL699" s="8">
        <f>IF(RawSalesTable6[[#This Row],[Return_Status]]="Yes",1,0)</f>
        <v>0</v>
      </c>
    </row>
    <row r="700" spans="1:38">
      <c r="A700" t="s">
        <v>1150</v>
      </c>
      <c r="B700" s="3">
        <v>45854</v>
      </c>
      <c r="C700" t="s">
        <v>335</v>
      </c>
      <c r="D700" t="s">
        <v>323</v>
      </c>
      <c r="E700" t="s">
        <v>336</v>
      </c>
      <c r="F700" t="s">
        <v>111</v>
      </c>
      <c r="G700" t="s">
        <v>96</v>
      </c>
      <c r="H700" t="s">
        <v>89</v>
      </c>
      <c r="I700">
        <v>3</v>
      </c>
      <c r="J700" s="2">
        <v>319.41000000000003</v>
      </c>
      <c r="K700" s="4">
        <v>0.15</v>
      </c>
      <c r="L700" t="s">
        <v>369</v>
      </c>
      <c r="M700">
        <v>2</v>
      </c>
      <c r="N700" t="s">
        <v>91</v>
      </c>
      <c r="O700" t="str">
        <f>SUBSTITUTE(PROPER(TRIM(RawSalesTable6[[#This Row],[Channel_Raw]])),"Market Place","Marketplace")</f>
        <v>Online</v>
      </c>
      <c r="P700" t="str">
        <f>TRIM(RawSalesTable6[[#This Row],[Product_ID]])</f>
        <v>P1023</v>
      </c>
      <c r="Q700" t="str">
        <f>TRIM(RawSalesTable6[[#This Row],[Customer_ID]])</f>
        <v>C0037</v>
      </c>
      <c r="R700" s="8" t="str">
        <f>PROPER(TRIM(RawSalesTable6[[#This Row],[Store_Raw]]))</f>
        <v>Montreal Central</v>
      </c>
      <c r="S700" s="8" t="str">
        <f>IF(TRIM(RawSalesTable6[[#This Row],[Payment_Method_Raw]])="","Non renseigné",SUBSTITUTE(PROPER(TRIM(RawSalesTable6[[#This Row],[Payment_Method_Raw]])),"Cc","Credit Card"))</f>
        <v>Paypal</v>
      </c>
      <c r="T700" s="8">
        <f>COUNTIF(A:A,RawSalesTable6[[#This Row],[Order_ID]])</f>
        <v>1</v>
      </c>
      <c r="U700" s="8" t="str">
        <f>TRIM(LEFT(RawSalesTable6[[#This Row],[Customer_Info]],FIND(",",RawSalesTable6[[#This Row],[Customer_Info]])-1))</f>
        <v>Lucas Scott</v>
      </c>
      <c r="V700" s="8" t="str">
        <f>TRIM(MID(RawSalesTable6[[#This Row],[Customer_Info]],FIND(",",RawSalesTable6[[#This Row],[Customer_Info]])+1,FIND(",",RawSalesTable6[[#This Row],[Customer_Info]],FIND(",",RawSalesTable6[[#This Row],[Customer_Info]])+1)-FIND(",",RawSalesTable6[[#This Row],[Customer_Info]])-1))</f>
        <v>Victoria</v>
      </c>
      <c r="W700" s="8" t="str">
        <f>TRIM(RIGHT(RawSalesTable6[[#This Row],[Customer_Info]],LEN(RawSalesTable6[[#This Row],[Customer_Info]])-FIND(",",RawSalesTable6[[#This Row],[Customer_Info]],FIND(",",RawSalesTable6[[#This Row],[Customer_Info]])+1)))</f>
        <v>Small Business</v>
      </c>
      <c r="X700" s="8" t="str">
        <f>VLOOKUP(RawSalesTable6[[#This Row],[Product_ID_Clean]],ProductsTable[],2,FALSE)</f>
        <v>Toaster</v>
      </c>
      <c r="Y700" s="8" t="str">
        <f>VLOOKUP(RawSalesTable6[[#This Row],[Product_ID_Clean]],ProductsTable[],3,FALSE)</f>
        <v>Home</v>
      </c>
      <c r="Z700" s="8">
        <f>VLOOKUP(RawSalesTable6[[#This Row],[Product_ID_Clean]],ProductsTable[],5,FALSE)</f>
        <v>152.88</v>
      </c>
      <c r="AA700" s="8">
        <f>RawSalesTable6[[#This Row],[Unit_Price]]*RawSalesTable6[[#This Row],[Quantity]]</f>
        <v>958.23</v>
      </c>
      <c r="AB700" s="8">
        <f>RawSalesTable6[[#This Row],[Gross_Sales]]*RawSalesTable6[[#This Row],[Discount_Pct]]</f>
        <v>143.7345</v>
      </c>
      <c r="AC700" s="8">
        <f>RawSalesTable6[[#This Row],[Gross_Sales]]-RawSalesTable6[[#This Row],[Discount_Amount]]</f>
        <v>814.49549999999999</v>
      </c>
      <c r="AD700" s="8">
        <f>RawSalesTable6[[#This Row],[Unit_Cost]]*RawSalesTable6[[#This Row],[Quantity]]</f>
        <v>458.64</v>
      </c>
      <c r="AE700" s="8">
        <f>RawSalesTable6[[#This Row],[Net_Sales]]-RawSalesTable6[[#This Row],[Total_Cost]]</f>
        <v>355.85550000000001</v>
      </c>
      <c r="AF700" s="9">
        <f>RawSalesTable6[[#This Row],[Profit]]/RawSalesTable6[[#This Row],[Net_Sales]]</f>
        <v>0.43690296631473102</v>
      </c>
      <c r="AG700" s="8">
        <f>YEAR(RawSalesTable6[[#This Row],[Order_Date]])</f>
        <v>2025</v>
      </c>
      <c r="AH700" s="8">
        <f>MONTH(RawSalesTable6[[#This Row],[Order_Date]])</f>
        <v>7</v>
      </c>
      <c r="AI700" s="8" t="str">
        <f>TEXT(RawSalesTable6[[#This Row],[Order_Date]],"mmmm")</f>
        <v>juillet</v>
      </c>
      <c r="AJ700" s="8" t="str">
        <f>IF(RawSalesTable6[[#This Row],[Month_Number]]&lt;=3,"Q1",IF(RawSalesTable6[[#This Row],[Month_Number]]&lt;=6,"Q2",IF(RawSalesTable6[[#This Row],[Month_Number]]&lt;=9,"Q3","Q4")))</f>
        <v>Q3</v>
      </c>
      <c r="AK700" s="8" t="str">
        <f>VLOOKUP(RawSalesTable6[[#This Row],[Customer_ID_Clean]],CustomersTable[],4,FALSE)</f>
        <v>British Columbia</v>
      </c>
      <c r="AL700" s="8">
        <f>IF(RawSalesTable6[[#This Row],[Return_Status]]="Yes",1,0)</f>
        <v>0</v>
      </c>
    </row>
    <row r="701" spans="1:38">
      <c r="A701" t="s">
        <v>1151</v>
      </c>
      <c r="B701" s="3">
        <v>45801</v>
      </c>
      <c r="C701" t="s">
        <v>706</v>
      </c>
      <c r="D701" t="s">
        <v>157</v>
      </c>
      <c r="E701" t="s">
        <v>707</v>
      </c>
      <c r="F701" t="s">
        <v>111</v>
      </c>
      <c r="G701" t="s">
        <v>104</v>
      </c>
      <c r="H701" t="s">
        <v>97</v>
      </c>
      <c r="I701">
        <v>1</v>
      </c>
      <c r="J701" s="2">
        <v>297.7</v>
      </c>
      <c r="K701" s="4">
        <v>0.15</v>
      </c>
      <c r="L701" t="s">
        <v>90</v>
      </c>
      <c r="M701">
        <v>0</v>
      </c>
      <c r="N701" t="s">
        <v>91</v>
      </c>
      <c r="O701" t="str">
        <f>SUBSTITUTE(PROPER(TRIM(RawSalesTable6[[#This Row],[Channel_Raw]])),"Market Place","Marketplace")</f>
        <v>Retail Store</v>
      </c>
      <c r="P701" t="str">
        <f>TRIM(RawSalesTable6[[#This Row],[Product_ID]])</f>
        <v>P1009</v>
      </c>
      <c r="Q701" t="str">
        <f>TRIM(RawSalesTable6[[#This Row],[Customer_ID]])</f>
        <v>C0006</v>
      </c>
      <c r="R701" s="8" t="str">
        <f>PROPER(TRIM(RawSalesTable6[[#This Row],[Store_Raw]]))</f>
        <v>Montreal Central</v>
      </c>
      <c r="S701" s="8" t="str">
        <f>IF(TRIM(RawSalesTable6[[#This Row],[Payment_Method_Raw]])="","Non renseigné",SUBSTITUTE(PROPER(TRIM(RawSalesTable6[[#This Row],[Payment_Method_Raw]])),"Cc","Credit Card"))</f>
        <v>Paypal</v>
      </c>
      <c r="T701" s="8">
        <f>COUNTIF(A:A,RawSalesTable6[[#This Row],[Order_ID]])</f>
        <v>1</v>
      </c>
      <c r="U701" s="8" t="str">
        <f>TRIM(LEFT(RawSalesTable6[[#This Row],[Customer_Info]],FIND(",",RawSalesTable6[[#This Row],[Customer_Info]])-1))</f>
        <v>Nora Wilson</v>
      </c>
      <c r="V701" s="8" t="str">
        <f>TRIM(MID(RawSalesTable6[[#This Row],[Customer_Info]],FIND(",",RawSalesTable6[[#This Row],[Customer_Info]])+1,FIND(",",RawSalesTable6[[#This Row],[Customer_Info]],FIND(",",RawSalesTable6[[#This Row],[Customer_Info]])+1)-FIND(",",RawSalesTable6[[#This Row],[Customer_Info]])-1))</f>
        <v>Laval</v>
      </c>
      <c r="W701" s="8" t="str">
        <f>TRIM(RIGHT(RawSalesTable6[[#This Row],[Customer_Info]],LEN(RawSalesTable6[[#This Row],[Customer_Info]])-FIND(",",RawSalesTable6[[#This Row],[Customer_Info]],FIND(",",RawSalesTable6[[#This Row],[Customer_Info]])+1)))</f>
        <v>Consumer</v>
      </c>
      <c r="X701" s="8" t="str">
        <f>VLOOKUP(RawSalesTable6[[#This Row],[Product_ID_Clean]],ProductsTable[],2,FALSE)</f>
        <v>Notebook</v>
      </c>
      <c r="Y701" s="8" t="str">
        <f>VLOOKUP(RawSalesTable6[[#This Row],[Product_ID_Clean]],ProductsTable[],3,FALSE)</f>
        <v>Office</v>
      </c>
      <c r="Z701" s="8">
        <f>VLOOKUP(RawSalesTable6[[#This Row],[Product_ID_Clean]],ProductsTable[],5,FALSE)</f>
        <v>176.13</v>
      </c>
      <c r="AA701" s="8">
        <f>RawSalesTable6[[#This Row],[Unit_Price]]*RawSalesTable6[[#This Row],[Quantity]]</f>
        <v>297.7</v>
      </c>
      <c r="AB701" s="8">
        <f>RawSalesTable6[[#This Row],[Gross_Sales]]*RawSalesTable6[[#This Row],[Discount_Pct]]</f>
        <v>44.654999999999994</v>
      </c>
      <c r="AC701" s="8">
        <f>RawSalesTable6[[#This Row],[Gross_Sales]]-RawSalesTable6[[#This Row],[Discount_Amount]]</f>
        <v>253.04499999999999</v>
      </c>
      <c r="AD701" s="8">
        <f>RawSalesTable6[[#This Row],[Unit_Cost]]*RawSalesTable6[[#This Row],[Quantity]]</f>
        <v>176.13</v>
      </c>
      <c r="AE701" s="8">
        <f>RawSalesTable6[[#This Row],[Net_Sales]]-RawSalesTable6[[#This Row],[Total_Cost]]</f>
        <v>76.914999999999992</v>
      </c>
      <c r="AF701" s="9">
        <f>RawSalesTable6[[#This Row],[Profit]]/RawSalesTable6[[#This Row],[Net_Sales]]</f>
        <v>0.30395779406824869</v>
      </c>
      <c r="AG701" s="8">
        <f>YEAR(RawSalesTable6[[#This Row],[Order_Date]])</f>
        <v>2025</v>
      </c>
      <c r="AH701" s="8">
        <f>MONTH(RawSalesTable6[[#This Row],[Order_Date]])</f>
        <v>5</v>
      </c>
      <c r="AI701" s="8" t="str">
        <f>TEXT(RawSalesTable6[[#This Row],[Order_Date]],"mmmm")</f>
        <v>mai</v>
      </c>
      <c r="AJ701" s="8" t="str">
        <f>IF(RawSalesTable6[[#This Row],[Month_Number]]&lt;=3,"Q1",IF(RawSalesTable6[[#This Row],[Month_Number]]&lt;=6,"Q2",IF(RawSalesTable6[[#This Row],[Month_Number]]&lt;=9,"Q3","Q4")))</f>
        <v>Q2</v>
      </c>
      <c r="AK701" s="8" t="str">
        <f>VLOOKUP(RawSalesTable6[[#This Row],[Customer_ID_Clean]],CustomersTable[],4,FALSE)</f>
        <v>Quebec</v>
      </c>
      <c r="AL701" s="8">
        <f>IF(RawSalesTable6[[#This Row],[Return_Status]]="Yes",1,0)</f>
        <v>0</v>
      </c>
    </row>
    <row r="702" spans="1:38">
      <c r="A702" t="s">
        <v>1152</v>
      </c>
      <c r="B702" s="3">
        <v>45703</v>
      </c>
      <c r="C702" t="s">
        <v>379</v>
      </c>
      <c r="D702" t="s">
        <v>190</v>
      </c>
      <c r="E702" t="s">
        <v>380</v>
      </c>
      <c r="F702" t="s">
        <v>103</v>
      </c>
      <c r="G702" t="s">
        <v>122</v>
      </c>
      <c r="H702" t="s">
        <v>89</v>
      </c>
      <c r="I702">
        <v>2</v>
      </c>
      <c r="J702" s="2">
        <v>274.38</v>
      </c>
      <c r="K702" s="4">
        <v>0.15</v>
      </c>
      <c r="L702" t="s">
        <v>521</v>
      </c>
      <c r="M702">
        <v>4</v>
      </c>
      <c r="N702" t="s">
        <v>91</v>
      </c>
      <c r="O702" t="str">
        <f>SUBSTITUTE(PROPER(TRIM(RawSalesTable6[[#This Row],[Channel_Raw]])),"Market Place","Marketplace")</f>
        <v>Online</v>
      </c>
      <c r="P702" t="str">
        <f>TRIM(RawSalesTable6[[#This Row],[Product_ID]])</f>
        <v>P1004</v>
      </c>
      <c r="Q702" t="str">
        <f>TRIM(RawSalesTable6[[#This Row],[Customer_ID]])</f>
        <v>C0072</v>
      </c>
      <c r="R702" s="8" t="str">
        <f>PROPER(TRIM(RawSalesTable6[[#This Row],[Store_Raw]]))</f>
        <v>Vancouver West</v>
      </c>
      <c r="S702" s="8" t="str">
        <f>IF(TRIM(RawSalesTable6[[#This Row],[Payment_Method_Raw]])="","Non renseigné",SUBSTITUTE(PROPER(TRIM(RawSalesTable6[[#This Row],[Payment_Method_Raw]])),"Cc","Credit Card"))</f>
        <v>Debit Card</v>
      </c>
      <c r="T702" s="8">
        <f>COUNTIF(A:A,RawSalesTable6[[#This Row],[Order_ID]])</f>
        <v>1</v>
      </c>
      <c r="U702" s="8" t="str">
        <f>TRIM(LEFT(RawSalesTable6[[#This Row],[Customer_Info]],FIND(",",RawSalesTable6[[#This Row],[Customer_Info]])-1))</f>
        <v>Ryan Bennett</v>
      </c>
      <c r="V702" s="8" t="str">
        <f>TRIM(MID(RawSalesTable6[[#This Row],[Customer_Info]],FIND(",",RawSalesTable6[[#This Row],[Customer_Info]])+1,FIND(",",RawSalesTable6[[#This Row],[Customer_Info]],FIND(",",RawSalesTable6[[#This Row],[Customer_Info]])+1)-FIND(",",RawSalesTable6[[#This Row],[Customer_Info]])-1))</f>
        <v>Montreal</v>
      </c>
      <c r="W702" s="8" t="str">
        <f>TRIM(RIGHT(RawSalesTable6[[#This Row],[Customer_Info]],LEN(RawSalesTable6[[#This Row],[Customer_Info]])-FIND(",",RawSalesTable6[[#This Row],[Customer_Info]],FIND(",",RawSalesTable6[[#This Row],[Customer_Info]])+1)))</f>
        <v>Corporate</v>
      </c>
      <c r="X702" s="8" t="str">
        <f>VLOOKUP(RawSalesTable6[[#This Row],[Product_ID_Clean]],ProductsTable[],2,FALSE)</f>
        <v>Webcam</v>
      </c>
      <c r="Y702" s="8" t="str">
        <f>VLOOKUP(RawSalesTable6[[#This Row],[Product_ID_Clean]],ProductsTable[],3,FALSE)</f>
        <v>Electronics</v>
      </c>
      <c r="Z702" s="8">
        <f>VLOOKUP(RawSalesTable6[[#This Row],[Product_ID_Clean]],ProductsTable[],5,FALSE)</f>
        <v>154.72999999999999</v>
      </c>
      <c r="AA702" s="8">
        <f>RawSalesTable6[[#This Row],[Unit_Price]]*RawSalesTable6[[#This Row],[Quantity]]</f>
        <v>548.76</v>
      </c>
      <c r="AB702" s="8">
        <f>RawSalesTable6[[#This Row],[Gross_Sales]]*RawSalesTable6[[#This Row],[Discount_Pct]]</f>
        <v>82.313999999999993</v>
      </c>
      <c r="AC702" s="8">
        <f>RawSalesTable6[[#This Row],[Gross_Sales]]-RawSalesTable6[[#This Row],[Discount_Amount]]</f>
        <v>466.44600000000003</v>
      </c>
      <c r="AD702" s="8">
        <f>RawSalesTable6[[#This Row],[Unit_Cost]]*RawSalesTable6[[#This Row],[Quantity]]</f>
        <v>309.45999999999998</v>
      </c>
      <c r="AE702" s="8">
        <f>RawSalesTable6[[#This Row],[Net_Sales]]-RawSalesTable6[[#This Row],[Total_Cost]]</f>
        <v>156.98600000000005</v>
      </c>
      <c r="AF702" s="9">
        <f>RawSalesTable6[[#This Row],[Profit]]/RawSalesTable6[[#This Row],[Net_Sales]]</f>
        <v>0.33655771514816302</v>
      </c>
      <c r="AG702" s="8">
        <f>YEAR(RawSalesTable6[[#This Row],[Order_Date]])</f>
        <v>2025</v>
      </c>
      <c r="AH702" s="8">
        <f>MONTH(RawSalesTable6[[#This Row],[Order_Date]])</f>
        <v>2</v>
      </c>
      <c r="AI702" s="8" t="str">
        <f>TEXT(RawSalesTable6[[#This Row],[Order_Date]],"mmmm")</f>
        <v>février</v>
      </c>
      <c r="AJ702" s="8" t="str">
        <f>IF(RawSalesTable6[[#This Row],[Month_Number]]&lt;=3,"Q1",IF(RawSalesTable6[[#This Row],[Month_Number]]&lt;=6,"Q2",IF(RawSalesTable6[[#This Row],[Month_Number]]&lt;=9,"Q3","Q4")))</f>
        <v>Q1</v>
      </c>
      <c r="AK702" s="8" t="str">
        <f>VLOOKUP(RawSalesTable6[[#This Row],[Customer_ID_Clean]],CustomersTable[],4,FALSE)</f>
        <v>Quebec</v>
      </c>
      <c r="AL702" s="8">
        <f>IF(RawSalesTable6[[#This Row],[Return_Status]]="Yes",1,0)</f>
        <v>0</v>
      </c>
    </row>
    <row r="703" spans="1:38">
      <c r="A703" t="s">
        <v>1153</v>
      </c>
      <c r="B703" s="3">
        <v>45695</v>
      </c>
      <c r="C703" t="s">
        <v>220</v>
      </c>
      <c r="D703" t="s">
        <v>738</v>
      </c>
      <c r="E703" t="s">
        <v>222</v>
      </c>
      <c r="F703" t="s">
        <v>116</v>
      </c>
      <c r="G703" t="s">
        <v>130</v>
      </c>
      <c r="H703" t="s">
        <v>97</v>
      </c>
      <c r="I703">
        <v>2</v>
      </c>
      <c r="J703" s="2">
        <v>328.35</v>
      </c>
      <c r="K703" s="4">
        <v>0.05</v>
      </c>
      <c r="L703" t="s">
        <v>106</v>
      </c>
      <c r="M703">
        <v>3</v>
      </c>
      <c r="N703" t="s">
        <v>91</v>
      </c>
      <c r="O703" t="str">
        <f>SUBSTITUTE(PROPER(TRIM(RawSalesTable6[[#This Row],[Channel_Raw]])),"Market Place","Marketplace")</f>
        <v>Retail Store</v>
      </c>
      <c r="P703" t="str">
        <f>TRIM(RawSalesTable6[[#This Row],[Product_ID]])</f>
        <v>P1016</v>
      </c>
      <c r="Q703" t="str">
        <f>TRIM(RawSalesTable6[[#This Row],[Customer_ID]])</f>
        <v>C0067</v>
      </c>
      <c r="R703" s="8" t="str">
        <f>PROPER(TRIM(RawSalesTable6[[#This Row],[Store_Raw]]))</f>
        <v>Toronto Downtown</v>
      </c>
      <c r="S703" s="8" t="str">
        <f>IF(TRIM(RawSalesTable6[[#This Row],[Payment_Method_Raw]])="","Non renseigné",SUBSTITUTE(PROPER(TRIM(RawSalesTable6[[#This Row],[Payment_Method_Raw]])),"Cc","Credit Card"))</f>
        <v>Credit Card</v>
      </c>
      <c r="T703" s="8">
        <f>COUNTIF(A:A,RawSalesTable6[[#This Row],[Order_ID]])</f>
        <v>1</v>
      </c>
      <c r="U703" s="8" t="str">
        <f>TRIM(LEFT(RawSalesTable6[[#This Row],[Customer_Info]],FIND(",",RawSalesTable6[[#This Row],[Customer_Info]])-1))</f>
        <v>Leo Bennett</v>
      </c>
      <c r="V703" s="8" t="str">
        <f>TRIM(MID(RawSalesTable6[[#This Row],[Customer_Info]],FIND(",",RawSalesTable6[[#This Row],[Customer_Info]])+1,FIND(",",RawSalesTable6[[#This Row],[Customer_Info]],FIND(",",RawSalesTable6[[#This Row],[Customer_Info]])+1)-FIND(",",RawSalesTable6[[#This Row],[Customer_Info]])-1))</f>
        <v>Mississauga</v>
      </c>
      <c r="W703" s="8" t="str">
        <f>TRIM(RIGHT(RawSalesTable6[[#This Row],[Customer_Info]],LEN(RawSalesTable6[[#This Row],[Customer_Info]])-FIND(",",RawSalesTable6[[#This Row],[Customer_Info]],FIND(",",RawSalesTable6[[#This Row],[Customer_Info]])+1)))</f>
        <v>Consumer</v>
      </c>
      <c r="X703" s="8" t="str">
        <f>VLOOKUP(RawSalesTable6[[#This Row],[Product_ID_Clean]],ProductsTable[],2,FALSE)</f>
        <v>Printer</v>
      </c>
      <c r="Y703" s="8" t="str">
        <f>VLOOKUP(RawSalesTable6[[#This Row],[Product_ID_Clean]],ProductsTable[],3,FALSE)</f>
        <v>Office</v>
      </c>
      <c r="Z703" s="8">
        <f>VLOOKUP(RawSalesTable6[[#This Row],[Product_ID_Clean]],ProductsTable[],5,FALSE)</f>
        <v>156.75</v>
      </c>
      <c r="AA703" s="8">
        <f>RawSalesTable6[[#This Row],[Unit_Price]]*RawSalesTable6[[#This Row],[Quantity]]</f>
        <v>656.7</v>
      </c>
      <c r="AB703" s="8">
        <f>RawSalesTable6[[#This Row],[Gross_Sales]]*RawSalesTable6[[#This Row],[Discount_Pct]]</f>
        <v>32.835000000000001</v>
      </c>
      <c r="AC703" s="8">
        <f>RawSalesTable6[[#This Row],[Gross_Sales]]-RawSalesTable6[[#This Row],[Discount_Amount]]</f>
        <v>623.86500000000001</v>
      </c>
      <c r="AD703" s="8">
        <f>RawSalesTable6[[#This Row],[Unit_Cost]]*RawSalesTable6[[#This Row],[Quantity]]</f>
        <v>313.5</v>
      </c>
      <c r="AE703" s="8">
        <f>RawSalesTable6[[#This Row],[Net_Sales]]-RawSalesTable6[[#This Row],[Total_Cost]]</f>
        <v>310.36500000000001</v>
      </c>
      <c r="AF703" s="9">
        <f>RawSalesTable6[[#This Row],[Profit]]/RawSalesTable6[[#This Row],[Net_Sales]]</f>
        <v>0.49748743718592964</v>
      </c>
      <c r="AG703" s="8">
        <f>YEAR(RawSalesTable6[[#This Row],[Order_Date]])</f>
        <v>2025</v>
      </c>
      <c r="AH703" s="8">
        <f>MONTH(RawSalesTable6[[#This Row],[Order_Date]])</f>
        <v>2</v>
      </c>
      <c r="AI703" s="8" t="str">
        <f>TEXT(RawSalesTable6[[#This Row],[Order_Date]],"mmmm")</f>
        <v>février</v>
      </c>
      <c r="AJ703" s="8" t="str">
        <f>IF(RawSalesTable6[[#This Row],[Month_Number]]&lt;=3,"Q1",IF(RawSalesTable6[[#This Row],[Month_Number]]&lt;=6,"Q2",IF(RawSalesTable6[[#This Row],[Month_Number]]&lt;=9,"Q3","Q4")))</f>
        <v>Q1</v>
      </c>
      <c r="AK703" s="8" t="str">
        <f>VLOOKUP(RawSalesTable6[[#This Row],[Customer_ID_Clean]],CustomersTable[],4,FALSE)</f>
        <v>Ontario</v>
      </c>
      <c r="AL703" s="8">
        <f>IF(RawSalesTable6[[#This Row],[Return_Status]]="Yes",1,0)</f>
        <v>0</v>
      </c>
    </row>
    <row r="704" spans="1:38">
      <c r="A704" t="s">
        <v>1154</v>
      </c>
      <c r="B704" s="3">
        <v>46014</v>
      </c>
      <c r="C704" t="s">
        <v>290</v>
      </c>
      <c r="D704" t="s">
        <v>120</v>
      </c>
      <c r="E704" t="s">
        <v>732</v>
      </c>
      <c r="F704" t="s">
        <v>87</v>
      </c>
      <c r="G704" t="s">
        <v>117</v>
      </c>
      <c r="H704" t="s">
        <v>89</v>
      </c>
      <c r="I704">
        <v>2</v>
      </c>
      <c r="J704" s="2">
        <v>377.86</v>
      </c>
      <c r="K704" s="4">
        <v>0.25</v>
      </c>
      <c r="L704" t="s">
        <v>98</v>
      </c>
      <c r="M704">
        <v>6</v>
      </c>
      <c r="N704" t="s">
        <v>91</v>
      </c>
      <c r="O704" t="str">
        <f>SUBSTITUTE(PROPER(TRIM(RawSalesTable6[[#This Row],[Channel_Raw]])),"Market Place","Marketplace")</f>
        <v>Online</v>
      </c>
      <c r="P704" t="str">
        <f>TRIM(RawSalesTable6[[#This Row],[Product_ID]])</f>
        <v>P1015</v>
      </c>
      <c r="Q704" t="str">
        <f>TRIM(RawSalesTable6[[#This Row],[Customer_ID]])</f>
        <v>C0116</v>
      </c>
      <c r="R704" s="8" t="str">
        <f>PROPER(TRIM(RawSalesTable6[[#This Row],[Store_Raw]]))</f>
        <v>Online Fulfillment</v>
      </c>
      <c r="S704" s="8" t="str">
        <f>IF(TRIM(RawSalesTable6[[#This Row],[Payment_Method_Raw]])="","Non renseigné",SUBSTITUTE(PROPER(TRIM(RawSalesTable6[[#This Row],[Payment_Method_Raw]])),"Cc","Credit Card"))</f>
        <v>Debit Card</v>
      </c>
      <c r="T704" s="8">
        <f>COUNTIF(A:A,RawSalesTable6[[#This Row],[Order_ID]])</f>
        <v>1</v>
      </c>
      <c r="U704" s="8" t="str">
        <f>TRIM(LEFT(RawSalesTable6[[#This Row],[Customer_Info]],FIND(",",RawSalesTable6[[#This Row],[Customer_Info]])-1))</f>
        <v>Lucas Brown</v>
      </c>
      <c r="V704" s="8" t="str">
        <f>TRIM(MID(RawSalesTable6[[#This Row],[Customer_Info]],FIND(",",RawSalesTable6[[#This Row],[Customer_Info]])+1,FIND(",",RawSalesTable6[[#This Row],[Customer_Info]],FIND(",",RawSalesTable6[[#This Row],[Customer_Info]])+1)-FIND(",",RawSalesTable6[[#This Row],[Customer_Info]])-1))</f>
        <v>Mississauga</v>
      </c>
      <c r="W704" s="8" t="str">
        <f>TRIM(RIGHT(RawSalesTable6[[#This Row],[Customer_Info]],LEN(RawSalesTable6[[#This Row],[Customer_Info]])-FIND(",",RawSalesTable6[[#This Row],[Customer_Info]],FIND(",",RawSalesTable6[[#This Row],[Customer_Info]])+1)))</f>
        <v>Corporate</v>
      </c>
      <c r="X704" s="8" t="str">
        <f>VLOOKUP(RawSalesTable6[[#This Row],[Product_ID_Clean]],ProductsTable[],2,FALSE)</f>
        <v>Desk Organizer</v>
      </c>
      <c r="Y704" s="8" t="str">
        <f>VLOOKUP(RawSalesTable6[[#This Row],[Product_ID_Clean]],ProductsTable[],3,FALSE)</f>
        <v>Office</v>
      </c>
      <c r="Z704" s="8">
        <f>VLOOKUP(RawSalesTable6[[#This Row],[Product_ID_Clean]],ProductsTable[],5,FALSE)</f>
        <v>235.76</v>
      </c>
      <c r="AA704" s="8">
        <f>RawSalesTable6[[#This Row],[Unit_Price]]*RawSalesTable6[[#This Row],[Quantity]]</f>
        <v>755.72</v>
      </c>
      <c r="AB704" s="8">
        <f>RawSalesTable6[[#This Row],[Gross_Sales]]*RawSalesTable6[[#This Row],[Discount_Pct]]</f>
        <v>188.93</v>
      </c>
      <c r="AC704" s="8">
        <f>RawSalesTable6[[#This Row],[Gross_Sales]]-RawSalesTable6[[#This Row],[Discount_Amount]]</f>
        <v>566.79</v>
      </c>
      <c r="AD704" s="8">
        <f>RawSalesTable6[[#This Row],[Unit_Cost]]*RawSalesTable6[[#This Row],[Quantity]]</f>
        <v>471.52</v>
      </c>
      <c r="AE704" s="8">
        <f>RawSalesTable6[[#This Row],[Net_Sales]]-RawSalesTable6[[#This Row],[Total_Cost]]</f>
        <v>95.269999999999982</v>
      </c>
      <c r="AF704" s="9">
        <f>RawSalesTable6[[#This Row],[Profit]]/RawSalesTable6[[#This Row],[Net_Sales]]</f>
        <v>0.16808694578238853</v>
      </c>
      <c r="AG704" s="8">
        <f>YEAR(RawSalesTable6[[#This Row],[Order_Date]])</f>
        <v>2025</v>
      </c>
      <c r="AH704" s="8">
        <f>MONTH(RawSalesTable6[[#This Row],[Order_Date]])</f>
        <v>12</v>
      </c>
      <c r="AI704" s="8" t="str">
        <f>TEXT(RawSalesTable6[[#This Row],[Order_Date]],"mmmm")</f>
        <v>décembre</v>
      </c>
      <c r="AJ704" s="8" t="str">
        <f>IF(RawSalesTable6[[#This Row],[Month_Number]]&lt;=3,"Q1",IF(RawSalesTable6[[#This Row],[Month_Number]]&lt;=6,"Q2",IF(RawSalesTable6[[#This Row],[Month_Number]]&lt;=9,"Q3","Q4")))</f>
        <v>Q4</v>
      </c>
      <c r="AK704" s="8" t="str">
        <f>VLOOKUP(RawSalesTable6[[#This Row],[Customer_ID_Clean]],CustomersTable[],4,FALSE)</f>
        <v>Ontario</v>
      </c>
      <c r="AL704" s="8">
        <f>IF(RawSalesTable6[[#This Row],[Return_Status]]="Yes",1,0)</f>
        <v>0</v>
      </c>
    </row>
    <row r="705" spans="1:38">
      <c r="A705" t="s">
        <v>1155</v>
      </c>
      <c r="B705" s="3">
        <v>45874</v>
      </c>
      <c r="C705" t="s">
        <v>670</v>
      </c>
      <c r="D705" t="s">
        <v>114</v>
      </c>
      <c r="E705" t="s">
        <v>671</v>
      </c>
      <c r="F705" t="s">
        <v>145</v>
      </c>
      <c r="G705" t="s">
        <v>130</v>
      </c>
      <c r="H705" t="s">
        <v>89</v>
      </c>
      <c r="I705">
        <v>4</v>
      </c>
      <c r="J705" s="2">
        <v>141.24</v>
      </c>
      <c r="K705" s="4">
        <v>0</v>
      </c>
      <c r="L705" t="s">
        <v>106</v>
      </c>
      <c r="M705">
        <v>4</v>
      </c>
      <c r="N705" t="s">
        <v>91</v>
      </c>
      <c r="O705" t="str">
        <f>SUBSTITUTE(PROPER(TRIM(RawSalesTable6[[#This Row],[Channel_Raw]])),"Market Place","Marketplace")</f>
        <v>Online</v>
      </c>
      <c r="P705" t="str">
        <f>TRIM(RawSalesTable6[[#This Row],[Product_ID]])</f>
        <v>P1034</v>
      </c>
      <c r="Q705" t="str">
        <f>TRIM(RawSalesTable6[[#This Row],[Customer_ID]])</f>
        <v>C0107</v>
      </c>
      <c r="R705" s="8" t="str">
        <f>PROPER(TRIM(RawSalesTable6[[#This Row],[Store_Raw]]))</f>
        <v>Calgary North</v>
      </c>
      <c r="S705" s="8" t="str">
        <f>IF(TRIM(RawSalesTable6[[#This Row],[Payment_Method_Raw]])="","Non renseigné",SUBSTITUTE(PROPER(TRIM(RawSalesTable6[[#This Row],[Payment_Method_Raw]])),"Cc","Credit Card"))</f>
        <v>Credit Card</v>
      </c>
      <c r="T705" s="8">
        <f>COUNTIF(A:A,RawSalesTable6[[#This Row],[Order_ID]])</f>
        <v>1</v>
      </c>
      <c r="U705" s="8" t="str">
        <f>TRIM(LEFT(RawSalesTable6[[#This Row],[Customer_Info]],FIND(",",RawSalesTable6[[#This Row],[Customer_Info]])-1))</f>
        <v>Ava Lee</v>
      </c>
      <c r="V705" s="8" t="str">
        <f>TRIM(MID(RawSalesTable6[[#This Row],[Customer_Info]],FIND(",",RawSalesTable6[[#This Row],[Customer_Info]])+1,FIND(",",RawSalesTable6[[#This Row],[Customer_Info]],FIND(",",RawSalesTable6[[#This Row],[Customer_Info]])+1)-FIND(",",RawSalesTable6[[#This Row],[Customer_Info]])-1))</f>
        <v>Calgary</v>
      </c>
      <c r="W705" s="8" t="str">
        <f>TRIM(RIGHT(RawSalesTable6[[#This Row],[Customer_Info]],LEN(RawSalesTable6[[#This Row],[Customer_Info]])-FIND(",",RawSalesTable6[[#This Row],[Customer_Info]],FIND(",",RawSalesTable6[[#This Row],[Customer_Info]])+1)))</f>
        <v>Small Business</v>
      </c>
      <c r="X705" s="8" t="str">
        <f>VLOOKUP(RawSalesTable6[[#This Row],[Product_ID_Clean]],ProductsTable[],2,FALSE)</f>
        <v>Laptop Sleeve</v>
      </c>
      <c r="Y705" s="8" t="str">
        <f>VLOOKUP(RawSalesTable6[[#This Row],[Product_ID_Clean]],ProductsTable[],3,FALSE)</f>
        <v>Accessories</v>
      </c>
      <c r="Z705" s="8">
        <f>VLOOKUP(RawSalesTable6[[#This Row],[Product_ID_Clean]],ProductsTable[],5,FALSE)</f>
        <v>78.95</v>
      </c>
      <c r="AA705" s="8">
        <f>RawSalesTable6[[#This Row],[Unit_Price]]*RawSalesTable6[[#This Row],[Quantity]]</f>
        <v>564.96</v>
      </c>
      <c r="AB705" s="8">
        <f>RawSalesTable6[[#This Row],[Gross_Sales]]*RawSalesTable6[[#This Row],[Discount_Pct]]</f>
        <v>0</v>
      </c>
      <c r="AC705" s="8">
        <f>RawSalesTable6[[#This Row],[Gross_Sales]]-RawSalesTable6[[#This Row],[Discount_Amount]]</f>
        <v>564.96</v>
      </c>
      <c r="AD705" s="8">
        <f>RawSalesTable6[[#This Row],[Unit_Cost]]*RawSalesTable6[[#This Row],[Quantity]]</f>
        <v>315.8</v>
      </c>
      <c r="AE705" s="8">
        <f>RawSalesTable6[[#This Row],[Net_Sales]]-RawSalesTable6[[#This Row],[Total_Cost]]</f>
        <v>249.16000000000003</v>
      </c>
      <c r="AF705" s="9">
        <f>RawSalesTable6[[#This Row],[Profit]]/RawSalesTable6[[#This Row],[Net_Sales]]</f>
        <v>0.44102237326536392</v>
      </c>
      <c r="AG705" s="8">
        <f>YEAR(RawSalesTable6[[#This Row],[Order_Date]])</f>
        <v>2025</v>
      </c>
      <c r="AH705" s="8">
        <f>MONTH(RawSalesTable6[[#This Row],[Order_Date]])</f>
        <v>8</v>
      </c>
      <c r="AI705" s="8" t="str">
        <f>TEXT(RawSalesTable6[[#This Row],[Order_Date]],"mmmm")</f>
        <v>août</v>
      </c>
      <c r="AJ705" s="8" t="str">
        <f>IF(RawSalesTable6[[#This Row],[Month_Number]]&lt;=3,"Q1",IF(RawSalesTable6[[#This Row],[Month_Number]]&lt;=6,"Q2",IF(RawSalesTable6[[#This Row],[Month_Number]]&lt;=9,"Q3","Q4")))</f>
        <v>Q3</v>
      </c>
      <c r="AK705" s="8" t="str">
        <f>VLOOKUP(RawSalesTable6[[#This Row],[Customer_ID_Clean]],CustomersTable[],4,FALSE)</f>
        <v>Alberta</v>
      </c>
      <c r="AL705" s="8">
        <f>IF(RawSalesTable6[[#This Row],[Return_Status]]="Yes",1,0)</f>
        <v>0</v>
      </c>
    </row>
    <row r="706" spans="1:38">
      <c r="A706" t="s">
        <v>1156</v>
      </c>
      <c r="B706" s="3">
        <v>45718</v>
      </c>
      <c r="C706" t="s">
        <v>243</v>
      </c>
      <c r="D706" t="s">
        <v>94</v>
      </c>
      <c r="E706" t="s">
        <v>245</v>
      </c>
      <c r="F706" t="s">
        <v>103</v>
      </c>
      <c r="G706" t="s">
        <v>96</v>
      </c>
      <c r="H706" t="s">
        <v>89</v>
      </c>
      <c r="I706">
        <v>3</v>
      </c>
      <c r="J706" s="2">
        <v>318.18</v>
      </c>
      <c r="K706" s="4">
        <v>0.1</v>
      </c>
      <c r="L706" t="s">
        <v>98</v>
      </c>
      <c r="M706">
        <v>7</v>
      </c>
      <c r="N706" t="s">
        <v>91</v>
      </c>
      <c r="O706" t="str">
        <f>SUBSTITUTE(PROPER(TRIM(RawSalesTable6[[#This Row],[Channel_Raw]])),"Market Place","Marketplace")</f>
        <v>Online</v>
      </c>
      <c r="P706" t="str">
        <f>TRIM(RawSalesTable6[[#This Row],[Product_ID]])</f>
        <v>P1033</v>
      </c>
      <c r="Q706" t="str">
        <f>TRIM(RawSalesTable6[[#This Row],[Customer_ID]])</f>
        <v>C0048</v>
      </c>
      <c r="R706" s="8" t="str">
        <f>PROPER(TRIM(RawSalesTable6[[#This Row],[Store_Raw]]))</f>
        <v>Vancouver West</v>
      </c>
      <c r="S706" s="8" t="str">
        <f>IF(TRIM(RawSalesTable6[[#This Row],[Payment_Method_Raw]])="","Non renseigné",SUBSTITUTE(PROPER(TRIM(RawSalesTable6[[#This Row],[Payment_Method_Raw]])),"Cc","Credit Card"))</f>
        <v>Debit Card</v>
      </c>
      <c r="T706" s="8">
        <f>COUNTIF(A:A,RawSalesTable6[[#This Row],[Order_ID]])</f>
        <v>1</v>
      </c>
      <c r="U706" s="8" t="str">
        <f>TRIM(LEFT(RawSalesTable6[[#This Row],[Customer_Info]],FIND(",",RawSalesTable6[[#This Row],[Customer_Info]])-1))</f>
        <v>Amelia Brown</v>
      </c>
      <c r="V706" s="8" t="str">
        <f>TRIM(MID(RawSalesTable6[[#This Row],[Customer_Info]],FIND(",",RawSalesTable6[[#This Row],[Customer_Info]])+1,FIND(",",RawSalesTable6[[#This Row],[Customer_Info]],FIND(",",RawSalesTable6[[#This Row],[Customer_Info]])+1)-FIND(",",RawSalesTable6[[#This Row],[Customer_Info]])-1))</f>
        <v>Quebec City</v>
      </c>
      <c r="W706" s="8" t="str">
        <f>TRIM(RIGHT(RawSalesTable6[[#This Row],[Customer_Info]],LEN(RawSalesTable6[[#This Row],[Customer_Info]])-FIND(",",RawSalesTable6[[#This Row],[Customer_Info]],FIND(",",RawSalesTable6[[#This Row],[Customer_Info]])+1)))</f>
        <v>Corporate</v>
      </c>
      <c r="X706" s="8" t="str">
        <f>VLOOKUP(RawSalesTable6[[#This Row],[Product_ID_Clean]],ProductsTable[],2,FALSE)</f>
        <v>Backpack</v>
      </c>
      <c r="Y706" s="8" t="str">
        <f>VLOOKUP(RawSalesTable6[[#This Row],[Product_ID_Clean]],ProductsTable[],3,FALSE)</f>
        <v>Accessories</v>
      </c>
      <c r="Z706" s="8">
        <f>VLOOKUP(RawSalesTable6[[#This Row],[Product_ID_Clean]],ProductsTable[],5,FALSE)</f>
        <v>152.55000000000001</v>
      </c>
      <c r="AA706" s="8">
        <f>RawSalesTable6[[#This Row],[Unit_Price]]*RawSalesTable6[[#This Row],[Quantity]]</f>
        <v>954.54</v>
      </c>
      <c r="AB706" s="8">
        <f>RawSalesTable6[[#This Row],[Gross_Sales]]*RawSalesTable6[[#This Row],[Discount_Pct]]</f>
        <v>95.454000000000008</v>
      </c>
      <c r="AC706" s="8">
        <f>RawSalesTable6[[#This Row],[Gross_Sales]]-RawSalesTable6[[#This Row],[Discount_Amount]]</f>
        <v>859.08600000000001</v>
      </c>
      <c r="AD706" s="8">
        <f>RawSalesTable6[[#This Row],[Unit_Cost]]*RawSalesTable6[[#This Row],[Quantity]]</f>
        <v>457.65000000000003</v>
      </c>
      <c r="AE706" s="8">
        <f>RawSalesTable6[[#This Row],[Net_Sales]]-RawSalesTable6[[#This Row],[Total_Cost]]</f>
        <v>401.43599999999998</v>
      </c>
      <c r="AF706" s="9">
        <f>RawSalesTable6[[#This Row],[Profit]]/RawSalesTable6[[#This Row],[Net_Sales]]</f>
        <v>0.46728267018668673</v>
      </c>
      <c r="AG706" s="8">
        <f>YEAR(RawSalesTable6[[#This Row],[Order_Date]])</f>
        <v>2025</v>
      </c>
      <c r="AH706" s="8">
        <f>MONTH(RawSalesTable6[[#This Row],[Order_Date]])</f>
        <v>3</v>
      </c>
      <c r="AI706" s="8" t="str">
        <f>TEXT(RawSalesTable6[[#This Row],[Order_Date]],"mmmm")</f>
        <v>mars</v>
      </c>
      <c r="AJ706" s="8" t="str">
        <f>IF(RawSalesTable6[[#This Row],[Month_Number]]&lt;=3,"Q1",IF(RawSalesTable6[[#This Row],[Month_Number]]&lt;=6,"Q2",IF(RawSalesTable6[[#This Row],[Month_Number]]&lt;=9,"Q3","Q4")))</f>
        <v>Q1</v>
      </c>
      <c r="AK706" s="8" t="str">
        <f>VLOOKUP(RawSalesTable6[[#This Row],[Customer_ID_Clean]],CustomersTable[],4,FALSE)</f>
        <v>Quebec</v>
      </c>
      <c r="AL706" s="8">
        <f>IF(RawSalesTable6[[#This Row],[Return_Status]]="Yes",1,0)</f>
        <v>0</v>
      </c>
    </row>
    <row r="707" spans="1:38">
      <c r="A707" t="s">
        <v>1157</v>
      </c>
      <c r="B707" s="3">
        <v>45954</v>
      </c>
      <c r="C707" t="s">
        <v>512</v>
      </c>
      <c r="D707" t="s">
        <v>738</v>
      </c>
      <c r="E707" t="s">
        <v>513</v>
      </c>
      <c r="F707" t="s">
        <v>103</v>
      </c>
      <c r="G707" t="s">
        <v>96</v>
      </c>
      <c r="H707" t="s">
        <v>233</v>
      </c>
      <c r="I707">
        <v>4</v>
      </c>
      <c r="J707" s="2">
        <v>328.67</v>
      </c>
      <c r="K707" s="4">
        <v>0</v>
      </c>
      <c r="L707" t="s">
        <v>90</v>
      </c>
      <c r="M707">
        <v>1</v>
      </c>
      <c r="N707" t="s">
        <v>91</v>
      </c>
      <c r="O707" t="str">
        <f>SUBSTITUTE(PROPER(TRIM(RawSalesTable6[[#This Row],[Channel_Raw]])),"Market Place","Marketplace")</f>
        <v>Retail Store</v>
      </c>
      <c r="P707" t="str">
        <f>TRIM(RawSalesTable6[[#This Row],[Product_ID]])</f>
        <v>P1016</v>
      </c>
      <c r="Q707" t="str">
        <f>TRIM(RawSalesTable6[[#This Row],[Customer_ID]])</f>
        <v>C0082</v>
      </c>
      <c r="R707" s="8" t="str">
        <f>PROPER(TRIM(RawSalesTable6[[#This Row],[Store_Raw]]))</f>
        <v>Vancouver West</v>
      </c>
      <c r="S707" s="8" t="str">
        <f>IF(TRIM(RawSalesTable6[[#This Row],[Payment_Method_Raw]])="","Non renseigné",SUBSTITUTE(PROPER(TRIM(RawSalesTable6[[#This Row],[Payment_Method_Raw]])),"Cc","Credit Card"))</f>
        <v>Paypal</v>
      </c>
      <c r="T707" s="8">
        <f>COUNTIF(A:A,RawSalesTable6[[#This Row],[Order_ID]])</f>
        <v>1</v>
      </c>
      <c r="U707" s="8" t="str">
        <f>TRIM(LEFT(RawSalesTable6[[#This Row],[Customer_Info]],FIND(",",RawSalesTable6[[#This Row],[Customer_Info]])-1))</f>
        <v>Ryan King</v>
      </c>
      <c r="V707" s="8" t="str">
        <f>TRIM(MID(RawSalesTable6[[#This Row],[Customer_Info]],FIND(",",RawSalesTable6[[#This Row],[Customer_Info]])+1,FIND(",",RawSalesTable6[[#This Row],[Customer_Info]],FIND(",",RawSalesTable6[[#This Row],[Customer_Info]])+1)-FIND(",",RawSalesTable6[[#This Row],[Customer_Info]])-1))</f>
        <v>Winnipeg</v>
      </c>
      <c r="W707" s="8" t="str">
        <f>TRIM(RIGHT(RawSalesTable6[[#This Row],[Customer_Info]],LEN(RawSalesTable6[[#This Row],[Customer_Info]])-FIND(",",RawSalesTable6[[#This Row],[Customer_Info]],FIND(",",RawSalesTable6[[#This Row],[Customer_Info]])+1)))</f>
        <v>Small Business</v>
      </c>
      <c r="X707" s="8" t="str">
        <f>VLOOKUP(RawSalesTable6[[#This Row],[Product_ID_Clean]],ProductsTable[],2,FALSE)</f>
        <v>Printer</v>
      </c>
      <c r="Y707" s="8" t="str">
        <f>VLOOKUP(RawSalesTable6[[#This Row],[Product_ID_Clean]],ProductsTable[],3,FALSE)</f>
        <v>Office</v>
      </c>
      <c r="Z707" s="8">
        <f>VLOOKUP(RawSalesTable6[[#This Row],[Product_ID_Clean]],ProductsTable[],5,FALSE)</f>
        <v>156.75</v>
      </c>
      <c r="AA707" s="8">
        <f>RawSalesTable6[[#This Row],[Unit_Price]]*RawSalesTable6[[#This Row],[Quantity]]</f>
        <v>1314.68</v>
      </c>
      <c r="AB707" s="8">
        <f>RawSalesTable6[[#This Row],[Gross_Sales]]*RawSalesTable6[[#This Row],[Discount_Pct]]</f>
        <v>0</v>
      </c>
      <c r="AC707" s="8">
        <f>RawSalesTable6[[#This Row],[Gross_Sales]]-RawSalesTable6[[#This Row],[Discount_Amount]]</f>
        <v>1314.68</v>
      </c>
      <c r="AD707" s="8">
        <f>RawSalesTable6[[#This Row],[Unit_Cost]]*RawSalesTable6[[#This Row],[Quantity]]</f>
        <v>627</v>
      </c>
      <c r="AE707" s="8">
        <f>RawSalesTable6[[#This Row],[Net_Sales]]-RawSalesTable6[[#This Row],[Total_Cost]]</f>
        <v>687.68000000000006</v>
      </c>
      <c r="AF707" s="9">
        <f>RawSalesTable6[[#This Row],[Profit]]/RawSalesTable6[[#This Row],[Net_Sales]]</f>
        <v>0.52307785925092043</v>
      </c>
      <c r="AG707" s="8">
        <f>YEAR(RawSalesTable6[[#This Row],[Order_Date]])</f>
        <v>2025</v>
      </c>
      <c r="AH707" s="8">
        <f>MONTH(RawSalesTable6[[#This Row],[Order_Date]])</f>
        <v>10</v>
      </c>
      <c r="AI707" s="8" t="str">
        <f>TEXT(RawSalesTable6[[#This Row],[Order_Date]],"mmmm")</f>
        <v>octobre</v>
      </c>
      <c r="AJ707" s="8" t="str">
        <f>IF(RawSalesTable6[[#This Row],[Month_Number]]&lt;=3,"Q1",IF(RawSalesTable6[[#This Row],[Month_Number]]&lt;=6,"Q2",IF(RawSalesTable6[[#This Row],[Month_Number]]&lt;=9,"Q3","Q4")))</f>
        <v>Q4</v>
      </c>
      <c r="AK707" s="8" t="str">
        <f>VLOOKUP(RawSalesTable6[[#This Row],[Customer_ID_Clean]],CustomersTable[],4,FALSE)</f>
        <v>Manitoba</v>
      </c>
      <c r="AL707" s="8">
        <f>IF(RawSalesTable6[[#This Row],[Return_Status]]="Yes",1,0)</f>
        <v>0</v>
      </c>
    </row>
    <row r="708" spans="1:38">
      <c r="A708" t="s">
        <v>1158</v>
      </c>
      <c r="B708" s="3">
        <v>45817</v>
      </c>
      <c r="C708" t="s">
        <v>758</v>
      </c>
      <c r="D708" t="s">
        <v>360</v>
      </c>
      <c r="E708" t="s">
        <v>759</v>
      </c>
      <c r="F708" t="s">
        <v>223</v>
      </c>
      <c r="G708" t="s">
        <v>130</v>
      </c>
      <c r="H708" t="s">
        <v>97</v>
      </c>
      <c r="I708">
        <v>5</v>
      </c>
      <c r="J708" s="2">
        <v>62.48</v>
      </c>
      <c r="K708" s="4">
        <v>0</v>
      </c>
      <c r="L708" t="s">
        <v>106</v>
      </c>
      <c r="M708">
        <v>0</v>
      </c>
      <c r="N708" t="s">
        <v>91</v>
      </c>
      <c r="O708" t="str">
        <f>SUBSTITUTE(PROPER(TRIM(RawSalesTable6[[#This Row],[Channel_Raw]])),"Market Place","Marketplace")</f>
        <v>Retail Store</v>
      </c>
      <c r="P708" t="str">
        <f>TRIM(RawSalesTable6[[#This Row],[Product_ID]])</f>
        <v>P1020</v>
      </c>
      <c r="Q708" t="str">
        <f>TRIM(RawSalesTable6[[#This Row],[Customer_ID]])</f>
        <v>C0034</v>
      </c>
      <c r="R708" s="8" t="str">
        <f>PROPER(TRIM(RawSalesTable6[[#This Row],[Store_Raw]]))</f>
        <v>Montreal Central</v>
      </c>
      <c r="S708" s="8" t="str">
        <f>IF(TRIM(RawSalesTable6[[#This Row],[Payment_Method_Raw]])="","Non renseigné",SUBSTITUTE(PROPER(TRIM(RawSalesTable6[[#This Row],[Payment_Method_Raw]])),"Cc","Credit Card"))</f>
        <v>Credit Card</v>
      </c>
      <c r="T708" s="8">
        <f>COUNTIF(A:A,RawSalesTable6[[#This Row],[Order_ID]])</f>
        <v>1</v>
      </c>
      <c r="U708" s="8" t="str">
        <f>TRIM(LEFT(RawSalesTable6[[#This Row],[Customer_Info]],FIND(",",RawSalesTable6[[#This Row],[Customer_Info]])-1))</f>
        <v>Noah Tremblay</v>
      </c>
      <c r="V708" s="8" t="str">
        <f>TRIM(MID(RawSalesTable6[[#This Row],[Customer_Info]],FIND(",",RawSalesTable6[[#This Row],[Customer_Info]])+1,FIND(",",RawSalesTable6[[#This Row],[Customer_Info]],FIND(",",RawSalesTable6[[#This Row],[Customer_Info]])+1)-FIND(",",RawSalesTable6[[#This Row],[Customer_Info]])-1))</f>
        <v>Toronto</v>
      </c>
      <c r="W708" s="8" t="str">
        <f>TRIM(RIGHT(RawSalesTable6[[#This Row],[Customer_Info]],LEN(RawSalesTable6[[#This Row],[Customer_Info]])-FIND(",",RawSalesTable6[[#This Row],[Customer_Info]],FIND(",",RawSalesTable6[[#This Row],[Customer_Info]])+1)))</f>
        <v>Corporate</v>
      </c>
      <c r="X708" s="8" t="str">
        <f>VLOOKUP(RawSalesTable6[[#This Row],[Product_ID_Clean]],ProductsTable[],2,FALSE)</f>
        <v>Blender</v>
      </c>
      <c r="Y708" s="8" t="str">
        <f>VLOOKUP(RawSalesTable6[[#This Row],[Product_ID_Clean]],ProductsTable[],3,FALSE)</f>
        <v>Home</v>
      </c>
      <c r="Z708" s="8">
        <f>VLOOKUP(RawSalesTable6[[#This Row],[Product_ID_Clean]],ProductsTable[],5,FALSE)</f>
        <v>37.46</v>
      </c>
      <c r="AA708" s="8">
        <f>RawSalesTable6[[#This Row],[Unit_Price]]*RawSalesTable6[[#This Row],[Quantity]]</f>
        <v>312.39999999999998</v>
      </c>
      <c r="AB708" s="8">
        <f>RawSalesTable6[[#This Row],[Gross_Sales]]*RawSalesTable6[[#This Row],[Discount_Pct]]</f>
        <v>0</v>
      </c>
      <c r="AC708" s="8">
        <f>RawSalesTable6[[#This Row],[Gross_Sales]]-RawSalesTable6[[#This Row],[Discount_Amount]]</f>
        <v>312.39999999999998</v>
      </c>
      <c r="AD708" s="8">
        <f>RawSalesTable6[[#This Row],[Unit_Cost]]*RawSalesTable6[[#This Row],[Quantity]]</f>
        <v>187.3</v>
      </c>
      <c r="AE708" s="8">
        <f>RawSalesTable6[[#This Row],[Net_Sales]]-RawSalesTable6[[#This Row],[Total_Cost]]</f>
        <v>125.09999999999997</v>
      </c>
      <c r="AF708" s="9">
        <f>RawSalesTable6[[#This Row],[Profit]]/RawSalesTable6[[#This Row],[Net_Sales]]</f>
        <v>0.4004481434058898</v>
      </c>
      <c r="AG708" s="8">
        <f>YEAR(RawSalesTable6[[#This Row],[Order_Date]])</f>
        <v>2025</v>
      </c>
      <c r="AH708" s="8">
        <f>MONTH(RawSalesTable6[[#This Row],[Order_Date]])</f>
        <v>6</v>
      </c>
      <c r="AI708" s="8" t="str">
        <f>TEXT(RawSalesTable6[[#This Row],[Order_Date]],"mmmm")</f>
        <v>juin</v>
      </c>
      <c r="AJ708" s="8" t="str">
        <f>IF(RawSalesTable6[[#This Row],[Month_Number]]&lt;=3,"Q1",IF(RawSalesTable6[[#This Row],[Month_Number]]&lt;=6,"Q2",IF(RawSalesTable6[[#This Row],[Month_Number]]&lt;=9,"Q3","Q4")))</f>
        <v>Q2</v>
      </c>
      <c r="AK708" s="8" t="str">
        <f>VLOOKUP(RawSalesTable6[[#This Row],[Customer_ID_Clean]],CustomersTable[],4,FALSE)</f>
        <v>Ontario</v>
      </c>
      <c r="AL708" s="8">
        <f>IF(RawSalesTable6[[#This Row],[Return_Status]]="Yes",1,0)</f>
        <v>0</v>
      </c>
    </row>
    <row r="709" spans="1:38">
      <c r="A709" t="s">
        <v>1159</v>
      </c>
      <c r="B709" s="3">
        <v>46015</v>
      </c>
      <c r="C709" t="s">
        <v>438</v>
      </c>
      <c r="D709" t="s">
        <v>323</v>
      </c>
      <c r="E709" t="s">
        <v>439</v>
      </c>
      <c r="F709" t="s">
        <v>187</v>
      </c>
      <c r="G709" t="s">
        <v>104</v>
      </c>
      <c r="H709" t="s">
        <v>97</v>
      </c>
      <c r="I709">
        <v>2</v>
      </c>
      <c r="J709" s="2">
        <v>339.25</v>
      </c>
      <c r="K709" s="4">
        <v>0.05</v>
      </c>
      <c r="L709" t="s">
        <v>432</v>
      </c>
      <c r="M709">
        <v>0</v>
      </c>
      <c r="N709" t="s">
        <v>91</v>
      </c>
      <c r="O709" t="str">
        <f>SUBSTITUTE(PROPER(TRIM(RawSalesTable6[[#This Row],[Channel_Raw]])),"Market Place","Marketplace")</f>
        <v>Retail Store</v>
      </c>
      <c r="P709" t="str">
        <f>TRIM(RawSalesTable6[[#This Row],[Product_ID]])</f>
        <v>P1023</v>
      </c>
      <c r="Q709" t="str">
        <f>TRIM(RawSalesTable6[[#This Row],[Customer_ID]])</f>
        <v>C0028</v>
      </c>
      <c r="R709" s="8" t="str">
        <f>PROPER(TRIM(RawSalesTable6[[#This Row],[Store_Raw]]))</f>
        <v>Vancouver West</v>
      </c>
      <c r="S709" s="8" t="str">
        <f>IF(TRIM(RawSalesTable6[[#This Row],[Payment_Method_Raw]])="","Non renseigné",SUBSTITUTE(PROPER(TRIM(RawSalesTable6[[#This Row],[Payment_Method_Raw]])),"Cc","Credit Card"))</f>
        <v>Paypal</v>
      </c>
      <c r="T709" s="8">
        <f>COUNTIF(A:A,RawSalesTable6[[#This Row],[Order_ID]])</f>
        <v>1</v>
      </c>
      <c r="U709" s="8" t="str">
        <f>TRIM(LEFT(RawSalesTable6[[#This Row],[Customer_Info]],FIND(",",RawSalesTable6[[#This Row],[Customer_Info]])-1))</f>
        <v>Mia Clark</v>
      </c>
      <c r="V709" s="8" t="str">
        <f>TRIM(MID(RawSalesTable6[[#This Row],[Customer_Info]],FIND(",",RawSalesTable6[[#This Row],[Customer_Info]])+1,FIND(",",RawSalesTable6[[#This Row],[Customer_Info]],FIND(",",RawSalesTable6[[#This Row],[Customer_Info]])+1)-FIND(",",RawSalesTable6[[#This Row],[Customer_Info]])-1))</f>
        <v>Victoria</v>
      </c>
      <c r="W709" s="8" t="str">
        <f>TRIM(RIGHT(RawSalesTable6[[#This Row],[Customer_Info]],LEN(RawSalesTable6[[#This Row],[Customer_Info]])-FIND(",",RawSalesTable6[[#This Row],[Customer_Info]],FIND(",",RawSalesTable6[[#This Row],[Customer_Info]])+1)))</f>
        <v>Consumer</v>
      </c>
      <c r="X709" s="8" t="str">
        <f>VLOOKUP(RawSalesTable6[[#This Row],[Product_ID_Clean]],ProductsTable[],2,FALSE)</f>
        <v>Toaster</v>
      </c>
      <c r="Y709" s="8" t="str">
        <f>VLOOKUP(RawSalesTable6[[#This Row],[Product_ID_Clean]],ProductsTable[],3,FALSE)</f>
        <v>Home</v>
      </c>
      <c r="Z709" s="8">
        <f>VLOOKUP(RawSalesTable6[[#This Row],[Product_ID_Clean]],ProductsTable[],5,FALSE)</f>
        <v>152.88</v>
      </c>
      <c r="AA709" s="8">
        <f>RawSalesTable6[[#This Row],[Unit_Price]]*RawSalesTable6[[#This Row],[Quantity]]</f>
        <v>678.5</v>
      </c>
      <c r="AB709" s="8">
        <f>RawSalesTable6[[#This Row],[Gross_Sales]]*RawSalesTable6[[#This Row],[Discount_Pct]]</f>
        <v>33.925000000000004</v>
      </c>
      <c r="AC709" s="8">
        <f>RawSalesTable6[[#This Row],[Gross_Sales]]-RawSalesTable6[[#This Row],[Discount_Amount]]</f>
        <v>644.57500000000005</v>
      </c>
      <c r="AD709" s="8">
        <f>RawSalesTable6[[#This Row],[Unit_Cost]]*RawSalesTable6[[#This Row],[Quantity]]</f>
        <v>305.76</v>
      </c>
      <c r="AE709" s="8">
        <f>RawSalesTable6[[#This Row],[Net_Sales]]-RawSalesTable6[[#This Row],[Total_Cost]]</f>
        <v>338.81500000000005</v>
      </c>
      <c r="AF709" s="9">
        <f>RawSalesTable6[[#This Row],[Profit]]/RawSalesTable6[[#This Row],[Net_Sales]]</f>
        <v>0.52564092619167668</v>
      </c>
      <c r="AG709" s="8">
        <f>YEAR(RawSalesTable6[[#This Row],[Order_Date]])</f>
        <v>2025</v>
      </c>
      <c r="AH709" s="8">
        <f>MONTH(RawSalesTable6[[#This Row],[Order_Date]])</f>
        <v>12</v>
      </c>
      <c r="AI709" s="8" t="str">
        <f>TEXT(RawSalesTable6[[#This Row],[Order_Date]],"mmmm")</f>
        <v>décembre</v>
      </c>
      <c r="AJ709" s="8" t="str">
        <f>IF(RawSalesTable6[[#This Row],[Month_Number]]&lt;=3,"Q1",IF(RawSalesTable6[[#This Row],[Month_Number]]&lt;=6,"Q2",IF(RawSalesTable6[[#This Row],[Month_Number]]&lt;=9,"Q3","Q4")))</f>
        <v>Q4</v>
      </c>
      <c r="AK709" s="8" t="str">
        <f>VLOOKUP(RawSalesTable6[[#This Row],[Customer_ID_Clean]],CustomersTable[],4,FALSE)</f>
        <v>British Columbia</v>
      </c>
      <c r="AL709" s="8">
        <f>IF(RawSalesTable6[[#This Row],[Return_Status]]="Yes",1,0)</f>
        <v>0</v>
      </c>
    </row>
    <row r="710" spans="1:38">
      <c r="A710" t="s">
        <v>1160</v>
      </c>
      <c r="B710" s="3">
        <v>45720</v>
      </c>
      <c r="C710" t="s">
        <v>326</v>
      </c>
      <c r="D710" t="s">
        <v>152</v>
      </c>
      <c r="E710" t="s">
        <v>327</v>
      </c>
      <c r="F710" t="s">
        <v>103</v>
      </c>
      <c r="G710" t="s">
        <v>130</v>
      </c>
      <c r="H710" t="s">
        <v>97</v>
      </c>
      <c r="I710">
        <v>1</v>
      </c>
      <c r="J710" s="2">
        <v>128.07</v>
      </c>
      <c r="K710" s="4">
        <v>0.1</v>
      </c>
      <c r="L710" t="s">
        <v>106</v>
      </c>
      <c r="M710">
        <v>0</v>
      </c>
      <c r="N710" t="s">
        <v>91</v>
      </c>
      <c r="O710" t="str">
        <f>SUBSTITUTE(PROPER(TRIM(RawSalesTable6[[#This Row],[Channel_Raw]])),"Market Place","Marketplace")</f>
        <v>Retail Store</v>
      </c>
      <c r="P710" t="str">
        <f>TRIM(RawSalesTable6[[#This Row],[Product_ID]])</f>
        <v>P1008</v>
      </c>
      <c r="Q710" t="str">
        <f>TRIM(RawSalesTable6[[#This Row],[Customer_ID]])</f>
        <v>C0092</v>
      </c>
      <c r="R710" s="8" t="str">
        <f>PROPER(TRIM(RawSalesTable6[[#This Row],[Store_Raw]]))</f>
        <v>Vancouver West</v>
      </c>
      <c r="S710" s="8" t="str">
        <f>IF(TRIM(RawSalesTable6[[#This Row],[Payment_Method_Raw]])="","Non renseigné",SUBSTITUTE(PROPER(TRIM(RawSalesTable6[[#This Row],[Payment_Method_Raw]])),"Cc","Credit Card"))</f>
        <v>Credit Card</v>
      </c>
      <c r="T710" s="8">
        <f>COUNTIF(A:A,RawSalesTable6[[#This Row],[Order_ID]])</f>
        <v>1</v>
      </c>
      <c r="U710" s="8" t="str">
        <f>TRIM(LEFT(RawSalesTable6[[#This Row],[Customer_Info]],FIND(",",RawSalesTable6[[#This Row],[Customer_Info]])-1))</f>
        <v>Lucas Tremblay</v>
      </c>
      <c r="V710" s="8" t="str">
        <f>TRIM(MID(RawSalesTable6[[#This Row],[Customer_Info]],FIND(",",RawSalesTable6[[#This Row],[Customer_Info]])+1,FIND(",",RawSalesTable6[[#This Row],[Customer_Info]],FIND(",",RawSalesTable6[[#This Row],[Customer_Info]])+1)-FIND(",",RawSalesTable6[[#This Row],[Customer_Info]])-1))</f>
        <v>Saskatoon</v>
      </c>
      <c r="W710" s="8" t="str">
        <f>TRIM(RIGHT(RawSalesTable6[[#This Row],[Customer_Info]],LEN(RawSalesTable6[[#This Row],[Customer_Info]])-FIND(",",RawSalesTable6[[#This Row],[Customer_Info]],FIND(",",RawSalesTable6[[#This Row],[Customer_Info]])+1)))</f>
        <v>Consumer</v>
      </c>
      <c r="X710" s="8" t="str">
        <f>VLOOKUP(RawSalesTable6[[#This Row],[Product_ID_Clean]],ProductsTable[],2,FALSE)</f>
        <v>Smart Speaker</v>
      </c>
      <c r="Y710" s="8" t="str">
        <f>VLOOKUP(RawSalesTable6[[#This Row],[Product_ID_Clean]],ProductsTable[],3,FALSE)</f>
        <v>Electronics</v>
      </c>
      <c r="Z710" s="8">
        <f>VLOOKUP(RawSalesTable6[[#This Row],[Product_ID_Clean]],ProductsTable[],5,FALSE)</f>
        <v>69</v>
      </c>
      <c r="AA710" s="8">
        <f>RawSalesTable6[[#This Row],[Unit_Price]]*RawSalesTable6[[#This Row],[Quantity]]</f>
        <v>128.07</v>
      </c>
      <c r="AB710" s="8">
        <f>RawSalesTable6[[#This Row],[Gross_Sales]]*RawSalesTable6[[#This Row],[Discount_Pct]]</f>
        <v>12.807</v>
      </c>
      <c r="AC710" s="8">
        <f>RawSalesTable6[[#This Row],[Gross_Sales]]-RawSalesTable6[[#This Row],[Discount_Amount]]</f>
        <v>115.26299999999999</v>
      </c>
      <c r="AD710" s="8">
        <f>RawSalesTable6[[#This Row],[Unit_Cost]]*RawSalesTable6[[#This Row],[Quantity]]</f>
        <v>69</v>
      </c>
      <c r="AE710" s="8">
        <f>RawSalesTable6[[#This Row],[Net_Sales]]-RawSalesTable6[[#This Row],[Total_Cost]]</f>
        <v>46.262999999999991</v>
      </c>
      <c r="AF710" s="9">
        <f>RawSalesTable6[[#This Row],[Profit]]/RawSalesTable6[[#This Row],[Net_Sales]]</f>
        <v>0.40136904297129167</v>
      </c>
      <c r="AG710" s="8">
        <f>YEAR(RawSalesTable6[[#This Row],[Order_Date]])</f>
        <v>2025</v>
      </c>
      <c r="AH710" s="8">
        <f>MONTH(RawSalesTable6[[#This Row],[Order_Date]])</f>
        <v>3</v>
      </c>
      <c r="AI710" s="8" t="str">
        <f>TEXT(RawSalesTable6[[#This Row],[Order_Date]],"mmmm")</f>
        <v>mars</v>
      </c>
      <c r="AJ710" s="8" t="str">
        <f>IF(RawSalesTable6[[#This Row],[Month_Number]]&lt;=3,"Q1",IF(RawSalesTable6[[#This Row],[Month_Number]]&lt;=6,"Q2",IF(RawSalesTable6[[#This Row],[Month_Number]]&lt;=9,"Q3","Q4")))</f>
        <v>Q1</v>
      </c>
      <c r="AK710" s="8" t="str">
        <f>VLOOKUP(RawSalesTable6[[#This Row],[Customer_ID_Clean]],CustomersTable[],4,FALSE)</f>
        <v>Saskatchewan</v>
      </c>
      <c r="AL710" s="8">
        <f>IF(RawSalesTable6[[#This Row],[Return_Status]]="Yes",1,0)</f>
        <v>0</v>
      </c>
    </row>
    <row r="711" spans="1:38">
      <c r="A711" t="s">
        <v>1161</v>
      </c>
      <c r="B711" s="3">
        <v>45720</v>
      </c>
      <c r="C711" t="s">
        <v>516</v>
      </c>
      <c r="D711" t="s">
        <v>101</v>
      </c>
      <c r="E711" t="s">
        <v>1162</v>
      </c>
      <c r="F711" t="s">
        <v>103</v>
      </c>
      <c r="G711" t="s">
        <v>183</v>
      </c>
      <c r="H711" t="s">
        <v>89</v>
      </c>
      <c r="I711">
        <v>3</v>
      </c>
      <c r="J711" s="2">
        <v>301.69</v>
      </c>
      <c r="K711" s="4">
        <v>0.05</v>
      </c>
      <c r="L711" t="s">
        <v>106</v>
      </c>
      <c r="M711">
        <v>7</v>
      </c>
      <c r="N711" t="s">
        <v>91</v>
      </c>
      <c r="O711" t="str">
        <f>SUBSTITUTE(PROPER(TRIM(RawSalesTable6[[#This Row],[Channel_Raw]])),"Market Place","Marketplace")</f>
        <v>Online</v>
      </c>
      <c r="P711" t="str">
        <f>TRIM(RawSalesTable6[[#This Row],[Product_ID]])</f>
        <v>P1021</v>
      </c>
      <c r="Q711" t="str">
        <f>TRIM(RawSalesTable6[[#This Row],[Customer_ID]])</f>
        <v>C0120</v>
      </c>
      <c r="R711" s="8" t="str">
        <f>PROPER(TRIM(RawSalesTable6[[#This Row],[Store_Raw]]))</f>
        <v>Vancouver West</v>
      </c>
      <c r="S711" s="8" t="str">
        <f>IF(TRIM(RawSalesTable6[[#This Row],[Payment_Method_Raw]])="","Non renseigné",SUBSTITUTE(PROPER(TRIM(RawSalesTable6[[#This Row],[Payment_Method_Raw]])),"Cc","Credit Card"))</f>
        <v>Credit Card</v>
      </c>
      <c r="T711" s="8">
        <f>COUNTIF(A:A,RawSalesTable6[[#This Row],[Order_ID]])</f>
        <v>1</v>
      </c>
      <c r="U711" s="8" t="str">
        <f>TRIM(LEFT(RawSalesTable6[[#This Row],[Customer_Info]],FIND(",",RawSalesTable6[[#This Row],[Customer_Info]])-1))</f>
        <v>Ethan King</v>
      </c>
      <c r="V711" s="8" t="str">
        <f>TRIM(MID(RawSalesTable6[[#This Row],[Customer_Info]],FIND(",",RawSalesTable6[[#This Row],[Customer_Info]])+1,FIND(",",RawSalesTable6[[#This Row],[Customer_Info]],FIND(",",RawSalesTable6[[#This Row],[Customer_Info]])+1)-FIND(",",RawSalesTable6[[#This Row],[Customer_Info]])-1))</f>
        <v>Mississauga</v>
      </c>
      <c r="W711" s="8" t="str">
        <f>TRIM(RIGHT(RawSalesTable6[[#This Row],[Customer_Info]],LEN(RawSalesTable6[[#This Row],[Customer_Info]])-FIND(",",RawSalesTable6[[#This Row],[Customer_Info]],FIND(",",RawSalesTable6[[#This Row],[Customer_Info]])+1)))</f>
        <v>Small Business</v>
      </c>
      <c r="X711" s="8" t="str">
        <f>VLOOKUP(RawSalesTable6[[#This Row],[Product_ID_Clean]],ProductsTable[],2,FALSE)</f>
        <v>Kettle</v>
      </c>
      <c r="Y711" s="8" t="str">
        <f>VLOOKUP(RawSalesTable6[[#This Row],[Product_ID_Clean]],ProductsTable[],3,FALSE)</f>
        <v>Home</v>
      </c>
      <c r="Z711" s="8">
        <f>VLOOKUP(RawSalesTable6[[#This Row],[Product_ID_Clean]],ProductsTable[],5,FALSE)</f>
        <v>139.86000000000001</v>
      </c>
      <c r="AA711" s="8">
        <f>RawSalesTable6[[#This Row],[Unit_Price]]*RawSalesTable6[[#This Row],[Quantity]]</f>
        <v>905.06999999999994</v>
      </c>
      <c r="AB711" s="8">
        <f>RawSalesTable6[[#This Row],[Gross_Sales]]*RawSalesTable6[[#This Row],[Discount_Pct]]</f>
        <v>45.253500000000003</v>
      </c>
      <c r="AC711" s="8">
        <f>RawSalesTable6[[#This Row],[Gross_Sales]]-RawSalesTable6[[#This Row],[Discount_Amount]]</f>
        <v>859.81649999999991</v>
      </c>
      <c r="AD711" s="8">
        <f>RawSalesTable6[[#This Row],[Unit_Cost]]*RawSalesTable6[[#This Row],[Quantity]]</f>
        <v>419.58000000000004</v>
      </c>
      <c r="AE711" s="8">
        <f>RawSalesTable6[[#This Row],[Net_Sales]]-RawSalesTable6[[#This Row],[Total_Cost]]</f>
        <v>440.23649999999986</v>
      </c>
      <c r="AF711" s="9">
        <f>RawSalesTable6[[#This Row],[Profit]]/RawSalesTable6[[#This Row],[Net_Sales]]</f>
        <v>0.51201215608214068</v>
      </c>
      <c r="AG711" s="8">
        <f>YEAR(RawSalesTable6[[#This Row],[Order_Date]])</f>
        <v>2025</v>
      </c>
      <c r="AH711" s="8">
        <f>MONTH(RawSalesTable6[[#This Row],[Order_Date]])</f>
        <v>3</v>
      </c>
      <c r="AI711" s="8" t="str">
        <f>TEXT(RawSalesTable6[[#This Row],[Order_Date]],"mmmm")</f>
        <v>mars</v>
      </c>
      <c r="AJ711" s="8" t="str">
        <f>IF(RawSalesTable6[[#This Row],[Month_Number]]&lt;=3,"Q1",IF(RawSalesTable6[[#This Row],[Month_Number]]&lt;=6,"Q2",IF(RawSalesTable6[[#This Row],[Month_Number]]&lt;=9,"Q3","Q4")))</f>
        <v>Q1</v>
      </c>
      <c r="AK711" s="8" t="str">
        <f>VLOOKUP(RawSalesTable6[[#This Row],[Customer_ID_Clean]],CustomersTable[],4,FALSE)</f>
        <v>Ontario</v>
      </c>
      <c r="AL711" s="8">
        <f>IF(RawSalesTable6[[#This Row],[Return_Status]]="Yes",1,0)</f>
        <v>0</v>
      </c>
    </row>
    <row r="712" spans="1:38">
      <c r="A712" t="s">
        <v>1163</v>
      </c>
      <c r="B712" s="3">
        <v>45750</v>
      </c>
      <c r="C712" t="s">
        <v>706</v>
      </c>
      <c r="D712" t="s">
        <v>136</v>
      </c>
      <c r="E712" t="s">
        <v>707</v>
      </c>
      <c r="F712" t="s">
        <v>111</v>
      </c>
      <c r="G712" t="s">
        <v>130</v>
      </c>
      <c r="H712" t="s">
        <v>89</v>
      </c>
      <c r="I712">
        <v>1</v>
      </c>
      <c r="J712" s="2">
        <v>153</v>
      </c>
      <c r="K712" s="4">
        <v>0</v>
      </c>
      <c r="L712" t="s">
        <v>90</v>
      </c>
      <c r="M712">
        <v>6</v>
      </c>
      <c r="N712" t="s">
        <v>91</v>
      </c>
      <c r="O712" t="str">
        <f>SUBSTITUTE(PROPER(TRIM(RawSalesTable6[[#This Row],[Channel_Raw]])),"Market Place","Marketplace")</f>
        <v>Online</v>
      </c>
      <c r="P712" t="str">
        <f>TRIM(RawSalesTable6[[#This Row],[Product_ID]])</f>
        <v>P1003</v>
      </c>
      <c r="Q712" t="str">
        <f>TRIM(RawSalesTable6[[#This Row],[Customer_ID]])</f>
        <v>C0006</v>
      </c>
      <c r="R712" s="8" t="str">
        <f>PROPER(TRIM(RawSalesTable6[[#This Row],[Store_Raw]]))</f>
        <v>Montreal Central</v>
      </c>
      <c r="S712" s="8" t="str">
        <f>IF(TRIM(RawSalesTable6[[#This Row],[Payment_Method_Raw]])="","Non renseigné",SUBSTITUTE(PROPER(TRIM(RawSalesTable6[[#This Row],[Payment_Method_Raw]])),"Cc","Credit Card"))</f>
        <v>Paypal</v>
      </c>
      <c r="T712" s="8">
        <f>COUNTIF(A:A,RawSalesTable6[[#This Row],[Order_ID]])</f>
        <v>1</v>
      </c>
      <c r="U712" s="8" t="str">
        <f>TRIM(LEFT(RawSalesTable6[[#This Row],[Customer_Info]],FIND(",",RawSalesTable6[[#This Row],[Customer_Info]])-1))</f>
        <v>Nora Wilson</v>
      </c>
      <c r="V712" s="8" t="str">
        <f>TRIM(MID(RawSalesTable6[[#This Row],[Customer_Info]],FIND(",",RawSalesTable6[[#This Row],[Customer_Info]])+1,FIND(",",RawSalesTable6[[#This Row],[Customer_Info]],FIND(",",RawSalesTable6[[#This Row],[Customer_Info]])+1)-FIND(",",RawSalesTable6[[#This Row],[Customer_Info]])-1))</f>
        <v>Laval</v>
      </c>
      <c r="W712" s="8" t="str">
        <f>TRIM(RIGHT(RawSalesTable6[[#This Row],[Customer_Info]],LEN(RawSalesTable6[[#This Row],[Customer_Info]])-FIND(",",RawSalesTable6[[#This Row],[Customer_Info]],FIND(",",RawSalesTable6[[#This Row],[Customer_Info]])+1)))</f>
        <v>Consumer</v>
      </c>
      <c r="X712" s="8" t="str">
        <f>VLOOKUP(RawSalesTable6[[#This Row],[Product_ID_Clean]],ProductsTable[],2,FALSE)</f>
        <v>Mouse</v>
      </c>
      <c r="Y712" s="8" t="str">
        <f>VLOOKUP(RawSalesTable6[[#This Row],[Product_ID_Clean]],ProductsTable[],3,FALSE)</f>
        <v>Electronics</v>
      </c>
      <c r="Z712" s="8">
        <f>VLOOKUP(RawSalesTable6[[#This Row],[Product_ID_Clean]],ProductsTable[],5,FALSE)</f>
        <v>106.4</v>
      </c>
      <c r="AA712" s="8">
        <f>RawSalesTable6[[#This Row],[Unit_Price]]*RawSalesTable6[[#This Row],[Quantity]]</f>
        <v>153</v>
      </c>
      <c r="AB712" s="8">
        <f>RawSalesTable6[[#This Row],[Gross_Sales]]*RawSalesTable6[[#This Row],[Discount_Pct]]</f>
        <v>0</v>
      </c>
      <c r="AC712" s="8">
        <f>RawSalesTable6[[#This Row],[Gross_Sales]]-RawSalesTable6[[#This Row],[Discount_Amount]]</f>
        <v>153</v>
      </c>
      <c r="AD712" s="8">
        <f>RawSalesTable6[[#This Row],[Unit_Cost]]*RawSalesTable6[[#This Row],[Quantity]]</f>
        <v>106.4</v>
      </c>
      <c r="AE712" s="8">
        <f>RawSalesTable6[[#This Row],[Net_Sales]]-RawSalesTable6[[#This Row],[Total_Cost]]</f>
        <v>46.599999999999994</v>
      </c>
      <c r="AF712" s="9">
        <f>RawSalesTable6[[#This Row],[Profit]]/RawSalesTable6[[#This Row],[Net_Sales]]</f>
        <v>0.30457516339869278</v>
      </c>
      <c r="AG712" s="8">
        <f>YEAR(RawSalesTable6[[#This Row],[Order_Date]])</f>
        <v>2025</v>
      </c>
      <c r="AH712" s="8">
        <f>MONTH(RawSalesTable6[[#This Row],[Order_Date]])</f>
        <v>4</v>
      </c>
      <c r="AI712" s="8" t="str">
        <f>TEXT(RawSalesTable6[[#This Row],[Order_Date]],"mmmm")</f>
        <v>avril</v>
      </c>
      <c r="AJ712" s="8" t="str">
        <f>IF(RawSalesTable6[[#This Row],[Month_Number]]&lt;=3,"Q1",IF(RawSalesTable6[[#This Row],[Month_Number]]&lt;=6,"Q2",IF(RawSalesTable6[[#This Row],[Month_Number]]&lt;=9,"Q3","Q4")))</f>
        <v>Q2</v>
      </c>
      <c r="AK712" s="8" t="str">
        <f>VLOOKUP(RawSalesTable6[[#This Row],[Customer_ID_Clean]],CustomersTable[],4,FALSE)</f>
        <v>Quebec</v>
      </c>
      <c r="AL712" s="8">
        <f>IF(RawSalesTable6[[#This Row],[Return_Status]]="Yes",1,0)</f>
        <v>0</v>
      </c>
    </row>
    <row r="713" spans="1:38">
      <c r="A713" t="s">
        <v>1164</v>
      </c>
      <c r="B713" s="3">
        <v>45855</v>
      </c>
      <c r="C713" t="s">
        <v>613</v>
      </c>
      <c r="D713" t="s">
        <v>346</v>
      </c>
      <c r="E713" t="s">
        <v>710</v>
      </c>
      <c r="F713" t="s">
        <v>103</v>
      </c>
      <c r="G713" t="s">
        <v>171</v>
      </c>
      <c r="H713" t="s">
        <v>97</v>
      </c>
      <c r="I713">
        <v>5</v>
      </c>
      <c r="J713" s="2">
        <v>247.33</v>
      </c>
      <c r="K713" s="4">
        <v>0.05</v>
      </c>
      <c r="L713" t="s">
        <v>98</v>
      </c>
      <c r="M713">
        <v>1</v>
      </c>
      <c r="N713" t="s">
        <v>91</v>
      </c>
      <c r="O713" t="str">
        <f>SUBSTITUTE(PROPER(TRIM(RawSalesTable6[[#This Row],[Channel_Raw]])),"Market Place","Marketplace")</f>
        <v>Retail Store</v>
      </c>
      <c r="P713" t="str">
        <f>TRIM(RawSalesTable6[[#This Row],[Product_ID]])</f>
        <v>P1030</v>
      </c>
      <c r="Q713" t="str">
        <f>TRIM(RawSalesTable6[[#This Row],[Customer_ID]])</f>
        <v>C0060</v>
      </c>
      <c r="R713" s="8" t="str">
        <f>PROPER(TRIM(RawSalesTable6[[#This Row],[Store_Raw]]))</f>
        <v>Vancouver West</v>
      </c>
      <c r="S713" s="8" t="str">
        <f>IF(TRIM(RawSalesTable6[[#This Row],[Payment_Method_Raw]])="","Non renseigné",SUBSTITUTE(PROPER(TRIM(RawSalesTable6[[#This Row],[Payment_Method_Raw]])),"Cc","Credit Card"))</f>
        <v>Debit Card</v>
      </c>
      <c r="T713" s="8">
        <f>COUNTIF(A:A,RawSalesTable6[[#This Row],[Order_ID]])</f>
        <v>1</v>
      </c>
      <c r="U713" s="8" t="str">
        <f>TRIM(LEFT(RawSalesTable6[[#This Row],[Customer_Info]],FIND(",",RawSalesTable6[[#This Row],[Customer_Info]])-1))</f>
        <v>Sarah Wilson</v>
      </c>
      <c r="V713" s="8" t="str">
        <f>TRIM(MID(RawSalesTable6[[#This Row],[Customer_Info]],FIND(",",RawSalesTable6[[#This Row],[Customer_Info]])+1,FIND(",",RawSalesTable6[[#This Row],[Customer_Info]],FIND(",",RawSalesTable6[[#This Row],[Customer_Info]])+1)-FIND(",",RawSalesTable6[[#This Row],[Customer_Info]])-1))</f>
        <v>Quebec City</v>
      </c>
      <c r="W713" s="8" t="str">
        <f>TRIM(RIGHT(RawSalesTable6[[#This Row],[Customer_Info]],LEN(RawSalesTable6[[#This Row],[Customer_Info]])-FIND(",",RawSalesTable6[[#This Row],[Customer_Info]],FIND(",",RawSalesTable6[[#This Row],[Customer_Info]])+1)))</f>
        <v>Corporate</v>
      </c>
      <c r="X713" s="8" t="str">
        <f>VLOOKUP(RawSalesTable6[[#This Row],[Product_ID_Clean]],ProductsTable[],2,FALSE)</f>
        <v>Pull-up Bar</v>
      </c>
      <c r="Y713" s="8" t="str">
        <f>VLOOKUP(RawSalesTable6[[#This Row],[Product_ID_Clean]],ProductsTable[],3,FALSE)</f>
        <v>Fitness</v>
      </c>
      <c r="Z713" s="8">
        <f>VLOOKUP(RawSalesTable6[[#This Row],[Product_ID_Clean]],ProductsTable[],5,FALSE)</f>
        <v>125.4</v>
      </c>
      <c r="AA713" s="8">
        <f>RawSalesTable6[[#This Row],[Unit_Price]]*RawSalesTable6[[#This Row],[Quantity]]</f>
        <v>1236.6500000000001</v>
      </c>
      <c r="AB713" s="8">
        <f>RawSalesTable6[[#This Row],[Gross_Sales]]*RawSalesTable6[[#This Row],[Discount_Pct]]</f>
        <v>61.83250000000001</v>
      </c>
      <c r="AC713" s="8">
        <f>RawSalesTable6[[#This Row],[Gross_Sales]]-RawSalesTable6[[#This Row],[Discount_Amount]]</f>
        <v>1174.8175000000001</v>
      </c>
      <c r="AD713" s="8">
        <f>RawSalesTable6[[#This Row],[Unit_Cost]]*RawSalesTable6[[#This Row],[Quantity]]</f>
        <v>627</v>
      </c>
      <c r="AE713" s="8">
        <f>RawSalesTable6[[#This Row],[Net_Sales]]-RawSalesTable6[[#This Row],[Total_Cost]]</f>
        <v>547.81750000000011</v>
      </c>
      <c r="AF713" s="9">
        <f>RawSalesTable6[[#This Row],[Profit]]/RawSalesTable6[[#This Row],[Net_Sales]]</f>
        <v>0.46630008490680475</v>
      </c>
      <c r="AG713" s="8">
        <f>YEAR(RawSalesTable6[[#This Row],[Order_Date]])</f>
        <v>2025</v>
      </c>
      <c r="AH713" s="8">
        <f>MONTH(RawSalesTable6[[#This Row],[Order_Date]])</f>
        <v>7</v>
      </c>
      <c r="AI713" s="8" t="str">
        <f>TEXT(RawSalesTable6[[#This Row],[Order_Date]],"mmmm")</f>
        <v>juillet</v>
      </c>
      <c r="AJ713" s="8" t="str">
        <f>IF(RawSalesTable6[[#This Row],[Month_Number]]&lt;=3,"Q1",IF(RawSalesTable6[[#This Row],[Month_Number]]&lt;=6,"Q2",IF(RawSalesTable6[[#This Row],[Month_Number]]&lt;=9,"Q3","Q4")))</f>
        <v>Q3</v>
      </c>
      <c r="AK713" s="8" t="str">
        <f>VLOOKUP(RawSalesTable6[[#This Row],[Customer_ID_Clean]],CustomersTable[],4,FALSE)</f>
        <v>Quebec</v>
      </c>
      <c r="AL713" s="8">
        <f>IF(RawSalesTable6[[#This Row],[Return_Status]]="Yes",1,0)</f>
        <v>0</v>
      </c>
    </row>
    <row r="714" spans="1:38">
      <c r="A714" t="s">
        <v>1165</v>
      </c>
      <c r="B714" s="3">
        <v>45757</v>
      </c>
      <c r="C714" t="s">
        <v>273</v>
      </c>
      <c r="D714" t="s">
        <v>143</v>
      </c>
      <c r="E714" t="s">
        <v>274</v>
      </c>
      <c r="F714" t="s">
        <v>145</v>
      </c>
      <c r="G714" t="s">
        <v>88</v>
      </c>
      <c r="H714" t="s">
        <v>233</v>
      </c>
      <c r="I714">
        <v>1</v>
      </c>
      <c r="J714" s="2">
        <v>255.13</v>
      </c>
      <c r="K714" s="4">
        <v>0.2</v>
      </c>
      <c r="L714" t="s">
        <v>106</v>
      </c>
      <c r="M714">
        <v>3</v>
      </c>
      <c r="N714" t="s">
        <v>91</v>
      </c>
      <c r="O714" t="str">
        <f>SUBSTITUTE(PROPER(TRIM(RawSalesTable6[[#This Row],[Channel_Raw]])),"Market Place","Marketplace")</f>
        <v>Retail Store</v>
      </c>
      <c r="P714" t="str">
        <f>TRIM(RawSalesTable6[[#This Row],[Product_ID]])</f>
        <v>P1038</v>
      </c>
      <c r="Q714" t="str">
        <f>TRIM(RawSalesTable6[[#This Row],[Customer_ID]])</f>
        <v>C0066</v>
      </c>
      <c r="R714" s="8" t="str">
        <f>PROPER(TRIM(RawSalesTable6[[#This Row],[Store_Raw]]))</f>
        <v>Calgary North</v>
      </c>
      <c r="S714" s="8" t="str">
        <f>IF(TRIM(RawSalesTable6[[#This Row],[Payment_Method_Raw]])="","Non renseigné",SUBSTITUTE(PROPER(TRIM(RawSalesTable6[[#This Row],[Payment_Method_Raw]])),"Cc","Credit Card"))</f>
        <v>Credit Card</v>
      </c>
      <c r="T714" s="8">
        <f>COUNTIF(A:A,RawSalesTable6[[#This Row],[Order_ID]])</f>
        <v>1</v>
      </c>
      <c r="U714" s="8" t="str">
        <f>TRIM(LEFT(RawSalesTable6[[#This Row],[Customer_Info]],FIND(",",RawSalesTable6[[#This Row],[Customer_Info]])-1))</f>
        <v>Noah Clark</v>
      </c>
      <c r="V714" s="8" t="str">
        <f>TRIM(MID(RawSalesTable6[[#This Row],[Customer_Info]],FIND(",",RawSalesTable6[[#This Row],[Customer_Info]])+1,FIND(",",RawSalesTable6[[#This Row],[Customer_Info]],FIND(",",RawSalesTable6[[#This Row],[Customer_Info]])+1)-FIND(",",RawSalesTable6[[#This Row],[Customer_Info]])-1))</f>
        <v>Laval</v>
      </c>
      <c r="W714" s="8" t="str">
        <f>TRIM(RIGHT(RawSalesTable6[[#This Row],[Customer_Info]],LEN(RawSalesTable6[[#This Row],[Customer_Info]])-FIND(",",RawSalesTable6[[#This Row],[Customer_Info]],FIND(",",RawSalesTable6[[#This Row],[Customer_Info]])+1)))</f>
        <v>Consumer</v>
      </c>
      <c r="X714" s="8" t="str">
        <f>VLOOKUP(RawSalesTable6[[#This Row],[Product_ID_Clean]],ProductsTable[],2,FALSE)</f>
        <v>Water Bottle</v>
      </c>
      <c r="Y714" s="8" t="str">
        <f>VLOOKUP(RawSalesTable6[[#This Row],[Product_ID_Clean]],ProductsTable[],3,FALSE)</f>
        <v>Accessories</v>
      </c>
      <c r="Z714" s="8">
        <f>VLOOKUP(RawSalesTable6[[#This Row],[Product_ID_Clean]],ProductsTable[],5,FALSE)</f>
        <v>119.16</v>
      </c>
      <c r="AA714" s="8">
        <f>RawSalesTable6[[#This Row],[Unit_Price]]*RawSalesTable6[[#This Row],[Quantity]]</f>
        <v>255.13</v>
      </c>
      <c r="AB714" s="8">
        <f>RawSalesTable6[[#This Row],[Gross_Sales]]*RawSalesTable6[[#This Row],[Discount_Pct]]</f>
        <v>51.026000000000003</v>
      </c>
      <c r="AC714" s="8">
        <f>RawSalesTable6[[#This Row],[Gross_Sales]]-RawSalesTable6[[#This Row],[Discount_Amount]]</f>
        <v>204.10399999999998</v>
      </c>
      <c r="AD714" s="8">
        <f>RawSalesTable6[[#This Row],[Unit_Cost]]*RawSalesTable6[[#This Row],[Quantity]]</f>
        <v>119.16</v>
      </c>
      <c r="AE714" s="8">
        <f>RawSalesTable6[[#This Row],[Net_Sales]]-RawSalesTable6[[#This Row],[Total_Cost]]</f>
        <v>84.943999999999988</v>
      </c>
      <c r="AF714" s="9">
        <f>RawSalesTable6[[#This Row],[Profit]]/RawSalesTable6[[#This Row],[Net_Sales]]</f>
        <v>0.41617998667346057</v>
      </c>
      <c r="AG714" s="8">
        <f>YEAR(RawSalesTable6[[#This Row],[Order_Date]])</f>
        <v>2025</v>
      </c>
      <c r="AH714" s="8">
        <f>MONTH(RawSalesTable6[[#This Row],[Order_Date]])</f>
        <v>4</v>
      </c>
      <c r="AI714" s="8" t="str">
        <f>TEXT(RawSalesTable6[[#This Row],[Order_Date]],"mmmm")</f>
        <v>avril</v>
      </c>
      <c r="AJ714" s="8" t="str">
        <f>IF(RawSalesTable6[[#This Row],[Month_Number]]&lt;=3,"Q1",IF(RawSalesTable6[[#This Row],[Month_Number]]&lt;=6,"Q2",IF(RawSalesTable6[[#This Row],[Month_Number]]&lt;=9,"Q3","Q4")))</f>
        <v>Q2</v>
      </c>
      <c r="AK714" s="8" t="str">
        <f>VLOOKUP(RawSalesTable6[[#This Row],[Customer_ID_Clean]],CustomersTable[],4,FALSE)</f>
        <v>Quebec</v>
      </c>
      <c r="AL714" s="8">
        <f>IF(RawSalesTable6[[#This Row],[Return_Status]]="Yes",1,0)</f>
        <v>0</v>
      </c>
    </row>
    <row r="715" spans="1:38">
      <c r="A715" t="s">
        <v>1166</v>
      </c>
      <c r="B715" s="3">
        <v>45879</v>
      </c>
      <c r="C715" t="s">
        <v>613</v>
      </c>
      <c r="D715" t="s">
        <v>101</v>
      </c>
      <c r="E715" t="s">
        <v>710</v>
      </c>
      <c r="F715" t="s">
        <v>103</v>
      </c>
      <c r="G715" t="s">
        <v>130</v>
      </c>
      <c r="H715" t="s">
        <v>105</v>
      </c>
      <c r="I715">
        <v>1</v>
      </c>
      <c r="J715" s="2">
        <v>291.2</v>
      </c>
      <c r="K715" s="4">
        <v>0.05</v>
      </c>
      <c r="L715" t="s">
        <v>106</v>
      </c>
      <c r="M715">
        <v>1</v>
      </c>
      <c r="N715" t="s">
        <v>91</v>
      </c>
      <c r="O715" t="str">
        <f>SUBSTITUTE(PROPER(TRIM(RawSalesTable6[[#This Row],[Channel_Raw]])),"Market Place","Marketplace")</f>
        <v>Marketplace</v>
      </c>
      <c r="P715" t="str">
        <f>TRIM(RawSalesTable6[[#This Row],[Product_ID]])</f>
        <v>P1021</v>
      </c>
      <c r="Q715" t="str">
        <f>TRIM(RawSalesTable6[[#This Row],[Customer_ID]])</f>
        <v>C0060</v>
      </c>
      <c r="R715" s="8" t="str">
        <f>PROPER(TRIM(RawSalesTable6[[#This Row],[Store_Raw]]))</f>
        <v>Vancouver West</v>
      </c>
      <c r="S715" s="8" t="str">
        <f>IF(TRIM(RawSalesTable6[[#This Row],[Payment_Method_Raw]])="","Non renseigné",SUBSTITUTE(PROPER(TRIM(RawSalesTable6[[#This Row],[Payment_Method_Raw]])),"Cc","Credit Card"))</f>
        <v>Credit Card</v>
      </c>
      <c r="T715" s="8">
        <f>COUNTIF(A:A,RawSalesTable6[[#This Row],[Order_ID]])</f>
        <v>1</v>
      </c>
      <c r="U715" s="8" t="str">
        <f>TRIM(LEFT(RawSalesTable6[[#This Row],[Customer_Info]],FIND(",",RawSalesTable6[[#This Row],[Customer_Info]])-1))</f>
        <v>Sarah Wilson</v>
      </c>
      <c r="V715" s="8" t="str">
        <f>TRIM(MID(RawSalesTable6[[#This Row],[Customer_Info]],FIND(",",RawSalesTable6[[#This Row],[Customer_Info]])+1,FIND(",",RawSalesTable6[[#This Row],[Customer_Info]],FIND(",",RawSalesTable6[[#This Row],[Customer_Info]])+1)-FIND(",",RawSalesTable6[[#This Row],[Customer_Info]])-1))</f>
        <v>Quebec City</v>
      </c>
      <c r="W715" s="8" t="str">
        <f>TRIM(RIGHT(RawSalesTable6[[#This Row],[Customer_Info]],LEN(RawSalesTable6[[#This Row],[Customer_Info]])-FIND(",",RawSalesTable6[[#This Row],[Customer_Info]],FIND(",",RawSalesTable6[[#This Row],[Customer_Info]])+1)))</f>
        <v>Corporate</v>
      </c>
      <c r="X715" s="8" t="str">
        <f>VLOOKUP(RawSalesTable6[[#This Row],[Product_ID_Clean]],ProductsTable[],2,FALSE)</f>
        <v>Kettle</v>
      </c>
      <c r="Y715" s="8" t="str">
        <f>VLOOKUP(RawSalesTable6[[#This Row],[Product_ID_Clean]],ProductsTable[],3,FALSE)</f>
        <v>Home</v>
      </c>
      <c r="Z715" s="8">
        <f>VLOOKUP(RawSalesTable6[[#This Row],[Product_ID_Clean]],ProductsTable[],5,FALSE)</f>
        <v>139.86000000000001</v>
      </c>
      <c r="AA715" s="8">
        <f>RawSalesTable6[[#This Row],[Unit_Price]]*RawSalesTable6[[#This Row],[Quantity]]</f>
        <v>291.2</v>
      </c>
      <c r="AB715" s="8">
        <f>RawSalesTable6[[#This Row],[Gross_Sales]]*RawSalesTable6[[#This Row],[Discount_Pct]]</f>
        <v>14.56</v>
      </c>
      <c r="AC715" s="8">
        <f>RawSalesTable6[[#This Row],[Gross_Sales]]-RawSalesTable6[[#This Row],[Discount_Amount]]</f>
        <v>276.64</v>
      </c>
      <c r="AD715" s="8">
        <f>RawSalesTable6[[#This Row],[Unit_Cost]]*RawSalesTable6[[#This Row],[Quantity]]</f>
        <v>139.86000000000001</v>
      </c>
      <c r="AE715" s="8">
        <f>RawSalesTable6[[#This Row],[Net_Sales]]-RawSalesTable6[[#This Row],[Total_Cost]]</f>
        <v>136.77999999999997</v>
      </c>
      <c r="AF715" s="9">
        <f>RawSalesTable6[[#This Row],[Profit]]/RawSalesTable6[[#This Row],[Net_Sales]]</f>
        <v>0.49443319838056671</v>
      </c>
      <c r="AG715" s="8">
        <f>YEAR(RawSalesTable6[[#This Row],[Order_Date]])</f>
        <v>2025</v>
      </c>
      <c r="AH715" s="8">
        <f>MONTH(RawSalesTable6[[#This Row],[Order_Date]])</f>
        <v>8</v>
      </c>
      <c r="AI715" s="8" t="str">
        <f>TEXT(RawSalesTable6[[#This Row],[Order_Date]],"mmmm")</f>
        <v>août</v>
      </c>
      <c r="AJ715" s="8" t="str">
        <f>IF(RawSalesTable6[[#This Row],[Month_Number]]&lt;=3,"Q1",IF(RawSalesTable6[[#This Row],[Month_Number]]&lt;=6,"Q2",IF(RawSalesTable6[[#This Row],[Month_Number]]&lt;=9,"Q3","Q4")))</f>
        <v>Q3</v>
      </c>
      <c r="AK715" s="8" t="str">
        <f>VLOOKUP(RawSalesTable6[[#This Row],[Customer_ID_Clean]],CustomersTable[],4,FALSE)</f>
        <v>Quebec</v>
      </c>
      <c r="AL715" s="8">
        <f>IF(RawSalesTable6[[#This Row],[Return_Status]]="Yes",1,0)</f>
        <v>0</v>
      </c>
    </row>
    <row r="716" spans="1:38">
      <c r="A716" t="s">
        <v>1167</v>
      </c>
      <c r="B716" s="3">
        <v>45855</v>
      </c>
      <c r="C716" t="s">
        <v>206</v>
      </c>
      <c r="D716" t="s">
        <v>252</v>
      </c>
      <c r="E716" t="s">
        <v>207</v>
      </c>
      <c r="F716" t="s">
        <v>145</v>
      </c>
      <c r="G716" t="s">
        <v>183</v>
      </c>
      <c r="H716" t="s">
        <v>97</v>
      </c>
      <c r="I716">
        <v>2</v>
      </c>
      <c r="J716" s="2">
        <v>282.41000000000003</v>
      </c>
      <c r="K716" s="4">
        <v>0.25</v>
      </c>
      <c r="L716" t="s">
        <v>106</v>
      </c>
      <c r="M716">
        <v>4</v>
      </c>
      <c r="N716" t="s">
        <v>91</v>
      </c>
      <c r="O716" t="str">
        <f>SUBSTITUTE(PROPER(TRIM(RawSalesTable6[[#This Row],[Channel_Raw]])),"Market Place","Marketplace")</f>
        <v>Retail Store</v>
      </c>
      <c r="P716" t="str">
        <f>TRIM(RawSalesTable6[[#This Row],[Product_ID]])</f>
        <v>P1019</v>
      </c>
      <c r="Q716" t="str">
        <f>TRIM(RawSalesTable6[[#This Row],[Customer_ID]])</f>
        <v>C0061</v>
      </c>
      <c r="R716" s="8" t="str">
        <f>PROPER(TRIM(RawSalesTable6[[#This Row],[Store_Raw]]))</f>
        <v>Calgary North</v>
      </c>
      <c r="S716" s="8" t="str">
        <f>IF(TRIM(RawSalesTable6[[#This Row],[Payment_Method_Raw]])="","Non renseigné",SUBSTITUTE(PROPER(TRIM(RawSalesTable6[[#This Row],[Payment_Method_Raw]])),"Cc","Credit Card"))</f>
        <v>Credit Card</v>
      </c>
      <c r="T716" s="8">
        <f>COUNTIF(A:A,RawSalesTable6[[#This Row],[Order_ID]])</f>
        <v>1</v>
      </c>
      <c r="U716" s="8" t="str">
        <f>TRIM(LEFT(RawSalesTable6[[#This Row],[Customer_Info]],FIND(",",RawSalesTable6[[#This Row],[Customer_Info]])-1))</f>
        <v>Zoe Hall</v>
      </c>
      <c r="V716" s="8" t="str">
        <f>TRIM(MID(RawSalesTable6[[#This Row],[Customer_Info]],FIND(",",RawSalesTable6[[#This Row],[Customer_Info]])+1,FIND(",",RawSalesTable6[[#This Row],[Customer_Info]],FIND(",",RawSalesTable6[[#This Row],[Customer_Info]])+1)-FIND(",",RawSalesTable6[[#This Row],[Customer_Info]])-1))</f>
        <v>Vancouver</v>
      </c>
      <c r="W716" s="8" t="str">
        <f>TRIM(RIGHT(RawSalesTable6[[#This Row],[Customer_Info]],LEN(RawSalesTable6[[#This Row],[Customer_Info]])-FIND(",",RawSalesTable6[[#This Row],[Customer_Info]],FIND(",",RawSalesTable6[[#This Row],[Customer_Info]])+1)))</f>
        <v>Consumer</v>
      </c>
      <c r="X716" s="8" t="str">
        <f>VLOOKUP(RawSalesTable6[[#This Row],[Product_ID_Clean]],ProductsTable[],2,FALSE)</f>
        <v>Vacuum</v>
      </c>
      <c r="Y716" s="8" t="str">
        <f>VLOOKUP(RawSalesTable6[[#This Row],[Product_ID_Clean]],ProductsTable[],3,FALSE)</f>
        <v>Home</v>
      </c>
      <c r="Z716" s="8">
        <f>VLOOKUP(RawSalesTable6[[#This Row],[Product_ID_Clean]],ProductsTable[],5,FALSE)</f>
        <v>186.94</v>
      </c>
      <c r="AA716" s="8">
        <f>RawSalesTable6[[#This Row],[Unit_Price]]*RawSalesTable6[[#This Row],[Quantity]]</f>
        <v>564.82000000000005</v>
      </c>
      <c r="AB716" s="8">
        <f>RawSalesTable6[[#This Row],[Gross_Sales]]*RawSalesTable6[[#This Row],[Discount_Pct]]</f>
        <v>141.20500000000001</v>
      </c>
      <c r="AC716" s="8">
        <f>RawSalesTable6[[#This Row],[Gross_Sales]]-RawSalesTable6[[#This Row],[Discount_Amount]]</f>
        <v>423.61500000000001</v>
      </c>
      <c r="AD716" s="8">
        <f>RawSalesTable6[[#This Row],[Unit_Cost]]*RawSalesTable6[[#This Row],[Quantity]]</f>
        <v>373.88</v>
      </c>
      <c r="AE716" s="8">
        <f>RawSalesTable6[[#This Row],[Net_Sales]]-RawSalesTable6[[#This Row],[Total_Cost]]</f>
        <v>49.735000000000014</v>
      </c>
      <c r="AF716" s="9">
        <f>RawSalesTable6[[#This Row],[Profit]]/RawSalesTable6[[#This Row],[Net_Sales]]</f>
        <v>0.11740613528793838</v>
      </c>
      <c r="AG716" s="8">
        <f>YEAR(RawSalesTable6[[#This Row],[Order_Date]])</f>
        <v>2025</v>
      </c>
      <c r="AH716" s="8">
        <f>MONTH(RawSalesTable6[[#This Row],[Order_Date]])</f>
        <v>7</v>
      </c>
      <c r="AI716" s="8" t="str">
        <f>TEXT(RawSalesTable6[[#This Row],[Order_Date]],"mmmm")</f>
        <v>juillet</v>
      </c>
      <c r="AJ716" s="8" t="str">
        <f>IF(RawSalesTable6[[#This Row],[Month_Number]]&lt;=3,"Q1",IF(RawSalesTable6[[#This Row],[Month_Number]]&lt;=6,"Q2",IF(RawSalesTable6[[#This Row],[Month_Number]]&lt;=9,"Q3","Q4")))</f>
        <v>Q3</v>
      </c>
      <c r="AK716" s="8" t="str">
        <f>VLOOKUP(RawSalesTable6[[#This Row],[Customer_ID_Clean]],CustomersTable[],4,FALSE)</f>
        <v>British Columbia</v>
      </c>
      <c r="AL716" s="8">
        <f>IF(RawSalesTable6[[#This Row],[Return_Status]]="Yes",1,0)</f>
        <v>0</v>
      </c>
    </row>
    <row r="717" spans="1:38">
      <c r="A717" t="s">
        <v>1168</v>
      </c>
      <c r="B717" s="3">
        <v>45918</v>
      </c>
      <c r="C717" t="s">
        <v>128</v>
      </c>
      <c r="D717" t="s">
        <v>503</v>
      </c>
      <c r="E717" t="s">
        <v>129</v>
      </c>
      <c r="F717" t="s">
        <v>145</v>
      </c>
      <c r="G717" t="s">
        <v>130</v>
      </c>
      <c r="H717" t="s">
        <v>97</v>
      </c>
      <c r="I717">
        <v>4</v>
      </c>
      <c r="J717" s="2">
        <v>123.21</v>
      </c>
      <c r="K717" s="4">
        <v>0</v>
      </c>
      <c r="L717" t="s">
        <v>353</v>
      </c>
      <c r="M717">
        <v>2</v>
      </c>
      <c r="N717" t="s">
        <v>91</v>
      </c>
      <c r="O717" t="str">
        <f>SUBSTITUTE(PROPER(TRIM(RawSalesTable6[[#This Row],[Channel_Raw]])),"Market Place","Marketplace")</f>
        <v>Retail Store</v>
      </c>
      <c r="P717" t="str">
        <f>TRIM(RawSalesTable6[[#This Row],[Product_ID]])</f>
        <v>P1013</v>
      </c>
      <c r="Q717" t="str">
        <f>TRIM(RawSalesTable6[[#This Row],[Customer_ID]])</f>
        <v>C0015</v>
      </c>
      <c r="R717" s="8" t="str">
        <f>PROPER(TRIM(RawSalesTable6[[#This Row],[Store_Raw]]))</f>
        <v>Calgary North</v>
      </c>
      <c r="S717" s="8" t="str">
        <f>IF(TRIM(RawSalesTable6[[#This Row],[Payment_Method_Raw]])="","Non renseigné",SUBSTITUTE(PROPER(TRIM(RawSalesTable6[[#This Row],[Payment_Method_Raw]])),"Cc","Credit Card"))</f>
        <v>Credit Card</v>
      </c>
      <c r="T717" s="8">
        <f>COUNTIF(A:A,RawSalesTable6[[#This Row],[Order_ID]])</f>
        <v>1</v>
      </c>
      <c r="U717" s="8" t="str">
        <f>TRIM(LEFT(RawSalesTable6[[#This Row],[Customer_Info]],FIND(",",RawSalesTable6[[#This Row],[Customer_Info]])-1))</f>
        <v>Zoe Singh</v>
      </c>
      <c r="V717" s="8" t="str">
        <f>TRIM(MID(RawSalesTable6[[#This Row],[Customer_Info]],FIND(",",RawSalesTable6[[#This Row],[Customer_Info]])+1,FIND(",",RawSalesTable6[[#This Row],[Customer_Info]],FIND(",",RawSalesTable6[[#This Row],[Customer_Info]])+1)-FIND(",",RawSalesTable6[[#This Row],[Customer_Info]])-1))</f>
        <v>Halifax</v>
      </c>
      <c r="W717" s="8" t="str">
        <f>TRIM(RIGHT(RawSalesTable6[[#This Row],[Customer_Info]],LEN(RawSalesTable6[[#This Row],[Customer_Info]])-FIND(",",RawSalesTable6[[#This Row],[Customer_Info]],FIND(",",RawSalesTable6[[#This Row],[Customer_Info]])+1)))</f>
        <v>Consumer</v>
      </c>
      <c r="X717" s="8" t="str">
        <f>VLOOKUP(RawSalesTable6[[#This Row],[Product_ID_Clean]],ProductsTable[],2,FALSE)</f>
        <v>Whiteboard</v>
      </c>
      <c r="Y717" s="8" t="str">
        <f>VLOOKUP(RawSalesTable6[[#This Row],[Product_ID_Clean]],ProductsTable[],3,FALSE)</f>
        <v>Office</v>
      </c>
      <c r="Z717" s="8">
        <f>VLOOKUP(RawSalesTable6[[#This Row],[Product_ID_Clean]],ProductsTable[],5,FALSE)</f>
        <v>85.73</v>
      </c>
      <c r="AA717" s="8">
        <f>RawSalesTable6[[#This Row],[Unit_Price]]*RawSalesTable6[[#This Row],[Quantity]]</f>
        <v>492.84</v>
      </c>
      <c r="AB717" s="8">
        <f>RawSalesTable6[[#This Row],[Gross_Sales]]*RawSalesTable6[[#This Row],[Discount_Pct]]</f>
        <v>0</v>
      </c>
      <c r="AC717" s="8">
        <f>RawSalesTable6[[#This Row],[Gross_Sales]]-RawSalesTable6[[#This Row],[Discount_Amount]]</f>
        <v>492.84</v>
      </c>
      <c r="AD717" s="8">
        <f>RawSalesTable6[[#This Row],[Unit_Cost]]*RawSalesTable6[[#This Row],[Quantity]]</f>
        <v>342.92</v>
      </c>
      <c r="AE717" s="8">
        <f>RawSalesTable6[[#This Row],[Net_Sales]]-RawSalesTable6[[#This Row],[Total_Cost]]</f>
        <v>149.91999999999996</v>
      </c>
      <c r="AF717" s="9">
        <f>RawSalesTable6[[#This Row],[Profit]]/RawSalesTable6[[#This Row],[Net_Sales]]</f>
        <v>0.30419608797987169</v>
      </c>
      <c r="AG717" s="8">
        <f>YEAR(RawSalesTable6[[#This Row],[Order_Date]])</f>
        <v>2025</v>
      </c>
      <c r="AH717" s="8">
        <f>MONTH(RawSalesTable6[[#This Row],[Order_Date]])</f>
        <v>9</v>
      </c>
      <c r="AI717" s="8" t="str">
        <f>TEXT(RawSalesTable6[[#This Row],[Order_Date]],"mmmm")</f>
        <v>septembre</v>
      </c>
      <c r="AJ717" s="8" t="str">
        <f>IF(RawSalesTable6[[#This Row],[Month_Number]]&lt;=3,"Q1",IF(RawSalesTable6[[#This Row],[Month_Number]]&lt;=6,"Q2",IF(RawSalesTable6[[#This Row],[Month_Number]]&lt;=9,"Q3","Q4")))</f>
        <v>Q3</v>
      </c>
      <c r="AK717" s="8" t="str">
        <f>VLOOKUP(RawSalesTable6[[#This Row],[Customer_ID_Clean]],CustomersTable[],4,FALSE)</f>
        <v>Nova Scotia</v>
      </c>
      <c r="AL717" s="8">
        <f>IF(RawSalesTable6[[#This Row],[Return_Status]]="Yes",1,0)</f>
        <v>0</v>
      </c>
    </row>
    <row r="718" spans="1:38">
      <c r="A718" t="s">
        <v>1169</v>
      </c>
      <c r="B718" s="3">
        <v>45919</v>
      </c>
      <c r="C718" t="s">
        <v>497</v>
      </c>
      <c r="D718" t="s">
        <v>360</v>
      </c>
      <c r="E718" t="s">
        <v>498</v>
      </c>
      <c r="F718" t="s">
        <v>87</v>
      </c>
      <c r="G718" t="s">
        <v>171</v>
      </c>
      <c r="H718" t="s">
        <v>89</v>
      </c>
      <c r="I718">
        <v>3</v>
      </c>
      <c r="J718" s="2">
        <v>69.22</v>
      </c>
      <c r="K718" s="4">
        <v>0.2</v>
      </c>
      <c r="L718" t="s">
        <v>98</v>
      </c>
      <c r="M718">
        <v>7</v>
      </c>
      <c r="N718" t="s">
        <v>147</v>
      </c>
      <c r="O718" t="str">
        <f>SUBSTITUTE(PROPER(TRIM(RawSalesTable6[[#This Row],[Channel_Raw]])),"Market Place","Marketplace")</f>
        <v>Online</v>
      </c>
      <c r="P718" t="str">
        <f>TRIM(RawSalesTable6[[#This Row],[Product_ID]])</f>
        <v>P1020</v>
      </c>
      <c r="Q718" t="str">
        <f>TRIM(RawSalesTable6[[#This Row],[Customer_ID]])</f>
        <v>C0022</v>
      </c>
      <c r="R718" s="8" t="str">
        <f>PROPER(TRIM(RawSalesTable6[[#This Row],[Store_Raw]]))</f>
        <v>Online Fulfillment</v>
      </c>
      <c r="S718" s="8" t="str">
        <f>IF(TRIM(RawSalesTable6[[#This Row],[Payment_Method_Raw]])="","Non renseigné",SUBSTITUTE(PROPER(TRIM(RawSalesTable6[[#This Row],[Payment_Method_Raw]])),"Cc","Credit Card"))</f>
        <v>Debit Card</v>
      </c>
      <c r="T718" s="8">
        <f>COUNTIF(A:A,RawSalesTable6[[#This Row],[Order_ID]])</f>
        <v>1</v>
      </c>
      <c r="U718" s="8" t="str">
        <f>TRIM(LEFT(RawSalesTable6[[#This Row],[Customer_Info]],FIND(",",RawSalesTable6[[#This Row],[Customer_Info]])-1))</f>
        <v>Adam White</v>
      </c>
      <c r="V718" s="8" t="str">
        <f>TRIM(MID(RawSalesTable6[[#This Row],[Customer_Info]],FIND(",",RawSalesTable6[[#This Row],[Customer_Info]])+1,FIND(",",RawSalesTable6[[#This Row],[Customer_Info]],FIND(",",RawSalesTable6[[#This Row],[Customer_Info]])+1)-FIND(",",RawSalesTable6[[#This Row],[Customer_Info]])-1))</f>
        <v>Victoria</v>
      </c>
      <c r="W718" s="8" t="str">
        <f>TRIM(RIGHT(RawSalesTable6[[#This Row],[Customer_Info]],LEN(RawSalesTable6[[#This Row],[Customer_Info]])-FIND(",",RawSalesTable6[[#This Row],[Customer_Info]],FIND(",",RawSalesTable6[[#This Row],[Customer_Info]])+1)))</f>
        <v>Consumer</v>
      </c>
      <c r="X718" s="8" t="str">
        <f>VLOOKUP(RawSalesTable6[[#This Row],[Product_ID_Clean]],ProductsTable[],2,FALSE)</f>
        <v>Blender</v>
      </c>
      <c r="Y718" s="8" t="str">
        <f>VLOOKUP(RawSalesTable6[[#This Row],[Product_ID_Clean]],ProductsTable[],3,FALSE)</f>
        <v>Home</v>
      </c>
      <c r="Z718" s="8">
        <f>VLOOKUP(RawSalesTable6[[#This Row],[Product_ID_Clean]],ProductsTable[],5,FALSE)</f>
        <v>37.46</v>
      </c>
      <c r="AA718" s="8">
        <f>RawSalesTable6[[#This Row],[Unit_Price]]*RawSalesTable6[[#This Row],[Quantity]]</f>
        <v>207.66</v>
      </c>
      <c r="AB718" s="8">
        <f>RawSalesTable6[[#This Row],[Gross_Sales]]*RawSalesTable6[[#This Row],[Discount_Pct]]</f>
        <v>41.532000000000004</v>
      </c>
      <c r="AC718" s="8">
        <f>RawSalesTable6[[#This Row],[Gross_Sales]]-RawSalesTable6[[#This Row],[Discount_Amount]]</f>
        <v>166.12799999999999</v>
      </c>
      <c r="AD718" s="8">
        <f>RawSalesTable6[[#This Row],[Unit_Cost]]*RawSalesTable6[[#This Row],[Quantity]]</f>
        <v>112.38</v>
      </c>
      <c r="AE718" s="8">
        <f>RawSalesTable6[[#This Row],[Net_Sales]]-RawSalesTable6[[#This Row],[Total_Cost]]</f>
        <v>53.74799999999999</v>
      </c>
      <c r="AF718" s="9">
        <f>RawSalesTable6[[#This Row],[Profit]]/RawSalesTable6[[#This Row],[Net_Sales]]</f>
        <v>0.32353366079167867</v>
      </c>
      <c r="AG718" s="8">
        <f>YEAR(RawSalesTable6[[#This Row],[Order_Date]])</f>
        <v>2025</v>
      </c>
      <c r="AH718" s="8">
        <f>MONTH(RawSalesTable6[[#This Row],[Order_Date]])</f>
        <v>9</v>
      </c>
      <c r="AI718" s="8" t="str">
        <f>TEXT(RawSalesTable6[[#This Row],[Order_Date]],"mmmm")</f>
        <v>septembre</v>
      </c>
      <c r="AJ718" s="8" t="str">
        <f>IF(RawSalesTable6[[#This Row],[Month_Number]]&lt;=3,"Q1",IF(RawSalesTable6[[#This Row],[Month_Number]]&lt;=6,"Q2",IF(RawSalesTable6[[#This Row],[Month_Number]]&lt;=9,"Q3","Q4")))</f>
        <v>Q3</v>
      </c>
      <c r="AK718" s="8" t="str">
        <f>VLOOKUP(RawSalesTable6[[#This Row],[Customer_ID_Clean]],CustomersTable[],4,FALSE)</f>
        <v>British Columbia</v>
      </c>
      <c r="AL718" s="8">
        <f>IF(RawSalesTable6[[#This Row],[Return_Status]]="Yes",1,0)</f>
        <v>1</v>
      </c>
    </row>
    <row r="719" spans="1:38">
      <c r="A719" t="s">
        <v>1170</v>
      </c>
      <c r="B719" s="3">
        <v>45743</v>
      </c>
      <c r="C719" t="s">
        <v>343</v>
      </c>
      <c r="D719" t="s">
        <v>190</v>
      </c>
      <c r="E719" t="s">
        <v>344</v>
      </c>
      <c r="F719" t="s">
        <v>145</v>
      </c>
      <c r="G719" t="s">
        <v>130</v>
      </c>
      <c r="H719" t="s">
        <v>97</v>
      </c>
      <c r="I719">
        <v>1</v>
      </c>
      <c r="J719" s="2">
        <v>299.10000000000002</v>
      </c>
      <c r="K719" s="4">
        <v>0</v>
      </c>
      <c r="L719" t="s">
        <v>106</v>
      </c>
      <c r="M719">
        <v>3</v>
      </c>
      <c r="N719" t="s">
        <v>91</v>
      </c>
      <c r="O719" t="str">
        <f>SUBSTITUTE(PROPER(TRIM(RawSalesTable6[[#This Row],[Channel_Raw]])),"Market Place","Marketplace")</f>
        <v>Retail Store</v>
      </c>
      <c r="P719" t="str">
        <f>TRIM(RawSalesTable6[[#This Row],[Product_ID]])</f>
        <v>P1004</v>
      </c>
      <c r="Q719" t="str">
        <f>TRIM(RawSalesTable6[[#This Row],[Customer_ID]])</f>
        <v>C0114</v>
      </c>
      <c r="R719" s="8" t="str">
        <f>PROPER(TRIM(RawSalesTable6[[#This Row],[Store_Raw]]))</f>
        <v>Calgary North</v>
      </c>
      <c r="S719" s="8" t="str">
        <f>IF(TRIM(RawSalesTable6[[#This Row],[Payment_Method_Raw]])="","Non renseigné",SUBSTITUTE(PROPER(TRIM(RawSalesTable6[[#This Row],[Payment_Method_Raw]])),"Cc","Credit Card"))</f>
        <v>Credit Card</v>
      </c>
      <c r="T719" s="8">
        <f>COUNTIF(A:A,RawSalesTable6[[#This Row],[Order_ID]])</f>
        <v>1</v>
      </c>
      <c r="U719" s="8" t="str">
        <f>TRIM(LEFT(RawSalesTable6[[#This Row],[Customer_Info]],FIND(",",RawSalesTable6[[#This Row],[Customer_Info]])-1))</f>
        <v>Olivia Johnson</v>
      </c>
      <c r="V719" s="8" t="str">
        <f>TRIM(MID(RawSalesTable6[[#This Row],[Customer_Info]],FIND(",",RawSalesTable6[[#This Row],[Customer_Info]])+1,FIND(",",RawSalesTable6[[#This Row],[Customer_Info]],FIND(",",RawSalesTable6[[#This Row],[Customer_Info]])+1)-FIND(",",RawSalesTable6[[#This Row],[Customer_Info]])-1))</f>
        <v>Ottawa</v>
      </c>
      <c r="W719" s="8" t="str">
        <f>TRIM(RIGHT(RawSalesTable6[[#This Row],[Customer_Info]],LEN(RawSalesTable6[[#This Row],[Customer_Info]])-FIND(",",RawSalesTable6[[#This Row],[Customer_Info]],FIND(",",RawSalesTable6[[#This Row],[Customer_Info]])+1)))</f>
        <v>Consumer</v>
      </c>
      <c r="X719" s="8" t="str">
        <f>VLOOKUP(RawSalesTable6[[#This Row],[Product_ID_Clean]],ProductsTable[],2,FALSE)</f>
        <v>Webcam</v>
      </c>
      <c r="Y719" s="8" t="str">
        <f>VLOOKUP(RawSalesTable6[[#This Row],[Product_ID_Clean]],ProductsTable[],3,FALSE)</f>
        <v>Electronics</v>
      </c>
      <c r="Z719" s="8">
        <f>VLOOKUP(RawSalesTable6[[#This Row],[Product_ID_Clean]],ProductsTable[],5,FALSE)</f>
        <v>154.72999999999999</v>
      </c>
      <c r="AA719" s="8">
        <f>RawSalesTable6[[#This Row],[Unit_Price]]*RawSalesTable6[[#This Row],[Quantity]]</f>
        <v>299.10000000000002</v>
      </c>
      <c r="AB719" s="8">
        <f>RawSalesTable6[[#This Row],[Gross_Sales]]*RawSalesTable6[[#This Row],[Discount_Pct]]</f>
        <v>0</v>
      </c>
      <c r="AC719" s="8">
        <f>RawSalesTable6[[#This Row],[Gross_Sales]]-RawSalesTable6[[#This Row],[Discount_Amount]]</f>
        <v>299.10000000000002</v>
      </c>
      <c r="AD719" s="8">
        <f>RawSalesTable6[[#This Row],[Unit_Cost]]*RawSalesTable6[[#This Row],[Quantity]]</f>
        <v>154.72999999999999</v>
      </c>
      <c r="AE719" s="8">
        <f>RawSalesTable6[[#This Row],[Net_Sales]]-RawSalesTable6[[#This Row],[Total_Cost]]</f>
        <v>144.37000000000003</v>
      </c>
      <c r="AF719" s="9">
        <f>RawSalesTable6[[#This Row],[Profit]]/RawSalesTable6[[#This Row],[Net_Sales]]</f>
        <v>0.48268137746573059</v>
      </c>
      <c r="AG719" s="8">
        <f>YEAR(RawSalesTable6[[#This Row],[Order_Date]])</f>
        <v>2025</v>
      </c>
      <c r="AH719" s="8">
        <f>MONTH(RawSalesTable6[[#This Row],[Order_Date]])</f>
        <v>3</v>
      </c>
      <c r="AI719" s="8" t="str">
        <f>TEXT(RawSalesTable6[[#This Row],[Order_Date]],"mmmm")</f>
        <v>mars</v>
      </c>
      <c r="AJ719" s="8" t="str">
        <f>IF(RawSalesTable6[[#This Row],[Month_Number]]&lt;=3,"Q1",IF(RawSalesTable6[[#This Row],[Month_Number]]&lt;=6,"Q2",IF(RawSalesTable6[[#This Row],[Month_Number]]&lt;=9,"Q3","Q4")))</f>
        <v>Q1</v>
      </c>
      <c r="AK719" s="8" t="str">
        <f>VLOOKUP(RawSalesTable6[[#This Row],[Customer_ID_Clean]],CustomersTable[],4,FALSE)</f>
        <v>Ontario</v>
      </c>
      <c r="AL719" s="8">
        <f>IF(RawSalesTable6[[#This Row],[Return_Status]]="Yes",1,0)</f>
        <v>0</v>
      </c>
    </row>
    <row r="720" spans="1:38">
      <c r="A720" t="s">
        <v>1171</v>
      </c>
      <c r="B720" s="3">
        <v>45708</v>
      </c>
      <c r="C720" t="s">
        <v>335</v>
      </c>
      <c r="D720" t="s">
        <v>94</v>
      </c>
      <c r="E720" t="s">
        <v>336</v>
      </c>
      <c r="F720" t="s">
        <v>116</v>
      </c>
      <c r="G720" t="s">
        <v>96</v>
      </c>
      <c r="H720" t="s">
        <v>97</v>
      </c>
      <c r="I720">
        <v>1</v>
      </c>
      <c r="J720" s="2">
        <v>308.49</v>
      </c>
      <c r="K720" s="4">
        <v>0</v>
      </c>
      <c r="L720" t="s">
        <v>106</v>
      </c>
      <c r="M720">
        <v>4</v>
      </c>
      <c r="N720" t="s">
        <v>91</v>
      </c>
      <c r="O720" t="str">
        <f>SUBSTITUTE(PROPER(TRIM(RawSalesTable6[[#This Row],[Channel_Raw]])),"Market Place","Marketplace")</f>
        <v>Retail Store</v>
      </c>
      <c r="P720" t="str">
        <f>TRIM(RawSalesTable6[[#This Row],[Product_ID]])</f>
        <v>P1033</v>
      </c>
      <c r="Q720" t="str">
        <f>TRIM(RawSalesTable6[[#This Row],[Customer_ID]])</f>
        <v>C0037</v>
      </c>
      <c r="R720" s="8" t="str">
        <f>PROPER(TRIM(RawSalesTable6[[#This Row],[Store_Raw]]))</f>
        <v>Toronto Downtown</v>
      </c>
      <c r="S720" s="8" t="str">
        <f>IF(TRIM(RawSalesTable6[[#This Row],[Payment_Method_Raw]])="","Non renseigné",SUBSTITUTE(PROPER(TRIM(RawSalesTable6[[#This Row],[Payment_Method_Raw]])),"Cc","Credit Card"))</f>
        <v>Credit Card</v>
      </c>
      <c r="T720" s="8">
        <f>COUNTIF(A:A,RawSalesTable6[[#This Row],[Order_ID]])</f>
        <v>1</v>
      </c>
      <c r="U720" s="8" t="str">
        <f>TRIM(LEFT(RawSalesTable6[[#This Row],[Customer_Info]],FIND(",",RawSalesTable6[[#This Row],[Customer_Info]])-1))</f>
        <v>Lucas Scott</v>
      </c>
      <c r="V720" s="8" t="str">
        <f>TRIM(MID(RawSalesTable6[[#This Row],[Customer_Info]],FIND(",",RawSalesTable6[[#This Row],[Customer_Info]])+1,FIND(",",RawSalesTable6[[#This Row],[Customer_Info]],FIND(",",RawSalesTable6[[#This Row],[Customer_Info]])+1)-FIND(",",RawSalesTable6[[#This Row],[Customer_Info]])-1))</f>
        <v>Victoria</v>
      </c>
      <c r="W720" s="8" t="str">
        <f>TRIM(RIGHT(RawSalesTable6[[#This Row],[Customer_Info]],LEN(RawSalesTable6[[#This Row],[Customer_Info]])-FIND(",",RawSalesTable6[[#This Row],[Customer_Info]],FIND(",",RawSalesTable6[[#This Row],[Customer_Info]])+1)))</f>
        <v>Small Business</v>
      </c>
      <c r="X720" s="8" t="str">
        <f>VLOOKUP(RawSalesTable6[[#This Row],[Product_ID_Clean]],ProductsTable[],2,FALSE)</f>
        <v>Backpack</v>
      </c>
      <c r="Y720" s="8" t="str">
        <f>VLOOKUP(RawSalesTable6[[#This Row],[Product_ID_Clean]],ProductsTable[],3,FALSE)</f>
        <v>Accessories</v>
      </c>
      <c r="Z720" s="8">
        <f>VLOOKUP(RawSalesTable6[[#This Row],[Product_ID_Clean]],ProductsTable[],5,FALSE)</f>
        <v>152.55000000000001</v>
      </c>
      <c r="AA720" s="8">
        <f>RawSalesTable6[[#This Row],[Unit_Price]]*RawSalesTable6[[#This Row],[Quantity]]</f>
        <v>308.49</v>
      </c>
      <c r="AB720" s="8">
        <f>RawSalesTable6[[#This Row],[Gross_Sales]]*RawSalesTable6[[#This Row],[Discount_Pct]]</f>
        <v>0</v>
      </c>
      <c r="AC720" s="8">
        <f>RawSalesTable6[[#This Row],[Gross_Sales]]-RawSalesTable6[[#This Row],[Discount_Amount]]</f>
        <v>308.49</v>
      </c>
      <c r="AD720" s="8">
        <f>RawSalesTable6[[#This Row],[Unit_Cost]]*RawSalesTable6[[#This Row],[Quantity]]</f>
        <v>152.55000000000001</v>
      </c>
      <c r="AE720" s="8">
        <f>RawSalesTable6[[#This Row],[Net_Sales]]-RawSalesTable6[[#This Row],[Total_Cost]]</f>
        <v>155.94</v>
      </c>
      <c r="AF720" s="9">
        <f>RawSalesTable6[[#This Row],[Profit]]/RawSalesTable6[[#This Row],[Net_Sales]]</f>
        <v>0.50549450549450547</v>
      </c>
      <c r="AG720" s="8">
        <f>YEAR(RawSalesTable6[[#This Row],[Order_Date]])</f>
        <v>2025</v>
      </c>
      <c r="AH720" s="8">
        <f>MONTH(RawSalesTable6[[#This Row],[Order_Date]])</f>
        <v>2</v>
      </c>
      <c r="AI720" s="8" t="str">
        <f>TEXT(RawSalesTable6[[#This Row],[Order_Date]],"mmmm")</f>
        <v>février</v>
      </c>
      <c r="AJ720" s="8" t="str">
        <f>IF(RawSalesTable6[[#This Row],[Month_Number]]&lt;=3,"Q1",IF(RawSalesTable6[[#This Row],[Month_Number]]&lt;=6,"Q2",IF(RawSalesTable6[[#This Row],[Month_Number]]&lt;=9,"Q3","Q4")))</f>
        <v>Q1</v>
      </c>
      <c r="AK720" s="8" t="str">
        <f>VLOOKUP(RawSalesTable6[[#This Row],[Customer_ID_Clean]],CustomersTable[],4,FALSE)</f>
        <v>British Columbia</v>
      </c>
      <c r="AL720" s="8">
        <f>IF(RawSalesTable6[[#This Row],[Return_Status]]="Yes",1,0)</f>
        <v>0</v>
      </c>
    </row>
    <row r="721" spans="1:38">
      <c r="A721" t="s">
        <v>1172</v>
      </c>
      <c r="B721" s="3">
        <v>45684</v>
      </c>
      <c r="C721" t="s">
        <v>216</v>
      </c>
      <c r="D721" t="s">
        <v>114</v>
      </c>
      <c r="E721" t="s">
        <v>218</v>
      </c>
      <c r="F721" t="s">
        <v>145</v>
      </c>
      <c r="G721" t="s">
        <v>104</v>
      </c>
      <c r="H721" t="s">
        <v>308</v>
      </c>
      <c r="I721">
        <v>2</v>
      </c>
      <c r="J721" s="2">
        <v>137.54</v>
      </c>
      <c r="K721" s="4">
        <v>0.15</v>
      </c>
      <c r="L721" t="s">
        <v>106</v>
      </c>
      <c r="M721">
        <v>1</v>
      </c>
      <c r="N721" t="s">
        <v>91</v>
      </c>
      <c r="O721" t="str">
        <f>SUBSTITUTE(PROPER(TRIM(RawSalesTable6[[#This Row],[Channel_Raw]])),"Market Place","Marketplace")</f>
        <v>Online</v>
      </c>
      <c r="P721" t="str">
        <f>TRIM(RawSalesTable6[[#This Row],[Product_ID]])</f>
        <v>P1034</v>
      </c>
      <c r="Q721" t="str">
        <f>TRIM(RawSalesTable6[[#This Row],[Customer_ID]])</f>
        <v>C0065</v>
      </c>
      <c r="R721" s="8" t="str">
        <f>PROPER(TRIM(RawSalesTable6[[#This Row],[Store_Raw]]))</f>
        <v>Calgary North</v>
      </c>
      <c r="S721" s="8" t="str">
        <f>IF(TRIM(RawSalesTable6[[#This Row],[Payment_Method_Raw]])="","Non renseigné",SUBSTITUTE(PROPER(TRIM(RawSalesTable6[[#This Row],[Payment_Method_Raw]])),"Cc","Credit Card"))</f>
        <v>Credit Card</v>
      </c>
      <c r="T721" s="8">
        <f>COUNTIF(A:A,RawSalesTable6[[#This Row],[Order_ID]])</f>
        <v>1</v>
      </c>
      <c r="U721" s="8" t="str">
        <f>TRIM(LEFT(RawSalesTable6[[#This Row],[Customer_Info]],FIND(",",RawSalesTable6[[#This Row],[Customer_Info]])-1))</f>
        <v>Mia Wilson</v>
      </c>
      <c r="V721" s="8" t="str">
        <f>TRIM(MID(RawSalesTable6[[#This Row],[Customer_Info]],FIND(",",RawSalesTable6[[#This Row],[Customer_Info]])+1,FIND(",",RawSalesTable6[[#This Row],[Customer_Info]],FIND(",",RawSalesTable6[[#This Row],[Customer_Info]])+1)-FIND(",",RawSalesTable6[[#This Row],[Customer_Info]])-1))</f>
        <v>Quebec City</v>
      </c>
      <c r="W721" s="8" t="str">
        <f>TRIM(RIGHT(RawSalesTable6[[#This Row],[Customer_Info]],LEN(RawSalesTable6[[#This Row],[Customer_Info]])-FIND(",",RawSalesTable6[[#This Row],[Customer_Info]],FIND(",",RawSalesTable6[[#This Row],[Customer_Info]])+1)))</f>
        <v>Consumer</v>
      </c>
      <c r="X721" s="8" t="str">
        <f>VLOOKUP(RawSalesTable6[[#This Row],[Product_ID_Clean]],ProductsTable[],2,FALSE)</f>
        <v>Laptop Sleeve</v>
      </c>
      <c r="Y721" s="8" t="str">
        <f>VLOOKUP(RawSalesTable6[[#This Row],[Product_ID_Clean]],ProductsTable[],3,FALSE)</f>
        <v>Accessories</v>
      </c>
      <c r="Z721" s="8">
        <f>VLOOKUP(RawSalesTable6[[#This Row],[Product_ID_Clean]],ProductsTable[],5,FALSE)</f>
        <v>78.95</v>
      </c>
      <c r="AA721" s="8">
        <f>RawSalesTable6[[#This Row],[Unit_Price]]*RawSalesTable6[[#This Row],[Quantity]]</f>
        <v>275.08</v>
      </c>
      <c r="AB721" s="8">
        <f>RawSalesTable6[[#This Row],[Gross_Sales]]*RawSalesTable6[[#This Row],[Discount_Pct]]</f>
        <v>41.261999999999993</v>
      </c>
      <c r="AC721" s="8">
        <f>RawSalesTable6[[#This Row],[Gross_Sales]]-RawSalesTable6[[#This Row],[Discount_Amount]]</f>
        <v>233.81799999999998</v>
      </c>
      <c r="AD721" s="8">
        <f>RawSalesTable6[[#This Row],[Unit_Cost]]*RawSalesTable6[[#This Row],[Quantity]]</f>
        <v>157.9</v>
      </c>
      <c r="AE721" s="8">
        <f>RawSalesTable6[[#This Row],[Net_Sales]]-RawSalesTable6[[#This Row],[Total_Cost]]</f>
        <v>75.917999999999978</v>
      </c>
      <c r="AF721" s="9">
        <f>RawSalesTable6[[#This Row],[Profit]]/RawSalesTable6[[#This Row],[Net_Sales]]</f>
        <v>0.32468843288369581</v>
      </c>
      <c r="AG721" s="8">
        <f>YEAR(RawSalesTable6[[#This Row],[Order_Date]])</f>
        <v>2025</v>
      </c>
      <c r="AH721" s="8">
        <f>MONTH(RawSalesTable6[[#This Row],[Order_Date]])</f>
        <v>1</v>
      </c>
      <c r="AI721" s="8" t="str">
        <f>TEXT(RawSalesTable6[[#This Row],[Order_Date]],"mmmm")</f>
        <v>janvier</v>
      </c>
      <c r="AJ721" s="8" t="str">
        <f>IF(RawSalesTable6[[#This Row],[Month_Number]]&lt;=3,"Q1",IF(RawSalesTable6[[#This Row],[Month_Number]]&lt;=6,"Q2",IF(RawSalesTable6[[#This Row],[Month_Number]]&lt;=9,"Q3","Q4")))</f>
        <v>Q1</v>
      </c>
      <c r="AK721" s="8" t="str">
        <f>VLOOKUP(RawSalesTable6[[#This Row],[Customer_ID_Clean]],CustomersTable[],4,FALSE)</f>
        <v>Quebec</v>
      </c>
      <c r="AL721" s="8">
        <f>IF(RawSalesTable6[[#This Row],[Return_Status]]="Yes",1,0)</f>
        <v>0</v>
      </c>
    </row>
    <row r="727" spans="1:38">
      <c r="C727">
        <f>ROWS(RawSalesTable6[Order_ID])</f>
        <v>720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3"/>
  <sheetViews>
    <sheetView topLeftCell="A7" workbookViewId="0">
      <selection activeCell="A7" sqref="A1:XFD1048576"/>
    </sheetView>
  </sheetViews>
  <sheetFormatPr baseColWidth="10" defaultColWidth="8.796875" defaultRowHeight="13.8"/>
  <cols>
    <col min="1" max="1" width="18" customWidth="1"/>
    <col min="2" max="2" width="12" customWidth="1"/>
    <col min="3" max="3" width="13" customWidth="1"/>
    <col min="4" max="4" width="11.59765625" customWidth="1"/>
    <col min="5" max="5" width="34" customWidth="1"/>
    <col min="6" max="6" width="22" customWidth="1"/>
    <col min="7" max="7" width="16" customWidth="1"/>
    <col min="8" max="8" width="18" customWidth="1"/>
    <col min="9" max="9" width="9.69921875" customWidth="1"/>
    <col min="10" max="10" width="11" customWidth="1"/>
    <col min="11" max="11" width="13" customWidth="1"/>
    <col min="12" max="12" width="20" customWidth="1"/>
    <col min="13" max="14" width="13.8984375" customWidth="1"/>
  </cols>
  <sheetData>
    <row r="1" spans="1:14" ht="27.6">
      <c r="A1" s="1" t="s">
        <v>69</v>
      </c>
      <c r="B1" s="1" t="s">
        <v>70</v>
      </c>
      <c r="C1" s="1" t="s">
        <v>71</v>
      </c>
      <c r="D1" s="1" t="s">
        <v>72</v>
      </c>
      <c r="E1" s="1" t="s">
        <v>73</v>
      </c>
      <c r="F1" s="1" t="s">
        <v>74</v>
      </c>
      <c r="G1" s="1" t="s">
        <v>75</v>
      </c>
      <c r="H1" s="1" t="s">
        <v>76</v>
      </c>
      <c r="I1" s="1" t="s">
        <v>77</v>
      </c>
      <c r="J1" s="1" t="s">
        <v>78</v>
      </c>
      <c r="K1" s="1" t="s">
        <v>79</v>
      </c>
      <c r="L1" s="1" t="s">
        <v>80</v>
      </c>
      <c r="M1" s="1" t="s">
        <v>81</v>
      </c>
      <c r="N1" s="1" t="s">
        <v>82</v>
      </c>
    </row>
    <row r="2" spans="1:14">
      <c r="A2" t="s">
        <v>83</v>
      </c>
      <c r="B2" s="3">
        <v>45921</v>
      </c>
      <c r="C2" t="s">
        <v>84</v>
      </c>
      <c r="D2" t="s">
        <v>85</v>
      </c>
      <c r="E2" t="s">
        <v>86</v>
      </c>
      <c r="F2" t="s">
        <v>87</v>
      </c>
      <c r="G2" t="s">
        <v>88</v>
      </c>
      <c r="H2" t="s">
        <v>89</v>
      </c>
      <c r="I2">
        <v>1</v>
      </c>
      <c r="J2" s="2">
        <v>321.89</v>
      </c>
      <c r="K2" s="4">
        <v>0</v>
      </c>
      <c r="L2" t="s">
        <v>90</v>
      </c>
      <c r="M2">
        <v>1</v>
      </c>
      <c r="N2" t="s">
        <v>91</v>
      </c>
    </row>
    <row r="3" spans="1:14">
      <c r="A3" t="s">
        <v>92</v>
      </c>
      <c r="B3" s="3">
        <v>45801</v>
      </c>
      <c r="C3" t="s">
        <v>93</v>
      </c>
      <c r="D3" t="s">
        <v>94</v>
      </c>
      <c r="E3" t="s">
        <v>95</v>
      </c>
      <c r="F3" t="s">
        <v>87</v>
      </c>
      <c r="G3" t="s">
        <v>96</v>
      </c>
      <c r="H3" t="s">
        <v>97</v>
      </c>
      <c r="I3">
        <v>4</v>
      </c>
      <c r="J3" s="2">
        <v>316.17</v>
      </c>
      <c r="K3" s="4">
        <v>0.15</v>
      </c>
      <c r="L3" t="s">
        <v>98</v>
      </c>
      <c r="M3">
        <v>3</v>
      </c>
      <c r="N3" t="s">
        <v>91</v>
      </c>
    </row>
    <row r="4" spans="1:14">
      <c r="A4" t="s">
        <v>99</v>
      </c>
      <c r="B4" s="3">
        <v>45694</v>
      </c>
      <c r="C4" t="s">
        <v>100</v>
      </c>
      <c r="D4" t="s">
        <v>101</v>
      </c>
      <c r="E4" t="s">
        <v>102</v>
      </c>
      <c r="F4" t="s">
        <v>103</v>
      </c>
      <c r="G4" t="s">
        <v>104</v>
      </c>
      <c r="H4" t="s">
        <v>105</v>
      </c>
      <c r="I4">
        <v>2</v>
      </c>
      <c r="J4" s="2">
        <v>302.17</v>
      </c>
      <c r="K4" s="4">
        <v>0</v>
      </c>
      <c r="L4" t="s">
        <v>106</v>
      </c>
      <c r="M4">
        <v>7</v>
      </c>
      <c r="N4" t="s">
        <v>91</v>
      </c>
    </row>
    <row r="5" spans="1:14">
      <c r="A5" t="s">
        <v>107</v>
      </c>
      <c r="B5" s="3">
        <v>45687</v>
      </c>
      <c r="C5" t="s">
        <v>108</v>
      </c>
      <c r="D5" t="s">
        <v>109</v>
      </c>
      <c r="E5" t="s">
        <v>110</v>
      </c>
      <c r="F5" t="s">
        <v>111</v>
      </c>
      <c r="G5" t="s">
        <v>88</v>
      </c>
      <c r="H5" t="s">
        <v>89</v>
      </c>
      <c r="I5">
        <v>1</v>
      </c>
      <c r="J5" s="2">
        <v>197.68</v>
      </c>
      <c r="K5" s="4">
        <v>0.1</v>
      </c>
      <c r="L5" t="s">
        <v>90</v>
      </c>
      <c r="M5">
        <v>3</v>
      </c>
      <c r="N5" t="s">
        <v>91</v>
      </c>
    </row>
    <row r="6" spans="1:14">
      <c r="A6" t="s">
        <v>112</v>
      </c>
      <c r="B6" s="3">
        <v>45732</v>
      </c>
      <c r="C6" t="s">
        <v>113</v>
      </c>
      <c r="D6" t="s">
        <v>114</v>
      </c>
      <c r="E6" t="s">
        <v>115</v>
      </c>
      <c r="F6" t="s">
        <v>116</v>
      </c>
      <c r="G6" t="s">
        <v>117</v>
      </c>
      <c r="H6" t="s">
        <v>89</v>
      </c>
      <c r="I6">
        <v>1</v>
      </c>
      <c r="J6" s="2">
        <v>151.79</v>
      </c>
      <c r="K6" s="4">
        <v>0</v>
      </c>
      <c r="L6" t="s">
        <v>106</v>
      </c>
      <c r="M6">
        <v>2</v>
      </c>
      <c r="N6" t="s">
        <v>91</v>
      </c>
    </row>
    <row r="7" spans="1:14">
      <c r="A7" t="s">
        <v>118</v>
      </c>
      <c r="B7" s="3">
        <v>45672</v>
      </c>
      <c r="C7" t="s">
        <v>119</v>
      </c>
      <c r="D7" t="s">
        <v>120</v>
      </c>
      <c r="E7" t="s">
        <v>121</v>
      </c>
      <c r="F7" t="s">
        <v>116</v>
      </c>
      <c r="G7" t="s">
        <v>122</v>
      </c>
      <c r="H7" t="s">
        <v>97</v>
      </c>
      <c r="I7">
        <v>2</v>
      </c>
      <c r="J7" s="2">
        <v>375.75</v>
      </c>
      <c r="K7" s="4">
        <v>0</v>
      </c>
      <c r="L7" t="s">
        <v>106</v>
      </c>
      <c r="M7">
        <v>2</v>
      </c>
      <c r="N7" t="s">
        <v>91</v>
      </c>
    </row>
    <row r="8" spans="1:14">
      <c r="A8" t="s">
        <v>123</v>
      </c>
      <c r="B8" s="3">
        <v>45830</v>
      </c>
      <c r="C8" t="s">
        <v>124</v>
      </c>
      <c r="D8" t="s">
        <v>125</v>
      </c>
      <c r="E8" t="s">
        <v>126</v>
      </c>
      <c r="F8" t="s">
        <v>111</v>
      </c>
      <c r="G8" t="s">
        <v>88</v>
      </c>
      <c r="H8" t="s">
        <v>97</v>
      </c>
      <c r="I8">
        <v>3</v>
      </c>
      <c r="J8" s="2">
        <v>55.05</v>
      </c>
      <c r="K8" s="4">
        <v>0.15</v>
      </c>
      <c r="L8" t="s">
        <v>98</v>
      </c>
      <c r="M8">
        <v>1</v>
      </c>
      <c r="N8" t="s">
        <v>91</v>
      </c>
    </row>
    <row r="9" spans="1:14">
      <c r="A9" t="s">
        <v>127</v>
      </c>
      <c r="B9" s="3">
        <v>45711</v>
      </c>
      <c r="C9" t="s">
        <v>128</v>
      </c>
      <c r="D9" t="s">
        <v>94</v>
      </c>
      <c r="E9" t="s">
        <v>129</v>
      </c>
      <c r="F9" t="s">
        <v>116</v>
      </c>
      <c r="G9" t="s">
        <v>130</v>
      </c>
      <c r="H9" t="s">
        <v>89</v>
      </c>
      <c r="I9">
        <v>2</v>
      </c>
      <c r="J9" s="2">
        <v>304.06</v>
      </c>
      <c r="K9" s="4">
        <v>0</v>
      </c>
      <c r="L9" t="s">
        <v>90</v>
      </c>
      <c r="M9">
        <v>3</v>
      </c>
      <c r="N9" t="s">
        <v>91</v>
      </c>
    </row>
    <row r="10" spans="1:14">
      <c r="A10" t="s">
        <v>131</v>
      </c>
      <c r="B10" s="3">
        <v>46014</v>
      </c>
      <c r="C10" t="s">
        <v>132</v>
      </c>
      <c r="D10" t="s">
        <v>133</v>
      </c>
      <c r="E10" t="s">
        <v>134</v>
      </c>
      <c r="F10" t="s">
        <v>111</v>
      </c>
      <c r="G10" t="s">
        <v>117</v>
      </c>
      <c r="H10" t="s">
        <v>97</v>
      </c>
      <c r="I10">
        <v>1</v>
      </c>
      <c r="J10" s="2">
        <v>333.75</v>
      </c>
      <c r="K10" s="4">
        <v>0.05</v>
      </c>
      <c r="L10" t="s">
        <v>90</v>
      </c>
      <c r="M10">
        <v>3</v>
      </c>
      <c r="N10" t="s">
        <v>91</v>
      </c>
    </row>
    <row r="11" spans="1:14">
      <c r="A11" t="s">
        <v>135</v>
      </c>
      <c r="B11" s="3">
        <v>45833</v>
      </c>
      <c r="C11" t="s">
        <v>132</v>
      </c>
      <c r="D11" t="s">
        <v>136</v>
      </c>
      <c r="E11" t="s">
        <v>134</v>
      </c>
      <c r="F11" t="s">
        <v>103</v>
      </c>
      <c r="G11" t="s">
        <v>122</v>
      </c>
      <c r="H11" t="s">
        <v>89</v>
      </c>
      <c r="I11">
        <v>1</v>
      </c>
      <c r="J11" s="2">
        <v>163.56</v>
      </c>
      <c r="K11" s="4">
        <v>0.05</v>
      </c>
      <c r="L11" t="s">
        <v>106</v>
      </c>
      <c r="M11">
        <v>7</v>
      </c>
      <c r="N11" t="s">
        <v>91</v>
      </c>
    </row>
    <row r="12" spans="1:14">
      <c r="A12" t="s">
        <v>137</v>
      </c>
      <c r="B12" s="3">
        <v>46016</v>
      </c>
      <c r="C12" t="s">
        <v>138</v>
      </c>
      <c r="D12" t="s">
        <v>139</v>
      </c>
      <c r="E12" t="s">
        <v>140</v>
      </c>
      <c r="F12" t="s">
        <v>116</v>
      </c>
      <c r="G12" t="s">
        <v>88</v>
      </c>
      <c r="H12" t="s">
        <v>89</v>
      </c>
      <c r="I12">
        <v>3</v>
      </c>
      <c r="J12" s="2">
        <v>79.569999999999993</v>
      </c>
      <c r="K12" s="4">
        <v>0</v>
      </c>
      <c r="L12" t="s">
        <v>90</v>
      </c>
      <c r="M12">
        <v>3</v>
      </c>
      <c r="N12" t="s">
        <v>91</v>
      </c>
    </row>
    <row r="13" spans="1:14">
      <c r="A13" t="s">
        <v>141</v>
      </c>
      <c r="B13" s="3">
        <v>45816</v>
      </c>
      <c r="C13" t="s">
        <v>142</v>
      </c>
      <c r="D13" t="s">
        <v>143</v>
      </c>
      <c r="E13" t="s">
        <v>144</v>
      </c>
      <c r="F13" t="s">
        <v>145</v>
      </c>
      <c r="G13" t="s">
        <v>96</v>
      </c>
      <c r="H13" t="s">
        <v>89</v>
      </c>
      <c r="I13">
        <v>1</v>
      </c>
      <c r="J13" s="2">
        <v>265.64</v>
      </c>
      <c r="K13" s="4">
        <v>0.1</v>
      </c>
      <c r="L13" t="s">
        <v>146</v>
      </c>
      <c r="M13">
        <v>9</v>
      </c>
      <c r="N13" t="s">
        <v>147</v>
      </c>
    </row>
    <row r="14" spans="1:14">
      <c r="A14" t="s">
        <v>148</v>
      </c>
      <c r="B14" s="3">
        <v>45826</v>
      </c>
      <c r="C14" t="s">
        <v>108</v>
      </c>
      <c r="D14" t="s">
        <v>149</v>
      </c>
      <c r="E14" t="s">
        <v>110</v>
      </c>
      <c r="F14" t="s">
        <v>116</v>
      </c>
      <c r="G14" t="s">
        <v>96</v>
      </c>
      <c r="H14" t="s">
        <v>97</v>
      </c>
      <c r="I14">
        <v>1</v>
      </c>
      <c r="J14" s="2">
        <v>82.73</v>
      </c>
      <c r="K14" s="4">
        <v>0</v>
      </c>
      <c r="L14" t="s">
        <v>98</v>
      </c>
      <c r="M14">
        <v>3</v>
      </c>
      <c r="N14" t="s">
        <v>91</v>
      </c>
    </row>
    <row r="15" spans="1:14">
      <c r="A15" t="s">
        <v>150</v>
      </c>
      <c r="B15" s="3">
        <v>45820</v>
      </c>
      <c r="C15" t="s">
        <v>151</v>
      </c>
      <c r="D15" t="s">
        <v>152</v>
      </c>
      <c r="E15" t="s">
        <v>153</v>
      </c>
      <c r="F15" t="s">
        <v>103</v>
      </c>
      <c r="G15" t="s">
        <v>96</v>
      </c>
      <c r="H15" t="s">
        <v>89</v>
      </c>
      <c r="I15">
        <v>2</v>
      </c>
      <c r="J15" s="2">
        <v>127.76</v>
      </c>
      <c r="K15" s="4">
        <v>0.1</v>
      </c>
      <c r="L15" t="s">
        <v>154</v>
      </c>
      <c r="M15">
        <v>8</v>
      </c>
      <c r="N15" t="s">
        <v>91</v>
      </c>
    </row>
    <row r="16" spans="1:14">
      <c r="A16" t="s">
        <v>155</v>
      </c>
      <c r="B16" s="3">
        <v>45810</v>
      </c>
      <c r="C16" t="s">
        <v>156</v>
      </c>
      <c r="D16" t="s">
        <v>157</v>
      </c>
      <c r="E16" t="s">
        <v>158</v>
      </c>
      <c r="F16" t="s">
        <v>111</v>
      </c>
      <c r="G16" t="s">
        <v>96</v>
      </c>
      <c r="H16" t="s">
        <v>97</v>
      </c>
      <c r="I16">
        <v>4</v>
      </c>
      <c r="J16" s="2">
        <v>306.48</v>
      </c>
      <c r="K16" s="4">
        <v>0.1</v>
      </c>
      <c r="L16" t="s">
        <v>106</v>
      </c>
      <c r="M16">
        <v>2</v>
      </c>
      <c r="N16" t="s">
        <v>91</v>
      </c>
    </row>
    <row r="17" spans="1:14">
      <c r="A17" t="s">
        <v>159</v>
      </c>
      <c r="B17" s="3">
        <v>45834</v>
      </c>
      <c r="C17" t="s">
        <v>160</v>
      </c>
      <c r="D17" t="s">
        <v>120</v>
      </c>
      <c r="E17" t="s">
        <v>161</v>
      </c>
      <c r="F17" t="s">
        <v>116</v>
      </c>
      <c r="G17" t="s">
        <v>96</v>
      </c>
      <c r="H17" t="s">
        <v>105</v>
      </c>
      <c r="I17">
        <v>1</v>
      </c>
      <c r="J17" s="2">
        <v>361.37</v>
      </c>
      <c r="K17" s="4">
        <v>0</v>
      </c>
      <c r="L17" t="s">
        <v>154</v>
      </c>
      <c r="M17">
        <v>3</v>
      </c>
      <c r="N17" t="s">
        <v>147</v>
      </c>
    </row>
    <row r="18" spans="1:14">
      <c r="A18" t="s">
        <v>162</v>
      </c>
      <c r="B18" s="3">
        <v>45676</v>
      </c>
      <c r="C18" t="s">
        <v>142</v>
      </c>
      <c r="D18" t="s">
        <v>139</v>
      </c>
      <c r="E18" t="s">
        <v>144</v>
      </c>
      <c r="F18" t="s">
        <v>103</v>
      </c>
      <c r="G18" t="s">
        <v>104</v>
      </c>
      <c r="H18" t="s">
        <v>89</v>
      </c>
      <c r="I18">
        <v>1</v>
      </c>
      <c r="J18" s="2">
        <v>77</v>
      </c>
      <c r="K18" s="4">
        <v>0.15</v>
      </c>
      <c r="L18" t="s">
        <v>90</v>
      </c>
      <c r="M18">
        <v>5</v>
      </c>
      <c r="N18" t="s">
        <v>91</v>
      </c>
    </row>
    <row r="19" spans="1:14">
      <c r="A19" t="s">
        <v>163</v>
      </c>
      <c r="B19" s="3">
        <v>45683</v>
      </c>
      <c r="C19" t="s">
        <v>164</v>
      </c>
      <c r="D19" t="s">
        <v>165</v>
      </c>
      <c r="E19" t="s">
        <v>166</v>
      </c>
      <c r="F19" t="s">
        <v>116</v>
      </c>
      <c r="G19" t="s">
        <v>122</v>
      </c>
      <c r="H19" t="s">
        <v>167</v>
      </c>
      <c r="I19">
        <v>2</v>
      </c>
      <c r="J19" s="2">
        <v>107.26</v>
      </c>
      <c r="K19" s="4">
        <v>0</v>
      </c>
      <c r="L19" t="s">
        <v>90</v>
      </c>
      <c r="M19">
        <v>8</v>
      </c>
      <c r="N19" t="s">
        <v>91</v>
      </c>
    </row>
    <row r="20" spans="1:14">
      <c r="A20" t="s">
        <v>168</v>
      </c>
      <c r="B20" s="3">
        <v>45878</v>
      </c>
      <c r="C20" t="s">
        <v>169</v>
      </c>
      <c r="D20" t="s">
        <v>133</v>
      </c>
      <c r="E20" t="s">
        <v>170</v>
      </c>
      <c r="F20" t="s">
        <v>111</v>
      </c>
      <c r="G20" t="s">
        <v>171</v>
      </c>
      <c r="H20" t="s">
        <v>89</v>
      </c>
      <c r="I20">
        <v>4</v>
      </c>
      <c r="J20" s="2">
        <v>357.37</v>
      </c>
      <c r="K20" s="4">
        <v>0.25</v>
      </c>
      <c r="L20" t="s">
        <v>106</v>
      </c>
      <c r="M20">
        <v>9</v>
      </c>
      <c r="N20" t="s">
        <v>91</v>
      </c>
    </row>
    <row r="21" spans="1:14">
      <c r="A21" t="s">
        <v>172</v>
      </c>
      <c r="B21" s="3">
        <v>45973</v>
      </c>
      <c r="C21" t="s">
        <v>173</v>
      </c>
      <c r="D21" t="s">
        <v>174</v>
      </c>
      <c r="E21" t="s">
        <v>175</v>
      </c>
      <c r="F21" t="s">
        <v>103</v>
      </c>
      <c r="G21" t="s">
        <v>96</v>
      </c>
      <c r="H21" t="s">
        <v>97</v>
      </c>
      <c r="I21">
        <v>2</v>
      </c>
      <c r="J21" s="2">
        <v>39.450000000000003</v>
      </c>
      <c r="K21" s="4">
        <v>0.05</v>
      </c>
      <c r="L21" t="s">
        <v>98</v>
      </c>
      <c r="M21">
        <v>2</v>
      </c>
      <c r="N21" t="s">
        <v>147</v>
      </c>
    </row>
    <row r="22" spans="1:14">
      <c r="A22" t="s">
        <v>176</v>
      </c>
      <c r="B22" s="3">
        <v>45658</v>
      </c>
      <c r="C22" t="s">
        <v>177</v>
      </c>
      <c r="D22" t="s">
        <v>120</v>
      </c>
      <c r="E22" t="s">
        <v>178</v>
      </c>
      <c r="F22" t="s">
        <v>87</v>
      </c>
      <c r="G22" t="s">
        <v>171</v>
      </c>
      <c r="H22" t="s">
        <v>97</v>
      </c>
      <c r="I22">
        <v>2</v>
      </c>
      <c r="J22" s="2">
        <v>373.3</v>
      </c>
      <c r="K22" s="4">
        <v>0.05</v>
      </c>
      <c r="L22" t="s">
        <v>106</v>
      </c>
      <c r="M22">
        <v>1</v>
      </c>
      <c r="N22" t="s">
        <v>147</v>
      </c>
    </row>
    <row r="23" spans="1:14">
      <c r="A23" t="s">
        <v>179</v>
      </c>
      <c r="B23" s="3">
        <v>45750</v>
      </c>
      <c r="C23" t="s">
        <v>180</v>
      </c>
      <c r="D23" t="s">
        <v>181</v>
      </c>
      <c r="E23" t="s">
        <v>182</v>
      </c>
      <c r="F23" t="s">
        <v>116</v>
      </c>
      <c r="G23" t="s">
        <v>183</v>
      </c>
      <c r="H23" t="s">
        <v>89</v>
      </c>
      <c r="I23">
        <v>1</v>
      </c>
      <c r="J23" s="2">
        <v>339.65</v>
      </c>
      <c r="K23" s="4">
        <v>0</v>
      </c>
      <c r="L23" t="s">
        <v>106</v>
      </c>
      <c r="M23">
        <v>3</v>
      </c>
      <c r="N23" t="s">
        <v>91</v>
      </c>
    </row>
    <row r="24" spans="1:14">
      <c r="A24" t="s">
        <v>184</v>
      </c>
      <c r="B24" s="3">
        <v>45879</v>
      </c>
      <c r="C24" t="s">
        <v>185</v>
      </c>
      <c r="D24" t="s">
        <v>165</v>
      </c>
      <c r="E24" t="s">
        <v>186</v>
      </c>
      <c r="F24" t="s">
        <v>187</v>
      </c>
      <c r="G24" t="s">
        <v>117</v>
      </c>
      <c r="H24" t="s">
        <v>89</v>
      </c>
      <c r="I24">
        <v>2</v>
      </c>
      <c r="J24" s="2">
        <v>99.22</v>
      </c>
      <c r="K24" s="4">
        <v>0.05</v>
      </c>
      <c r="L24" t="s">
        <v>98</v>
      </c>
      <c r="M24">
        <v>8</v>
      </c>
      <c r="N24" t="s">
        <v>91</v>
      </c>
    </row>
    <row r="25" spans="1:14">
      <c r="A25" t="s">
        <v>188</v>
      </c>
      <c r="B25" s="3">
        <v>45963</v>
      </c>
      <c r="C25" t="s">
        <v>189</v>
      </c>
      <c r="D25" t="s">
        <v>190</v>
      </c>
      <c r="E25" t="s">
        <v>191</v>
      </c>
      <c r="F25" t="s">
        <v>145</v>
      </c>
      <c r="G25" t="s">
        <v>183</v>
      </c>
      <c r="H25" t="s">
        <v>89</v>
      </c>
      <c r="I25">
        <v>2</v>
      </c>
      <c r="J25" s="2">
        <v>277.39</v>
      </c>
      <c r="K25" s="4">
        <v>0</v>
      </c>
      <c r="L25" t="s">
        <v>98</v>
      </c>
      <c r="M25">
        <v>6</v>
      </c>
      <c r="N25" t="s">
        <v>91</v>
      </c>
    </row>
    <row r="26" spans="1:14">
      <c r="A26" t="s">
        <v>192</v>
      </c>
      <c r="B26" s="3">
        <v>45852</v>
      </c>
      <c r="C26" t="s">
        <v>193</v>
      </c>
      <c r="D26" t="s">
        <v>194</v>
      </c>
      <c r="E26" t="s">
        <v>195</v>
      </c>
      <c r="F26" t="s">
        <v>116</v>
      </c>
      <c r="G26" t="s">
        <v>117</v>
      </c>
      <c r="H26" t="s">
        <v>97</v>
      </c>
      <c r="I26">
        <v>2</v>
      </c>
      <c r="J26" s="2">
        <v>193.9</v>
      </c>
      <c r="K26" s="4">
        <v>0</v>
      </c>
      <c r="L26" t="s">
        <v>106</v>
      </c>
      <c r="M26">
        <v>4</v>
      </c>
      <c r="N26" t="s">
        <v>91</v>
      </c>
    </row>
    <row r="27" spans="1:14">
      <c r="A27" t="s">
        <v>196</v>
      </c>
      <c r="B27" s="3">
        <v>45761</v>
      </c>
      <c r="C27" t="s">
        <v>197</v>
      </c>
      <c r="D27" t="s">
        <v>181</v>
      </c>
      <c r="E27" t="s">
        <v>198</v>
      </c>
      <c r="F27" t="s">
        <v>111</v>
      </c>
      <c r="G27" t="s">
        <v>104</v>
      </c>
      <c r="H27" t="s">
        <v>97</v>
      </c>
      <c r="I27">
        <v>3</v>
      </c>
      <c r="J27" s="2">
        <v>336.05</v>
      </c>
      <c r="K27" s="4">
        <v>0.25</v>
      </c>
      <c r="L27" t="s">
        <v>98</v>
      </c>
      <c r="M27">
        <v>3</v>
      </c>
      <c r="N27" t="s">
        <v>91</v>
      </c>
    </row>
    <row r="28" spans="1:14">
      <c r="A28" t="s">
        <v>199</v>
      </c>
      <c r="B28" s="3">
        <v>45879</v>
      </c>
      <c r="C28" t="s">
        <v>200</v>
      </c>
      <c r="D28" t="s">
        <v>152</v>
      </c>
      <c r="E28" t="s">
        <v>201</v>
      </c>
      <c r="F28" t="s">
        <v>111</v>
      </c>
      <c r="G28" t="s">
        <v>122</v>
      </c>
      <c r="H28" t="s">
        <v>89</v>
      </c>
      <c r="I28">
        <v>1</v>
      </c>
      <c r="J28" s="2">
        <v>137.66999999999999</v>
      </c>
      <c r="K28" s="4">
        <v>0.05</v>
      </c>
      <c r="L28" t="s">
        <v>154</v>
      </c>
      <c r="M28">
        <v>2</v>
      </c>
      <c r="N28" t="s">
        <v>91</v>
      </c>
    </row>
    <row r="29" spans="1:14">
      <c r="A29" t="s">
        <v>202</v>
      </c>
      <c r="B29" s="3">
        <v>45770</v>
      </c>
      <c r="C29" t="s">
        <v>203</v>
      </c>
      <c r="D29" t="s">
        <v>174</v>
      </c>
      <c r="E29" t="s">
        <v>204</v>
      </c>
      <c r="F29" t="s">
        <v>103</v>
      </c>
      <c r="G29" t="s">
        <v>171</v>
      </c>
      <c r="H29" t="s">
        <v>89</v>
      </c>
      <c r="I29">
        <v>3</v>
      </c>
      <c r="J29" s="2">
        <v>38.96</v>
      </c>
      <c r="K29" s="4">
        <v>0.1</v>
      </c>
      <c r="L29" t="s">
        <v>98</v>
      </c>
      <c r="M29">
        <v>2</v>
      </c>
      <c r="N29" t="s">
        <v>91</v>
      </c>
    </row>
    <row r="30" spans="1:14">
      <c r="A30" t="s">
        <v>205</v>
      </c>
      <c r="B30" s="3">
        <v>45670</v>
      </c>
      <c r="C30" t="s">
        <v>206</v>
      </c>
      <c r="D30" t="s">
        <v>149</v>
      </c>
      <c r="E30" t="s">
        <v>207</v>
      </c>
      <c r="F30" t="s">
        <v>87</v>
      </c>
      <c r="G30" t="s">
        <v>130</v>
      </c>
      <c r="H30" t="s">
        <v>89</v>
      </c>
      <c r="I30">
        <v>3</v>
      </c>
      <c r="J30" s="2">
        <v>81.11</v>
      </c>
      <c r="K30" s="4">
        <v>0.1</v>
      </c>
      <c r="L30" t="s">
        <v>154</v>
      </c>
      <c r="M30">
        <v>1</v>
      </c>
      <c r="N30" t="s">
        <v>91</v>
      </c>
    </row>
    <row r="31" spans="1:14">
      <c r="A31" t="s">
        <v>208</v>
      </c>
      <c r="B31" s="3">
        <v>45940</v>
      </c>
      <c r="C31" t="s">
        <v>209</v>
      </c>
      <c r="D31" t="s">
        <v>210</v>
      </c>
      <c r="E31" t="s">
        <v>211</v>
      </c>
      <c r="F31" t="s">
        <v>116</v>
      </c>
      <c r="G31" t="s">
        <v>171</v>
      </c>
      <c r="H31" t="s">
        <v>89</v>
      </c>
      <c r="I31">
        <v>1</v>
      </c>
      <c r="J31" s="2">
        <v>322.58</v>
      </c>
      <c r="K31" s="4">
        <v>0.05</v>
      </c>
      <c r="L31" t="s">
        <v>106</v>
      </c>
      <c r="M31">
        <v>6</v>
      </c>
      <c r="N31" t="s">
        <v>91</v>
      </c>
    </row>
    <row r="32" spans="1:14">
      <c r="A32" t="s">
        <v>212</v>
      </c>
      <c r="B32" s="3">
        <v>45730</v>
      </c>
      <c r="C32" t="s">
        <v>213</v>
      </c>
      <c r="D32" t="s">
        <v>133</v>
      </c>
      <c r="E32" t="s">
        <v>214</v>
      </c>
      <c r="F32" t="s">
        <v>187</v>
      </c>
      <c r="G32" t="s">
        <v>117</v>
      </c>
      <c r="H32" t="s">
        <v>89</v>
      </c>
      <c r="I32">
        <v>1</v>
      </c>
      <c r="J32" s="2">
        <v>359.52</v>
      </c>
      <c r="K32" s="4">
        <v>0.15</v>
      </c>
      <c r="L32" t="s">
        <v>154</v>
      </c>
      <c r="M32">
        <v>9</v>
      </c>
      <c r="N32" t="s">
        <v>91</v>
      </c>
    </row>
    <row r="33" spans="1:14">
      <c r="A33" t="s">
        <v>215</v>
      </c>
      <c r="B33" s="3">
        <v>45997</v>
      </c>
      <c r="C33" t="s">
        <v>216</v>
      </c>
      <c r="D33" t="s">
        <v>217</v>
      </c>
      <c r="E33" t="s">
        <v>218</v>
      </c>
      <c r="F33" t="s">
        <v>116</v>
      </c>
      <c r="G33" t="s">
        <v>171</v>
      </c>
      <c r="H33" t="s">
        <v>105</v>
      </c>
      <c r="I33">
        <v>1</v>
      </c>
      <c r="J33" s="2">
        <v>99.63</v>
      </c>
      <c r="K33" s="4">
        <v>0</v>
      </c>
      <c r="L33" t="s">
        <v>90</v>
      </c>
      <c r="M33">
        <v>8</v>
      </c>
      <c r="N33" t="s">
        <v>91</v>
      </c>
    </row>
    <row r="34" spans="1:14">
      <c r="A34" t="s">
        <v>219</v>
      </c>
      <c r="B34" s="3">
        <v>45785</v>
      </c>
      <c r="C34" t="s">
        <v>220</v>
      </c>
      <c r="D34" t="s">
        <v>221</v>
      </c>
      <c r="E34" t="s">
        <v>222</v>
      </c>
      <c r="F34" t="s">
        <v>223</v>
      </c>
      <c r="G34" t="s">
        <v>104</v>
      </c>
      <c r="H34" t="s">
        <v>89</v>
      </c>
      <c r="I34">
        <v>1</v>
      </c>
      <c r="J34" s="2">
        <v>30.26</v>
      </c>
      <c r="K34" s="4">
        <v>0.2</v>
      </c>
      <c r="L34" t="s">
        <v>106</v>
      </c>
      <c r="M34">
        <v>5</v>
      </c>
      <c r="N34" t="s">
        <v>91</v>
      </c>
    </row>
    <row r="35" spans="1:14">
      <c r="A35" t="s">
        <v>224</v>
      </c>
      <c r="B35" s="3">
        <v>45732</v>
      </c>
      <c r="C35" t="s">
        <v>225</v>
      </c>
      <c r="D35" t="s">
        <v>226</v>
      </c>
      <c r="E35" t="s">
        <v>227</v>
      </c>
      <c r="F35" t="s">
        <v>111</v>
      </c>
      <c r="G35" t="s">
        <v>130</v>
      </c>
      <c r="H35" t="s">
        <v>228</v>
      </c>
      <c r="I35">
        <v>1</v>
      </c>
      <c r="J35" s="2">
        <v>215.08</v>
      </c>
      <c r="K35" s="4">
        <v>0</v>
      </c>
      <c r="L35" t="s">
        <v>98</v>
      </c>
      <c r="M35">
        <v>9</v>
      </c>
      <c r="N35" t="s">
        <v>91</v>
      </c>
    </row>
    <row r="36" spans="1:14">
      <c r="A36" t="s">
        <v>229</v>
      </c>
      <c r="B36" s="3">
        <v>45961</v>
      </c>
      <c r="C36" t="s">
        <v>230</v>
      </c>
      <c r="D36" t="s">
        <v>231</v>
      </c>
      <c r="E36" t="s">
        <v>232</v>
      </c>
      <c r="F36" t="s">
        <v>116</v>
      </c>
      <c r="G36" t="s">
        <v>171</v>
      </c>
      <c r="H36" t="s">
        <v>233</v>
      </c>
      <c r="I36">
        <v>3</v>
      </c>
      <c r="J36" s="2">
        <v>370.4</v>
      </c>
      <c r="K36" s="4">
        <v>0.05</v>
      </c>
      <c r="L36" t="s">
        <v>106</v>
      </c>
      <c r="M36">
        <v>0</v>
      </c>
      <c r="N36" t="s">
        <v>91</v>
      </c>
    </row>
    <row r="37" spans="1:14">
      <c r="A37" t="s">
        <v>234</v>
      </c>
      <c r="B37" s="3">
        <v>45861</v>
      </c>
      <c r="C37" t="s">
        <v>119</v>
      </c>
      <c r="D37" t="s">
        <v>139</v>
      </c>
      <c r="E37" t="s">
        <v>121</v>
      </c>
      <c r="F37" t="s">
        <v>103</v>
      </c>
      <c r="G37" t="s">
        <v>122</v>
      </c>
      <c r="H37" t="s">
        <v>97</v>
      </c>
      <c r="I37">
        <v>5</v>
      </c>
      <c r="J37" s="2">
        <v>82.85</v>
      </c>
      <c r="K37" s="4">
        <v>0.1</v>
      </c>
      <c r="L37" t="s">
        <v>106</v>
      </c>
      <c r="M37">
        <v>0</v>
      </c>
      <c r="N37" t="s">
        <v>91</v>
      </c>
    </row>
    <row r="38" spans="1:14">
      <c r="A38" t="s">
        <v>235</v>
      </c>
      <c r="B38" s="3">
        <v>45703</v>
      </c>
      <c r="C38" t="s">
        <v>236</v>
      </c>
      <c r="D38" t="s">
        <v>136</v>
      </c>
      <c r="E38" t="s">
        <v>237</v>
      </c>
      <c r="F38" t="s">
        <v>87</v>
      </c>
      <c r="G38" t="s">
        <v>96</v>
      </c>
      <c r="H38" t="s">
        <v>97</v>
      </c>
      <c r="I38">
        <v>1</v>
      </c>
      <c r="J38" s="2">
        <v>165.76</v>
      </c>
      <c r="K38" s="4">
        <v>0.2</v>
      </c>
      <c r="L38" t="s">
        <v>98</v>
      </c>
      <c r="M38">
        <v>3</v>
      </c>
      <c r="N38" t="s">
        <v>91</v>
      </c>
    </row>
    <row r="39" spans="1:14">
      <c r="A39" t="s">
        <v>238</v>
      </c>
      <c r="B39" s="3">
        <v>45778</v>
      </c>
      <c r="C39" t="s">
        <v>239</v>
      </c>
      <c r="D39" t="s">
        <v>136</v>
      </c>
      <c r="E39" t="s">
        <v>240</v>
      </c>
      <c r="F39" t="s">
        <v>145</v>
      </c>
      <c r="G39" t="s">
        <v>104</v>
      </c>
      <c r="H39" t="s">
        <v>97</v>
      </c>
      <c r="I39">
        <v>1</v>
      </c>
      <c r="J39" s="2">
        <v>168.75</v>
      </c>
      <c r="K39" s="4">
        <v>0</v>
      </c>
      <c r="L39" t="s">
        <v>98</v>
      </c>
      <c r="M39">
        <v>0</v>
      </c>
      <c r="N39" t="s">
        <v>147</v>
      </c>
    </row>
    <row r="40" spans="1:14">
      <c r="A40" t="s">
        <v>241</v>
      </c>
      <c r="B40" s="3">
        <v>46022</v>
      </c>
      <c r="C40" t="s">
        <v>169</v>
      </c>
      <c r="D40" t="s">
        <v>174</v>
      </c>
      <c r="E40" t="s">
        <v>170</v>
      </c>
      <c r="F40" t="s">
        <v>111</v>
      </c>
      <c r="G40" t="s">
        <v>104</v>
      </c>
      <c r="H40" t="s">
        <v>89</v>
      </c>
      <c r="I40">
        <v>3</v>
      </c>
      <c r="J40" s="2">
        <v>39.06</v>
      </c>
      <c r="K40" s="4">
        <v>0</v>
      </c>
      <c r="L40" t="s">
        <v>98</v>
      </c>
      <c r="M40">
        <v>5</v>
      </c>
      <c r="N40" t="s">
        <v>147</v>
      </c>
    </row>
    <row r="41" spans="1:14">
      <c r="A41" t="s">
        <v>242</v>
      </c>
      <c r="B41" s="3">
        <v>45920</v>
      </c>
      <c r="C41" t="s">
        <v>243</v>
      </c>
      <c r="D41" t="s">
        <v>244</v>
      </c>
      <c r="E41" t="s">
        <v>245</v>
      </c>
      <c r="F41" t="s">
        <v>103</v>
      </c>
      <c r="G41" t="s">
        <v>130</v>
      </c>
      <c r="H41" t="s">
        <v>246</v>
      </c>
      <c r="I41">
        <v>1</v>
      </c>
      <c r="J41" s="2">
        <v>241.49</v>
      </c>
      <c r="K41" s="4">
        <v>0.1</v>
      </c>
      <c r="L41" t="s">
        <v>106</v>
      </c>
      <c r="M41">
        <v>2</v>
      </c>
      <c r="N41" t="s">
        <v>91</v>
      </c>
    </row>
    <row r="42" spans="1:14">
      <c r="A42" t="s">
        <v>247</v>
      </c>
      <c r="B42" s="3">
        <v>46015</v>
      </c>
      <c r="C42" t="s">
        <v>248</v>
      </c>
      <c r="D42" t="s">
        <v>249</v>
      </c>
      <c r="E42" t="s">
        <v>250</v>
      </c>
      <c r="F42" t="s">
        <v>116</v>
      </c>
      <c r="G42" t="s">
        <v>122</v>
      </c>
      <c r="H42" t="s">
        <v>89</v>
      </c>
      <c r="I42">
        <v>2</v>
      </c>
      <c r="J42" s="2">
        <v>434.43</v>
      </c>
      <c r="K42" s="4">
        <v>0.05</v>
      </c>
      <c r="L42" t="s">
        <v>98</v>
      </c>
      <c r="M42">
        <v>7</v>
      </c>
      <c r="N42" t="s">
        <v>91</v>
      </c>
    </row>
    <row r="43" spans="1:14">
      <c r="A43" t="s">
        <v>251</v>
      </c>
      <c r="B43" s="3">
        <v>45976</v>
      </c>
      <c r="C43" t="s">
        <v>197</v>
      </c>
      <c r="D43" t="s">
        <v>252</v>
      </c>
      <c r="E43" t="s">
        <v>198</v>
      </c>
      <c r="F43" t="s">
        <v>145</v>
      </c>
      <c r="G43" t="s">
        <v>88</v>
      </c>
      <c r="H43" t="s">
        <v>105</v>
      </c>
      <c r="I43">
        <v>2</v>
      </c>
      <c r="J43" s="2">
        <v>257.69</v>
      </c>
      <c r="K43" s="4">
        <v>0.05</v>
      </c>
      <c r="L43" t="s">
        <v>253</v>
      </c>
      <c r="M43">
        <v>7</v>
      </c>
      <c r="N43" t="s">
        <v>91</v>
      </c>
    </row>
    <row r="44" spans="1:14">
      <c r="A44" t="s">
        <v>254</v>
      </c>
      <c r="B44" s="3">
        <v>45765</v>
      </c>
      <c r="C44" t="s">
        <v>84</v>
      </c>
      <c r="D44" t="s">
        <v>255</v>
      </c>
      <c r="E44" t="s">
        <v>86</v>
      </c>
      <c r="F44" t="s">
        <v>103</v>
      </c>
      <c r="G44" t="s">
        <v>88</v>
      </c>
      <c r="H44" t="s">
        <v>97</v>
      </c>
      <c r="I44">
        <v>5</v>
      </c>
      <c r="J44" s="2">
        <v>244.71</v>
      </c>
      <c r="K44" s="4">
        <v>0</v>
      </c>
      <c r="L44" t="s">
        <v>90</v>
      </c>
      <c r="M44">
        <v>2</v>
      </c>
      <c r="N44" t="s">
        <v>91</v>
      </c>
    </row>
    <row r="45" spans="1:14">
      <c r="A45" t="s">
        <v>256</v>
      </c>
      <c r="B45" s="3">
        <v>45731</v>
      </c>
      <c r="C45" t="s">
        <v>257</v>
      </c>
      <c r="D45" t="s">
        <v>139</v>
      </c>
      <c r="E45" t="s">
        <v>258</v>
      </c>
      <c r="F45" t="s">
        <v>103</v>
      </c>
      <c r="G45" t="s">
        <v>104</v>
      </c>
      <c r="H45" t="s">
        <v>89</v>
      </c>
      <c r="I45">
        <v>1</v>
      </c>
      <c r="J45" s="2">
        <v>83.33</v>
      </c>
      <c r="K45" s="4">
        <v>0</v>
      </c>
      <c r="L45" t="s">
        <v>98</v>
      </c>
      <c r="M45">
        <v>1</v>
      </c>
      <c r="N45" t="s">
        <v>147</v>
      </c>
    </row>
    <row r="46" spans="1:14">
      <c r="A46" t="s">
        <v>259</v>
      </c>
      <c r="B46" s="3">
        <v>45714</v>
      </c>
      <c r="C46" t="s">
        <v>260</v>
      </c>
      <c r="D46" t="s">
        <v>261</v>
      </c>
      <c r="E46" t="s">
        <v>262</v>
      </c>
      <c r="F46" t="s">
        <v>87</v>
      </c>
      <c r="G46" t="s">
        <v>96</v>
      </c>
      <c r="H46" t="s">
        <v>89</v>
      </c>
      <c r="I46">
        <v>4</v>
      </c>
      <c r="J46" s="2">
        <v>247.77</v>
      </c>
      <c r="K46" s="4">
        <v>0.1</v>
      </c>
      <c r="L46" t="s">
        <v>106</v>
      </c>
      <c r="M46">
        <v>5</v>
      </c>
      <c r="N46" t="s">
        <v>147</v>
      </c>
    </row>
    <row r="47" spans="1:14">
      <c r="A47" t="s">
        <v>263</v>
      </c>
      <c r="B47" s="3">
        <v>45855</v>
      </c>
      <c r="C47" t="s">
        <v>128</v>
      </c>
      <c r="D47" t="s">
        <v>157</v>
      </c>
      <c r="E47" t="s">
        <v>129</v>
      </c>
      <c r="F47" t="s">
        <v>116</v>
      </c>
      <c r="G47" t="s">
        <v>96</v>
      </c>
      <c r="H47" t="s">
        <v>97</v>
      </c>
      <c r="I47">
        <v>1</v>
      </c>
      <c r="J47" s="2">
        <v>299.83</v>
      </c>
      <c r="K47" s="4">
        <v>0</v>
      </c>
      <c r="L47" t="s">
        <v>90</v>
      </c>
      <c r="M47">
        <v>3</v>
      </c>
      <c r="N47" t="s">
        <v>91</v>
      </c>
    </row>
    <row r="48" spans="1:14">
      <c r="A48" t="s">
        <v>264</v>
      </c>
      <c r="B48" s="3">
        <v>45933</v>
      </c>
      <c r="C48" t="s">
        <v>265</v>
      </c>
      <c r="D48" t="s">
        <v>244</v>
      </c>
      <c r="E48" t="s">
        <v>266</v>
      </c>
      <c r="F48" t="s">
        <v>145</v>
      </c>
      <c r="G48" t="s">
        <v>88</v>
      </c>
      <c r="H48" t="s">
        <v>89</v>
      </c>
      <c r="I48">
        <v>2</v>
      </c>
      <c r="J48" s="2">
        <v>242.3</v>
      </c>
      <c r="K48" s="4">
        <v>0.1</v>
      </c>
      <c r="L48" t="s">
        <v>98</v>
      </c>
      <c r="M48">
        <v>9</v>
      </c>
      <c r="N48" t="s">
        <v>91</v>
      </c>
    </row>
    <row r="49" spans="1:14">
      <c r="A49" t="s">
        <v>267</v>
      </c>
      <c r="B49" s="3">
        <v>45800</v>
      </c>
      <c r="C49" t="s">
        <v>268</v>
      </c>
      <c r="D49" t="s">
        <v>252</v>
      </c>
      <c r="E49" t="s">
        <v>269</v>
      </c>
      <c r="F49" t="s">
        <v>87</v>
      </c>
      <c r="G49" t="s">
        <v>117</v>
      </c>
      <c r="H49" t="s">
        <v>97</v>
      </c>
      <c r="I49">
        <v>1</v>
      </c>
      <c r="J49" s="2">
        <v>274.64999999999998</v>
      </c>
      <c r="K49" s="4">
        <v>0.2</v>
      </c>
      <c r="L49" t="s">
        <v>154</v>
      </c>
      <c r="M49">
        <v>2</v>
      </c>
      <c r="N49" t="s">
        <v>91</v>
      </c>
    </row>
    <row r="50" spans="1:14">
      <c r="A50" t="s">
        <v>270</v>
      </c>
      <c r="B50" s="3">
        <v>45861</v>
      </c>
      <c r="C50" t="s">
        <v>151</v>
      </c>
      <c r="D50" t="s">
        <v>271</v>
      </c>
      <c r="E50" t="s">
        <v>153</v>
      </c>
      <c r="F50" t="s">
        <v>116</v>
      </c>
      <c r="G50" t="s">
        <v>104</v>
      </c>
      <c r="H50" t="s">
        <v>228</v>
      </c>
      <c r="I50">
        <v>3</v>
      </c>
      <c r="J50" s="2">
        <v>212.19</v>
      </c>
      <c r="K50" s="4">
        <v>0.2</v>
      </c>
      <c r="L50" t="s">
        <v>106</v>
      </c>
      <c r="M50">
        <v>3</v>
      </c>
      <c r="N50" t="s">
        <v>91</v>
      </c>
    </row>
    <row r="51" spans="1:14">
      <c r="A51" t="s">
        <v>272</v>
      </c>
      <c r="B51" s="3">
        <v>45999</v>
      </c>
      <c r="C51" t="s">
        <v>273</v>
      </c>
      <c r="D51" t="s">
        <v>85</v>
      </c>
      <c r="E51" t="s">
        <v>274</v>
      </c>
      <c r="F51" t="s">
        <v>103</v>
      </c>
      <c r="G51" t="s">
        <v>104</v>
      </c>
      <c r="H51" t="s">
        <v>105</v>
      </c>
      <c r="I51">
        <v>1</v>
      </c>
      <c r="J51" s="2">
        <v>306.63</v>
      </c>
      <c r="K51" s="4">
        <v>0.1</v>
      </c>
      <c r="L51" t="s">
        <v>106</v>
      </c>
      <c r="M51">
        <v>2</v>
      </c>
      <c r="N51" t="s">
        <v>91</v>
      </c>
    </row>
    <row r="52" spans="1:14">
      <c r="A52" t="s">
        <v>275</v>
      </c>
      <c r="B52" s="3">
        <v>45963</v>
      </c>
      <c r="C52" t="s">
        <v>248</v>
      </c>
      <c r="D52" t="s">
        <v>194</v>
      </c>
      <c r="E52" t="s">
        <v>250</v>
      </c>
      <c r="F52" t="s">
        <v>103</v>
      </c>
      <c r="G52" t="s">
        <v>183</v>
      </c>
      <c r="H52" t="s">
        <v>89</v>
      </c>
      <c r="I52">
        <v>3</v>
      </c>
      <c r="J52" s="2">
        <v>205.39</v>
      </c>
      <c r="K52" s="4">
        <v>0</v>
      </c>
      <c r="L52" t="s">
        <v>106</v>
      </c>
      <c r="M52">
        <v>6</v>
      </c>
      <c r="N52" t="s">
        <v>91</v>
      </c>
    </row>
    <row r="53" spans="1:14">
      <c r="A53" t="s">
        <v>276</v>
      </c>
      <c r="B53" s="3">
        <v>45954</v>
      </c>
      <c r="C53" t="s">
        <v>225</v>
      </c>
      <c r="D53" t="s">
        <v>277</v>
      </c>
      <c r="E53" t="s">
        <v>227</v>
      </c>
      <c r="F53" t="s">
        <v>145</v>
      </c>
      <c r="G53" t="s">
        <v>130</v>
      </c>
      <c r="H53" t="s">
        <v>89</v>
      </c>
      <c r="I53">
        <v>1</v>
      </c>
      <c r="J53" s="2">
        <v>394.09</v>
      </c>
      <c r="K53" s="4">
        <v>0.2</v>
      </c>
      <c r="L53" t="s">
        <v>90</v>
      </c>
      <c r="M53">
        <v>6</v>
      </c>
      <c r="N53" t="s">
        <v>91</v>
      </c>
    </row>
    <row r="54" spans="1:14">
      <c r="A54" t="s">
        <v>278</v>
      </c>
      <c r="B54" s="3">
        <v>45862</v>
      </c>
      <c r="C54" t="s">
        <v>279</v>
      </c>
      <c r="D54" t="s">
        <v>101</v>
      </c>
      <c r="E54" t="s">
        <v>280</v>
      </c>
      <c r="F54" t="s">
        <v>145</v>
      </c>
      <c r="G54" t="s">
        <v>130</v>
      </c>
      <c r="H54" t="s">
        <v>89</v>
      </c>
      <c r="I54">
        <v>2</v>
      </c>
      <c r="J54" s="2">
        <v>309.14</v>
      </c>
      <c r="K54" s="4">
        <v>0.15</v>
      </c>
      <c r="L54" t="s">
        <v>106</v>
      </c>
      <c r="M54">
        <v>9</v>
      </c>
      <c r="N54" t="s">
        <v>91</v>
      </c>
    </row>
    <row r="55" spans="1:14">
      <c r="A55" t="s">
        <v>281</v>
      </c>
      <c r="B55" s="3">
        <v>45722</v>
      </c>
      <c r="C55" t="s">
        <v>100</v>
      </c>
      <c r="D55" t="s">
        <v>136</v>
      </c>
      <c r="E55" t="s">
        <v>102</v>
      </c>
      <c r="F55" t="s">
        <v>87</v>
      </c>
      <c r="G55" t="s">
        <v>130</v>
      </c>
      <c r="H55" t="s">
        <v>228</v>
      </c>
      <c r="I55">
        <v>1</v>
      </c>
      <c r="J55" s="2">
        <v>155.66999999999999</v>
      </c>
      <c r="K55" s="4">
        <v>0</v>
      </c>
      <c r="L55" t="s">
        <v>106</v>
      </c>
      <c r="M55">
        <v>6</v>
      </c>
      <c r="N55" t="s">
        <v>91</v>
      </c>
    </row>
    <row r="56" spans="1:14">
      <c r="A56" t="s">
        <v>282</v>
      </c>
      <c r="B56" s="3">
        <v>45947</v>
      </c>
      <c r="C56" t="s">
        <v>283</v>
      </c>
      <c r="D56" t="s">
        <v>94</v>
      </c>
      <c r="E56" t="s">
        <v>284</v>
      </c>
      <c r="F56" t="s">
        <v>145</v>
      </c>
      <c r="G56" t="s">
        <v>130</v>
      </c>
      <c r="H56" t="s">
        <v>89</v>
      </c>
      <c r="I56">
        <v>1</v>
      </c>
      <c r="J56" s="2">
        <v>318.31</v>
      </c>
      <c r="K56" s="4">
        <v>0.1</v>
      </c>
      <c r="L56" t="s">
        <v>90</v>
      </c>
      <c r="M56">
        <v>6</v>
      </c>
      <c r="N56" t="s">
        <v>91</v>
      </c>
    </row>
    <row r="57" spans="1:14">
      <c r="A57" t="s">
        <v>285</v>
      </c>
      <c r="B57" s="3">
        <v>45971</v>
      </c>
      <c r="C57" t="s">
        <v>286</v>
      </c>
      <c r="D57" t="s">
        <v>157</v>
      </c>
      <c r="E57" t="s">
        <v>287</v>
      </c>
      <c r="F57" t="s">
        <v>116</v>
      </c>
      <c r="G57" t="s">
        <v>117</v>
      </c>
      <c r="H57" t="s">
        <v>97</v>
      </c>
      <c r="I57">
        <v>1</v>
      </c>
      <c r="J57" s="2">
        <v>294.95</v>
      </c>
      <c r="K57" s="4">
        <v>0.05</v>
      </c>
      <c r="L57" t="s">
        <v>106</v>
      </c>
      <c r="M57">
        <v>2</v>
      </c>
      <c r="N57" t="s">
        <v>91</v>
      </c>
    </row>
    <row r="58" spans="1:14">
      <c r="A58" t="s">
        <v>288</v>
      </c>
      <c r="B58" s="3">
        <v>45931</v>
      </c>
      <c r="C58" t="s">
        <v>243</v>
      </c>
      <c r="D58" t="s">
        <v>244</v>
      </c>
      <c r="E58" t="s">
        <v>245</v>
      </c>
      <c r="F58" t="s">
        <v>111</v>
      </c>
      <c r="G58" t="s">
        <v>88</v>
      </c>
      <c r="H58" t="s">
        <v>89</v>
      </c>
      <c r="I58">
        <v>3</v>
      </c>
      <c r="J58" s="2">
        <v>229.15</v>
      </c>
      <c r="K58" s="4">
        <v>0</v>
      </c>
      <c r="L58" t="s">
        <v>98</v>
      </c>
      <c r="M58">
        <v>2</v>
      </c>
      <c r="N58" t="s">
        <v>91</v>
      </c>
    </row>
    <row r="59" spans="1:14">
      <c r="A59" t="s">
        <v>289</v>
      </c>
      <c r="B59" s="3">
        <v>45796</v>
      </c>
      <c r="C59" t="s">
        <v>290</v>
      </c>
      <c r="D59" t="s">
        <v>252</v>
      </c>
      <c r="E59" t="s">
        <v>291</v>
      </c>
      <c r="F59" t="s">
        <v>111</v>
      </c>
      <c r="G59" t="s">
        <v>122</v>
      </c>
      <c r="H59" t="s">
        <v>105</v>
      </c>
      <c r="I59">
        <v>2</v>
      </c>
      <c r="J59" s="2">
        <v>284.68</v>
      </c>
      <c r="K59" s="4">
        <v>0.2</v>
      </c>
      <c r="L59" t="s">
        <v>106</v>
      </c>
      <c r="M59">
        <v>3</v>
      </c>
      <c r="N59" t="s">
        <v>91</v>
      </c>
    </row>
    <row r="60" spans="1:14">
      <c r="A60" t="s">
        <v>292</v>
      </c>
      <c r="B60" s="3">
        <v>45718</v>
      </c>
      <c r="C60" t="s">
        <v>293</v>
      </c>
      <c r="D60" t="s">
        <v>255</v>
      </c>
      <c r="E60" t="s">
        <v>294</v>
      </c>
      <c r="F60" t="s">
        <v>103</v>
      </c>
      <c r="G60" t="s">
        <v>117</v>
      </c>
      <c r="H60" t="s">
        <v>89</v>
      </c>
      <c r="I60">
        <v>1</v>
      </c>
      <c r="J60" s="2">
        <v>226.51</v>
      </c>
      <c r="K60" s="4">
        <v>0.15</v>
      </c>
      <c r="L60" t="s">
        <v>253</v>
      </c>
      <c r="M60">
        <v>8</v>
      </c>
      <c r="N60" t="s">
        <v>91</v>
      </c>
    </row>
    <row r="61" spans="1:14">
      <c r="A61" t="s">
        <v>295</v>
      </c>
      <c r="B61" s="3">
        <v>45929</v>
      </c>
      <c r="C61" t="s">
        <v>296</v>
      </c>
      <c r="D61" t="s">
        <v>157</v>
      </c>
      <c r="E61" t="s">
        <v>297</v>
      </c>
      <c r="F61" t="s">
        <v>103</v>
      </c>
      <c r="G61" t="s">
        <v>122</v>
      </c>
      <c r="H61" t="s">
        <v>97</v>
      </c>
      <c r="I61">
        <v>3</v>
      </c>
      <c r="J61" s="2">
        <v>307.64999999999998</v>
      </c>
      <c r="K61" s="4">
        <v>0</v>
      </c>
      <c r="L61" t="s">
        <v>106</v>
      </c>
      <c r="M61">
        <v>4</v>
      </c>
      <c r="N61" t="s">
        <v>91</v>
      </c>
    </row>
    <row r="62" spans="1:14">
      <c r="A62" t="s">
        <v>298</v>
      </c>
      <c r="B62" s="3">
        <v>45730</v>
      </c>
      <c r="C62" t="s">
        <v>243</v>
      </c>
      <c r="D62" t="s">
        <v>244</v>
      </c>
      <c r="E62" t="s">
        <v>245</v>
      </c>
      <c r="F62" t="s">
        <v>145</v>
      </c>
      <c r="G62" t="s">
        <v>88</v>
      </c>
      <c r="H62" t="s">
        <v>97</v>
      </c>
      <c r="I62">
        <v>5</v>
      </c>
      <c r="J62" s="2">
        <v>234.75</v>
      </c>
      <c r="K62" s="4">
        <v>0.1</v>
      </c>
      <c r="L62" t="s">
        <v>106</v>
      </c>
      <c r="M62">
        <v>3</v>
      </c>
      <c r="N62" t="s">
        <v>91</v>
      </c>
    </row>
    <row r="63" spans="1:14">
      <c r="A63" t="s">
        <v>299</v>
      </c>
      <c r="B63" s="3">
        <v>45718</v>
      </c>
      <c r="C63" t="s">
        <v>300</v>
      </c>
      <c r="D63" t="s">
        <v>101</v>
      </c>
      <c r="E63" t="s">
        <v>301</v>
      </c>
      <c r="F63" t="s">
        <v>87</v>
      </c>
      <c r="G63" t="s">
        <v>88</v>
      </c>
      <c r="H63" t="s">
        <v>97</v>
      </c>
      <c r="I63">
        <v>2</v>
      </c>
      <c r="J63" s="2">
        <v>314.29000000000002</v>
      </c>
      <c r="K63" s="4">
        <v>0.1</v>
      </c>
      <c r="L63" t="s">
        <v>98</v>
      </c>
      <c r="M63">
        <v>0</v>
      </c>
      <c r="N63" t="s">
        <v>91</v>
      </c>
    </row>
    <row r="64" spans="1:14">
      <c r="A64" t="s">
        <v>302</v>
      </c>
      <c r="B64" s="3">
        <v>46014</v>
      </c>
      <c r="C64" t="s">
        <v>84</v>
      </c>
      <c r="D64" t="s">
        <v>303</v>
      </c>
      <c r="E64" t="s">
        <v>86</v>
      </c>
      <c r="F64" t="s">
        <v>145</v>
      </c>
      <c r="G64" t="s">
        <v>88</v>
      </c>
      <c r="H64" t="s">
        <v>97</v>
      </c>
      <c r="I64">
        <v>2</v>
      </c>
      <c r="J64" s="2">
        <v>153.13</v>
      </c>
      <c r="K64" s="4">
        <v>0</v>
      </c>
      <c r="L64" t="s">
        <v>98</v>
      </c>
      <c r="M64">
        <v>0</v>
      </c>
      <c r="N64" t="s">
        <v>91</v>
      </c>
    </row>
    <row r="65" spans="1:14">
      <c r="A65" t="s">
        <v>304</v>
      </c>
      <c r="B65" s="3">
        <v>45910</v>
      </c>
      <c r="C65" t="s">
        <v>305</v>
      </c>
      <c r="D65" t="s">
        <v>226</v>
      </c>
      <c r="E65" t="s">
        <v>306</v>
      </c>
      <c r="F65" t="s">
        <v>87</v>
      </c>
      <c r="G65" t="s">
        <v>117</v>
      </c>
      <c r="H65" t="s">
        <v>89</v>
      </c>
      <c r="I65">
        <v>5</v>
      </c>
      <c r="J65" s="2">
        <v>216.55</v>
      </c>
      <c r="K65" s="4">
        <v>0.05</v>
      </c>
      <c r="L65" t="s">
        <v>90</v>
      </c>
      <c r="M65">
        <v>8</v>
      </c>
      <c r="N65" t="s">
        <v>91</v>
      </c>
    </row>
    <row r="66" spans="1:14">
      <c r="A66" t="s">
        <v>307</v>
      </c>
      <c r="B66" s="3">
        <v>45967</v>
      </c>
      <c r="C66" t="s">
        <v>239</v>
      </c>
      <c r="D66" t="s">
        <v>109</v>
      </c>
      <c r="E66" t="s">
        <v>240</v>
      </c>
      <c r="F66" t="s">
        <v>103</v>
      </c>
      <c r="G66" t="s">
        <v>104</v>
      </c>
      <c r="H66" t="s">
        <v>308</v>
      </c>
      <c r="I66">
        <v>3</v>
      </c>
      <c r="J66" s="2">
        <v>209.24</v>
      </c>
      <c r="K66" s="4">
        <v>0.2</v>
      </c>
      <c r="L66" t="s">
        <v>90</v>
      </c>
      <c r="M66">
        <v>6</v>
      </c>
      <c r="N66" t="s">
        <v>91</v>
      </c>
    </row>
    <row r="67" spans="1:14">
      <c r="A67" t="s">
        <v>309</v>
      </c>
      <c r="B67" s="3">
        <v>45706</v>
      </c>
      <c r="C67" t="s">
        <v>236</v>
      </c>
      <c r="D67" t="s">
        <v>94</v>
      </c>
      <c r="E67" t="s">
        <v>237</v>
      </c>
      <c r="F67" t="s">
        <v>310</v>
      </c>
      <c r="G67" t="s">
        <v>88</v>
      </c>
      <c r="H67" t="s">
        <v>89</v>
      </c>
      <c r="I67">
        <v>3</v>
      </c>
      <c r="J67" s="2">
        <v>302.63</v>
      </c>
      <c r="K67" s="4">
        <v>0</v>
      </c>
      <c r="L67" t="s">
        <v>253</v>
      </c>
      <c r="M67">
        <v>5</v>
      </c>
      <c r="N67" t="s">
        <v>91</v>
      </c>
    </row>
    <row r="68" spans="1:14">
      <c r="A68" t="s">
        <v>311</v>
      </c>
      <c r="B68" s="3">
        <v>46005</v>
      </c>
      <c r="C68" t="s">
        <v>225</v>
      </c>
      <c r="D68" t="s">
        <v>143</v>
      </c>
      <c r="E68" t="s">
        <v>227</v>
      </c>
      <c r="F68" t="s">
        <v>116</v>
      </c>
      <c r="G68" t="s">
        <v>171</v>
      </c>
      <c r="H68" t="s">
        <v>97</v>
      </c>
      <c r="I68">
        <v>1</v>
      </c>
      <c r="J68" s="2">
        <v>254.95</v>
      </c>
      <c r="K68" s="4">
        <v>0.2</v>
      </c>
      <c r="L68" t="s">
        <v>106</v>
      </c>
      <c r="M68">
        <v>2</v>
      </c>
      <c r="N68" t="s">
        <v>91</v>
      </c>
    </row>
    <row r="69" spans="1:14">
      <c r="A69" t="s">
        <v>312</v>
      </c>
      <c r="B69" s="3">
        <v>45968</v>
      </c>
      <c r="C69" t="s">
        <v>313</v>
      </c>
      <c r="D69" t="s">
        <v>244</v>
      </c>
      <c r="E69" t="s">
        <v>314</v>
      </c>
      <c r="F69" t="s">
        <v>116</v>
      </c>
      <c r="G69" t="s">
        <v>96</v>
      </c>
      <c r="H69" t="s">
        <v>97</v>
      </c>
      <c r="I69">
        <v>2</v>
      </c>
      <c r="J69" s="2">
        <v>251.66</v>
      </c>
      <c r="K69" s="4">
        <v>0.15</v>
      </c>
      <c r="L69" t="s">
        <v>106</v>
      </c>
      <c r="M69">
        <v>3</v>
      </c>
      <c r="N69" t="s">
        <v>91</v>
      </c>
    </row>
    <row r="70" spans="1:14">
      <c r="A70" t="s">
        <v>315</v>
      </c>
      <c r="B70" s="3">
        <v>45999</v>
      </c>
      <c r="C70" t="s">
        <v>316</v>
      </c>
      <c r="D70" t="s">
        <v>139</v>
      </c>
      <c r="E70" t="s">
        <v>317</v>
      </c>
      <c r="F70" t="s">
        <v>103</v>
      </c>
      <c r="G70" t="s">
        <v>122</v>
      </c>
      <c r="H70" t="s">
        <v>97</v>
      </c>
      <c r="I70">
        <v>2</v>
      </c>
      <c r="J70" s="2">
        <v>84.65</v>
      </c>
      <c r="K70" s="4">
        <v>0</v>
      </c>
      <c r="M70">
        <v>1</v>
      </c>
      <c r="N70" t="s">
        <v>91</v>
      </c>
    </row>
    <row r="71" spans="1:14">
      <c r="A71" t="s">
        <v>318</v>
      </c>
      <c r="B71" s="3">
        <v>45688</v>
      </c>
      <c r="C71" t="s">
        <v>319</v>
      </c>
      <c r="D71" t="s">
        <v>249</v>
      </c>
      <c r="E71" t="s">
        <v>320</v>
      </c>
      <c r="F71" t="s">
        <v>116</v>
      </c>
      <c r="G71" t="s">
        <v>171</v>
      </c>
      <c r="H71" t="s">
        <v>97</v>
      </c>
      <c r="I71">
        <v>1</v>
      </c>
      <c r="J71" s="2">
        <v>434.51</v>
      </c>
      <c r="K71" s="4">
        <v>0.1</v>
      </c>
      <c r="L71" t="s">
        <v>98</v>
      </c>
      <c r="M71">
        <v>3</v>
      </c>
      <c r="N71" t="s">
        <v>91</v>
      </c>
    </row>
    <row r="72" spans="1:14">
      <c r="A72" t="s">
        <v>321</v>
      </c>
      <c r="B72" s="3">
        <v>45963</v>
      </c>
      <c r="C72" t="s">
        <v>322</v>
      </c>
      <c r="D72" t="s">
        <v>323</v>
      </c>
      <c r="E72" t="s">
        <v>324</v>
      </c>
      <c r="F72" t="s">
        <v>111</v>
      </c>
      <c r="G72" t="s">
        <v>117</v>
      </c>
      <c r="H72" t="s">
        <v>97</v>
      </c>
      <c r="I72">
        <v>1</v>
      </c>
      <c r="J72" s="2">
        <v>351.6</v>
      </c>
      <c r="K72" s="4">
        <v>0</v>
      </c>
      <c r="L72" t="s">
        <v>106</v>
      </c>
      <c r="M72">
        <v>2</v>
      </c>
      <c r="N72" t="s">
        <v>91</v>
      </c>
    </row>
    <row r="73" spans="1:14">
      <c r="A73" t="s">
        <v>325</v>
      </c>
      <c r="B73" s="3">
        <v>45712</v>
      </c>
      <c r="C73" t="s">
        <v>326</v>
      </c>
      <c r="D73" t="s">
        <v>221</v>
      </c>
      <c r="E73" t="s">
        <v>327</v>
      </c>
      <c r="F73" t="s">
        <v>103</v>
      </c>
      <c r="G73" t="s">
        <v>171</v>
      </c>
      <c r="H73" t="s">
        <v>89</v>
      </c>
      <c r="I73">
        <v>1</v>
      </c>
      <c r="J73" s="2">
        <v>31.95</v>
      </c>
      <c r="K73" s="4">
        <v>0</v>
      </c>
      <c r="L73" t="s">
        <v>106</v>
      </c>
      <c r="M73">
        <v>9</v>
      </c>
      <c r="N73" t="s">
        <v>91</v>
      </c>
    </row>
    <row r="74" spans="1:14">
      <c r="A74" t="s">
        <v>328</v>
      </c>
      <c r="B74" s="3">
        <v>45672</v>
      </c>
      <c r="C74" t="s">
        <v>230</v>
      </c>
      <c r="D74" t="s">
        <v>136</v>
      </c>
      <c r="E74" t="s">
        <v>232</v>
      </c>
      <c r="F74" t="s">
        <v>116</v>
      </c>
      <c r="G74" t="s">
        <v>88</v>
      </c>
      <c r="H74" t="s">
        <v>89</v>
      </c>
      <c r="I74">
        <v>1</v>
      </c>
      <c r="J74" s="2">
        <v>152.32</v>
      </c>
      <c r="K74" s="4">
        <v>0.1</v>
      </c>
      <c r="L74" t="s">
        <v>90</v>
      </c>
      <c r="M74">
        <v>5</v>
      </c>
      <c r="N74" t="s">
        <v>91</v>
      </c>
    </row>
    <row r="75" spans="1:14">
      <c r="A75" t="s">
        <v>329</v>
      </c>
      <c r="B75" s="3">
        <v>45692</v>
      </c>
      <c r="C75" t="s">
        <v>330</v>
      </c>
      <c r="D75" t="s">
        <v>231</v>
      </c>
      <c r="E75" t="s">
        <v>331</v>
      </c>
      <c r="F75" t="s">
        <v>187</v>
      </c>
      <c r="G75" t="s">
        <v>104</v>
      </c>
      <c r="H75" t="s">
        <v>97</v>
      </c>
      <c r="I75">
        <v>2</v>
      </c>
      <c r="J75" s="2">
        <v>367.26</v>
      </c>
      <c r="K75" s="4">
        <v>0.2</v>
      </c>
      <c r="L75" t="s">
        <v>106</v>
      </c>
      <c r="M75">
        <v>0</v>
      </c>
      <c r="N75" t="s">
        <v>91</v>
      </c>
    </row>
    <row r="76" spans="1:14">
      <c r="A76" t="s">
        <v>332</v>
      </c>
      <c r="B76" s="3">
        <v>45706</v>
      </c>
      <c r="C76" t="s">
        <v>160</v>
      </c>
      <c r="D76" t="s">
        <v>226</v>
      </c>
      <c r="E76" t="s">
        <v>161</v>
      </c>
      <c r="F76" t="s">
        <v>116</v>
      </c>
      <c r="G76" t="s">
        <v>96</v>
      </c>
      <c r="H76" t="s">
        <v>89</v>
      </c>
      <c r="I76">
        <v>2</v>
      </c>
      <c r="J76" s="2">
        <v>221.42</v>
      </c>
      <c r="K76" s="4">
        <v>0</v>
      </c>
      <c r="L76" t="s">
        <v>106</v>
      </c>
      <c r="M76">
        <v>8</v>
      </c>
      <c r="N76" t="s">
        <v>147</v>
      </c>
    </row>
    <row r="77" spans="1:14">
      <c r="A77" t="s">
        <v>333</v>
      </c>
      <c r="B77" s="3">
        <v>45963</v>
      </c>
      <c r="C77" t="s">
        <v>180</v>
      </c>
      <c r="D77" t="s">
        <v>125</v>
      </c>
      <c r="E77" t="s">
        <v>182</v>
      </c>
      <c r="F77" t="s">
        <v>145</v>
      </c>
      <c r="G77" t="s">
        <v>104</v>
      </c>
      <c r="H77" t="s">
        <v>89</v>
      </c>
      <c r="I77">
        <v>1</v>
      </c>
      <c r="J77" s="2">
        <v>58.78</v>
      </c>
      <c r="K77" s="4">
        <v>0.05</v>
      </c>
      <c r="L77" t="s">
        <v>106</v>
      </c>
      <c r="M77">
        <v>3</v>
      </c>
      <c r="N77" t="s">
        <v>147</v>
      </c>
    </row>
    <row r="78" spans="1:14">
      <c r="A78" t="s">
        <v>334</v>
      </c>
      <c r="B78" s="3">
        <v>45671</v>
      </c>
      <c r="C78" t="s">
        <v>335</v>
      </c>
      <c r="D78" t="s">
        <v>94</v>
      </c>
      <c r="E78" t="s">
        <v>336</v>
      </c>
      <c r="F78" t="s">
        <v>111</v>
      </c>
      <c r="G78" t="s">
        <v>96</v>
      </c>
      <c r="H78" t="s">
        <v>89</v>
      </c>
      <c r="I78">
        <v>2</v>
      </c>
      <c r="J78" s="2">
        <v>297</v>
      </c>
      <c r="K78" s="4">
        <v>0.05</v>
      </c>
      <c r="L78" t="s">
        <v>90</v>
      </c>
      <c r="M78">
        <v>3</v>
      </c>
      <c r="N78" t="s">
        <v>91</v>
      </c>
    </row>
    <row r="79" spans="1:14">
      <c r="A79" t="s">
        <v>337</v>
      </c>
      <c r="B79" s="3">
        <v>45929</v>
      </c>
      <c r="C79" t="s">
        <v>338</v>
      </c>
      <c r="D79" t="s">
        <v>217</v>
      </c>
      <c r="E79" t="s">
        <v>339</v>
      </c>
      <c r="F79" t="s">
        <v>111</v>
      </c>
      <c r="G79" t="s">
        <v>130</v>
      </c>
      <c r="H79" t="s">
        <v>233</v>
      </c>
      <c r="I79">
        <v>2</v>
      </c>
      <c r="J79" s="2">
        <v>101.43</v>
      </c>
      <c r="K79" s="4">
        <v>0.15</v>
      </c>
      <c r="L79" t="s">
        <v>98</v>
      </c>
      <c r="M79">
        <v>4</v>
      </c>
      <c r="N79" t="s">
        <v>91</v>
      </c>
    </row>
    <row r="80" spans="1:14">
      <c r="A80" t="s">
        <v>340</v>
      </c>
      <c r="B80" s="3">
        <v>46001</v>
      </c>
      <c r="C80" t="s">
        <v>100</v>
      </c>
      <c r="D80" t="s">
        <v>255</v>
      </c>
      <c r="E80" t="s">
        <v>102</v>
      </c>
      <c r="F80" t="s">
        <v>103</v>
      </c>
      <c r="G80" t="s">
        <v>122</v>
      </c>
      <c r="H80" t="s">
        <v>89</v>
      </c>
      <c r="I80">
        <v>1</v>
      </c>
      <c r="J80" s="2">
        <v>235.55</v>
      </c>
      <c r="K80" s="4">
        <v>0</v>
      </c>
      <c r="L80" t="s">
        <v>98</v>
      </c>
      <c r="M80">
        <v>5</v>
      </c>
      <c r="N80" t="s">
        <v>91</v>
      </c>
    </row>
    <row r="81" spans="1:14">
      <c r="A81" t="s">
        <v>341</v>
      </c>
      <c r="B81" s="3">
        <v>45685</v>
      </c>
      <c r="C81" t="s">
        <v>151</v>
      </c>
      <c r="D81" t="s">
        <v>181</v>
      </c>
      <c r="E81" t="s">
        <v>153</v>
      </c>
      <c r="F81" t="s">
        <v>87</v>
      </c>
      <c r="G81" t="s">
        <v>104</v>
      </c>
      <c r="H81" t="s">
        <v>89</v>
      </c>
      <c r="I81">
        <v>2</v>
      </c>
      <c r="J81" s="2">
        <v>341.19</v>
      </c>
      <c r="K81" s="4">
        <v>0.1</v>
      </c>
      <c r="L81" t="s">
        <v>106</v>
      </c>
      <c r="M81">
        <v>1</v>
      </c>
      <c r="N81" t="s">
        <v>91</v>
      </c>
    </row>
    <row r="82" spans="1:14">
      <c r="A82" t="s">
        <v>342</v>
      </c>
      <c r="B82" s="3">
        <v>45867</v>
      </c>
      <c r="C82" t="s">
        <v>343</v>
      </c>
      <c r="D82" t="s">
        <v>303</v>
      </c>
      <c r="E82" t="s">
        <v>344</v>
      </c>
      <c r="F82" t="s">
        <v>145</v>
      </c>
      <c r="G82" t="s">
        <v>88</v>
      </c>
      <c r="H82" t="s">
        <v>97</v>
      </c>
      <c r="I82">
        <v>1</v>
      </c>
      <c r="J82" s="2">
        <v>160.72</v>
      </c>
      <c r="K82" s="4">
        <v>0.2</v>
      </c>
      <c r="L82" t="s">
        <v>98</v>
      </c>
      <c r="M82">
        <v>4</v>
      </c>
      <c r="N82" t="s">
        <v>91</v>
      </c>
    </row>
    <row r="83" spans="1:14">
      <c r="A83" t="s">
        <v>345</v>
      </c>
      <c r="B83" s="3">
        <v>45737</v>
      </c>
      <c r="C83" t="s">
        <v>100</v>
      </c>
      <c r="D83" t="s">
        <v>346</v>
      </c>
      <c r="E83" t="s">
        <v>102</v>
      </c>
      <c r="F83" t="s">
        <v>145</v>
      </c>
      <c r="G83" t="s">
        <v>96</v>
      </c>
      <c r="H83" t="s">
        <v>97</v>
      </c>
      <c r="I83">
        <v>5</v>
      </c>
      <c r="J83" s="2">
        <v>248.14</v>
      </c>
      <c r="K83" s="4">
        <v>0.05</v>
      </c>
      <c r="L83" t="s">
        <v>106</v>
      </c>
      <c r="M83">
        <v>3</v>
      </c>
      <c r="N83" t="s">
        <v>91</v>
      </c>
    </row>
    <row r="84" spans="1:14">
      <c r="A84" t="s">
        <v>347</v>
      </c>
      <c r="B84" s="3">
        <v>45863</v>
      </c>
      <c r="C84" t="s">
        <v>206</v>
      </c>
      <c r="D84" t="s">
        <v>226</v>
      </c>
      <c r="E84" t="s">
        <v>207</v>
      </c>
      <c r="F84" t="s">
        <v>111</v>
      </c>
      <c r="G84" t="s">
        <v>104</v>
      </c>
      <c r="H84" t="s">
        <v>97</v>
      </c>
      <c r="I84">
        <v>1</v>
      </c>
      <c r="J84" s="2">
        <v>203.94</v>
      </c>
      <c r="K84" s="4">
        <v>0</v>
      </c>
      <c r="L84" t="s">
        <v>98</v>
      </c>
      <c r="M84">
        <v>2</v>
      </c>
      <c r="N84" t="s">
        <v>91</v>
      </c>
    </row>
    <row r="85" spans="1:14">
      <c r="A85" t="s">
        <v>348</v>
      </c>
      <c r="B85" s="3">
        <v>45727</v>
      </c>
      <c r="C85" t="s">
        <v>349</v>
      </c>
      <c r="D85" t="s">
        <v>323</v>
      </c>
      <c r="E85" t="s">
        <v>350</v>
      </c>
      <c r="F85" t="s">
        <v>111</v>
      </c>
      <c r="G85" t="s">
        <v>122</v>
      </c>
      <c r="H85" t="s">
        <v>97</v>
      </c>
      <c r="I85">
        <v>1</v>
      </c>
      <c r="J85" s="2">
        <v>342.73</v>
      </c>
      <c r="K85" s="4">
        <v>0</v>
      </c>
      <c r="L85" t="s">
        <v>90</v>
      </c>
      <c r="M85">
        <v>0</v>
      </c>
      <c r="N85" t="s">
        <v>91</v>
      </c>
    </row>
    <row r="86" spans="1:14">
      <c r="A86" t="s">
        <v>351</v>
      </c>
      <c r="B86" s="3">
        <v>45743</v>
      </c>
      <c r="C86" t="s">
        <v>200</v>
      </c>
      <c r="D86" t="s">
        <v>194</v>
      </c>
      <c r="E86" t="s">
        <v>201</v>
      </c>
      <c r="F86" t="s">
        <v>111</v>
      </c>
      <c r="G86" t="s">
        <v>171</v>
      </c>
      <c r="H86" t="s">
        <v>308</v>
      </c>
      <c r="I86">
        <v>1</v>
      </c>
      <c r="J86" s="2">
        <v>189.68</v>
      </c>
      <c r="K86" s="4">
        <v>0.05</v>
      </c>
      <c r="L86" t="s">
        <v>106</v>
      </c>
      <c r="M86">
        <v>9</v>
      </c>
      <c r="N86" t="s">
        <v>91</v>
      </c>
    </row>
    <row r="87" spans="1:14">
      <c r="A87" t="s">
        <v>352</v>
      </c>
      <c r="B87" s="3">
        <v>45677</v>
      </c>
      <c r="C87" t="s">
        <v>343</v>
      </c>
      <c r="D87" t="s">
        <v>261</v>
      </c>
      <c r="E87" t="s">
        <v>344</v>
      </c>
      <c r="F87" t="s">
        <v>103</v>
      </c>
      <c r="G87" t="s">
        <v>117</v>
      </c>
      <c r="H87" t="s">
        <v>246</v>
      </c>
      <c r="I87">
        <v>2</v>
      </c>
      <c r="J87" s="2">
        <v>259.93</v>
      </c>
      <c r="K87" s="4">
        <v>0.05</v>
      </c>
      <c r="L87" t="s">
        <v>353</v>
      </c>
      <c r="M87">
        <v>0</v>
      </c>
      <c r="N87" t="s">
        <v>91</v>
      </c>
    </row>
    <row r="88" spans="1:14">
      <c r="A88" t="s">
        <v>354</v>
      </c>
      <c r="B88" s="3">
        <v>45813</v>
      </c>
      <c r="C88" t="s">
        <v>156</v>
      </c>
      <c r="D88" t="s">
        <v>125</v>
      </c>
      <c r="E88" t="s">
        <v>158</v>
      </c>
      <c r="F88" t="s">
        <v>87</v>
      </c>
      <c r="G88" t="s">
        <v>117</v>
      </c>
      <c r="H88" t="s">
        <v>89</v>
      </c>
      <c r="I88">
        <v>2</v>
      </c>
      <c r="J88" s="2">
        <v>60.07</v>
      </c>
      <c r="K88" s="4">
        <v>0.15</v>
      </c>
      <c r="L88" t="s">
        <v>106</v>
      </c>
      <c r="M88">
        <v>8</v>
      </c>
      <c r="N88" t="s">
        <v>147</v>
      </c>
    </row>
    <row r="89" spans="1:14">
      <c r="A89" t="s">
        <v>355</v>
      </c>
      <c r="B89" s="3">
        <v>45997</v>
      </c>
      <c r="C89" t="s">
        <v>356</v>
      </c>
      <c r="D89" t="s">
        <v>165</v>
      </c>
      <c r="E89" t="s">
        <v>357</v>
      </c>
      <c r="F89" t="s">
        <v>116</v>
      </c>
      <c r="G89" t="s">
        <v>183</v>
      </c>
      <c r="H89" t="s">
        <v>97</v>
      </c>
      <c r="I89">
        <v>1</v>
      </c>
      <c r="J89" s="2">
        <v>105.21</v>
      </c>
      <c r="K89" s="4">
        <v>0.15</v>
      </c>
      <c r="L89" t="s">
        <v>106</v>
      </c>
      <c r="M89">
        <v>3</v>
      </c>
      <c r="N89" t="s">
        <v>91</v>
      </c>
    </row>
    <row r="90" spans="1:14">
      <c r="A90" t="s">
        <v>358</v>
      </c>
      <c r="B90" s="3">
        <v>45979</v>
      </c>
      <c r="C90" t="s">
        <v>359</v>
      </c>
      <c r="D90" t="s">
        <v>360</v>
      </c>
      <c r="E90" t="s">
        <v>361</v>
      </c>
      <c r="F90" t="s">
        <v>87</v>
      </c>
      <c r="G90" t="s">
        <v>117</v>
      </c>
      <c r="H90" t="s">
        <v>89</v>
      </c>
      <c r="I90">
        <v>2</v>
      </c>
      <c r="J90" s="2">
        <v>64.459999999999994</v>
      </c>
      <c r="K90" s="4">
        <v>0.05</v>
      </c>
      <c r="L90" t="s">
        <v>106</v>
      </c>
      <c r="M90">
        <v>6</v>
      </c>
      <c r="N90" t="s">
        <v>91</v>
      </c>
    </row>
    <row r="91" spans="1:14">
      <c r="A91" t="s">
        <v>362</v>
      </c>
      <c r="B91" s="3">
        <v>45821</v>
      </c>
      <c r="C91" t="s">
        <v>363</v>
      </c>
      <c r="D91" t="s">
        <v>133</v>
      </c>
      <c r="E91" t="s">
        <v>364</v>
      </c>
      <c r="F91" t="s">
        <v>145</v>
      </c>
      <c r="G91" t="s">
        <v>88</v>
      </c>
      <c r="H91" t="s">
        <v>89</v>
      </c>
      <c r="I91">
        <v>1</v>
      </c>
      <c r="J91" s="2">
        <v>349.84</v>
      </c>
      <c r="K91" s="4">
        <v>0.15</v>
      </c>
      <c r="L91" t="s">
        <v>106</v>
      </c>
      <c r="M91">
        <v>9</v>
      </c>
      <c r="N91" t="s">
        <v>91</v>
      </c>
    </row>
    <row r="92" spans="1:14">
      <c r="A92" t="s">
        <v>365</v>
      </c>
      <c r="B92" s="3">
        <v>45867</v>
      </c>
      <c r="C92" t="s">
        <v>366</v>
      </c>
      <c r="D92" t="s">
        <v>120</v>
      </c>
      <c r="E92" t="s">
        <v>367</v>
      </c>
      <c r="F92" t="s">
        <v>116</v>
      </c>
      <c r="G92" t="s">
        <v>96</v>
      </c>
      <c r="H92" t="s">
        <v>105</v>
      </c>
      <c r="I92">
        <v>1</v>
      </c>
      <c r="J92" s="2">
        <v>379.66</v>
      </c>
      <c r="K92" s="4">
        <v>0.1</v>
      </c>
      <c r="L92" t="s">
        <v>106</v>
      </c>
      <c r="M92">
        <v>7</v>
      </c>
      <c r="N92" t="s">
        <v>91</v>
      </c>
    </row>
    <row r="93" spans="1:14">
      <c r="A93" t="s">
        <v>368</v>
      </c>
      <c r="B93" s="3">
        <v>45830</v>
      </c>
      <c r="C93" t="s">
        <v>173</v>
      </c>
      <c r="D93" t="s">
        <v>217</v>
      </c>
      <c r="E93" t="s">
        <v>175</v>
      </c>
      <c r="F93" t="s">
        <v>103</v>
      </c>
      <c r="G93" t="s">
        <v>88</v>
      </c>
      <c r="H93" t="s">
        <v>89</v>
      </c>
      <c r="I93">
        <v>1</v>
      </c>
      <c r="J93" s="2">
        <v>101.43</v>
      </c>
      <c r="K93" s="4">
        <v>0.15</v>
      </c>
      <c r="L93" t="s">
        <v>369</v>
      </c>
      <c r="M93">
        <v>7</v>
      </c>
      <c r="N93" t="s">
        <v>91</v>
      </c>
    </row>
    <row r="94" spans="1:14">
      <c r="A94" t="s">
        <v>370</v>
      </c>
      <c r="B94" s="3">
        <v>45917</v>
      </c>
      <c r="C94" t="s">
        <v>371</v>
      </c>
      <c r="D94" t="s">
        <v>143</v>
      </c>
      <c r="E94" t="s">
        <v>372</v>
      </c>
      <c r="F94" t="s">
        <v>103</v>
      </c>
      <c r="G94" t="s">
        <v>104</v>
      </c>
      <c r="H94" t="s">
        <v>89</v>
      </c>
      <c r="I94">
        <v>1</v>
      </c>
      <c r="J94" s="2">
        <v>266.14999999999998</v>
      </c>
      <c r="K94" s="4">
        <v>0.05</v>
      </c>
      <c r="L94" t="s">
        <v>106</v>
      </c>
      <c r="M94">
        <v>4</v>
      </c>
      <c r="N94" t="s">
        <v>91</v>
      </c>
    </row>
    <row r="95" spans="1:14">
      <c r="A95" t="s">
        <v>373</v>
      </c>
      <c r="B95" s="3">
        <v>45720</v>
      </c>
      <c r="C95" t="s">
        <v>374</v>
      </c>
      <c r="D95" t="s">
        <v>114</v>
      </c>
      <c r="E95" t="s">
        <v>375</v>
      </c>
      <c r="F95" t="s">
        <v>87</v>
      </c>
      <c r="G95" t="s">
        <v>183</v>
      </c>
      <c r="H95" t="s">
        <v>89</v>
      </c>
      <c r="I95">
        <v>3</v>
      </c>
      <c r="J95" s="2">
        <v>138.76</v>
      </c>
      <c r="K95" s="4">
        <v>0.2</v>
      </c>
      <c r="L95" t="s">
        <v>98</v>
      </c>
      <c r="M95">
        <v>1</v>
      </c>
      <c r="N95" t="s">
        <v>91</v>
      </c>
    </row>
    <row r="96" spans="1:14">
      <c r="A96" t="s">
        <v>376</v>
      </c>
      <c r="B96" s="3">
        <v>45894</v>
      </c>
      <c r="C96" t="s">
        <v>108</v>
      </c>
      <c r="D96" t="s">
        <v>277</v>
      </c>
      <c r="E96" t="s">
        <v>110</v>
      </c>
      <c r="F96" t="s">
        <v>116</v>
      </c>
      <c r="G96" t="s">
        <v>171</v>
      </c>
      <c r="H96" t="s">
        <v>246</v>
      </c>
      <c r="I96">
        <v>1</v>
      </c>
      <c r="J96" s="2">
        <v>350.44</v>
      </c>
      <c r="K96" s="4">
        <v>0</v>
      </c>
      <c r="L96" t="s">
        <v>106</v>
      </c>
      <c r="M96">
        <v>1</v>
      </c>
      <c r="N96" t="s">
        <v>91</v>
      </c>
    </row>
    <row r="97" spans="1:14">
      <c r="A97" t="s">
        <v>377</v>
      </c>
      <c r="B97" s="3">
        <v>45822</v>
      </c>
      <c r="C97" t="s">
        <v>319</v>
      </c>
      <c r="D97" t="s">
        <v>174</v>
      </c>
      <c r="E97" t="s">
        <v>320</v>
      </c>
      <c r="F97" t="s">
        <v>111</v>
      </c>
      <c r="G97" t="s">
        <v>88</v>
      </c>
      <c r="H97" t="s">
        <v>89</v>
      </c>
      <c r="I97">
        <v>2</v>
      </c>
      <c r="J97" s="2">
        <v>37.19</v>
      </c>
      <c r="K97" s="4">
        <v>0</v>
      </c>
      <c r="L97" t="s">
        <v>90</v>
      </c>
      <c r="M97">
        <v>1</v>
      </c>
      <c r="N97" t="s">
        <v>91</v>
      </c>
    </row>
    <row r="98" spans="1:14">
      <c r="A98" t="s">
        <v>378</v>
      </c>
      <c r="B98" s="3">
        <v>45890</v>
      </c>
      <c r="C98" t="s">
        <v>379</v>
      </c>
      <c r="D98" t="s">
        <v>226</v>
      </c>
      <c r="E98" t="s">
        <v>380</v>
      </c>
      <c r="F98" t="s">
        <v>111</v>
      </c>
      <c r="G98" t="s">
        <v>88</v>
      </c>
      <c r="H98" t="s">
        <v>89</v>
      </c>
      <c r="I98">
        <v>1</v>
      </c>
      <c r="J98" s="2">
        <v>225.35</v>
      </c>
      <c r="K98" s="4">
        <v>0</v>
      </c>
      <c r="L98" t="s">
        <v>106</v>
      </c>
      <c r="M98">
        <v>2</v>
      </c>
      <c r="N98" t="s">
        <v>91</v>
      </c>
    </row>
    <row r="99" spans="1:14">
      <c r="A99" t="s">
        <v>381</v>
      </c>
      <c r="B99" s="3">
        <v>45914</v>
      </c>
      <c r="C99" t="s">
        <v>209</v>
      </c>
      <c r="D99" t="s">
        <v>190</v>
      </c>
      <c r="E99" t="s">
        <v>211</v>
      </c>
      <c r="F99" t="s">
        <v>111</v>
      </c>
      <c r="G99" t="s">
        <v>88</v>
      </c>
      <c r="H99" t="s">
        <v>89</v>
      </c>
      <c r="I99">
        <v>2</v>
      </c>
      <c r="J99" s="2">
        <v>285.22000000000003</v>
      </c>
      <c r="K99" s="4">
        <v>0</v>
      </c>
      <c r="L99" t="s">
        <v>353</v>
      </c>
      <c r="M99">
        <v>7</v>
      </c>
      <c r="N99" t="s">
        <v>91</v>
      </c>
    </row>
    <row r="100" spans="1:14">
      <c r="A100" t="s">
        <v>382</v>
      </c>
      <c r="B100" s="3">
        <v>45720</v>
      </c>
      <c r="C100" t="s">
        <v>209</v>
      </c>
      <c r="D100" t="s">
        <v>165</v>
      </c>
      <c r="E100" t="s">
        <v>211</v>
      </c>
      <c r="F100" t="s">
        <v>116</v>
      </c>
      <c r="G100" t="s">
        <v>96</v>
      </c>
      <c r="H100" t="s">
        <v>97</v>
      </c>
      <c r="I100">
        <v>1</v>
      </c>
      <c r="J100" s="2">
        <v>107.22</v>
      </c>
      <c r="K100" s="4">
        <v>0.1</v>
      </c>
      <c r="L100" t="s">
        <v>106</v>
      </c>
      <c r="M100">
        <v>4</v>
      </c>
      <c r="N100" t="s">
        <v>91</v>
      </c>
    </row>
    <row r="101" spans="1:14">
      <c r="A101" t="s">
        <v>383</v>
      </c>
      <c r="B101" s="3">
        <v>46004</v>
      </c>
      <c r="C101" t="s">
        <v>142</v>
      </c>
      <c r="D101" t="s">
        <v>194</v>
      </c>
      <c r="E101" t="s">
        <v>144</v>
      </c>
      <c r="F101" t="s">
        <v>145</v>
      </c>
      <c r="G101" t="s">
        <v>171</v>
      </c>
      <c r="H101" t="s">
        <v>105</v>
      </c>
      <c r="I101">
        <v>1</v>
      </c>
      <c r="J101" s="2">
        <v>210.86</v>
      </c>
      <c r="K101" s="4">
        <v>0.15</v>
      </c>
      <c r="L101" t="s">
        <v>154</v>
      </c>
      <c r="M101">
        <v>9</v>
      </c>
      <c r="N101" t="s">
        <v>91</v>
      </c>
    </row>
    <row r="102" spans="1:14">
      <c r="A102" t="s">
        <v>384</v>
      </c>
      <c r="B102" s="3">
        <v>45789</v>
      </c>
      <c r="C102" t="s">
        <v>132</v>
      </c>
      <c r="D102" t="s">
        <v>101</v>
      </c>
      <c r="E102" t="s">
        <v>134</v>
      </c>
      <c r="F102" t="s">
        <v>87</v>
      </c>
      <c r="G102" t="s">
        <v>183</v>
      </c>
      <c r="H102" t="s">
        <v>89</v>
      </c>
      <c r="I102">
        <v>1</v>
      </c>
      <c r="J102" s="2">
        <v>300.5</v>
      </c>
      <c r="K102" s="4">
        <v>0.05</v>
      </c>
      <c r="L102" t="s">
        <v>106</v>
      </c>
      <c r="M102">
        <v>8</v>
      </c>
      <c r="N102" t="s">
        <v>91</v>
      </c>
    </row>
    <row r="103" spans="1:14">
      <c r="A103" t="s">
        <v>385</v>
      </c>
      <c r="B103" s="3">
        <v>45837</v>
      </c>
      <c r="C103" t="s">
        <v>386</v>
      </c>
      <c r="D103" t="s">
        <v>360</v>
      </c>
      <c r="E103" t="s">
        <v>387</v>
      </c>
      <c r="F103" t="s">
        <v>116</v>
      </c>
      <c r="G103" t="s">
        <v>96</v>
      </c>
      <c r="H103" t="s">
        <v>89</v>
      </c>
      <c r="I103">
        <v>3</v>
      </c>
      <c r="J103" s="2">
        <v>63.14</v>
      </c>
      <c r="K103" s="4">
        <v>0</v>
      </c>
      <c r="L103" t="s">
        <v>90</v>
      </c>
      <c r="M103">
        <v>9</v>
      </c>
      <c r="N103" t="s">
        <v>91</v>
      </c>
    </row>
    <row r="104" spans="1:14">
      <c r="A104" t="s">
        <v>388</v>
      </c>
      <c r="B104" s="3">
        <v>45843</v>
      </c>
      <c r="C104" t="s">
        <v>389</v>
      </c>
      <c r="D104" t="s">
        <v>226</v>
      </c>
      <c r="E104" t="s">
        <v>390</v>
      </c>
      <c r="F104" t="s">
        <v>87</v>
      </c>
      <c r="G104" t="s">
        <v>183</v>
      </c>
      <c r="H104" t="s">
        <v>89</v>
      </c>
      <c r="I104">
        <v>1</v>
      </c>
      <c r="J104" s="2">
        <v>212.87</v>
      </c>
      <c r="K104" s="4">
        <v>0.05</v>
      </c>
      <c r="L104" t="s">
        <v>90</v>
      </c>
      <c r="M104">
        <v>6</v>
      </c>
      <c r="N104" t="s">
        <v>91</v>
      </c>
    </row>
    <row r="105" spans="1:14">
      <c r="A105" t="s">
        <v>391</v>
      </c>
      <c r="B105" s="3">
        <v>45816</v>
      </c>
      <c r="C105" t="s">
        <v>216</v>
      </c>
      <c r="D105" t="s">
        <v>221</v>
      </c>
      <c r="E105" t="s">
        <v>392</v>
      </c>
      <c r="F105" t="s">
        <v>116</v>
      </c>
      <c r="G105" t="s">
        <v>96</v>
      </c>
      <c r="H105" t="s">
        <v>89</v>
      </c>
      <c r="I105">
        <v>2</v>
      </c>
      <c r="J105" s="2">
        <v>29.54</v>
      </c>
      <c r="K105" s="4">
        <v>0</v>
      </c>
      <c r="L105" t="s">
        <v>90</v>
      </c>
      <c r="M105">
        <v>5</v>
      </c>
      <c r="N105" t="s">
        <v>91</v>
      </c>
    </row>
    <row r="106" spans="1:14">
      <c r="A106" t="s">
        <v>393</v>
      </c>
      <c r="B106" s="3">
        <v>45976</v>
      </c>
      <c r="C106" t="s">
        <v>293</v>
      </c>
      <c r="D106" t="s">
        <v>157</v>
      </c>
      <c r="E106" t="s">
        <v>394</v>
      </c>
      <c r="F106" t="s">
        <v>145</v>
      </c>
      <c r="G106" t="s">
        <v>183</v>
      </c>
      <c r="H106" t="s">
        <v>97</v>
      </c>
      <c r="I106">
        <v>1</v>
      </c>
      <c r="J106" s="2">
        <v>286.02999999999997</v>
      </c>
      <c r="K106" s="4">
        <v>0.1</v>
      </c>
      <c r="L106" t="s">
        <v>90</v>
      </c>
      <c r="M106">
        <v>2</v>
      </c>
      <c r="N106" t="s">
        <v>91</v>
      </c>
    </row>
    <row r="107" spans="1:14">
      <c r="A107" t="s">
        <v>395</v>
      </c>
      <c r="B107" s="3">
        <v>45761</v>
      </c>
      <c r="C107" t="s">
        <v>396</v>
      </c>
      <c r="D107" t="s">
        <v>94</v>
      </c>
      <c r="E107" t="s">
        <v>397</v>
      </c>
      <c r="F107" t="s">
        <v>111</v>
      </c>
      <c r="G107" t="s">
        <v>104</v>
      </c>
      <c r="H107" t="s">
        <v>246</v>
      </c>
      <c r="I107">
        <v>1</v>
      </c>
      <c r="J107" s="2">
        <v>312.99</v>
      </c>
      <c r="K107" s="4">
        <v>0</v>
      </c>
      <c r="L107" t="s">
        <v>106</v>
      </c>
      <c r="M107">
        <v>4</v>
      </c>
      <c r="N107" t="s">
        <v>91</v>
      </c>
    </row>
    <row r="108" spans="1:14">
      <c r="A108" t="s">
        <v>398</v>
      </c>
      <c r="B108" s="3">
        <v>45971</v>
      </c>
      <c r="C108" t="s">
        <v>399</v>
      </c>
      <c r="D108" t="s">
        <v>139</v>
      </c>
      <c r="E108" t="s">
        <v>400</v>
      </c>
      <c r="F108" t="s">
        <v>116</v>
      </c>
      <c r="G108" t="s">
        <v>104</v>
      </c>
      <c r="H108" t="s">
        <v>97</v>
      </c>
      <c r="I108">
        <v>1</v>
      </c>
      <c r="J108" s="2">
        <v>79.47</v>
      </c>
      <c r="K108" s="4">
        <v>0</v>
      </c>
      <c r="L108" t="s">
        <v>106</v>
      </c>
      <c r="M108">
        <v>1</v>
      </c>
      <c r="N108" t="s">
        <v>91</v>
      </c>
    </row>
    <row r="109" spans="1:14">
      <c r="A109" t="s">
        <v>401</v>
      </c>
      <c r="B109" s="3">
        <v>45846</v>
      </c>
      <c r="C109" t="s">
        <v>402</v>
      </c>
      <c r="D109" t="s">
        <v>277</v>
      </c>
      <c r="E109" t="s">
        <v>403</v>
      </c>
      <c r="F109" t="s">
        <v>103</v>
      </c>
      <c r="G109" t="s">
        <v>130</v>
      </c>
      <c r="H109" t="s">
        <v>89</v>
      </c>
      <c r="I109">
        <v>2</v>
      </c>
      <c r="J109" s="2">
        <v>379.92</v>
      </c>
      <c r="K109" s="4">
        <v>0.15</v>
      </c>
      <c r="L109" t="s">
        <v>253</v>
      </c>
      <c r="M109">
        <v>6</v>
      </c>
      <c r="N109" t="s">
        <v>91</v>
      </c>
    </row>
    <row r="110" spans="1:14">
      <c r="A110" t="s">
        <v>404</v>
      </c>
      <c r="B110" s="3">
        <v>45931</v>
      </c>
      <c r="C110" t="s">
        <v>313</v>
      </c>
      <c r="D110" t="s">
        <v>255</v>
      </c>
      <c r="E110" t="s">
        <v>314</v>
      </c>
      <c r="F110" t="s">
        <v>145</v>
      </c>
      <c r="G110" t="s">
        <v>88</v>
      </c>
      <c r="H110" t="s">
        <v>89</v>
      </c>
      <c r="I110">
        <v>1</v>
      </c>
      <c r="J110" s="2">
        <v>243.7</v>
      </c>
      <c r="K110" s="4">
        <v>0</v>
      </c>
      <c r="L110" t="s">
        <v>98</v>
      </c>
      <c r="M110">
        <v>2</v>
      </c>
      <c r="N110" t="s">
        <v>91</v>
      </c>
    </row>
    <row r="111" spans="1:14">
      <c r="A111" t="s">
        <v>405</v>
      </c>
      <c r="B111" s="3">
        <v>45814</v>
      </c>
      <c r="C111" t="s">
        <v>406</v>
      </c>
      <c r="D111" t="s">
        <v>221</v>
      </c>
      <c r="E111" t="s">
        <v>407</v>
      </c>
      <c r="F111" t="s">
        <v>87</v>
      </c>
      <c r="G111" t="s">
        <v>117</v>
      </c>
      <c r="H111" t="s">
        <v>97</v>
      </c>
      <c r="I111">
        <v>1</v>
      </c>
      <c r="J111" s="2">
        <v>29.65</v>
      </c>
      <c r="K111" s="4">
        <v>0.05</v>
      </c>
      <c r="L111" t="s">
        <v>253</v>
      </c>
      <c r="M111">
        <v>4</v>
      </c>
      <c r="N111" t="s">
        <v>91</v>
      </c>
    </row>
    <row r="112" spans="1:14">
      <c r="A112" t="s">
        <v>408</v>
      </c>
      <c r="B112" s="3">
        <v>45850</v>
      </c>
      <c r="C112" t="s">
        <v>359</v>
      </c>
      <c r="D112" t="s">
        <v>194</v>
      </c>
      <c r="E112" t="s">
        <v>361</v>
      </c>
      <c r="F112" t="s">
        <v>116</v>
      </c>
      <c r="G112" t="s">
        <v>96</v>
      </c>
      <c r="H112" t="s">
        <v>233</v>
      </c>
      <c r="I112">
        <v>5</v>
      </c>
      <c r="J112" s="2">
        <v>198.88</v>
      </c>
      <c r="K112" s="4">
        <v>0.05</v>
      </c>
      <c r="L112" t="s">
        <v>90</v>
      </c>
      <c r="M112">
        <v>3</v>
      </c>
      <c r="N112" t="s">
        <v>91</v>
      </c>
    </row>
    <row r="113" spans="1:14">
      <c r="A113" t="s">
        <v>409</v>
      </c>
      <c r="B113" s="3">
        <v>45708</v>
      </c>
      <c r="C113" t="s">
        <v>410</v>
      </c>
      <c r="D113" t="s">
        <v>255</v>
      </c>
      <c r="E113" t="s">
        <v>411</v>
      </c>
      <c r="F113" t="s">
        <v>87</v>
      </c>
      <c r="G113" t="s">
        <v>122</v>
      </c>
      <c r="H113" t="s">
        <v>105</v>
      </c>
      <c r="I113">
        <v>2</v>
      </c>
      <c r="J113" s="2">
        <v>243.99</v>
      </c>
      <c r="K113" s="4">
        <v>0.2</v>
      </c>
      <c r="L113" t="s">
        <v>154</v>
      </c>
      <c r="M113">
        <v>7</v>
      </c>
      <c r="N113" t="s">
        <v>91</v>
      </c>
    </row>
    <row r="114" spans="1:14">
      <c r="A114" t="s">
        <v>412</v>
      </c>
      <c r="B114" s="3">
        <v>45870</v>
      </c>
      <c r="C114" t="s">
        <v>84</v>
      </c>
      <c r="D114" t="s">
        <v>249</v>
      </c>
      <c r="E114" t="s">
        <v>86</v>
      </c>
      <c r="F114" t="s">
        <v>103</v>
      </c>
      <c r="G114" t="s">
        <v>104</v>
      </c>
      <c r="H114" t="s">
        <v>89</v>
      </c>
      <c r="I114">
        <v>1</v>
      </c>
      <c r="J114" s="2">
        <v>438.44</v>
      </c>
      <c r="K114" s="4">
        <v>0.1</v>
      </c>
      <c r="L114" t="s">
        <v>106</v>
      </c>
      <c r="M114">
        <v>4</v>
      </c>
      <c r="N114" t="s">
        <v>91</v>
      </c>
    </row>
    <row r="115" spans="1:14">
      <c r="A115" t="s">
        <v>413</v>
      </c>
      <c r="B115" s="3">
        <v>45702</v>
      </c>
      <c r="C115" t="s">
        <v>414</v>
      </c>
      <c r="D115" t="s">
        <v>249</v>
      </c>
      <c r="E115" t="s">
        <v>415</v>
      </c>
      <c r="F115" t="s">
        <v>145</v>
      </c>
      <c r="G115" t="s">
        <v>96</v>
      </c>
      <c r="H115" t="s">
        <v>97</v>
      </c>
      <c r="I115">
        <v>2</v>
      </c>
      <c r="J115" s="2">
        <v>394.57</v>
      </c>
      <c r="K115" s="4">
        <v>0.05</v>
      </c>
      <c r="L115" t="s">
        <v>90</v>
      </c>
      <c r="M115">
        <v>0</v>
      </c>
      <c r="N115" t="s">
        <v>91</v>
      </c>
    </row>
    <row r="116" spans="1:14">
      <c r="A116" t="s">
        <v>416</v>
      </c>
      <c r="B116" s="3">
        <v>45993</v>
      </c>
      <c r="C116" t="s">
        <v>417</v>
      </c>
      <c r="D116" t="s">
        <v>418</v>
      </c>
      <c r="E116" t="s">
        <v>419</v>
      </c>
      <c r="F116" t="s">
        <v>145</v>
      </c>
      <c r="G116" t="s">
        <v>171</v>
      </c>
      <c r="H116" t="s">
        <v>228</v>
      </c>
      <c r="I116">
        <v>5</v>
      </c>
      <c r="J116" s="2">
        <v>373.91</v>
      </c>
      <c r="K116" s="4">
        <v>0</v>
      </c>
      <c r="L116" t="s">
        <v>98</v>
      </c>
      <c r="M116">
        <v>4</v>
      </c>
      <c r="N116" t="s">
        <v>91</v>
      </c>
    </row>
    <row r="117" spans="1:14">
      <c r="A117" t="s">
        <v>420</v>
      </c>
      <c r="B117" s="3">
        <v>45955</v>
      </c>
      <c r="C117" t="s">
        <v>268</v>
      </c>
      <c r="D117" t="s">
        <v>261</v>
      </c>
      <c r="E117" t="s">
        <v>269</v>
      </c>
      <c r="F117" t="s">
        <v>111</v>
      </c>
      <c r="G117" t="s">
        <v>117</v>
      </c>
      <c r="H117" t="s">
        <v>89</v>
      </c>
      <c r="I117">
        <v>4</v>
      </c>
      <c r="J117" s="2">
        <v>256.85000000000002</v>
      </c>
      <c r="K117" s="4">
        <v>0.1</v>
      </c>
      <c r="L117" t="s">
        <v>106</v>
      </c>
      <c r="M117">
        <v>1</v>
      </c>
      <c r="N117" t="s">
        <v>91</v>
      </c>
    </row>
    <row r="118" spans="1:14">
      <c r="A118" t="s">
        <v>421</v>
      </c>
      <c r="B118" s="3">
        <v>46019</v>
      </c>
      <c r="C118" t="s">
        <v>356</v>
      </c>
      <c r="D118" t="s">
        <v>221</v>
      </c>
      <c r="E118" t="s">
        <v>357</v>
      </c>
      <c r="F118" t="s">
        <v>87</v>
      </c>
      <c r="G118" t="s">
        <v>183</v>
      </c>
      <c r="H118" t="s">
        <v>97</v>
      </c>
      <c r="I118">
        <v>1</v>
      </c>
      <c r="J118" s="2">
        <v>29.65</v>
      </c>
      <c r="K118" s="4">
        <v>0.15</v>
      </c>
      <c r="L118" t="s">
        <v>422</v>
      </c>
      <c r="M118">
        <v>3</v>
      </c>
      <c r="N118" t="s">
        <v>91</v>
      </c>
    </row>
    <row r="119" spans="1:14">
      <c r="A119" t="s">
        <v>423</v>
      </c>
      <c r="B119" s="3">
        <v>45671</v>
      </c>
      <c r="C119" t="s">
        <v>330</v>
      </c>
      <c r="D119" t="s">
        <v>133</v>
      </c>
      <c r="E119" t="s">
        <v>424</v>
      </c>
      <c r="F119" t="s">
        <v>103</v>
      </c>
      <c r="G119" t="s">
        <v>117</v>
      </c>
      <c r="H119" t="s">
        <v>97</v>
      </c>
      <c r="I119">
        <v>1</v>
      </c>
      <c r="J119" s="2">
        <v>343.13</v>
      </c>
      <c r="K119" s="4">
        <v>0.05</v>
      </c>
      <c r="L119" t="s">
        <v>90</v>
      </c>
      <c r="M119">
        <v>2</v>
      </c>
      <c r="N119" t="s">
        <v>91</v>
      </c>
    </row>
    <row r="120" spans="1:14">
      <c r="A120" t="s">
        <v>425</v>
      </c>
      <c r="B120" s="3">
        <v>45738</v>
      </c>
      <c r="C120" t="s">
        <v>293</v>
      </c>
      <c r="D120" t="s">
        <v>136</v>
      </c>
      <c r="E120" t="s">
        <v>294</v>
      </c>
      <c r="F120" t="s">
        <v>103</v>
      </c>
      <c r="G120" t="s">
        <v>122</v>
      </c>
      <c r="H120" t="s">
        <v>105</v>
      </c>
      <c r="I120">
        <v>1</v>
      </c>
      <c r="J120" s="2">
        <v>159.52000000000001</v>
      </c>
      <c r="K120" s="4">
        <v>0</v>
      </c>
      <c r="L120" t="s">
        <v>98</v>
      </c>
      <c r="M120">
        <v>6</v>
      </c>
      <c r="N120" t="s">
        <v>91</v>
      </c>
    </row>
    <row r="121" spans="1:14">
      <c r="A121" t="s">
        <v>426</v>
      </c>
      <c r="B121" s="3">
        <v>45857</v>
      </c>
      <c r="C121" t="s">
        <v>427</v>
      </c>
      <c r="D121" t="s">
        <v>139</v>
      </c>
      <c r="E121" t="s">
        <v>428</v>
      </c>
      <c r="F121" t="s">
        <v>87</v>
      </c>
      <c r="G121" t="s">
        <v>104</v>
      </c>
      <c r="H121" t="s">
        <v>89</v>
      </c>
      <c r="I121">
        <v>2</v>
      </c>
      <c r="J121" s="2">
        <v>83.33</v>
      </c>
      <c r="K121" s="4">
        <v>0.15</v>
      </c>
      <c r="L121" t="s">
        <v>98</v>
      </c>
      <c r="M121">
        <v>2</v>
      </c>
      <c r="N121" t="s">
        <v>91</v>
      </c>
    </row>
    <row r="122" spans="1:14">
      <c r="A122" t="s">
        <v>429</v>
      </c>
      <c r="B122" s="3">
        <v>46021</v>
      </c>
      <c r="C122" t="s">
        <v>430</v>
      </c>
      <c r="D122" t="s">
        <v>109</v>
      </c>
      <c r="E122" t="s">
        <v>431</v>
      </c>
      <c r="F122" t="s">
        <v>103</v>
      </c>
      <c r="G122" t="s">
        <v>96</v>
      </c>
      <c r="H122" t="s">
        <v>167</v>
      </c>
      <c r="I122">
        <v>1</v>
      </c>
      <c r="J122" s="2">
        <v>193.21</v>
      </c>
      <c r="K122" s="4">
        <v>0</v>
      </c>
      <c r="L122" t="s">
        <v>432</v>
      </c>
      <c r="M122">
        <v>5</v>
      </c>
      <c r="N122" t="s">
        <v>91</v>
      </c>
    </row>
    <row r="123" spans="1:14">
      <c r="A123" t="s">
        <v>433</v>
      </c>
      <c r="B123" s="3">
        <v>45774</v>
      </c>
      <c r="C123" t="s">
        <v>206</v>
      </c>
      <c r="D123" t="s">
        <v>261</v>
      </c>
      <c r="E123" t="s">
        <v>207</v>
      </c>
      <c r="F123" t="s">
        <v>87</v>
      </c>
      <c r="G123" t="s">
        <v>183</v>
      </c>
      <c r="H123" t="s">
        <v>89</v>
      </c>
      <c r="I123">
        <v>1</v>
      </c>
      <c r="J123" s="2">
        <v>265.20999999999998</v>
      </c>
      <c r="K123" s="4">
        <v>0</v>
      </c>
      <c r="L123" t="s">
        <v>154</v>
      </c>
      <c r="M123">
        <v>8</v>
      </c>
      <c r="N123" t="s">
        <v>91</v>
      </c>
    </row>
    <row r="124" spans="1:14">
      <c r="A124" t="s">
        <v>434</v>
      </c>
      <c r="B124" s="3">
        <v>45661</v>
      </c>
      <c r="C124" t="s">
        <v>169</v>
      </c>
      <c r="D124" t="s">
        <v>174</v>
      </c>
      <c r="E124" t="s">
        <v>435</v>
      </c>
      <c r="F124" t="s">
        <v>103</v>
      </c>
      <c r="G124" t="s">
        <v>130</v>
      </c>
      <c r="H124" t="s">
        <v>97</v>
      </c>
      <c r="I124">
        <v>1</v>
      </c>
      <c r="J124" s="2">
        <v>38.4</v>
      </c>
      <c r="K124" s="4">
        <v>0.15</v>
      </c>
      <c r="L124" t="s">
        <v>106</v>
      </c>
      <c r="M124">
        <v>4</v>
      </c>
      <c r="N124" t="s">
        <v>91</v>
      </c>
    </row>
    <row r="125" spans="1:14">
      <c r="A125" t="s">
        <v>436</v>
      </c>
      <c r="B125" s="3">
        <v>45703</v>
      </c>
      <c r="C125" t="s">
        <v>283</v>
      </c>
      <c r="D125" t="s">
        <v>181</v>
      </c>
      <c r="E125" t="s">
        <v>284</v>
      </c>
      <c r="F125" t="s">
        <v>145</v>
      </c>
      <c r="G125" t="s">
        <v>104</v>
      </c>
      <c r="H125" t="s">
        <v>89</v>
      </c>
      <c r="I125">
        <v>2</v>
      </c>
      <c r="J125" s="2">
        <v>351.81</v>
      </c>
      <c r="K125" s="4">
        <v>0</v>
      </c>
      <c r="L125" t="s">
        <v>154</v>
      </c>
      <c r="M125">
        <v>2</v>
      </c>
      <c r="N125" t="s">
        <v>91</v>
      </c>
    </row>
    <row r="126" spans="1:14">
      <c r="A126" t="s">
        <v>437</v>
      </c>
      <c r="B126" s="3">
        <v>45930</v>
      </c>
      <c r="C126" t="s">
        <v>438</v>
      </c>
      <c r="D126" t="s">
        <v>303</v>
      </c>
      <c r="E126" t="s">
        <v>439</v>
      </c>
      <c r="F126" t="s">
        <v>145</v>
      </c>
      <c r="G126" t="s">
        <v>183</v>
      </c>
      <c r="H126" t="s">
        <v>89</v>
      </c>
      <c r="I126">
        <v>5</v>
      </c>
      <c r="J126" s="2">
        <v>150.93</v>
      </c>
      <c r="K126" s="4">
        <v>0</v>
      </c>
      <c r="L126" t="s">
        <v>98</v>
      </c>
      <c r="M126">
        <v>5</v>
      </c>
      <c r="N126" t="s">
        <v>91</v>
      </c>
    </row>
    <row r="127" spans="1:14">
      <c r="A127" t="s">
        <v>440</v>
      </c>
      <c r="B127" s="3">
        <v>45678</v>
      </c>
      <c r="C127" t="s">
        <v>374</v>
      </c>
      <c r="D127" t="s">
        <v>165</v>
      </c>
      <c r="E127" t="s">
        <v>375</v>
      </c>
      <c r="F127" t="s">
        <v>87</v>
      </c>
      <c r="G127" t="s">
        <v>171</v>
      </c>
      <c r="H127" t="s">
        <v>89</v>
      </c>
      <c r="I127">
        <v>1</v>
      </c>
      <c r="J127" s="2">
        <v>106.24</v>
      </c>
      <c r="K127" s="4">
        <v>0</v>
      </c>
      <c r="L127" t="s">
        <v>441</v>
      </c>
      <c r="M127">
        <v>9</v>
      </c>
      <c r="N127" t="s">
        <v>91</v>
      </c>
    </row>
    <row r="128" spans="1:14">
      <c r="A128" t="s">
        <v>442</v>
      </c>
      <c r="B128" s="3">
        <v>45697</v>
      </c>
      <c r="C128" t="s">
        <v>160</v>
      </c>
      <c r="D128" t="s">
        <v>181</v>
      </c>
      <c r="E128" t="s">
        <v>161</v>
      </c>
      <c r="F128" t="s">
        <v>111</v>
      </c>
      <c r="G128" t="s">
        <v>171</v>
      </c>
      <c r="H128" t="s">
        <v>97</v>
      </c>
      <c r="I128">
        <v>1</v>
      </c>
      <c r="J128" s="2">
        <v>362.88</v>
      </c>
      <c r="K128" s="4">
        <v>0.15</v>
      </c>
      <c r="L128" t="s">
        <v>106</v>
      </c>
      <c r="M128">
        <v>2</v>
      </c>
      <c r="N128" t="s">
        <v>91</v>
      </c>
    </row>
    <row r="129" spans="1:14">
      <c r="A129" t="s">
        <v>443</v>
      </c>
      <c r="B129" s="3">
        <v>45975</v>
      </c>
      <c r="C129" t="s">
        <v>138</v>
      </c>
      <c r="D129" t="s">
        <v>136</v>
      </c>
      <c r="E129" t="s">
        <v>140</v>
      </c>
      <c r="F129" t="s">
        <v>103</v>
      </c>
      <c r="G129" t="s">
        <v>104</v>
      </c>
      <c r="H129" t="s">
        <v>97</v>
      </c>
      <c r="I129">
        <v>1</v>
      </c>
      <c r="J129" s="2">
        <v>154.51</v>
      </c>
      <c r="K129" s="4">
        <v>0.1</v>
      </c>
      <c r="L129" t="s">
        <v>106</v>
      </c>
      <c r="M129">
        <v>4</v>
      </c>
      <c r="N129" t="s">
        <v>91</v>
      </c>
    </row>
    <row r="130" spans="1:14">
      <c r="A130" t="s">
        <v>444</v>
      </c>
      <c r="B130" s="3">
        <v>45889</v>
      </c>
      <c r="C130" t="s">
        <v>319</v>
      </c>
      <c r="D130" t="s">
        <v>181</v>
      </c>
      <c r="E130" t="s">
        <v>320</v>
      </c>
      <c r="F130" t="s">
        <v>103</v>
      </c>
      <c r="G130" t="s">
        <v>117</v>
      </c>
      <c r="H130" t="s">
        <v>105</v>
      </c>
      <c r="I130">
        <v>1</v>
      </c>
      <c r="J130" s="2">
        <v>339.47</v>
      </c>
      <c r="K130" s="4">
        <v>0</v>
      </c>
      <c r="L130" t="s">
        <v>106</v>
      </c>
      <c r="M130">
        <v>7</v>
      </c>
      <c r="N130" t="s">
        <v>91</v>
      </c>
    </row>
    <row r="131" spans="1:14">
      <c r="A131" t="s">
        <v>445</v>
      </c>
      <c r="B131" s="3">
        <v>45702</v>
      </c>
      <c r="C131" t="s">
        <v>108</v>
      </c>
      <c r="D131" t="s">
        <v>231</v>
      </c>
      <c r="E131" t="s">
        <v>110</v>
      </c>
      <c r="F131" t="s">
        <v>145</v>
      </c>
      <c r="G131" t="s">
        <v>130</v>
      </c>
      <c r="H131" t="s">
        <v>89</v>
      </c>
      <c r="I131">
        <v>3</v>
      </c>
      <c r="J131" s="2">
        <v>372.12</v>
      </c>
      <c r="K131" s="4">
        <v>0.05</v>
      </c>
      <c r="L131" t="s">
        <v>98</v>
      </c>
      <c r="M131">
        <v>2</v>
      </c>
      <c r="N131" t="s">
        <v>91</v>
      </c>
    </row>
    <row r="132" spans="1:14">
      <c r="A132" t="s">
        <v>446</v>
      </c>
      <c r="B132" s="3">
        <v>45984</v>
      </c>
      <c r="C132" t="s">
        <v>406</v>
      </c>
      <c r="D132" t="s">
        <v>109</v>
      </c>
      <c r="E132" t="s">
        <v>407</v>
      </c>
      <c r="F132" t="s">
        <v>116</v>
      </c>
      <c r="G132" t="s">
        <v>117</v>
      </c>
      <c r="H132" t="s">
        <v>89</v>
      </c>
      <c r="I132">
        <v>4</v>
      </c>
      <c r="J132" s="2">
        <v>204.19</v>
      </c>
      <c r="K132" s="4">
        <v>0.1</v>
      </c>
      <c r="L132" t="s">
        <v>90</v>
      </c>
      <c r="M132">
        <v>6</v>
      </c>
      <c r="N132" t="s">
        <v>91</v>
      </c>
    </row>
    <row r="133" spans="1:14">
      <c r="A133" t="s">
        <v>447</v>
      </c>
      <c r="B133" s="3">
        <v>45767</v>
      </c>
      <c r="C133" t="s">
        <v>448</v>
      </c>
      <c r="D133" t="s">
        <v>323</v>
      </c>
      <c r="E133" t="s">
        <v>449</v>
      </c>
      <c r="F133" t="s">
        <v>111</v>
      </c>
      <c r="G133" t="s">
        <v>104</v>
      </c>
      <c r="H133" t="s">
        <v>97</v>
      </c>
      <c r="I133">
        <v>1</v>
      </c>
      <c r="J133" s="2">
        <v>333.66</v>
      </c>
      <c r="K133" s="4">
        <v>0.05</v>
      </c>
      <c r="L133" t="s">
        <v>106</v>
      </c>
      <c r="M133">
        <v>1</v>
      </c>
      <c r="N133" t="s">
        <v>91</v>
      </c>
    </row>
    <row r="134" spans="1:14">
      <c r="A134" t="s">
        <v>450</v>
      </c>
      <c r="B134" s="3">
        <v>45963</v>
      </c>
      <c r="C134" t="s">
        <v>359</v>
      </c>
      <c r="D134" t="s">
        <v>249</v>
      </c>
      <c r="E134" t="s">
        <v>361</v>
      </c>
      <c r="F134" t="s">
        <v>145</v>
      </c>
      <c r="G134" t="s">
        <v>130</v>
      </c>
      <c r="H134" t="s">
        <v>97</v>
      </c>
      <c r="I134">
        <v>1</v>
      </c>
      <c r="J134" s="2">
        <v>433.79</v>
      </c>
      <c r="K134" s="4">
        <v>0.05</v>
      </c>
      <c r="L134" t="s">
        <v>106</v>
      </c>
      <c r="M134">
        <v>3</v>
      </c>
      <c r="N134" t="s">
        <v>91</v>
      </c>
    </row>
    <row r="135" spans="1:14">
      <c r="A135" t="s">
        <v>451</v>
      </c>
      <c r="B135" s="3">
        <v>45981</v>
      </c>
      <c r="C135" t="s">
        <v>230</v>
      </c>
      <c r="D135" t="s">
        <v>221</v>
      </c>
      <c r="E135" t="s">
        <v>232</v>
      </c>
      <c r="F135" t="s">
        <v>103</v>
      </c>
      <c r="G135" t="s">
        <v>96</v>
      </c>
      <c r="H135" t="s">
        <v>89</v>
      </c>
      <c r="I135">
        <v>3</v>
      </c>
      <c r="J135" s="2">
        <v>31.68</v>
      </c>
      <c r="K135" s="4">
        <v>0.05</v>
      </c>
      <c r="L135" t="s">
        <v>106</v>
      </c>
      <c r="M135">
        <v>4</v>
      </c>
      <c r="N135" t="s">
        <v>91</v>
      </c>
    </row>
    <row r="136" spans="1:14">
      <c r="A136" t="s">
        <v>452</v>
      </c>
      <c r="B136" s="3">
        <v>45680</v>
      </c>
      <c r="C136" t="s">
        <v>453</v>
      </c>
      <c r="D136" t="s">
        <v>114</v>
      </c>
      <c r="E136" t="s">
        <v>454</v>
      </c>
      <c r="F136" t="s">
        <v>145</v>
      </c>
      <c r="G136" t="s">
        <v>117</v>
      </c>
      <c r="H136" t="s">
        <v>97</v>
      </c>
      <c r="I136">
        <v>1</v>
      </c>
      <c r="J136" s="2">
        <v>143.79</v>
      </c>
      <c r="K136" s="4">
        <v>0.05</v>
      </c>
      <c r="L136" t="s">
        <v>98</v>
      </c>
      <c r="M136">
        <v>3</v>
      </c>
      <c r="N136" t="s">
        <v>91</v>
      </c>
    </row>
    <row r="137" spans="1:14">
      <c r="A137" t="s">
        <v>455</v>
      </c>
      <c r="B137" s="3">
        <v>45777</v>
      </c>
      <c r="C137" t="s">
        <v>151</v>
      </c>
      <c r="D137" t="s">
        <v>114</v>
      </c>
      <c r="E137" t="s">
        <v>153</v>
      </c>
      <c r="F137" t="s">
        <v>145</v>
      </c>
      <c r="G137" t="s">
        <v>122</v>
      </c>
      <c r="H137" t="s">
        <v>97</v>
      </c>
      <c r="I137">
        <v>1</v>
      </c>
      <c r="J137" s="2">
        <v>149.97</v>
      </c>
      <c r="K137" s="4">
        <v>0.1</v>
      </c>
      <c r="L137" t="s">
        <v>106</v>
      </c>
      <c r="M137">
        <v>0</v>
      </c>
      <c r="N137" t="s">
        <v>91</v>
      </c>
    </row>
    <row r="138" spans="1:14">
      <c r="A138" t="s">
        <v>456</v>
      </c>
      <c r="B138" s="3">
        <v>45743</v>
      </c>
      <c r="C138" t="s">
        <v>189</v>
      </c>
      <c r="D138" t="s">
        <v>136</v>
      </c>
      <c r="E138" t="s">
        <v>457</v>
      </c>
      <c r="F138" t="s">
        <v>145</v>
      </c>
      <c r="G138" t="s">
        <v>183</v>
      </c>
      <c r="H138" t="s">
        <v>89</v>
      </c>
      <c r="I138">
        <v>4</v>
      </c>
      <c r="J138" s="2">
        <v>156.56</v>
      </c>
      <c r="K138" s="4">
        <v>0.2</v>
      </c>
      <c r="L138" t="s">
        <v>106</v>
      </c>
      <c r="M138">
        <v>9</v>
      </c>
      <c r="N138" t="s">
        <v>91</v>
      </c>
    </row>
    <row r="139" spans="1:14">
      <c r="A139" t="s">
        <v>458</v>
      </c>
      <c r="B139" s="3">
        <v>45783</v>
      </c>
      <c r="C139" t="s">
        <v>216</v>
      </c>
      <c r="D139" t="s">
        <v>190</v>
      </c>
      <c r="E139" t="s">
        <v>218</v>
      </c>
      <c r="F139" t="s">
        <v>111</v>
      </c>
      <c r="G139" t="s">
        <v>104</v>
      </c>
      <c r="H139" t="s">
        <v>105</v>
      </c>
      <c r="I139">
        <v>3</v>
      </c>
      <c r="J139" s="2">
        <v>287.23</v>
      </c>
      <c r="K139" s="4">
        <v>0.05</v>
      </c>
      <c r="L139" t="s">
        <v>90</v>
      </c>
      <c r="M139">
        <v>8</v>
      </c>
      <c r="N139" t="s">
        <v>91</v>
      </c>
    </row>
    <row r="140" spans="1:14">
      <c r="A140" t="s">
        <v>459</v>
      </c>
      <c r="B140" s="3">
        <v>45856</v>
      </c>
      <c r="C140" t="s">
        <v>363</v>
      </c>
      <c r="D140" t="s">
        <v>85</v>
      </c>
      <c r="E140" t="s">
        <v>364</v>
      </c>
      <c r="F140" t="s">
        <v>111</v>
      </c>
      <c r="G140" t="s">
        <v>130</v>
      </c>
      <c r="H140" t="s">
        <v>89</v>
      </c>
      <c r="I140">
        <v>4</v>
      </c>
      <c r="J140" s="2">
        <v>299.45</v>
      </c>
      <c r="K140" s="4">
        <v>0</v>
      </c>
      <c r="L140" t="s">
        <v>353</v>
      </c>
      <c r="M140">
        <v>4</v>
      </c>
      <c r="N140" t="s">
        <v>91</v>
      </c>
    </row>
    <row r="141" spans="1:14">
      <c r="A141" t="s">
        <v>460</v>
      </c>
      <c r="B141" s="3">
        <v>45661</v>
      </c>
      <c r="C141" t="s">
        <v>293</v>
      </c>
      <c r="D141" t="s">
        <v>303</v>
      </c>
      <c r="E141" t="s">
        <v>394</v>
      </c>
      <c r="F141" t="s">
        <v>87</v>
      </c>
      <c r="G141" t="s">
        <v>183</v>
      </c>
      <c r="H141" t="s">
        <v>89</v>
      </c>
      <c r="I141">
        <v>2</v>
      </c>
      <c r="J141" s="2">
        <v>158.65</v>
      </c>
      <c r="K141" s="4">
        <v>0</v>
      </c>
      <c r="L141" t="s">
        <v>98</v>
      </c>
      <c r="M141">
        <v>9</v>
      </c>
      <c r="N141" t="s">
        <v>91</v>
      </c>
    </row>
    <row r="142" spans="1:14">
      <c r="A142" t="s">
        <v>461</v>
      </c>
      <c r="B142" s="3">
        <v>45981</v>
      </c>
      <c r="C142" t="s">
        <v>313</v>
      </c>
      <c r="D142" t="s">
        <v>114</v>
      </c>
      <c r="E142" t="s">
        <v>314</v>
      </c>
      <c r="F142" t="s">
        <v>87</v>
      </c>
      <c r="G142" t="s">
        <v>88</v>
      </c>
      <c r="H142" t="s">
        <v>89</v>
      </c>
      <c r="I142">
        <v>1</v>
      </c>
      <c r="J142" s="2">
        <v>150.18</v>
      </c>
      <c r="K142" s="4">
        <v>0</v>
      </c>
      <c r="L142" t="s">
        <v>98</v>
      </c>
      <c r="M142">
        <v>8</v>
      </c>
      <c r="N142" t="s">
        <v>91</v>
      </c>
    </row>
    <row r="143" spans="1:14">
      <c r="A143" t="s">
        <v>462</v>
      </c>
      <c r="B143" s="3">
        <v>45852</v>
      </c>
      <c r="C143" t="s">
        <v>463</v>
      </c>
      <c r="D143" t="s">
        <v>181</v>
      </c>
      <c r="E143" t="s">
        <v>464</v>
      </c>
      <c r="F143" t="s">
        <v>87</v>
      </c>
      <c r="G143" t="s">
        <v>96</v>
      </c>
      <c r="H143" t="s">
        <v>89</v>
      </c>
      <c r="I143">
        <v>2</v>
      </c>
      <c r="J143" s="2">
        <v>335.37</v>
      </c>
      <c r="K143" s="4">
        <v>0</v>
      </c>
      <c r="L143" t="s">
        <v>90</v>
      </c>
      <c r="M143">
        <v>2</v>
      </c>
      <c r="N143" t="s">
        <v>91</v>
      </c>
    </row>
    <row r="144" spans="1:14">
      <c r="A144" t="s">
        <v>465</v>
      </c>
      <c r="B144" s="3">
        <v>46021</v>
      </c>
      <c r="C144" t="s">
        <v>466</v>
      </c>
      <c r="D144" t="s">
        <v>303</v>
      </c>
      <c r="E144" t="s">
        <v>467</v>
      </c>
      <c r="F144" t="s">
        <v>111</v>
      </c>
      <c r="G144" t="s">
        <v>88</v>
      </c>
      <c r="H144" t="s">
        <v>89</v>
      </c>
      <c r="I144">
        <v>2</v>
      </c>
      <c r="J144" s="2">
        <v>157.43</v>
      </c>
      <c r="K144" s="4">
        <v>0</v>
      </c>
      <c r="L144" t="s">
        <v>90</v>
      </c>
      <c r="M144">
        <v>4</v>
      </c>
      <c r="N144" t="s">
        <v>91</v>
      </c>
    </row>
    <row r="145" spans="1:14">
      <c r="A145" t="s">
        <v>468</v>
      </c>
      <c r="B145" s="3">
        <v>45714</v>
      </c>
      <c r="C145" t="s">
        <v>322</v>
      </c>
      <c r="D145" t="s">
        <v>469</v>
      </c>
      <c r="E145" t="s">
        <v>470</v>
      </c>
      <c r="F145" t="s">
        <v>145</v>
      </c>
      <c r="G145" t="s">
        <v>171</v>
      </c>
      <c r="H145" t="s">
        <v>89</v>
      </c>
      <c r="I145">
        <v>1</v>
      </c>
      <c r="J145" s="2">
        <v>90.42</v>
      </c>
      <c r="K145" s="4">
        <v>0.05</v>
      </c>
      <c r="L145" t="s">
        <v>106</v>
      </c>
      <c r="M145">
        <v>1</v>
      </c>
      <c r="N145" t="s">
        <v>91</v>
      </c>
    </row>
    <row r="146" spans="1:14">
      <c r="A146" t="s">
        <v>471</v>
      </c>
      <c r="B146" s="3">
        <v>45824</v>
      </c>
      <c r="C146" t="s">
        <v>472</v>
      </c>
      <c r="D146" t="s">
        <v>261</v>
      </c>
      <c r="E146" t="s">
        <v>473</v>
      </c>
      <c r="F146" t="s">
        <v>111</v>
      </c>
      <c r="G146" t="s">
        <v>96</v>
      </c>
      <c r="H146" t="s">
        <v>89</v>
      </c>
      <c r="I146">
        <v>1</v>
      </c>
      <c r="J146" s="2">
        <v>237.95</v>
      </c>
      <c r="K146" s="4">
        <v>0.1</v>
      </c>
      <c r="L146" t="s">
        <v>106</v>
      </c>
      <c r="M146">
        <v>4</v>
      </c>
      <c r="N146" t="s">
        <v>91</v>
      </c>
    </row>
    <row r="147" spans="1:14">
      <c r="A147" t="s">
        <v>474</v>
      </c>
      <c r="B147" s="3">
        <v>45968</v>
      </c>
      <c r="C147" t="s">
        <v>128</v>
      </c>
      <c r="D147" t="s">
        <v>231</v>
      </c>
      <c r="E147" t="s">
        <v>129</v>
      </c>
      <c r="F147" t="s">
        <v>116</v>
      </c>
      <c r="G147" t="s">
        <v>183</v>
      </c>
      <c r="H147" t="s">
        <v>97</v>
      </c>
      <c r="I147">
        <v>1</v>
      </c>
      <c r="J147" s="2">
        <v>353.49</v>
      </c>
      <c r="K147" s="4">
        <v>0.1</v>
      </c>
      <c r="L147" t="s">
        <v>98</v>
      </c>
      <c r="M147">
        <v>2</v>
      </c>
      <c r="N147" t="s">
        <v>91</v>
      </c>
    </row>
    <row r="148" spans="1:14">
      <c r="A148" t="s">
        <v>475</v>
      </c>
      <c r="B148" s="3">
        <v>45935</v>
      </c>
      <c r="C148" t="s">
        <v>410</v>
      </c>
      <c r="D148" t="s">
        <v>244</v>
      </c>
      <c r="E148" t="s">
        <v>411</v>
      </c>
      <c r="F148" t="s">
        <v>116</v>
      </c>
      <c r="G148" t="s">
        <v>122</v>
      </c>
      <c r="H148" t="s">
        <v>97</v>
      </c>
      <c r="I148">
        <v>1</v>
      </c>
      <c r="J148" s="2">
        <v>226.32</v>
      </c>
      <c r="K148" s="4">
        <v>0.05</v>
      </c>
      <c r="L148" t="s">
        <v>106</v>
      </c>
      <c r="M148">
        <v>4</v>
      </c>
      <c r="N148" t="s">
        <v>91</v>
      </c>
    </row>
    <row r="149" spans="1:14">
      <c r="A149" t="s">
        <v>476</v>
      </c>
      <c r="B149" s="3">
        <v>45883</v>
      </c>
      <c r="C149" t="s">
        <v>305</v>
      </c>
      <c r="D149" t="s">
        <v>136</v>
      </c>
      <c r="E149" t="s">
        <v>306</v>
      </c>
      <c r="F149" t="s">
        <v>111</v>
      </c>
      <c r="G149" t="s">
        <v>130</v>
      </c>
      <c r="H149" t="s">
        <v>89</v>
      </c>
      <c r="I149">
        <v>1</v>
      </c>
      <c r="J149" s="2">
        <v>157.91999999999999</v>
      </c>
      <c r="K149" s="4">
        <v>0</v>
      </c>
      <c r="L149" t="s">
        <v>98</v>
      </c>
      <c r="M149">
        <v>1</v>
      </c>
      <c r="N149" t="s">
        <v>91</v>
      </c>
    </row>
    <row r="150" spans="1:14">
      <c r="A150" t="s">
        <v>477</v>
      </c>
      <c r="B150" s="3">
        <v>45909</v>
      </c>
      <c r="C150" t="s">
        <v>319</v>
      </c>
      <c r="D150" t="s">
        <v>109</v>
      </c>
      <c r="E150" t="s">
        <v>320</v>
      </c>
      <c r="F150" t="s">
        <v>145</v>
      </c>
      <c r="G150" t="s">
        <v>96</v>
      </c>
      <c r="H150" t="s">
        <v>478</v>
      </c>
      <c r="I150">
        <v>1</v>
      </c>
      <c r="J150" s="2">
        <v>204.49</v>
      </c>
      <c r="K150" s="4">
        <v>0.1</v>
      </c>
      <c r="L150" t="s">
        <v>106</v>
      </c>
      <c r="M150">
        <v>6</v>
      </c>
      <c r="N150" t="s">
        <v>91</v>
      </c>
    </row>
    <row r="151" spans="1:14">
      <c r="A151" t="s">
        <v>479</v>
      </c>
      <c r="B151" s="3">
        <v>45985</v>
      </c>
      <c r="C151" t="s">
        <v>480</v>
      </c>
      <c r="D151" t="s">
        <v>85</v>
      </c>
      <c r="E151" t="s">
        <v>481</v>
      </c>
      <c r="F151" t="s">
        <v>111</v>
      </c>
      <c r="G151" t="s">
        <v>130</v>
      </c>
      <c r="H151" t="s">
        <v>246</v>
      </c>
      <c r="I151">
        <v>1</v>
      </c>
      <c r="J151" s="2">
        <v>299.81</v>
      </c>
      <c r="K151" s="4">
        <v>0.2</v>
      </c>
      <c r="L151" t="s">
        <v>106</v>
      </c>
      <c r="M151">
        <v>4</v>
      </c>
      <c r="N151" t="s">
        <v>91</v>
      </c>
    </row>
    <row r="152" spans="1:14">
      <c r="A152" t="s">
        <v>482</v>
      </c>
      <c r="B152" s="3">
        <v>45864</v>
      </c>
      <c r="C152" t="s">
        <v>322</v>
      </c>
      <c r="D152" t="s">
        <v>165</v>
      </c>
      <c r="E152" t="s">
        <v>470</v>
      </c>
      <c r="F152" t="s">
        <v>87</v>
      </c>
      <c r="G152" t="s">
        <v>104</v>
      </c>
      <c r="H152" t="s">
        <v>89</v>
      </c>
      <c r="I152">
        <v>1</v>
      </c>
      <c r="J152" s="2">
        <v>99.03</v>
      </c>
      <c r="K152" s="4">
        <v>0.15</v>
      </c>
      <c r="L152" t="s">
        <v>106</v>
      </c>
      <c r="M152">
        <v>6</v>
      </c>
      <c r="N152" t="s">
        <v>91</v>
      </c>
    </row>
    <row r="153" spans="1:14">
      <c r="A153" t="s">
        <v>483</v>
      </c>
      <c r="B153" s="3">
        <v>45768</v>
      </c>
      <c r="C153" t="s">
        <v>330</v>
      </c>
      <c r="D153" t="s">
        <v>255</v>
      </c>
      <c r="E153" t="s">
        <v>424</v>
      </c>
      <c r="F153" t="s">
        <v>111</v>
      </c>
      <c r="G153" t="s">
        <v>88</v>
      </c>
      <c r="H153" t="s">
        <v>89</v>
      </c>
      <c r="I153">
        <v>2</v>
      </c>
      <c r="J153" s="2">
        <v>233.12</v>
      </c>
      <c r="K153" s="4">
        <v>0</v>
      </c>
      <c r="L153" t="s">
        <v>90</v>
      </c>
      <c r="M153">
        <v>3</v>
      </c>
      <c r="N153" t="s">
        <v>147</v>
      </c>
    </row>
    <row r="154" spans="1:14">
      <c r="A154" t="s">
        <v>484</v>
      </c>
      <c r="B154" s="3">
        <v>45886</v>
      </c>
      <c r="C154" t="s">
        <v>313</v>
      </c>
      <c r="D154" t="s">
        <v>114</v>
      </c>
      <c r="E154" t="s">
        <v>314</v>
      </c>
      <c r="F154" t="s">
        <v>103</v>
      </c>
      <c r="G154" t="s">
        <v>96</v>
      </c>
      <c r="H154" t="s">
        <v>89</v>
      </c>
      <c r="I154">
        <v>2</v>
      </c>
      <c r="J154" s="2">
        <v>151.72</v>
      </c>
      <c r="K154" s="4">
        <v>0</v>
      </c>
      <c r="L154" t="s">
        <v>98</v>
      </c>
      <c r="M154">
        <v>6</v>
      </c>
      <c r="N154" t="s">
        <v>91</v>
      </c>
    </row>
    <row r="155" spans="1:14">
      <c r="A155" t="s">
        <v>485</v>
      </c>
      <c r="B155" s="3">
        <v>45741</v>
      </c>
      <c r="C155" t="s">
        <v>273</v>
      </c>
      <c r="D155" t="s">
        <v>249</v>
      </c>
      <c r="E155" t="s">
        <v>274</v>
      </c>
      <c r="F155" t="s">
        <v>116</v>
      </c>
      <c r="G155" t="s">
        <v>183</v>
      </c>
      <c r="H155" t="s">
        <v>97</v>
      </c>
      <c r="I155">
        <v>1</v>
      </c>
      <c r="J155" s="2">
        <v>396.12</v>
      </c>
      <c r="K155" s="4">
        <v>0</v>
      </c>
      <c r="L155" t="s">
        <v>98</v>
      </c>
      <c r="M155">
        <v>4</v>
      </c>
      <c r="N155" t="s">
        <v>91</v>
      </c>
    </row>
    <row r="156" spans="1:14">
      <c r="A156" t="s">
        <v>486</v>
      </c>
      <c r="B156" s="3">
        <v>45687</v>
      </c>
      <c r="C156" t="s">
        <v>487</v>
      </c>
      <c r="D156" t="s">
        <v>133</v>
      </c>
      <c r="E156" t="s">
        <v>488</v>
      </c>
      <c r="F156" t="s">
        <v>145</v>
      </c>
      <c r="G156" t="s">
        <v>96</v>
      </c>
      <c r="H156" t="s">
        <v>89</v>
      </c>
      <c r="I156">
        <v>3</v>
      </c>
      <c r="J156" s="2">
        <v>341.51</v>
      </c>
      <c r="K156" s="4">
        <v>0.25</v>
      </c>
      <c r="L156" t="s">
        <v>98</v>
      </c>
      <c r="M156">
        <v>8</v>
      </c>
      <c r="N156" t="s">
        <v>91</v>
      </c>
    </row>
    <row r="157" spans="1:14">
      <c r="A157" t="s">
        <v>489</v>
      </c>
      <c r="B157" s="3">
        <v>45906</v>
      </c>
      <c r="C157" t="s">
        <v>366</v>
      </c>
      <c r="D157" t="s">
        <v>85</v>
      </c>
      <c r="E157" t="s">
        <v>367</v>
      </c>
      <c r="F157" t="s">
        <v>103</v>
      </c>
      <c r="G157" t="s">
        <v>122</v>
      </c>
      <c r="H157" t="s">
        <v>97</v>
      </c>
      <c r="I157">
        <v>1</v>
      </c>
      <c r="J157" s="2">
        <v>320.8</v>
      </c>
      <c r="K157" s="4">
        <v>0.15</v>
      </c>
      <c r="L157" t="s">
        <v>106</v>
      </c>
      <c r="M157">
        <v>2</v>
      </c>
      <c r="N157" t="s">
        <v>91</v>
      </c>
    </row>
    <row r="158" spans="1:14">
      <c r="A158" t="s">
        <v>490</v>
      </c>
      <c r="B158" s="3">
        <v>45714</v>
      </c>
      <c r="C158" t="s">
        <v>491</v>
      </c>
      <c r="D158" t="s">
        <v>85</v>
      </c>
      <c r="E158" t="s">
        <v>492</v>
      </c>
      <c r="F158" t="s">
        <v>103</v>
      </c>
      <c r="G158" t="s">
        <v>183</v>
      </c>
      <c r="H158" t="s">
        <v>97</v>
      </c>
      <c r="I158">
        <v>3</v>
      </c>
      <c r="J158" s="2">
        <v>317.19</v>
      </c>
      <c r="K158" s="4">
        <v>0.1</v>
      </c>
      <c r="L158" t="s">
        <v>106</v>
      </c>
      <c r="M158">
        <v>4</v>
      </c>
      <c r="N158" t="s">
        <v>91</v>
      </c>
    </row>
    <row r="159" spans="1:14">
      <c r="A159" t="s">
        <v>493</v>
      </c>
      <c r="B159" s="3">
        <v>45693</v>
      </c>
      <c r="C159" t="s">
        <v>494</v>
      </c>
      <c r="D159" t="s">
        <v>181</v>
      </c>
      <c r="E159" t="s">
        <v>495</v>
      </c>
      <c r="F159" t="s">
        <v>103</v>
      </c>
      <c r="G159" t="s">
        <v>96</v>
      </c>
      <c r="H159" t="s">
        <v>105</v>
      </c>
      <c r="I159">
        <v>1</v>
      </c>
      <c r="J159" s="2">
        <v>357.14</v>
      </c>
      <c r="K159" s="4">
        <v>0</v>
      </c>
      <c r="L159" t="s">
        <v>432</v>
      </c>
      <c r="M159">
        <v>2</v>
      </c>
      <c r="N159" t="s">
        <v>91</v>
      </c>
    </row>
    <row r="160" spans="1:14">
      <c r="A160" t="s">
        <v>496</v>
      </c>
      <c r="B160" s="3">
        <v>45659</v>
      </c>
      <c r="C160" t="s">
        <v>497</v>
      </c>
      <c r="D160" t="s">
        <v>210</v>
      </c>
      <c r="E160" t="s">
        <v>498</v>
      </c>
      <c r="F160" t="s">
        <v>145</v>
      </c>
      <c r="G160" t="s">
        <v>130</v>
      </c>
      <c r="H160" t="s">
        <v>105</v>
      </c>
      <c r="I160">
        <v>1</v>
      </c>
      <c r="J160" s="2">
        <v>325.73</v>
      </c>
      <c r="K160" s="4">
        <v>0</v>
      </c>
      <c r="L160" t="s">
        <v>106</v>
      </c>
      <c r="M160">
        <v>2</v>
      </c>
      <c r="N160" t="s">
        <v>91</v>
      </c>
    </row>
    <row r="161" spans="1:14">
      <c r="A161" t="s">
        <v>499</v>
      </c>
      <c r="B161" s="3">
        <v>45998</v>
      </c>
      <c r="C161" t="s">
        <v>500</v>
      </c>
      <c r="D161" t="s">
        <v>125</v>
      </c>
      <c r="E161" t="s">
        <v>501</v>
      </c>
      <c r="F161" t="s">
        <v>111</v>
      </c>
      <c r="G161" t="s">
        <v>171</v>
      </c>
      <c r="H161" t="s">
        <v>89</v>
      </c>
      <c r="I161">
        <v>1</v>
      </c>
      <c r="J161" s="2">
        <v>55.34</v>
      </c>
      <c r="K161" s="4">
        <v>0.25</v>
      </c>
      <c r="L161" t="s">
        <v>106</v>
      </c>
      <c r="M161">
        <v>5</v>
      </c>
      <c r="N161" t="s">
        <v>91</v>
      </c>
    </row>
    <row r="162" spans="1:14">
      <c r="A162" t="s">
        <v>502</v>
      </c>
      <c r="B162" s="3">
        <v>45955</v>
      </c>
      <c r="C162" t="s">
        <v>173</v>
      </c>
      <c r="D162" t="s">
        <v>503</v>
      </c>
      <c r="E162" t="s">
        <v>175</v>
      </c>
      <c r="F162" t="s">
        <v>116</v>
      </c>
      <c r="G162" t="s">
        <v>96</v>
      </c>
      <c r="H162" t="s">
        <v>246</v>
      </c>
      <c r="I162">
        <v>1</v>
      </c>
      <c r="J162" s="2">
        <v>129.55000000000001</v>
      </c>
      <c r="K162" s="4">
        <v>0.15</v>
      </c>
      <c r="L162" t="s">
        <v>504</v>
      </c>
      <c r="M162">
        <v>2</v>
      </c>
      <c r="N162" t="s">
        <v>91</v>
      </c>
    </row>
    <row r="163" spans="1:14">
      <c r="A163" t="s">
        <v>505</v>
      </c>
      <c r="B163" s="3">
        <v>45685</v>
      </c>
      <c r="C163" t="s">
        <v>220</v>
      </c>
      <c r="D163" t="s">
        <v>139</v>
      </c>
      <c r="E163" t="s">
        <v>222</v>
      </c>
      <c r="F163" t="s">
        <v>145</v>
      </c>
      <c r="G163" t="s">
        <v>122</v>
      </c>
      <c r="H163" t="s">
        <v>89</v>
      </c>
      <c r="I163">
        <v>1</v>
      </c>
      <c r="J163" s="2">
        <v>82.85</v>
      </c>
      <c r="K163" s="4">
        <v>0</v>
      </c>
      <c r="L163" t="s">
        <v>98</v>
      </c>
      <c r="M163">
        <v>2</v>
      </c>
      <c r="N163" t="s">
        <v>91</v>
      </c>
    </row>
    <row r="164" spans="1:14">
      <c r="A164" t="s">
        <v>506</v>
      </c>
      <c r="B164" s="3">
        <v>45771</v>
      </c>
      <c r="C164" t="s">
        <v>507</v>
      </c>
      <c r="D164" t="s">
        <v>133</v>
      </c>
      <c r="E164" t="s">
        <v>508</v>
      </c>
      <c r="F164" t="s">
        <v>145</v>
      </c>
      <c r="G164" t="s">
        <v>130</v>
      </c>
      <c r="H164" t="s">
        <v>97</v>
      </c>
      <c r="I164">
        <v>1</v>
      </c>
      <c r="J164" s="2">
        <v>324.77999999999997</v>
      </c>
      <c r="K164" s="4">
        <v>0</v>
      </c>
      <c r="L164" t="s">
        <v>106</v>
      </c>
      <c r="M164">
        <v>3</v>
      </c>
      <c r="N164" t="s">
        <v>91</v>
      </c>
    </row>
    <row r="165" spans="1:14">
      <c r="A165" t="s">
        <v>509</v>
      </c>
      <c r="B165" s="3">
        <v>45757</v>
      </c>
      <c r="C165" t="s">
        <v>427</v>
      </c>
      <c r="D165" t="s">
        <v>323</v>
      </c>
      <c r="E165" t="s">
        <v>428</v>
      </c>
      <c r="F165" t="s">
        <v>103</v>
      </c>
      <c r="G165" t="s">
        <v>117</v>
      </c>
      <c r="H165" t="s">
        <v>97</v>
      </c>
      <c r="I165">
        <v>1</v>
      </c>
      <c r="J165" s="2">
        <v>316.97000000000003</v>
      </c>
      <c r="K165" s="4">
        <v>0.05</v>
      </c>
      <c r="L165" t="s">
        <v>98</v>
      </c>
      <c r="M165">
        <v>4</v>
      </c>
      <c r="N165" t="s">
        <v>91</v>
      </c>
    </row>
    <row r="166" spans="1:14">
      <c r="A166" t="s">
        <v>510</v>
      </c>
      <c r="B166" s="3">
        <v>45996</v>
      </c>
      <c r="C166" t="s">
        <v>371</v>
      </c>
      <c r="D166" t="s">
        <v>277</v>
      </c>
      <c r="E166" t="s">
        <v>372</v>
      </c>
      <c r="F166" t="s">
        <v>87</v>
      </c>
      <c r="G166" t="s">
        <v>88</v>
      </c>
      <c r="H166" t="s">
        <v>89</v>
      </c>
      <c r="I166">
        <v>1</v>
      </c>
      <c r="J166" s="2">
        <v>393.54</v>
      </c>
      <c r="K166" s="4">
        <v>0.15</v>
      </c>
      <c r="L166" t="s">
        <v>90</v>
      </c>
      <c r="M166">
        <v>9</v>
      </c>
      <c r="N166" t="s">
        <v>91</v>
      </c>
    </row>
    <row r="167" spans="1:14">
      <c r="A167" t="s">
        <v>511</v>
      </c>
      <c r="B167" s="3">
        <v>45933</v>
      </c>
      <c r="C167" t="s">
        <v>512</v>
      </c>
      <c r="D167" t="s">
        <v>152</v>
      </c>
      <c r="E167" t="s">
        <v>513</v>
      </c>
      <c r="F167" t="s">
        <v>111</v>
      </c>
      <c r="G167" t="s">
        <v>117</v>
      </c>
      <c r="H167" t="s">
        <v>89</v>
      </c>
      <c r="I167">
        <v>5</v>
      </c>
      <c r="J167" s="2">
        <v>136.16999999999999</v>
      </c>
      <c r="K167" s="4">
        <v>0.15</v>
      </c>
      <c r="L167" t="s">
        <v>106</v>
      </c>
      <c r="M167">
        <v>8</v>
      </c>
      <c r="N167" t="s">
        <v>147</v>
      </c>
    </row>
    <row r="168" spans="1:14">
      <c r="A168" t="s">
        <v>514</v>
      </c>
      <c r="B168" s="3">
        <v>45913</v>
      </c>
      <c r="C168" t="s">
        <v>138</v>
      </c>
      <c r="D168" t="s">
        <v>157</v>
      </c>
      <c r="E168" t="s">
        <v>140</v>
      </c>
      <c r="F168" t="s">
        <v>103</v>
      </c>
      <c r="G168" t="s">
        <v>130</v>
      </c>
      <c r="H168" t="s">
        <v>97</v>
      </c>
      <c r="I168">
        <v>3</v>
      </c>
      <c r="J168" s="2">
        <v>305.98</v>
      </c>
      <c r="K168" s="4">
        <v>0.15</v>
      </c>
      <c r="L168" t="s">
        <v>106</v>
      </c>
      <c r="M168">
        <v>0</v>
      </c>
      <c r="N168" t="s">
        <v>91</v>
      </c>
    </row>
    <row r="169" spans="1:14">
      <c r="A169" t="s">
        <v>515</v>
      </c>
      <c r="B169" s="3">
        <v>45786</v>
      </c>
      <c r="C169" t="s">
        <v>516</v>
      </c>
      <c r="D169" t="s">
        <v>125</v>
      </c>
      <c r="E169" t="s">
        <v>517</v>
      </c>
      <c r="F169" t="s">
        <v>145</v>
      </c>
      <c r="G169" t="s">
        <v>117</v>
      </c>
      <c r="H169" t="s">
        <v>89</v>
      </c>
      <c r="I169">
        <v>2</v>
      </c>
      <c r="J169" s="2">
        <v>58.17</v>
      </c>
      <c r="K169" s="4">
        <v>0</v>
      </c>
      <c r="L169" t="s">
        <v>106</v>
      </c>
      <c r="M169">
        <v>9</v>
      </c>
      <c r="N169" t="s">
        <v>91</v>
      </c>
    </row>
    <row r="170" spans="1:14">
      <c r="A170" t="s">
        <v>518</v>
      </c>
      <c r="B170" s="3">
        <v>45756</v>
      </c>
      <c r="C170" t="s">
        <v>138</v>
      </c>
      <c r="D170" t="s">
        <v>346</v>
      </c>
      <c r="E170" t="s">
        <v>140</v>
      </c>
      <c r="F170" t="s">
        <v>87</v>
      </c>
      <c r="G170" t="s">
        <v>183</v>
      </c>
      <c r="H170" t="s">
        <v>97</v>
      </c>
      <c r="I170">
        <v>2</v>
      </c>
      <c r="J170" s="2">
        <v>247.12</v>
      </c>
      <c r="K170" s="4">
        <v>0.05</v>
      </c>
      <c r="L170" t="s">
        <v>106</v>
      </c>
      <c r="M170">
        <v>4</v>
      </c>
      <c r="N170" t="s">
        <v>91</v>
      </c>
    </row>
    <row r="171" spans="1:14">
      <c r="A171" t="s">
        <v>519</v>
      </c>
      <c r="B171" s="3">
        <v>45801</v>
      </c>
      <c r="C171" t="s">
        <v>453</v>
      </c>
      <c r="D171" t="s">
        <v>520</v>
      </c>
      <c r="E171" t="s">
        <v>454</v>
      </c>
      <c r="F171" t="s">
        <v>103</v>
      </c>
      <c r="G171" t="s">
        <v>104</v>
      </c>
      <c r="H171" t="s">
        <v>97</v>
      </c>
      <c r="I171">
        <v>1</v>
      </c>
      <c r="J171" s="2">
        <v>380.52</v>
      </c>
      <c r="K171" s="4">
        <v>0.05</v>
      </c>
      <c r="L171" t="s">
        <v>521</v>
      </c>
      <c r="M171">
        <v>2</v>
      </c>
      <c r="N171" t="s">
        <v>91</v>
      </c>
    </row>
    <row r="172" spans="1:14">
      <c r="A172" t="s">
        <v>522</v>
      </c>
      <c r="B172" s="3">
        <v>45931</v>
      </c>
      <c r="C172" t="s">
        <v>523</v>
      </c>
      <c r="D172" t="s">
        <v>85</v>
      </c>
      <c r="E172" t="s">
        <v>524</v>
      </c>
      <c r="F172" t="s">
        <v>103</v>
      </c>
      <c r="G172" t="s">
        <v>183</v>
      </c>
      <c r="H172" t="s">
        <v>89</v>
      </c>
      <c r="I172">
        <v>2</v>
      </c>
      <c r="J172" s="2">
        <v>310.64</v>
      </c>
      <c r="K172" s="4">
        <v>0.05</v>
      </c>
      <c r="L172" t="s">
        <v>90</v>
      </c>
      <c r="M172">
        <v>4</v>
      </c>
      <c r="N172" t="s">
        <v>91</v>
      </c>
    </row>
    <row r="173" spans="1:14">
      <c r="A173" t="s">
        <v>525</v>
      </c>
      <c r="B173" s="3">
        <v>45732</v>
      </c>
      <c r="C173" t="s">
        <v>151</v>
      </c>
      <c r="D173" t="s">
        <v>143</v>
      </c>
      <c r="E173" t="s">
        <v>153</v>
      </c>
      <c r="F173" t="s">
        <v>103</v>
      </c>
      <c r="G173" t="s">
        <v>96</v>
      </c>
      <c r="H173" t="s">
        <v>89</v>
      </c>
      <c r="I173">
        <v>2</v>
      </c>
      <c r="J173" s="2">
        <v>276.83</v>
      </c>
      <c r="K173" s="4">
        <v>0.05</v>
      </c>
      <c r="L173" t="s">
        <v>98</v>
      </c>
      <c r="M173">
        <v>1</v>
      </c>
      <c r="N173" t="s">
        <v>91</v>
      </c>
    </row>
    <row r="174" spans="1:14">
      <c r="A174" t="s">
        <v>526</v>
      </c>
      <c r="B174" s="3">
        <v>45775</v>
      </c>
      <c r="C174" t="s">
        <v>160</v>
      </c>
      <c r="D174" t="s">
        <v>231</v>
      </c>
      <c r="E174" t="s">
        <v>161</v>
      </c>
      <c r="F174" t="s">
        <v>87</v>
      </c>
      <c r="G174" t="s">
        <v>171</v>
      </c>
      <c r="H174" t="s">
        <v>89</v>
      </c>
      <c r="I174">
        <v>1</v>
      </c>
      <c r="J174" s="2">
        <v>344.09</v>
      </c>
      <c r="K174" s="4">
        <v>0.05</v>
      </c>
      <c r="L174" t="s">
        <v>98</v>
      </c>
      <c r="M174">
        <v>6</v>
      </c>
      <c r="N174" t="s">
        <v>91</v>
      </c>
    </row>
    <row r="175" spans="1:14">
      <c r="A175" t="s">
        <v>527</v>
      </c>
      <c r="B175" s="3">
        <v>45992</v>
      </c>
      <c r="C175" t="s">
        <v>236</v>
      </c>
      <c r="D175" t="s">
        <v>120</v>
      </c>
      <c r="E175" t="s">
        <v>237</v>
      </c>
      <c r="F175" t="s">
        <v>116</v>
      </c>
      <c r="G175" t="s">
        <v>122</v>
      </c>
      <c r="H175" t="s">
        <v>105</v>
      </c>
      <c r="I175">
        <v>1</v>
      </c>
      <c r="J175" s="2">
        <v>389.99</v>
      </c>
      <c r="K175" s="4">
        <v>0</v>
      </c>
      <c r="L175" t="s">
        <v>90</v>
      </c>
      <c r="M175">
        <v>8</v>
      </c>
      <c r="N175" t="s">
        <v>91</v>
      </c>
    </row>
    <row r="176" spans="1:14">
      <c r="A176" t="s">
        <v>528</v>
      </c>
      <c r="B176" s="3">
        <v>45752</v>
      </c>
      <c r="C176" t="s">
        <v>466</v>
      </c>
      <c r="D176" t="s">
        <v>101</v>
      </c>
      <c r="E176" t="s">
        <v>467</v>
      </c>
      <c r="F176" t="s">
        <v>116</v>
      </c>
      <c r="G176" t="s">
        <v>171</v>
      </c>
      <c r="H176" t="s">
        <v>89</v>
      </c>
      <c r="I176">
        <v>4</v>
      </c>
      <c r="J176" s="2">
        <v>308.58999999999997</v>
      </c>
      <c r="K176" s="4">
        <v>0</v>
      </c>
      <c r="L176" t="s">
        <v>98</v>
      </c>
      <c r="M176">
        <v>1</v>
      </c>
      <c r="N176" t="s">
        <v>91</v>
      </c>
    </row>
    <row r="177" spans="1:14">
      <c r="A177" t="s">
        <v>529</v>
      </c>
      <c r="B177" s="3">
        <v>45686</v>
      </c>
      <c r="C177" t="s">
        <v>108</v>
      </c>
      <c r="D177" t="s">
        <v>520</v>
      </c>
      <c r="E177" t="s">
        <v>110</v>
      </c>
      <c r="F177" t="s">
        <v>111</v>
      </c>
      <c r="G177" t="s">
        <v>122</v>
      </c>
      <c r="H177" t="s">
        <v>97</v>
      </c>
      <c r="I177">
        <v>1</v>
      </c>
      <c r="J177" s="2">
        <v>372.42</v>
      </c>
      <c r="K177" s="4">
        <v>0</v>
      </c>
      <c r="L177" t="s">
        <v>90</v>
      </c>
      <c r="M177">
        <v>1</v>
      </c>
      <c r="N177" t="s">
        <v>91</v>
      </c>
    </row>
    <row r="178" spans="1:14">
      <c r="A178" t="s">
        <v>530</v>
      </c>
      <c r="B178" s="3">
        <v>45972</v>
      </c>
      <c r="C178" t="s">
        <v>531</v>
      </c>
      <c r="D178" t="s">
        <v>109</v>
      </c>
      <c r="E178" t="s">
        <v>532</v>
      </c>
      <c r="F178" t="s">
        <v>223</v>
      </c>
      <c r="G178" t="s">
        <v>104</v>
      </c>
      <c r="H178" t="s">
        <v>89</v>
      </c>
      <c r="I178">
        <v>1</v>
      </c>
      <c r="J178" s="2">
        <v>210.97</v>
      </c>
      <c r="K178" s="4">
        <v>0.1</v>
      </c>
      <c r="L178" t="s">
        <v>154</v>
      </c>
      <c r="M178">
        <v>9</v>
      </c>
      <c r="N178" t="s">
        <v>91</v>
      </c>
    </row>
    <row r="179" spans="1:14">
      <c r="A179" t="s">
        <v>533</v>
      </c>
      <c r="B179" s="3">
        <v>45676</v>
      </c>
      <c r="C179" t="s">
        <v>265</v>
      </c>
      <c r="D179" t="s">
        <v>133</v>
      </c>
      <c r="E179" t="s">
        <v>266</v>
      </c>
      <c r="F179" t="s">
        <v>116</v>
      </c>
      <c r="G179" t="s">
        <v>117</v>
      </c>
      <c r="H179" t="s">
        <v>89</v>
      </c>
      <c r="I179">
        <v>3</v>
      </c>
      <c r="J179" s="2">
        <v>341.63</v>
      </c>
      <c r="K179" s="4">
        <v>0</v>
      </c>
      <c r="L179" t="s">
        <v>106</v>
      </c>
      <c r="M179">
        <v>3</v>
      </c>
      <c r="N179" t="s">
        <v>91</v>
      </c>
    </row>
    <row r="180" spans="1:14">
      <c r="A180" t="s">
        <v>534</v>
      </c>
      <c r="B180" s="3">
        <v>45910</v>
      </c>
      <c r="C180" t="s">
        <v>286</v>
      </c>
      <c r="D180" t="s">
        <v>114</v>
      </c>
      <c r="E180" t="s">
        <v>287</v>
      </c>
      <c r="F180" t="s">
        <v>103</v>
      </c>
      <c r="G180" t="s">
        <v>104</v>
      </c>
      <c r="H180" t="s">
        <v>89</v>
      </c>
      <c r="I180">
        <v>3</v>
      </c>
      <c r="J180" s="2">
        <v>142.11000000000001</v>
      </c>
      <c r="K180" s="4">
        <v>0.05</v>
      </c>
      <c r="L180" t="s">
        <v>106</v>
      </c>
      <c r="M180">
        <v>1</v>
      </c>
      <c r="N180" t="s">
        <v>91</v>
      </c>
    </row>
    <row r="181" spans="1:14">
      <c r="A181" t="s">
        <v>535</v>
      </c>
      <c r="B181" s="3">
        <v>45799</v>
      </c>
      <c r="C181" t="s">
        <v>536</v>
      </c>
      <c r="D181" t="s">
        <v>210</v>
      </c>
      <c r="E181" t="s">
        <v>431</v>
      </c>
      <c r="F181" t="s">
        <v>103</v>
      </c>
      <c r="G181" t="s">
        <v>130</v>
      </c>
      <c r="H181" t="s">
        <v>97</v>
      </c>
      <c r="I181">
        <v>2</v>
      </c>
      <c r="J181" s="2">
        <v>309.12</v>
      </c>
      <c r="K181" s="4">
        <v>0.05</v>
      </c>
      <c r="L181" t="s">
        <v>98</v>
      </c>
      <c r="M181">
        <v>3</v>
      </c>
      <c r="N181" t="s">
        <v>147</v>
      </c>
    </row>
    <row r="182" spans="1:14">
      <c r="A182" t="s">
        <v>537</v>
      </c>
      <c r="B182" s="3">
        <v>45933</v>
      </c>
      <c r="C182" t="s">
        <v>538</v>
      </c>
      <c r="D182" t="s">
        <v>165</v>
      </c>
      <c r="E182" t="s">
        <v>539</v>
      </c>
      <c r="F182" t="s">
        <v>111</v>
      </c>
      <c r="G182" t="s">
        <v>171</v>
      </c>
      <c r="H182" t="s">
        <v>89</v>
      </c>
      <c r="I182">
        <v>1</v>
      </c>
      <c r="J182" s="2">
        <v>104.87</v>
      </c>
      <c r="K182" s="4">
        <v>0.1</v>
      </c>
      <c r="L182" t="s">
        <v>106</v>
      </c>
      <c r="M182">
        <v>5</v>
      </c>
      <c r="N182" t="s">
        <v>91</v>
      </c>
    </row>
    <row r="183" spans="1:14">
      <c r="A183" t="s">
        <v>540</v>
      </c>
      <c r="B183" s="3">
        <v>45875</v>
      </c>
      <c r="C183" t="s">
        <v>410</v>
      </c>
      <c r="D183" t="s">
        <v>503</v>
      </c>
      <c r="E183" t="s">
        <v>411</v>
      </c>
      <c r="F183" t="s">
        <v>87</v>
      </c>
      <c r="G183" t="s">
        <v>130</v>
      </c>
      <c r="H183" t="s">
        <v>89</v>
      </c>
      <c r="I183">
        <v>1</v>
      </c>
      <c r="J183" s="2">
        <v>128.6</v>
      </c>
      <c r="K183" s="4">
        <v>0.05</v>
      </c>
      <c r="L183" t="s">
        <v>90</v>
      </c>
      <c r="M183">
        <v>3</v>
      </c>
      <c r="N183" t="s">
        <v>91</v>
      </c>
    </row>
    <row r="184" spans="1:14">
      <c r="A184" t="s">
        <v>541</v>
      </c>
      <c r="B184" s="3">
        <v>45948</v>
      </c>
      <c r="C184" t="s">
        <v>160</v>
      </c>
      <c r="D184" t="s">
        <v>244</v>
      </c>
      <c r="E184" t="s">
        <v>161</v>
      </c>
      <c r="F184" t="s">
        <v>87</v>
      </c>
      <c r="G184" t="s">
        <v>171</v>
      </c>
      <c r="H184" t="s">
        <v>97</v>
      </c>
      <c r="I184">
        <v>1</v>
      </c>
      <c r="J184" s="2">
        <v>252.34</v>
      </c>
      <c r="K184" s="4">
        <v>0.2</v>
      </c>
      <c r="L184" t="s">
        <v>90</v>
      </c>
      <c r="M184">
        <v>4</v>
      </c>
      <c r="N184" t="s">
        <v>147</v>
      </c>
    </row>
    <row r="185" spans="1:14">
      <c r="A185" t="s">
        <v>542</v>
      </c>
      <c r="B185" s="3">
        <v>45864</v>
      </c>
      <c r="C185" t="s">
        <v>543</v>
      </c>
      <c r="D185" t="s">
        <v>165</v>
      </c>
      <c r="E185" t="s">
        <v>544</v>
      </c>
      <c r="F185" t="s">
        <v>145</v>
      </c>
      <c r="G185" t="s">
        <v>122</v>
      </c>
      <c r="H185" t="s">
        <v>89</v>
      </c>
      <c r="I185">
        <v>3</v>
      </c>
      <c r="J185" s="2">
        <v>107.18</v>
      </c>
      <c r="K185" s="4">
        <v>0</v>
      </c>
      <c r="L185" t="s">
        <v>98</v>
      </c>
      <c r="M185">
        <v>5</v>
      </c>
      <c r="N185" t="s">
        <v>91</v>
      </c>
    </row>
    <row r="186" spans="1:14">
      <c r="A186" t="s">
        <v>545</v>
      </c>
      <c r="B186" s="3">
        <v>45981</v>
      </c>
      <c r="C186" t="s">
        <v>430</v>
      </c>
      <c r="D186" t="s">
        <v>85</v>
      </c>
      <c r="E186" t="s">
        <v>431</v>
      </c>
      <c r="F186" t="s">
        <v>103</v>
      </c>
      <c r="G186" t="s">
        <v>171</v>
      </c>
      <c r="H186" t="s">
        <v>105</v>
      </c>
      <c r="I186">
        <v>3</v>
      </c>
      <c r="J186" s="2">
        <v>306.68</v>
      </c>
      <c r="K186" s="4">
        <v>0.1</v>
      </c>
      <c r="L186" t="s">
        <v>90</v>
      </c>
      <c r="M186">
        <v>8</v>
      </c>
      <c r="N186" t="s">
        <v>91</v>
      </c>
    </row>
    <row r="187" spans="1:14">
      <c r="A187" t="s">
        <v>546</v>
      </c>
      <c r="B187" s="3">
        <v>45897</v>
      </c>
      <c r="C187" t="s">
        <v>313</v>
      </c>
      <c r="D187" t="s">
        <v>94</v>
      </c>
      <c r="E187" t="s">
        <v>314</v>
      </c>
      <c r="F187" t="s">
        <v>145</v>
      </c>
      <c r="G187" t="s">
        <v>122</v>
      </c>
      <c r="H187" t="s">
        <v>97</v>
      </c>
      <c r="I187">
        <v>1</v>
      </c>
      <c r="J187" s="2">
        <v>317.25</v>
      </c>
      <c r="K187" s="4">
        <v>0</v>
      </c>
      <c r="L187" t="s">
        <v>106</v>
      </c>
      <c r="M187">
        <v>4</v>
      </c>
      <c r="N187" t="s">
        <v>91</v>
      </c>
    </row>
    <row r="188" spans="1:14">
      <c r="A188" t="s">
        <v>547</v>
      </c>
      <c r="B188" s="3">
        <v>45948</v>
      </c>
      <c r="C188" t="s">
        <v>548</v>
      </c>
      <c r="D188" t="s">
        <v>125</v>
      </c>
      <c r="E188" t="s">
        <v>549</v>
      </c>
      <c r="F188" t="s">
        <v>87</v>
      </c>
      <c r="G188" t="s">
        <v>88</v>
      </c>
      <c r="H188" t="s">
        <v>97</v>
      </c>
      <c r="I188">
        <v>5</v>
      </c>
      <c r="J188" s="2">
        <v>54.02</v>
      </c>
      <c r="K188" s="4">
        <v>0.2</v>
      </c>
      <c r="L188" t="s">
        <v>253</v>
      </c>
      <c r="M188">
        <v>3</v>
      </c>
      <c r="N188" t="s">
        <v>147</v>
      </c>
    </row>
    <row r="189" spans="1:14">
      <c r="A189" t="s">
        <v>550</v>
      </c>
      <c r="B189" s="3">
        <v>45889</v>
      </c>
      <c r="C189" t="s">
        <v>551</v>
      </c>
      <c r="D189" t="s">
        <v>94</v>
      </c>
      <c r="E189" t="s">
        <v>552</v>
      </c>
      <c r="F189" t="s">
        <v>116</v>
      </c>
      <c r="G189" t="s">
        <v>117</v>
      </c>
      <c r="H189" t="s">
        <v>105</v>
      </c>
      <c r="I189">
        <v>3</v>
      </c>
      <c r="J189" s="2">
        <v>294.42</v>
      </c>
      <c r="K189" s="4">
        <v>0.05</v>
      </c>
      <c r="L189" t="s">
        <v>90</v>
      </c>
      <c r="M189">
        <v>3</v>
      </c>
      <c r="N189" t="s">
        <v>91</v>
      </c>
    </row>
    <row r="190" spans="1:14">
      <c r="A190" t="s">
        <v>553</v>
      </c>
      <c r="B190" s="3">
        <v>45998</v>
      </c>
      <c r="C190" t="s">
        <v>531</v>
      </c>
      <c r="D190" t="s">
        <v>323</v>
      </c>
      <c r="E190" t="s">
        <v>532</v>
      </c>
      <c r="F190" t="s">
        <v>111</v>
      </c>
      <c r="G190" t="s">
        <v>117</v>
      </c>
      <c r="H190" t="s">
        <v>308</v>
      </c>
      <c r="I190">
        <v>3</v>
      </c>
      <c r="J190" s="2">
        <v>327.55</v>
      </c>
      <c r="K190" s="4">
        <v>0.05</v>
      </c>
      <c r="L190" t="s">
        <v>90</v>
      </c>
      <c r="M190">
        <v>1</v>
      </c>
      <c r="N190" t="s">
        <v>91</v>
      </c>
    </row>
    <row r="191" spans="1:14">
      <c r="A191" t="s">
        <v>554</v>
      </c>
      <c r="B191" s="3">
        <v>45980</v>
      </c>
      <c r="C191" t="s">
        <v>239</v>
      </c>
      <c r="D191" t="s">
        <v>303</v>
      </c>
      <c r="E191" t="s">
        <v>240</v>
      </c>
      <c r="F191" t="s">
        <v>111</v>
      </c>
      <c r="G191" t="s">
        <v>88</v>
      </c>
      <c r="H191" t="s">
        <v>89</v>
      </c>
      <c r="I191">
        <v>1</v>
      </c>
      <c r="J191" s="2">
        <v>165.76</v>
      </c>
      <c r="K191" s="4">
        <v>0</v>
      </c>
      <c r="L191" t="s">
        <v>106</v>
      </c>
      <c r="M191">
        <v>2</v>
      </c>
      <c r="N191" t="s">
        <v>91</v>
      </c>
    </row>
    <row r="192" spans="1:14">
      <c r="A192" t="s">
        <v>555</v>
      </c>
      <c r="B192" s="3">
        <v>45741</v>
      </c>
      <c r="C192" t="s">
        <v>193</v>
      </c>
      <c r="D192" t="s">
        <v>252</v>
      </c>
      <c r="E192" t="s">
        <v>195</v>
      </c>
      <c r="F192" t="s">
        <v>87</v>
      </c>
      <c r="G192" t="s">
        <v>122</v>
      </c>
      <c r="H192" t="s">
        <v>228</v>
      </c>
      <c r="I192">
        <v>1</v>
      </c>
      <c r="J192" s="2">
        <v>279.27</v>
      </c>
      <c r="K192" s="4">
        <v>0.2</v>
      </c>
      <c r="L192" t="s">
        <v>353</v>
      </c>
      <c r="M192">
        <v>1</v>
      </c>
      <c r="N192" t="s">
        <v>91</v>
      </c>
    </row>
    <row r="193" spans="1:14">
      <c r="A193" t="s">
        <v>556</v>
      </c>
      <c r="B193" s="3">
        <v>45772</v>
      </c>
      <c r="C193" t="s">
        <v>305</v>
      </c>
      <c r="D193" t="s">
        <v>226</v>
      </c>
      <c r="E193" t="s">
        <v>306</v>
      </c>
      <c r="F193" t="s">
        <v>103</v>
      </c>
      <c r="G193" t="s">
        <v>183</v>
      </c>
      <c r="H193" t="s">
        <v>89</v>
      </c>
      <c r="I193">
        <v>2</v>
      </c>
      <c r="J193" s="2">
        <v>216.07</v>
      </c>
      <c r="K193" s="4">
        <v>0.1</v>
      </c>
      <c r="L193" t="s">
        <v>90</v>
      </c>
      <c r="M193">
        <v>9</v>
      </c>
      <c r="N193" t="s">
        <v>91</v>
      </c>
    </row>
    <row r="194" spans="1:14">
      <c r="A194" t="s">
        <v>557</v>
      </c>
      <c r="B194" s="3">
        <v>45966</v>
      </c>
      <c r="C194" t="s">
        <v>305</v>
      </c>
      <c r="D194" t="s">
        <v>136</v>
      </c>
      <c r="E194" t="s">
        <v>306</v>
      </c>
      <c r="F194" t="s">
        <v>103</v>
      </c>
      <c r="G194" t="s">
        <v>104</v>
      </c>
      <c r="H194" t="s">
        <v>97</v>
      </c>
      <c r="I194">
        <v>3</v>
      </c>
      <c r="J194" s="2">
        <v>163.24</v>
      </c>
      <c r="K194" s="4">
        <v>0.2</v>
      </c>
      <c r="L194" t="s">
        <v>106</v>
      </c>
      <c r="M194">
        <v>1</v>
      </c>
      <c r="N194" t="s">
        <v>91</v>
      </c>
    </row>
    <row r="195" spans="1:14">
      <c r="A195" t="s">
        <v>558</v>
      </c>
      <c r="B195" s="3">
        <v>45962</v>
      </c>
      <c r="C195" t="s">
        <v>330</v>
      </c>
      <c r="D195" t="s">
        <v>190</v>
      </c>
      <c r="E195" t="s">
        <v>424</v>
      </c>
      <c r="F195" t="s">
        <v>87</v>
      </c>
      <c r="G195" t="s">
        <v>96</v>
      </c>
      <c r="H195" t="s">
        <v>89</v>
      </c>
      <c r="I195">
        <v>2</v>
      </c>
      <c r="J195" s="2">
        <v>286.33</v>
      </c>
      <c r="K195" s="4">
        <v>0</v>
      </c>
      <c r="L195" t="s">
        <v>106</v>
      </c>
      <c r="M195">
        <v>9</v>
      </c>
      <c r="N195" t="s">
        <v>91</v>
      </c>
    </row>
    <row r="196" spans="1:14">
      <c r="A196" t="s">
        <v>559</v>
      </c>
      <c r="B196" s="3">
        <v>45940</v>
      </c>
      <c r="C196" t="s">
        <v>239</v>
      </c>
      <c r="D196" t="s">
        <v>323</v>
      </c>
      <c r="E196" t="s">
        <v>560</v>
      </c>
      <c r="F196" t="s">
        <v>116</v>
      </c>
      <c r="G196" t="s">
        <v>88</v>
      </c>
      <c r="H196" t="s">
        <v>105</v>
      </c>
      <c r="I196">
        <v>2</v>
      </c>
      <c r="J196" s="2">
        <v>332.58</v>
      </c>
      <c r="K196" s="4">
        <v>0</v>
      </c>
      <c r="L196" t="s">
        <v>90</v>
      </c>
      <c r="M196">
        <v>2</v>
      </c>
      <c r="N196" t="s">
        <v>91</v>
      </c>
    </row>
    <row r="197" spans="1:14">
      <c r="A197" t="s">
        <v>561</v>
      </c>
      <c r="B197" s="3">
        <v>45809</v>
      </c>
      <c r="C197" t="s">
        <v>260</v>
      </c>
      <c r="D197" t="s">
        <v>469</v>
      </c>
      <c r="E197" t="s">
        <v>562</v>
      </c>
      <c r="F197" t="s">
        <v>116</v>
      </c>
      <c r="G197" t="s">
        <v>183</v>
      </c>
      <c r="H197" t="s">
        <v>97</v>
      </c>
      <c r="I197">
        <v>5</v>
      </c>
      <c r="J197" s="2">
        <v>88.5</v>
      </c>
      <c r="K197" s="4">
        <v>0</v>
      </c>
      <c r="L197" t="s">
        <v>98</v>
      </c>
      <c r="M197">
        <v>4</v>
      </c>
      <c r="N197" t="s">
        <v>91</v>
      </c>
    </row>
    <row r="198" spans="1:14">
      <c r="A198" t="s">
        <v>563</v>
      </c>
      <c r="B198" s="3">
        <v>45728</v>
      </c>
      <c r="C198" t="s">
        <v>564</v>
      </c>
      <c r="D198" t="s">
        <v>221</v>
      </c>
      <c r="E198" t="s">
        <v>565</v>
      </c>
      <c r="F198" t="s">
        <v>111</v>
      </c>
      <c r="G198" t="s">
        <v>96</v>
      </c>
      <c r="H198" t="s">
        <v>308</v>
      </c>
      <c r="I198">
        <v>1</v>
      </c>
      <c r="J198" s="2">
        <v>29.43</v>
      </c>
      <c r="K198" s="4">
        <v>0</v>
      </c>
      <c r="L198" t="s">
        <v>90</v>
      </c>
      <c r="M198">
        <v>6</v>
      </c>
      <c r="N198" t="s">
        <v>91</v>
      </c>
    </row>
    <row r="199" spans="1:14">
      <c r="A199" t="s">
        <v>566</v>
      </c>
      <c r="B199" s="3">
        <v>45992</v>
      </c>
      <c r="C199" t="s">
        <v>551</v>
      </c>
      <c r="D199" t="s">
        <v>174</v>
      </c>
      <c r="E199" t="s">
        <v>552</v>
      </c>
      <c r="F199" t="s">
        <v>116</v>
      </c>
      <c r="G199" t="s">
        <v>122</v>
      </c>
      <c r="H199" t="s">
        <v>97</v>
      </c>
      <c r="I199">
        <v>2</v>
      </c>
      <c r="J199" s="2">
        <v>36.86</v>
      </c>
      <c r="K199" s="4">
        <v>0.05</v>
      </c>
      <c r="L199" t="s">
        <v>106</v>
      </c>
      <c r="M199">
        <v>4</v>
      </c>
      <c r="N199" t="s">
        <v>91</v>
      </c>
    </row>
    <row r="200" spans="1:14">
      <c r="A200" t="s">
        <v>567</v>
      </c>
      <c r="B200" s="3">
        <v>45790</v>
      </c>
      <c r="C200" t="s">
        <v>100</v>
      </c>
      <c r="D200" t="s">
        <v>303</v>
      </c>
      <c r="E200" t="s">
        <v>102</v>
      </c>
      <c r="F200" t="s">
        <v>87</v>
      </c>
      <c r="G200" t="s">
        <v>88</v>
      </c>
      <c r="H200" t="s">
        <v>89</v>
      </c>
      <c r="I200">
        <v>3</v>
      </c>
      <c r="J200" s="2">
        <v>163.46</v>
      </c>
      <c r="K200" s="4">
        <v>0.05</v>
      </c>
      <c r="L200" t="s">
        <v>90</v>
      </c>
      <c r="M200">
        <v>3</v>
      </c>
      <c r="N200" t="s">
        <v>91</v>
      </c>
    </row>
    <row r="201" spans="1:14">
      <c r="A201" t="s">
        <v>568</v>
      </c>
      <c r="B201" s="3">
        <v>45812</v>
      </c>
      <c r="C201" t="s">
        <v>569</v>
      </c>
      <c r="D201" t="s">
        <v>120</v>
      </c>
      <c r="E201" t="s">
        <v>570</v>
      </c>
      <c r="F201" t="s">
        <v>116</v>
      </c>
      <c r="G201" t="s">
        <v>88</v>
      </c>
      <c r="H201" t="s">
        <v>228</v>
      </c>
      <c r="I201">
        <v>2</v>
      </c>
      <c r="J201" s="2">
        <v>388.34</v>
      </c>
      <c r="K201" s="4">
        <v>0.05</v>
      </c>
      <c r="L201" t="s">
        <v>90</v>
      </c>
      <c r="M201">
        <v>5</v>
      </c>
      <c r="N201" t="s">
        <v>147</v>
      </c>
    </row>
    <row r="202" spans="1:14">
      <c r="A202" t="s">
        <v>571</v>
      </c>
      <c r="B202" s="3">
        <v>45691</v>
      </c>
      <c r="C202" t="s">
        <v>119</v>
      </c>
      <c r="D202" t="s">
        <v>165</v>
      </c>
      <c r="E202" t="s">
        <v>121</v>
      </c>
      <c r="F202" t="s">
        <v>103</v>
      </c>
      <c r="G202" t="s">
        <v>130</v>
      </c>
      <c r="H202" t="s">
        <v>89</v>
      </c>
      <c r="I202">
        <v>1</v>
      </c>
      <c r="J202" s="2">
        <v>105.22</v>
      </c>
      <c r="K202" s="4">
        <v>0.15</v>
      </c>
      <c r="L202" t="s">
        <v>106</v>
      </c>
      <c r="M202">
        <v>5</v>
      </c>
      <c r="N202" t="s">
        <v>91</v>
      </c>
    </row>
    <row r="203" spans="1:14">
      <c r="A203" t="s">
        <v>572</v>
      </c>
      <c r="B203" s="3">
        <v>45675</v>
      </c>
      <c r="C203" t="s">
        <v>203</v>
      </c>
      <c r="D203" t="s">
        <v>226</v>
      </c>
      <c r="E203" t="s">
        <v>573</v>
      </c>
      <c r="F203" t="s">
        <v>145</v>
      </c>
      <c r="G203" t="s">
        <v>88</v>
      </c>
      <c r="H203" t="s">
        <v>89</v>
      </c>
      <c r="I203">
        <v>1</v>
      </c>
      <c r="J203" s="2">
        <v>211.08</v>
      </c>
      <c r="K203" s="4">
        <v>0.05</v>
      </c>
      <c r="L203" t="s">
        <v>106</v>
      </c>
      <c r="M203">
        <v>4</v>
      </c>
      <c r="N203" t="s">
        <v>91</v>
      </c>
    </row>
    <row r="204" spans="1:14">
      <c r="A204" t="s">
        <v>574</v>
      </c>
      <c r="B204" s="3">
        <v>45724</v>
      </c>
      <c r="C204" t="s">
        <v>516</v>
      </c>
      <c r="D204" t="s">
        <v>139</v>
      </c>
      <c r="E204" t="s">
        <v>517</v>
      </c>
      <c r="F204" t="s">
        <v>116</v>
      </c>
      <c r="G204" t="s">
        <v>96</v>
      </c>
      <c r="H204" t="s">
        <v>105</v>
      </c>
      <c r="I204">
        <v>3</v>
      </c>
      <c r="J204" s="2">
        <v>79.849999999999994</v>
      </c>
      <c r="K204" s="4">
        <v>0.05</v>
      </c>
      <c r="L204" t="s">
        <v>98</v>
      </c>
      <c r="M204">
        <v>7</v>
      </c>
      <c r="N204" t="s">
        <v>91</v>
      </c>
    </row>
    <row r="205" spans="1:14">
      <c r="A205" t="s">
        <v>575</v>
      </c>
      <c r="B205" s="3">
        <v>45765</v>
      </c>
      <c r="C205" t="s">
        <v>386</v>
      </c>
      <c r="D205" t="s">
        <v>133</v>
      </c>
      <c r="E205" t="s">
        <v>576</v>
      </c>
      <c r="F205" t="s">
        <v>111</v>
      </c>
      <c r="G205" t="s">
        <v>130</v>
      </c>
      <c r="H205" t="s">
        <v>89</v>
      </c>
      <c r="I205">
        <v>3</v>
      </c>
      <c r="J205" s="2">
        <v>342.66</v>
      </c>
      <c r="K205" s="4">
        <v>0</v>
      </c>
      <c r="L205" t="s">
        <v>106</v>
      </c>
      <c r="M205">
        <v>2</v>
      </c>
      <c r="N205" t="s">
        <v>91</v>
      </c>
    </row>
    <row r="206" spans="1:14">
      <c r="A206" t="s">
        <v>577</v>
      </c>
      <c r="B206" s="3">
        <v>45844</v>
      </c>
      <c r="C206" t="s">
        <v>265</v>
      </c>
      <c r="D206" t="s">
        <v>109</v>
      </c>
      <c r="E206" t="s">
        <v>266</v>
      </c>
      <c r="F206" t="s">
        <v>111</v>
      </c>
      <c r="G206" t="s">
        <v>122</v>
      </c>
      <c r="H206" t="s">
        <v>89</v>
      </c>
      <c r="I206">
        <v>1</v>
      </c>
      <c r="J206" s="2">
        <v>206.56</v>
      </c>
      <c r="K206" s="4">
        <v>0.2</v>
      </c>
      <c r="L206" t="s">
        <v>441</v>
      </c>
      <c r="M206">
        <v>7</v>
      </c>
      <c r="N206" t="s">
        <v>91</v>
      </c>
    </row>
    <row r="207" spans="1:14">
      <c r="A207" t="s">
        <v>578</v>
      </c>
      <c r="B207" s="3">
        <v>45774</v>
      </c>
      <c r="C207" t="s">
        <v>273</v>
      </c>
      <c r="D207" t="s">
        <v>323</v>
      </c>
      <c r="E207" t="s">
        <v>274</v>
      </c>
      <c r="F207" t="s">
        <v>87</v>
      </c>
      <c r="G207" t="s">
        <v>88</v>
      </c>
      <c r="H207" t="s">
        <v>97</v>
      </c>
      <c r="I207">
        <v>1</v>
      </c>
      <c r="J207" s="2">
        <v>328.44</v>
      </c>
      <c r="K207" s="4">
        <v>0</v>
      </c>
      <c r="L207" t="s">
        <v>106</v>
      </c>
      <c r="M207">
        <v>2</v>
      </c>
      <c r="N207" t="s">
        <v>91</v>
      </c>
    </row>
    <row r="208" spans="1:14">
      <c r="A208" t="s">
        <v>579</v>
      </c>
      <c r="B208" s="3">
        <v>45666</v>
      </c>
      <c r="C208" t="s">
        <v>453</v>
      </c>
      <c r="D208" t="s">
        <v>226</v>
      </c>
      <c r="E208" t="s">
        <v>454</v>
      </c>
      <c r="F208" t="s">
        <v>103</v>
      </c>
      <c r="G208" t="s">
        <v>171</v>
      </c>
      <c r="H208" t="s">
        <v>89</v>
      </c>
      <c r="I208">
        <v>4</v>
      </c>
      <c r="J208" s="2">
        <v>215.38</v>
      </c>
      <c r="K208" s="4">
        <v>0</v>
      </c>
      <c r="L208" t="s">
        <v>106</v>
      </c>
      <c r="M208">
        <v>3</v>
      </c>
      <c r="N208" t="s">
        <v>147</v>
      </c>
    </row>
    <row r="209" spans="1:14">
      <c r="A209" t="s">
        <v>580</v>
      </c>
      <c r="B209" s="3">
        <v>45895</v>
      </c>
      <c r="C209" t="s">
        <v>374</v>
      </c>
      <c r="D209" t="s">
        <v>277</v>
      </c>
      <c r="E209" t="s">
        <v>375</v>
      </c>
      <c r="F209" t="s">
        <v>111</v>
      </c>
      <c r="G209" t="s">
        <v>96</v>
      </c>
      <c r="H209" t="s">
        <v>89</v>
      </c>
      <c r="I209">
        <v>1</v>
      </c>
      <c r="J209" s="2">
        <v>376.44</v>
      </c>
      <c r="K209" s="4">
        <v>0</v>
      </c>
      <c r="L209" t="s">
        <v>106</v>
      </c>
      <c r="M209">
        <v>1</v>
      </c>
      <c r="N209" t="s">
        <v>91</v>
      </c>
    </row>
    <row r="210" spans="1:14">
      <c r="A210" t="s">
        <v>581</v>
      </c>
      <c r="B210" s="3">
        <v>45670</v>
      </c>
      <c r="C210" t="s">
        <v>414</v>
      </c>
      <c r="D210" t="s">
        <v>221</v>
      </c>
      <c r="E210" t="s">
        <v>415</v>
      </c>
      <c r="F210" t="s">
        <v>187</v>
      </c>
      <c r="G210" t="s">
        <v>122</v>
      </c>
      <c r="H210" t="s">
        <v>97</v>
      </c>
      <c r="I210">
        <v>2</v>
      </c>
      <c r="J210" s="2">
        <v>29.86</v>
      </c>
      <c r="K210" s="4">
        <v>0.1</v>
      </c>
      <c r="L210" t="s">
        <v>98</v>
      </c>
      <c r="M210">
        <v>3</v>
      </c>
      <c r="N210" t="s">
        <v>91</v>
      </c>
    </row>
    <row r="211" spans="1:14">
      <c r="A211" t="s">
        <v>582</v>
      </c>
      <c r="B211" s="3">
        <v>45718</v>
      </c>
      <c r="C211" t="s">
        <v>243</v>
      </c>
      <c r="D211" t="s">
        <v>418</v>
      </c>
      <c r="E211" t="s">
        <v>245</v>
      </c>
      <c r="F211" t="s">
        <v>116</v>
      </c>
      <c r="G211" t="s">
        <v>171</v>
      </c>
      <c r="H211" t="s">
        <v>97</v>
      </c>
      <c r="I211">
        <v>3</v>
      </c>
      <c r="J211" s="2">
        <v>377.43</v>
      </c>
      <c r="K211" s="4">
        <v>0.1</v>
      </c>
      <c r="L211" t="s">
        <v>106</v>
      </c>
      <c r="M211">
        <v>2</v>
      </c>
      <c r="N211" t="s">
        <v>91</v>
      </c>
    </row>
    <row r="212" spans="1:14">
      <c r="A212" t="s">
        <v>583</v>
      </c>
      <c r="B212" s="3">
        <v>45700</v>
      </c>
      <c r="C212" t="s">
        <v>386</v>
      </c>
      <c r="D212" t="s">
        <v>520</v>
      </c>
      <c r="E212" t="s">
        <v>576</v>
      </c>
      <c r="F212" t="s">
        <v>111</v>
      </c>
      <c r="G212" t="s">
        <v>122</v>
      </c>
      <c r="H212" t="s">
        <v>89</v>
      </c>
      <c r="I212">
        <v>2</v>
      </c>
      <c r="J212" s="2">
        <v>349.44</v>
      </c>
      <c r="K212" s="4">
        <v>0.05</v>
      </c>
      <c r="L212" t="s">
        <v>98</v>
      </c>
      <c r="M212">
        <v>1</v>
      </c>
      <c r="N212" t="s">
        <v>91</v>
      </c>
    </row>
    <row r="213" spans="1:14">
      <c r="A213" t="s">
        <v>584</v>
      </c>
      <c r="B213" s="3">
        <v>45990</v>
      </c>
      <c r="C213" t="s">
        <v>548</v>
      </c>
      <c r="D213" t="s">
        <v>418</v>
      </c>
      <c r="E213" t="s">
        <v>585</v>
      </c>
      <c r="F213" t="s">
        <v>87</v>
      </c>
      <c r="G213" t="s">
        <v>104</v>
      </c>
      <c r="H213" t="s">
        <v>89</v>
      </c>
      <c r="I213">
        <v>1</v>
      </c>
      <c r="J213" s="2">
        <v>371.09</v>
      </c>
      <c r="K213" s="4">
        <v>0</v>
      </c>
      <c r="L213" t="s">
        <v>98</v>
      </c>
      <c r="M213">
        <v>9</v>
      </c>
      <c r="N213" t="s">
        <v>91</v>
      </c>
    </row>
    <row r="214" spans="1:14">
      <c r="A214" t="s">
        <v>586</v>
      </c>
      <c r="B214" s="3">
        <v>45898</v>
      </c>
      <c r="C214" t="s">
        <v>569</v>
      </c>
      <c r="D214" t="s">
        <v>174</v>
      </c>
      <c r="E214" t="s">
        <v>570</v>
      </c>
      <c r="F214" t="s">
        <v>116</v>
      </c>
      <c r="G214" t="s">
        <v>104</v>
      </c>
      <c r="H214" t="s">
        <v>89</v>
      </c>
      <c r="I214">
        <v>2</v>
      </c>
      <c r="J214" s="2">
        <v>37.97</v>
      </c>
      <c r="K214" s="4">
        <v>0.1</v>
      </c>
      <c r="L214" t="s">
        <v>90</v>
      </c>
      <c r="M214">
        <v>7</v>
      </c>
      <c r="N214" t="s">
        <v>91</v>
      </c>
    </row>
    <row r="215" spans="1:14">
      <c r="A215" t="s">
        <v>587</v>
      </c>
      <c r="B215" s="3">
        <v>45906</v>
      </c>
      <c r="C215" t="s">
        <v>305</v>
      </c>
      <c r="D215" t="s">
        <v>94</v>
      </c>
      <c r="E215" t="s">
        <v>306</v>
      </c>
      <c r="F215" t="s">
        <v>145</v>
      </c>
      <c r="G215" t="s">
        <v>104</v>
      </c>
      <c r="H215" t="s">
        <v>89</v>
      </c>
      <c r="I215">
        <v>1</v>
      </c>
      <c r="J215" s="2">
        <v>313.10000000000002</v>
      </c>
      <c r="K215" s="4">
        <v>0</v>
      </c>
      <c r="L215" t="s">
        <v>106</v>
      </c>
      <c r="M215">
        <v>8</v>
      </c>
      <c r="N215" t="s">
        <v>91</v>
      </c>
    </row>
    <row r="216" spans="1:14">
      <c r="A216" t="s">
        <v>588</v>
      </c>
      <c r="B216" s="3">
        <v>45795</v>
      </c>
      <c r="C216" t="s">
        <v>543</v>
      </c>
      <c r="D216" t="s">
        <v>469</v>
      </c>
      <c r="E216" t="s">
        <v>589</v>
      </c>
      <c r="F216" t="s">
        <v>87</v>
      </c>
      <c r="G216" t="s">
        <v>96</v>
      </c>
      <c r="H216" t="s">
        <v>105</v>
      </c>
      <c r="I216">
        <v>1</v>
      </c>
      <c r="J216" s="2">
        <v>88.17</v>
      </c>
      <c r="K216" s="4">
        <v>0.15</v>
      </c>
      <c r="L216" t="s">
        <v>98</v>
      </c>
      <c r="M216">
        <v>1</v>
      </c>
      <c r="N216" t="s">
        <v>91</v>
      </c>
    </row>
    <row r="217" spans="1:14">
      <c r="A217" t="s">
        <v>590</v>
      </c>
      <c r="B217" s="3">
        <v>45666</v>
      </c>
      <c r="C217" t="s">
        <v>203</v>
      </c>
      <c r="D217" t="s">
        <v>252</v>
      </c>
      <c r="E217" t="s">
        <v>204</v>
      </c>
      <c r="F217" t="s">
        <v>111</v>
      </c>
      <c r="G217" t="s">
        <v>104</v>
      </c>
      <c r="H217" t="s">
        <v>97</v>
      </c>
      <c r="I217">
        <v>4</v>
      </c>
      <c r="J217" s="2">
        <v>263.74</v>
      </c>
      <c r="K217" s="4">
        <v>0</v>
      </c>
      <c r="L217" t="s">
        <v>98</v>
      </c>
      <c r="M217">
        <v>1</v>
      </c>
      <c r="N217" t="s">
        <v>147</v>
      </c>
    </row>
    <row r="218" spans="1:14">
      <c r="A218" t="s">
        <v>591</v>
      </c>
      <c r="B218" s="3">
        <v>45905</v>
      </c>
      <c r="C218" t="s">
        <v>538</v>
      </c>
      <c r="D218" t="s">
        <v>244</v>
      </c>
      <c r="E218" t="s">
        <v>539</v>
      </c>
      <c r="F218" t="s">
        <v>223</v>
      </c>
      <c r="G218" t="s">
        <v>122</v>
      </c>
      <c r="H218" t="s">
        <v>89</v>
      </c>
      <c r="I218">
        <v>2</v>
      </c>
      <c r="J218" s="2">
        <v>240.06</v>
      </c>
      <c r="K218" s="4">
        <v>0.05</v>
      </c>
      <c r="L218" t="s">
        <v>98</v>
      </c>
      <c r="M218">
        <v>8</v>
      </c>
      <c r="N218" t="s">
        <v>91</v>
      </c>
    </row>
    <row r="219" spans="1:14">
      <c r="A219" t="s">
        <v>592</v>
      </c>
      <c r="B219" s="3">
        <v>45974</v>
      </c>
      <c r="C219" t="s">
        <v>399</v>
      </c>
      <c r="D219" t="s">
        <v>133</v>
      </c>
      <c r="E219" t="s">
        <v>400</v>
      </c>
      <c r="F219" t="s">
        <v>145</v>
      </c>
      <c r="G219" t="s">
        <v>96</v>
      </c>
      <c r="H219" t="s">
        <v>89</v>
      </c>
      <c r="I219">
        <v>4</v>
      </c>
      <c r="J219" s="2">
        <v>359.78</v>
      </c>
      <c r="K219" s="4">
        <v>0.05</v>
      </c>
      <c r="L219" t="s">
        <v>106</v>
      </c>
      <c r="M219">
        <v>3</v>
      </c>
      <c r="N219" t="s">
        <v>91</v>
      </c>
    </row>
    <row r="220" spans="1:14">
      <c r="A220" t="s">
        <v>593</v>
      </c>
      <c r="B220" s="3">
        <v>45948</v>
      </c>
      <c r="C220" t="s">
        <v>594</v>
      </c>
      <c r="D220" t="s">
        <v>210</v>
      </c>
      <c r="E220" t="s">
        <v>595</v>
      </c>
      <c r="F220" t="s">
        <v>145</v>
      </c>
      <c r="G220" t="s">
        <v>183</v>
      </c>
      <c r="H220" t="s">
        <v>89</v>
      </c>
      <c r="I220">
        <v>2</v>
      </c>
      <c r="J220" s="2">
        <v>303.27</v>
      </c>
      <c r="K220" s="4">
        <v>0</v>
      </c>
      <c r="L220" t="s">
        <v>106</v>
      </c>
      <c r="M220">
        <v>1</v>
      </c>
      <c r="N220" t="s">
        <v>91</v>
      </c>
    </row>
    <row r="221" spans="1:14">
      <c r="A221" t="s">
        <v>596</v>
      </c>
      <c r="B221" s="3">
        <v>45820</v>
      </c>
      <c r="C221" t="s">
        <v>597</v>
      </c>
      <c r="D221" t="s">
        <v>303</v>
      </c>
      <c r="E221" t="s">
        <v>598</v>
      </c>
      <c r="F221" t="s">
        <v>145</v>
      </c>
      <c r="G221" t="s">
        <v>117</v>
      </c>
      <c r="H221" t="s">
        <v>89</v>
      </c>
      <c r="I221">
        <v>1</v>
      </c>
      <c r="J221" s="2">
        <v>152.16</v>
      </c>
      <c r="K221" s="4">
        <v>0.15</v>
      </c>
      <c r="L221" t="s">
        <v>90</v>
      </c>
      <c r="M221">
        <v>4</v>
      </c>
      <c r="N221" t="s">
        <v>91</v>
      </c>
    </row>
    <row r="222" spans="1:14">
      <c r="A222" t="s">
        <v>599</v>
      </c>
      <c r="B222" s="3">
        <v>45823</v>
      </c>
      <c r="C222" t="s">
        <v>600</v>
      </c>
      <c r="D222" t="s">
        <v>303</v>
      </c>
      <c r="E222" t="s">
        <v>601</v>
      </c>
      <c r="F222" t="s">
        <v>116</v>
      </c>
      <c r="G222" t="s">
        <v>183</v>
      </c>
      <c r="H222" t="s">
        <v>97</v>
      </c>
      <c r="I222">
        <v>1</v>
      </c>
      <c r="J222" s="2">
        <v>159.88</v>
      </c>
      <c r="K222" s="4">
        <v>0</v>
      </c>
      <c r="L222" t="s">
        <v>106</v>
      </c>
      <c r="M222">
        <v>4</v>
      </c>
      <c r="N222" t="s">
        <v>91</v>
      </c>
    </row>
    <row r="223" spans="1:14">
      <c r="A223" t="s">
        <v>602</v>
      </c>
      <c r="B223" s="3">
        <v>45887</v>
      </c>
      <c r="C223" t="s">
        <v>316</v>
      </c>
      <c r="D223" t="s">
        <v>303</v>
      </c>
      <c r="E223" t="s">
        <v>317</v>
      </c>
      <c r="F223" t="s">
        <v>145</v>
      </c>
      <c r="G223" t="s">
        <v>171</v>
      </c>
      <c r="H223" t="s">
        <v>89</v>
      </c>
      <c r="I223">
        <v>3</v>
      </c>
      <c r="J223" s="2">
        <v>166.23</v>
      </c>
      <c r="K223" s="4">
        <v>0</v>
      </c>
      <c r="L223" t="s">
        <v>106</v>
      </c>
      <c r="M223">
        <v>7</v>
      </c>
      <c r="N223" t="s">
        <v>91</v>
      </c>
    </row>
    <row r="224" spans="1:14">
      <c r="A224" t="s">
        <v>603</v>
      </c>
      <c r="B224" s="3">
        <v>45676</v>
      </c>
      <c r="C224" t="s">
        <v>220</v>
      </c>
      <c r="D224" t="s">
        <v>418</v>
      </c>
      <c r="E224" t="s">
        <v>222</v>
      </c>
      <c r="F224" t="s">
        <v>103</v>
      </c>
      <c r="G224" t="s">
        <v>130</v>
      </c>
      <c r="H224" t="s">
        <v>89</v>
      </c>
      <c r="I224">
        <v>1</v>
      </c>
      <c r="J224" s="2">
        <v>360.28</v>
      </c>
      <c r="K224" s="4">
        <v>0.2</v>
      </c>
      <c r="L224" t="s">
        <v>106</v>
      </c>
      <c r="M224">
        <v>3</v>
      </c>
      <c r="N224" t="s">
        <v>91</v>
      </c>
    </row>
    <row r="225" spans="1:14">
      <c r="A225" t="s">
        <v>604</v>
      </c>
      <c r="B225" s="3">
        <v>45691</v>
      </c>
      <c r="C225" t="s">
        <v>316</v>
      </c>
      <c r="D225" t="s">
        <v>109</v>
      </c>
      <c r="E225" t="s">
        <v>317</v>
      </c>
      <c r="F225" t="s">
        <v>111</v>
      </c>
      <c r="G225" t="s">
        <v>183</v>
      </c>
      <c r="H225" t="s">
        <v>89</v>
      </c>
      <c r="I225">
        <v>3</v>
      </c>
      <c r="J225" s="2">
        <v>210.42</v>
      </c>
      <c r="K225" s="4">
        <v>0.2</v>
      </c>
      <c r="L225" t="s">
        <v>106</v>
      </c>
      <c r="M225">
        <v>5</v>
      </c>
      <c r="N225" t="s">
        <v>91</v>
      </c>
    </row>
    <row r="226" spans="1:14">
      <c r="A226" t="s">
        <v>605</v>
      </c>
      <c r="B226" s="3">
        <v>45820</v>
      </c>
      <c r="C226" t="s">
        <v>300</v>
      </c>
      <c r="D226" t="s">
        <v>346</v>
      </c>
      <c r="E226" t="s">
        <v>301</v>
      </c>
      <c r="F226" t="s">
        <v>111</v>
      </c>
      <c r="G226" t="s">
        <v>122</v>
      </c>
      <c r="H226" t="s">
        <v>89</v>
      </c>
      <c r="I226">
        <v>3</v>
      </c>
      <c r="J226" s="2">
        <v>231.45</v>
      </c>
      <c r="K226" s="4">
        <v>0</v>
      </c>
      <c r="L226" t="s">
        <v>106</v>
      </c>
      <c r="M226">
        <v>5</v>
      </c>
      <c r="N226" t="s">
        <v>91</v>
      </c>
    </row>
    <row r="227" spans="1:14">
      <c r="A227" t="s">
        <v>606</v>
      </c>
      <c r="B227" s="3">
        <v>45807</v>
      </c>
      <c r="C227" t="s">
        <v>600</v>
      </c>
      <c r="D227" t="s">
        <v>125</v>
      </c>
      <c r="E227" t="s">
        <v>601</v>
      </c>
      <c r="F227" t="s">
        <v>103</v>
      </c>
      <c r="G227" t="s">
        <v>104</v>
      </c>
      <c r="H227" t="s">
        <v>89</v>
      </c>
      <c r="I227">
        <v>1</v>
      </c>
      <c r="J227" s="2">
        <v>55.31</v>
      </c>
      <c r="K227" s="4">
        <v>0</v>
      </c>
      <c r="L227" t="s">
        <v>98</v>
      </c>
      <c r="M227">
        <v>2</v>
      </c>
      <c r="N227" t="s">
        <v>91</v>
      </c>
    </row>
    <row r="228" spans="1:14">
      <c r="A228" t="s">
        <v>607</v>
      </c>
      <c r="B228" s="3">
        <v>45897</v>
      </c>
      <c r="C228" t="s">
        <v>113</v>
      </c>
      <c r="D228" t="s">
        <v>85</v>
      </c>
      <c r="E228" t="s">
        <v>115</v>
      </c>
      <c r="F228" t="s">
        <v>116</v>
      </c>
      <c r="G228" t="s">
        <v>130</v>
      </c>
      <c r="H228" t="s">
        <v>89</v>
      </c>
      <c r="I228">
        <v>2</v>
      </c>
      <c r="J228" s="2">
        <v>304.89</v>
      </c>
      <c r="K228" s="4">
        <v>0</v>
      </c>
      <c r="L228" t="s">
        <v>106</v>
      </c>
      <c r="M228">
        <v>5</v>
      </c>
      <c r="N228" t="s">
        <v>91</v>
      </c>
    </row>
    <row r="229" spans="1:14">
      <c r="A229" t="s">
        <v>608</v>
      </c>
      <c r="B229" s="3">
        <v>45862</v>
      </c>
      <c r="C229" t="s">
        <v>491</v>
      </c>
      <c r="D229" t="s">
        <v>152</v>
      </c>
      <c r="E229" t="s">
        <v>492</v>
      </c>
      <c r="F229" t="s">
        <v>103</v>
      </c>
      <c r="G229" t="s">
        <v>96</v>
      </c>
      <c r="H229" t="s">
        <v>105</v>
      </c>
      <c r="I229">
        <v>4</v>
      </c>
      <c r="J229" s="2">
        <v>138.33000000000001</v>
      </c>
      <c r="K229" s="4">
        <v>0.2</v>
      </c>
      <c r="L229" t="s">
        <v>106</v>
      </c>
      <c r="M229">
        <v>8</v>
      </c>
      <c r="N229" t="s">
        <v>91</v>
      </c>
    </row>
    <row r="230" spans="1:14">
      <c r="A230" t="s">
        <v>609</v>
      </c>
      <c r="B230" s="3">
        <v>45923</v>
      </c>
      <c r="C230" t="s">
        <v>610</v>
      </c>
      <c r="D230" t="s">
        <v>221</v>
      </c>
      <c r="E230" t="s">
        <v>611</v>
      </c>
      <c r="F230" t="s">
        <v>111</v>
      </c>
      <c r="G230" t="s">
        <v>117</v>
      </c>
      <c r="H230" t="s">
        <v>308</v>
      </c>
      <c r="I230">
        <v>1</v>
      </c>
      <c r="J230" s="2">
        <v>30.43</v>
      </c>
      <c r="K230" s="4">
        <v>0.25</v>
      </c>
      <c r="L230" t="s">
        <v>98</v>
      </c>
      <c r="M230">
        <v>9</v>
      </c>
      <c r="N230" t="s">
        <v>147</v>
      </c>
    </row>
    <row r="231" spans="1:14">
      <c r="A231" t="s">
        <v>612</v>
      </c>
      <c r="B231" s="3">
        <v>45665</v>
      </c>
      <c r="C231" t="s">
        <v>613</v>
      </c>
      <c r="D231" t="s">
        <v>194</v>
      </c>
      <c r="E231" t="s">
        <v>614</v>
      </c>
      <c r="F231" t="s">
        <v>111</v>
      </c>
      <c r="G231" t="s">
        <v>130</v>
      </c>
      <c r="H231" t="s">
        <v>89</v>
      </c>
      <c r="I231">
        <v>1</v>
      </c>
      <c r="J231" s="2">
        <v>212.95</v>
      </c>
      <c r="K231" s="4">
        <v>0.15</v>
      </c>
      <c r="L231" t="s">
        <v>98</v>
      </c>
      <c r="M231">
        <v>7</v>
      </c>
      <c r="N231" t="s">
        <v>91</v>
      </c>
    </row>
    <row r="232" spans="1:14">
      <c r="A232" t="s">
        <v>615</v>
      </c>
      <c r="B232" s="3">
        <v>45712</v>
      </c>
      <c r="C232" t="s">
        <v>225</v>
      </c>
      <c r="D232" t="s">
        <v>323</v>
      </c>
      <c r="E232" t="s">
        <v>616</v>
      </c>
      <c r="F232" t="s">
        <v>145</v>
      </c>
      <c r="G232" t="s">
        <v>96</v>
      </c>
      <c r="H232" t="s">
        <v>89</v>
      </c>
      <c r="I232">
        <v>5</v>
      </c>
      <c r="J232" s="2">
        <v>340.28</v>
      </c>
      <c r="K232" s="4">
        <v>0</v>
      </c>
      <c r="L232" t="s">
        <v>98</v>
      </c>
      <c r="M232">
        <v>4</v>
      </c>
      <c r="N232" t="s">
        <v>91</v>
      </c>
    </row>
    <row r="233" spans="1:14">
      <c r="A233" t="s">
        <v>617</v>
      </c>
      <c r="B233" s="3">
        <v>45802</v>
      </c>
      <c r="C233" t="s">
        <v>430</v>
      </c>
      <c r="D233" t="s">
        <v>152</v>
      </c>
      <c r="E233" t="s">
        <v>431</v>
      </c>
      <c r="F233" t="s">
        <v>111</v>
      </c>
      <c r="G233" t="s">
        <v>88</v>
      </c>
      <c r="H233" t="s">
        <v>89</v>
      </c>
      <c r="I233">
        <v>1</v>
      </c>
      <c r="J233" s="2">
        <v>141.15</v>
      </c>
      <c r="K233" s="4">
        <v>0.1</v>
      </c>
      <c r="L233" t="s">
        <v>154</v>
      </c>
      <c r="M233">
        <v>9</v>
      </c>
      <c r="N233" t="s">
        <v>91</v>
      </c>
    </row>
    <row r="234" spans="1:14">
      <c r="A234" t="s">
        <v>618</v>
      </c>
      <c r="B234" s="3">
        <v>45684</v>
      </c>
      <c r="C234" t="s">
        <v>538</v>
      </c>
      <c r="D234" t="s">
        <v>125</v>
      </c>
      <c r="E234" t="s">
        <v>539</v>
      </c>
      <c r="F234" t="s">
        <v>111</v>
      </c>
      <c r="G234" t="s">
        <v>130</v>
      </c>
      <c r="H234" t="s">
        <v>89</v>
      </c>
      <c r="I234">
        <v>3</v>
      </c>
      <c r="J234" s="2">
        <v>55.19</v>
      </c>
      <c r="K234" s="4">
        <v>0.1</v>
      </c>
      <c r="L234" t="s">
        <v>106</v>
      </c>
      <c r="M234">
        <v>1</v>
      </c>
      <c r="N234" t="s">
        <v>91</v>
      </c>
    </row>
    <row r="235" spans="1:14">
      <c r="A235" t="s">
        <v>619</v>
      </c>
      <c r="B235" s="3">
        <v>45780</v>
      </c>
      <c r="C235" t="s">
        <v>200</v>
      </c>
      <c r="D235" t="s">
        <v>85</v>
      </c>
      <c r="E235" t="s">
        <v>201</v>
      </c>
      <c r="F235" t="s">
        <v>87</v>
      </c>
      <c r="G235" t="s">
        <v>104</v>
      </c>
      <c r="H235" t="s">
        <v>89</v>
      </c>
      <c r="I235">
        <v>1</v>
      </c>
      <c r="J235" s="2">
        <v>297.98</v>
      </c>
      <c r="K235" s="4">
        <v>0.1</v>
      </c>
      <c r="L235" t="s">
        <v>106</v>
      </c>
      <c r="M235">
        <v>7</v>
      </c>
      <c r="N235" t="s">
        <v>91</v>
      </c>
    </row>
    <row r="236" spans="1:14">
      <c r="A236" t="s">
        <v>620</v>
      </c>
      <c r="B236" s="3">
        <v>45834</v>
      </c>
      <c r="C236" t="s">
        <v>399</v>
      </c>
      <c r="D236" t="s">
        <v>323</v>
      </c>
      <c r="E236" t="s">
        <v>400</v>
      </c>
      <c r="F236" t="s">
        <v>116</v>
      </c>
      <c r="G236" t="s">
        <v>171</v>
      </c>
      <c r="H236" t="s">
        <v>97</v>
      </c>
      <c r="I236">
        <v>1</v>
      </c>
      <c r="J236" s="2">
        <v>338.18</v>
      </c>
      <c r="K236" s="4">
        <v>0.15</v>
      </c>
      <c r="L236" t="s">
        <v>98</v>
      </c>
      <c r="M236">
        <v>1</v>
      </c>
      <c r="N236" t="s">
        <v>91</v>
      </c>
    </row>
    <row r="237" spans="1:14">
      <c r="A237" t="s">
        <v>621</v>
      </c>
      <c r="B237" s="3">
        <v>45719</v>
      </c>
      <c r="C237" t="s">
        <v>396</v>
      </c>
      <c r="D237" t="s">
        <v>221</v>
      </c>
      <c r="E237" t="s">
        <v>397</v>
      </c>
      <c r="F237" t="s">
        <v>145</v>
      </c>
      <c r="G237" t="s">
        <v>104</v>
      </c>
      <c r="H237" t="s">
        <v>89</v>
      </c>
      <c r="I237">
        <v>1</v>
      </c>
      <c r="J237" s="2">
        <v>29.8</v>
      </c>
      <c r="K237" s="4">
        <v>0.2</v>
      </c>
      <c r="L237" t="s">
        <v>106</v>
      </c>
      <c r="M237">
        <v>7</v>
      </c>
      <c r="N237" t="s">
        <v>91</v>
      </c>
    </row>
    <row r="238" spans="1:14">
      <c r="A238" t="s">
        <v>622</v>
      </c>
      <c r="B238" s="3">
        <v>45834</v>
      </c>
      <c r="C238" t="s">
        <v>512</v>
      </c>
      <c r="D238" t="s">
        <v>174</v>
      </c>
      <c r="E238" t="s">
        <v>513</v>
      </c>
      <c r="F238" t="s">
        <v>87</v>
      </c>
      <c r="G238" t="s">
        <v>88</v>
      </c>
      <c r="H238" t="s">
        <v>89</v>
      </c>
      <c r="I238">
        <v>1</v>
      </c>
      <c r="J238" s="2">
        <v>40.01</v>
      </c>
      <c r="K238" s="4">
        <v>0</v>
      </c>
      <c r="L238" t="s">
        <v>154</v>
      </c>
      <c r="M238">
        <v>8</v>
      </c>
      <c r="N238" t="s">
        <v>91</v>
      </c>
    </row>
    <row r="239" spans="1:14">
      <c r="A239" t="s">
        <v>623</v>
      </c>
      <c r="B239" s="3">
        <v>45752</v>
      </c>
      <c r="C239" t="s">
        <v>100</v>
      </c>
      <c r="D239" t="s">
        <v>244</v>
      </c>
      <c r="E239" t="s">
        <v>102</v>
      </c>
      <c r="F239" t="s">
        <v>116</v>
      </c>
      <c r="G239" t="s">
        <v>183</v>
      </c>
      <c r="H239" t="s">
        <v>89</v>
      </c>
      <c r="I239">
        <v>4</v>
      </c>
      <c r="J239" s="2">
        <v>236.6</v>
      </c>
      <c r="K239" s="4">
        <v>0.1</v>
      </c>
      <c r="L239" t="s">
        <v>90</v>
      </c>
      <c r="M239">
        <v>2</v>
      </c>
      <c r="N239" t="s">
        <v>91</v>
      </c>
    </row>
    <row r="240" spans="1:14">
      <c r="A240" t="s">
        <v>624</v>
      </c>
      <c r="B240" s="3">
        <v>45927</v>
      </c>
      <c r="C240" t="s">
        <v>543</v>
      </c>
      <c r="D240" t="s">
        <v>165</v>
      </c>
      <c r="E240" t="s">
        <v>544</v>
      </c>
      <c r="F240" t="s">
        <v>103</v>
      </c>
      <c r="G240" t="s">
        <v>183</v>
      </c>
      <c r="H240" t="s">
        <v>97</v>
      </c>
      <c r="I240">
        <v>1</v>
      </c>
      <c r="J240" s="2">
        <v>97.2</v>
      </c>
      <c r="K240" s="4">
        <v>0.15</v>
      </c>
      <c r="L240" t="s">
        <v>98</v>
      </c>
      <c r="M240">
        <v>3</v>
      </c>
      <c r="N240" t="s">
        <v>91</v>
      </c>
    </row>
    <row r="241" spans="1:14">
      <c r="A241" t="s">
        <v>625</v>
      </c>
      <c r="B241" s="3">
        <v>45808</v>
      </c>
      <c r="C241" t="s">
        <v>512</v>
      </c>
      <c r="D241" t="s">
        <v>194</v>
      </c>
      <c r="E241" t="s">
        <v>513</v>
      </c>
      <c r="F241" t="s">
        <v>111</v>
      </c>
      <c r="G241" t="s">
        <v>122</v>
      </c>
      <c r="H241" t="s">
        <v>97</v>
      </c>
      <c r="I241">
        <v>1</v>
      </c>
      <c r="J241" s="2">
        <v>213.45</v>
      </c>
      <c r="K241" s="4">
        <v>0.1</v>
      </c>
      <c r="L241" t="s">
        <v>90</v>
      </c>
      <c r="M241">
        <v>0</v>
      </c>
      <c r="N241" t="s">
        <v>91</v>
      </c>
    </row>
    <row r="242" spans="1:14">
      <c r="A242" t="s">
        <v>626</v>
      </c>
      <c r="B242" s="3">
        <v>45974</v>
      </c>
      <c r="C242" t="s">
        <v>427</v>
      </c>
      <c r="D242" t="s">
        <v>469</v>
      </c>
      <c r="E242" t="s">
        <v>428</v>
      </c>
      <c r="F242" t="s">
        <v>116</v>
      </c>
      <c r="G242" t="s">
        <v>122</v>
      </c>
      <c r="H242" t="s">
        <v>97</v>
      </c>
      <c r="I242">
        <v>1</v>
      </c>
      <c r="J242" s="2">
        <v>85.67</v>
      </c>
      <c r="K242" s="4">
        <v>0.2</v>
      </c>
      <c r="L242" t="s">
        <v>106</v>
      </c>
      <c r="M242">
        <v>1</v>
      </c>
      <c r="N242" t="s">
        <v>91</v>
      </c>
    </row>
    <row r="243" spans="1:14">
      <c r="A243" t="s">
        <v>627</v>
      </c>
      <c r="B243" s="3">
        <v>45815</v>
      </c>
      <c r="C243" t="s">
        <v>406</v>
      </c>
      <c r="D243" t="s">
        <v>469</v>
      </c>
      <c r="E243" t="s">
        <v>407</v>
      </c>
      <c r="F243" t="s">
        <v>111</v>
      </c>
      <c r="G243" t="s">
        <v>117</v>
      </c>
      <c r="H243" t="s">
        <v>89</v>
      </c>
      <c r="I243">
        <v>1</v>
      </c>
      <c r="J243" s="2">
        <v>86.15</v>
      </c>
      <c r="K243" s="4">
        <v>0.15</v>
      </c>
      <c r="L243" t="s">
        <v>98</v>
      </c>
      <c r="M243">
        <v>1</v>
      </c>
      <c r="N243" t="s">
        <v>91</v>
      </c>
    </row>
    <row r="244" spans="1:14">
      <c r="A244" t="s">
        <v>628</v>
      </c>
      <c r="B244" s="3">
        <v>45954</v>
      </c>
      <c r="C244" t="s">
        <v>84</v>
      </c>
      <c r="D244" t="s">
        <v>271</v>
      </c>
      <c r="E244" t="s">
        <v>629</v>
      </c>
      <c r="F244" t="s">
        <v>145</v>
      </c>
      <c r="G244" t="s">
        <v>122</v>
      </c>
      <c r="H244" t="s">
        <v>89</v>
      </c>
      <c r="I244">
        <v>2</v>
      </c>
      <c r="J244" s="2">
        <v>217.71</v>
      </c>
      <c r="K244" s="4">
        <v>0.05</v>
      </c>
      <c r="L244" t="s">
        <v>106</v>
      </c>
      <c r="M244">
        <v>4</v>
      </c>
      <c r="N244" t="s">
        <v>91</v>
      </c>
    </row>
    <row r="245" spans="1:14">
      <c r="A245" t="s">
        <v>630</v>
      </c>
      <c r="B245" s="3">
        <v>45923</v>
      </c>
      <c r="C245" t="s">
        <v>257</v>
      </c>
      <c r="D245" t="s">
        <v>261</v>
      </c>
      <c r="E245" t="s">
        <v>258</v>
      </c>
      <c r="F245" t="s">
        <v>145</v>
      </c>
      <c r="G245" t="s">
        <v>96</v>
      </c>
      <c r="H245" t="s">
        <v>105</v>
      </c>
      <c r="I245">
        <v>3</v>
      </c>
      <c r="J245" s="2">
        <v>251.49</v>
      </c>
      <c r="K245" s="4">
        <v>0.15</v>
      </c>
      <c r="L245" t="s">
        <v>98</v>
      </c>
      <c r="M245">
        <v>6</v>
      </c>
      <c r="N245" t="s">
        <v>91</v>
      </c>
    </row>
    <row r="246" spans="1:14">
      <c r="A246" t="s">
        <v>631</v>
      </c>
      <c r="B246" s="3">
        <v>45850</v>
      </c>
      <c r="C246" t="s">
        <v>600</v>
      </c>
      <c r="D246" t="s">
        <v>520</v>
      </c>
      <c r="E246" t="s">
        <v>601</v>
      </c>
      <c r="F246" t="s">
        <v>103</v>
      </c>
      <c r="G246" t="s">
        <v>183</v>
      </c>
      <c r="H246" t="s">
        <v>97</v>
      </c>
      <c r="I246">
        <v>2</v>
      </c>
      <c r="J246" s="2">
        <v>373.3</v>
      </c>
      <c r="K246" s="4">
        <v>0</v>
      </c>
      <c r="L246" t="s">
        <v>106</v>
      </c>
      <c r="M246">
        <v>4</v>
      </c>
      <c r="N246" t="s">
        <v>147</v>
      </c>
    </row>
    <row r="247" spans="1:14">
      <c r="A247" t="s">
        <v>632</v>
      </c>
      <c r="B247" s="3">
        <v>46013</v>
      </c>
      <c r="C247" t="s">
        <v>283</v>
      </c>
      <c r="D247" t="s">
        <v>181</v>
      </c>
      <c r="E247" t="s">
        <v>284</v>
      </c>
      <c r="F247" t="s">
        <v>116</v>
      </c>
      <c r="G247" t="s">
        <v>130</v>
      </c>
      <c r="H247" t="s">
        <v>89</v>
      </c>
      <c r="I247">
        <v>1</v>
      </c>
      <c r="J247" s="2">
        <v>359.5</v>
      </c>
      <c r="K247" s="4">
        <v>0</v>
      </c>
      <c r="L247" t="s">
        <v>90</v>
      </c>
      <c r="M247">
        <v>2</v>
      </c>
      <c r="N247" t="s">
        <v>91</v>
      </c>
    </row>
    <row r="248" spans="1:14">
      <c r="A248" t="s">
        <v>633</v>
      </c>
      <c r="B248" s="3">
        <v>45743</v>
      </c>
      <c r="C248" t="s">
        <v>113</v>
      </c>
      <c r="D248" t="s">
        <v>249</v>
      </c>
      <c r="E248" t="s">
        <v>115</v>
      </c>
      <c r="F248" t="s">
        <v>111</v>
      </c>
      <c r="G248" t="s">
        <v>104</v>
      </c>
      <c r="H248" t="s">
        <v>97</v>
      </c>
      <c r="I248">
        <v>2</v>
      </c>
      <c r="J248" s="2">
        <v>416.38</v>
      </c>
      <c r="K248" s="4">
        <v>0.1</v>
      </c>
      <c r="L248" t="s">
        <v>106</v>
      </c>
      <c r="M248">
        <v>4</v>
      </c>
      <c r="N248" t="s">
        <v>91</v>
      </c>
    </row>
    <row r="249" spans="1:14">
      <c r="A249" t="s">
        <v>634</v>
      </c>
      <c r="B249" s="3">
        <v>45729</v>
      </c>
      <c r="C249" t="s">
        <v>600</v>
      </c>
      <c r="D249" t="s">
        <v>125</v>
      </c>
      <c r="E249" t="s">
        <v>635</v>
      </c>
      <c r="F249" t="s">
        <v>111</v>
      </c>
      <c r="G249" t="s">
        <v>171</v>
      </c>
      <c r="H249" t="s">
        <v>97</v>
      </c>
      <c r="I249">
        <v>3</v>
      </c>
      <c r="J249" s="2">
        <v>58.01</v>
      </c>
      <c r="K249" s="4">
        <v>0</v>
      </c>
      <c r="L249" t="s">
        <v>98</v>
      </c>
      <c r="M249">
        <v>3</v>
      </c>
      <c r="N249" t="s">
        <v>91</v>
      </c>
    </row>
    <row r="250" spans="1:14">
      <c r="A250" t="s">
        <v>636</v>
      </c>
      <c r="B250" s="3">
        <v>45864</v>
      </c>
      <c r="C250" t="s">
        <v>637</v>
      </c>
      <c r="D250" t="s">
        <v>469</v>
      </c>
      <c r="E250" t="s">
        <v>638</v>
      </c>
      <c r="F250" t="s">
        <v>111</v>
      </c>
      <c r="G250" t="s">
        <v>117</v>
      </c>
      <c r="H250" t="s">
        <v>89</v>
      </c>
      <c r="I250">
        <v>2</v>
      </c>
      <c r="J250" s="2">
        <v>83.7</v>
      </c>
      <c r="K250" s="4">
        <v>0.05</v>
      </c>
      <c r="L250" t="s">
        <v>353</v>
      </c>
      <c r="M250">
        <v>1</v>
      </c>
      <c r="N250" t="s">
        <v>91</v>
      </c>
    </row>
    <row r="251" spans="1:14">
      <c r="A251" t="s">
        <v>639</v>
      </c>
      <c r="B251" s="3">
        <v>45842</v>
      </c>
      <c r="C251" t="s">
        <v>132</v>
      </c>
      <c r="D251" t="s">
        <v>120</v>
      </c>
      <c r="E251" t="s">
        <v>134</v>
      </c>
      <c r="F251" t="s">
        <v>116</v>
      </c>
      <c r="G251" t="s">
        <v>117</v>
      </c>
      <c r="H251" t="s">
        <v>105</v>
      </c>
      <c r="I251">
        <v>1</v>
      </c>
      <c r="J251" s="2">
        <v>385.1</v>
      </c>
      <c r="K251" s="4">
        <v>0.1</v>
      </c>
      <c r="L251" t="s">
        <v>106</v>
      </c>
      <c r="M251">
        <v>3</v>
      </c>
      <c r="N251" t="s">
        <v>91</v>
      </c>
    </row>
    <row r="252" spans="1:14">
      <c r="A252" t="s">
        <v>640</v>
      </c>
      <c r="B252" s="3">
        <v>45884</v>
      </c>
      <c r="C252" t="s">
        <v>113</v>
      </c>
      <c r="D252" t="s">
        <v>101</v>
      </c>
      <c r="E252" t="s">
        <v>115</v>
      </c>
      <c r="F252" t="s">
        <v>87</v>
      </c>
      <c r="G252" t="s">
        <v>183</v>
      </c>
      <c r="H252" t="s">
        <v>89</v>
      </c>
      <c r="I252">
        <v>1</v>
      </c>
      <c r="J252" s="2">
        <v>296.18</v>
      </c>
      <c r="K252" s="4">
        <v>0</v>
      </c>
      <c r="L252" t="s">
        <v>106</v>
      </c>
      <c r="M252">
        <v>4</v>
      </c>
      <c r="N252" t="s">
        <v>91</v>
      </c>
    </row>
    <row r="253" spans="1:14">
      <c r="A253" t="s">
        <v>641</v>
      </c>
      <c r="B253" s="3">
        <v>45776</v>
      </c>
      <c r="C253" t="s">
        <v>313</v>
      </c>
      <c r="D253" t="s">
        <v>231</v>
      </c>
      <c r="E253" t="s">
        <v>314</v>
      </c>
      <c r="F253" t="s">
        <v>103</v>
      </c>
      <c r="G253" t="s">
        <v>117</v>
      </c>
      <c r="H253" t="s">
        <v>97</v>
      </c>
      <c r="I253">
        <v>2</v>
      </c>
      <c r="J253" s="2">
        <v>352.88</v>
      </c>
      <c r="K253" s="4">
        <v>0.15</v>
      </c>
      <c r="L253" t="s">
        <v>441</v>
      </c>
      <c r="M253">
        <v>2</v>
      </c>
      <c r="N253" t="s">
        <v>91</v>
      </c>
    </row>
    <row r="254" spans="1:14">
      <c r="A254" t="s">
        <v>642</v>
      </c>
      <c r="B254" s="3">
        <v>45691</v>
      </c>
      <c r="C254" t="s">
        <v>305</v>
      </c>
      <c r="D254" t="s">
        <v>174</v>
      </c>
      <c r="E254" t="s">
        <v>306</v>
      </c>
      <c r="F254" t="s">
        <v>145</v>
      </c>
      <c r="G254" t="s">
        <v>104</v>
      </c>
      <c r="H254" t="s">
        <v>105</v>
      </c>
      <c r="I254">
        <v>3</v>
      </c>
      <c r="J254" s="2">
        <v>36.1</v>
      </c>
      <c r="K254" s="4">
        <v>0</v>
      </c>
      <c r="L254" t="s">
        <v>106</v>
      </c>
      <c r="M254">
        <v>8</v>
      </c>
      <c r="N254" t="s">
        <v>91</v>
      </c>
    </row>
    <row r="255" spans="1:14">
      <c r="A255" t="s">
        <v>643</v>
      </c>
      <c r="B255" s="3">
        <v>45829</v>
      </c>
      <c r="C255" t="s">
        <v>644</v>
      </c>
      <c r="D255" t="s">
        <v>217</v>
      </c>
      <c r="E255" t="s">
        <v>645</v>
      </c>
      <c r="F255" t="s">
        <v>145</v>
      </c>
      <c r="G255" t="s">
        <v>88</v>
      </c>
      <c r="H255" t="s">
        <v>246</v>
      </c>
      <c r="I255">
        <v>1</v>
      </c>
      <c r="J255" s="2">
        <v>101.87</v>
      </c>
      <c r="K255" s="4">
        <v>0.1</v>
      </c>
      <c r="L255" t="s">
        <v>98</v>
      </c>
      <c r="M255">
        <v>2</v>
      </c>
      <c r="N255" t="s">
        <v>91</v>
      </c>
    </row>
    <row r="256" spans="1:14">
      <c r="A256" t="s">
        <v>646</v>
      </c>
      <c r="B256" s="3">
        <v>46020</v>
      </c>
      <c r="C256" t="s">
        <v>647</v>
      </c>
      <c r="D256" t="s">
        <v>133</v>
      </c>
      <c r="E256" t="s">
        <v>648</v>
      </c>
      <c r="F256" t="s">
        <v>145</v>
      </c>
      <c r="G256" t="s">
        <v>122</v>
      </c>
      <c r="H256" t="s">
        <v>89</v>
      </c>
      <c r="I256">
        <v>2</v>
      </c>
      <c r="J256" s="2">
        <v>349.83</v>
      </c>
      <c r="K256" s="4">
        <v>0</v>
      </c>
      <c r="L256" t="s">
        <v>98</v>
      </c>
      <c r="M256">
        <v>4</v>
      </c>
      <c r="N256" t="s">
        <v>91</v>
      </c>
    </row>
    <row r="257" spans="1:14">
      <c r="A257" t="s">
        <v>649</v>
      </c>
      <c r="B257" s="3">
        <v>45786</v>
      </c>
      <c r="C257" t="s">
        <v>610</v>
      </c>
      <c r="D257" t="s">
        <v>231</v>
      </c>
      <c r="E257" t="s">
        <v>611</v>
      </c>
      <c r="F257" t="s">
        <v>103</v>
      </c>
      <c r="G257" t="s">
        <v>96</v>
      </c>
      <c r="H257" t="s">
        <v>89</v>
      </c>
      <c r="I257">
        <v>1</v>
      </c>
      <c r="J257" s="2">
        <v>343.83</v>
      </c>
      <c r="K257" s="4">
        <v>0</v>
      </c>
      <c r="L257" t="s">
        <v>504</v>
      </c>
      <c r="M257">
        <v>6</v>
      </c>
      <c r="N257" t="s">
        <v>91</v>
      </c>
    </row>
    <row r="258" spans="1:14">
      <c r="A258" t="s">
        <v>650</v>
      </c>
      <c r="B258" s="3">
        <v>45838</v>
      </c>
      <c r="C258" t="s">
        <v>326</v>
      </c>
      <c r="D258" t="s">
        <v>271</v>
      </c>
      <c r="E258" t="s">
        <v>327</v>
      </c>
      <c r="F258" t="s">
        <v>103</v>
      </c>
      <c r="G258" t="s">
        <v>183</v>
      </c>
      <c r="H258" t="s">
        <v>89</v>
      </c>
      <c r="I258">
        <v>5</v>
      </c>
      <c r="J258" s="2">
        <v>214.13</v>
      </c>
      <c r="K258" s="4">
        <v>0.15</v>
      </c>
      <c r="L258" t="s">
        <v>106</v>
      </c>
      <c r="M258">
        <v>3</v>
      </c>
      <c r="N258" t="s">
        <v>91</v>
      </c>
    </row>
    <row r="259" spans="1:14">
      <c r="A259" t="s">
        <v>651</v>
      </c>
      <c r="B259" s="3">
        <v>45817</v>
      </c>
      <c r="C259" t="s">
        <v>343</v>
      </c>
      <c r="D259" t="s">
        <v>157</v>
      </c>
      <c r="E259" t="s">
        <v>344</v>
      </c>
      <c r="F259" t="s">
        <v>87</v>
      </c>
      <c r="G259" t="s">
        <v>130</v>
      </c>
      <c r="H259" t="s">
        <v>89</v>
      </c>
      <c r="I259">
        <v>2</v>
      </c>
      <c r="J259" s="2">
        <v>278.27</v>
      </c>
      <c r="K259" s="4">
        <v>0.2</v>
      </c>
      <c r="L259" t="s">
        <v>98</v>
      </c>
      <c r="M259">
        <v>5</v>
      </c>
      <c r="N259" t="s">
        <v>91</v>
      </c>
    </row>
    <row r="260" spans="1:14">
      <c r="A260" t="s">
        <v>652</v>
      </c>
      <c r="B260" s="3">
        <v>45847</v>
      </c>
      <c r="C260" t="s">
        <v>653</v>
      </c>
      <c r="D260" t="s">
        <v>249</v>
      </c>
      <c r="E260" t="s">
        <v>654</v>
      </c>
      <c r="F260" t="s">
        <v>655</v>
      </c>
      <c r="G260" t="s">
        <v>130</v>
      </c>
      <c r="H260" t="s">
        <v>105</v>
      </c>
      <c r="I260">
        <v>3</v>
      </c>
      <c r="J260" s="2">
        <v>404.74</v>
      </c>
      <c r="K260" s="4">
        <v>0.05</v>
      </c>
      <c r="L260" t="s">
        <v>98</v>
      </c>
      <c r="M260">
        <v>3</v>
      </c>
      <c r="N260" t="s">
        <v>147</v>
      </c>
    </row>
    <row r="261" spans="1:14">
      <c r="A261" t="s">
        <v>656</v>
      </c>
      <c r="B261" s="3">
        <v>45980</v>
      </c>
      <c r="C261" t="s">
        <v>93</v>
      </c>
      <c r="D261" t="s">
        <v>271</v>
      </c>
      <c r="E261" t="s">
        <v>95</v>
      </c>
      <c r="F261" t="s">
        <v>116</v>
      </c>
      <c r="G261" t="s">
        <v>96</v>
      </c>
      <c r="H261" t="s">
        <v>89</v>
      </c>
      <c r="I261">
        <v>3</v>
      </c>
      <c r="J261" s="2">
        <v>223.29</v>
      </c>
      <c r="K261" s="4">
        <v>0.2</v>
      </c>
      <c r="L261" t="s">
        <v>98</v>
      </c>
      <c r="M261">
        <v>3</v>
      </c>
      <c r="N261" t="s">
        <v>91</v>
      </c>
    </row>
    <row r="262" spans="1:14">
      <c r="A262" t="s">
        <v>657</v>
      </c>
      <c r="B262" s="3">
        <v>45780</v>
      </c>
      <c r="C262" t="s">
        <v>313</v>
      </c>
      <c r="D262" t="s">
        <v>94</v>
      </c>
      <c r="E262" t="s">
        <v>314</v>
      </c>
      <c r="F262" t="s">
        <v>103</v>
      </c>
      <c r="G262" t="s">
        <v>130</v>
      </c>
      <c r="H262" t="s">
        <v>233</v>
      </c>
      <c r="I262">
        <v>1</v>
      </c>
      <c r="J262" s="2">
        <v>293.24</v>
      </c>
      <c r="K262" s="4">
        <v>0.1</v>
      </c>
      <c r="L262" t="s">
        <v>90</v>
      </c>
      <c r="M262">
        <v>1</v>
      </c>
      <c r="N262" t="s">
        <v>91</v>
      </c>
    </row>
    <row r="263" spans="1:14">
      <c r="A263" t="s">
        <v>658</v>
      </c>
      <c r="B263" s="3">
        <v>45685</v>
      </c>
      <c r="C263" t="s">
        <v>569</v>
      </c>
      <c r="D263" t="s">
        <v>217</v>
      </c>
      <c r="E263" t="s">
        <v>570</v>
      </c>
      <c r="F263" t="s">
        <v>116</v>
      </c>
      <c r="G263" t="s">
        <v>122</v>
      </c>
      <c r="H263" t="s">
        <v>97</v>
      </c>
      <c r="I263">
        <v>2</v>
      </c>
      <c r="J263" s="2">
        <v>104.7</v>
      </c>
      <c r="K263" s="4">
        <v>0.15</v>
      </c>
      <c r="L263" t="s">
        <v>90</v>
      </c>
      <c r="M263">
        <v>0</v>
      </c>
      <c r="N263" t="s">
        <v>91</v>
      </c>
    </row>
    <row r="264" spans="1:14">
      <c r="A264" t="s">
        <v>659</v>
      </c>
      <c r="B264" s="3">
        <v>45700</v>
      </c>
      <c r="C264" t="s">
        <v>203</v>
      </c>
      <c r="D264" t="s">
        <v>165</v>
      </c>
      <c r="E264" t="s">
        <v>573</v>
      </c>
      <c r="F264" t="s">
        <v>116</v>
      </c>
      <c r="G264" t="s">
        <v>171</v>
      </c>
      <c r="H264" t="s">
        <v>167</v>
      </c>
      <c r="I264">
        <v>1</v>
      </c>
      <c r="J264" s="2">
        <v>104.04</v>
      </c>
      <c r="K264" s="4">
        <v>0</v>
      </c>
      <c r="L264" t="s">
        <v>98</v>
      </c>
      <c r="M264">
        <v>6</v>
      </c>
      <c r="N264" t="s">
        <v>91</v>
      </c>
    </row>
    <row r="265" spans="1:14">
      <c r="A265" t="s">
        <v>660</v>
      </c>
      <c r="B265" s="3">
        <v>45918</v>
      </c>
      <c r="C265" t="s">
        <v>661</v>
      </c>
      <c r="D265" t="s">
        <v>418</v>
      </c>
      <c r="E265" t="s">
        <v>662</v>
      </c>
      <c r="F265" t="s">
        <v>111</v>
      </c>
      <c r="G265" t="s">
        <v>183</v>
      </c>
      <c r="H265" t="s">
        <v>97</v>
      </c>
      <c r="I265">
        <v>1</v>
      </c>
      <c r="J265" s="2">
        <v>374.04</v>
      </c>
      <c r="K265" s="4">
        <v>0.1</v>
      </c>
      <c r="L265" t="s">
        <v>98</v>
      </c>
      <c r="M265">
        <v>3</v>
      </c>
      <c r="N265" t="s">
        <v>147</v>
      </c>
    </row>
    <row r="266" spans="1:14">
      <c r="A266" t="s">
        <v>663</v>
      </c>
      <c r="B266" s="3">
        <v>45729</v>
      </c>
      <c r="C266" t="s">
        <v>597</v>
      </c>
      <c r="D266" t="s">
        <v>85</v>
      </c>
      <c r="E266" t="s">
        <v>598</v>
      </c>
      <c r="F266" t="s">
        <v>87</v>
      </c>
      <c r="G266" t="s">
        <v>122</v>
      </c>
      <c r="H266" t="s">
        <v>89</v>
      </c>
      <c r="I266">
        <v>3</v>
      </c>
      <c r="J266" s="2">
        <v>313.31</v>
      </c>
      <c r="K266" s="4">
        <v>0.2</v>
      </c>
      <c r="L266" t="s">
        <v>106</v>
      </c>
      <c r="M266">
        <v>2</v>
      </c>
      <c r="N266" t="s">
        <v>91</v>
      </c>
    </row>
    <row r="267" spans="1:14">
      <c r="A267" t="s">
        <v>664</v>
      </c>
      <c r="B267" s="3">
        <v>45945</v>
      </c>
      <c r="C267" t="s">
        <v>316</v>
      </c>
      <c r="D267" t="s">
        <v>136</v>
      </c>
      <c r="E267" t="s">
        <v>317</v>
      </c>
      <c r="F267" t="s">
        <v>111</v>
      </c>
      <c r="G267" t="s">
        <v>183</v>
      </c>
      <c r="H267" t="s">
        <v>97</v>
      </c>
      <c r="I267">
        <v>5</v>
      </c>
      <c r="J267" s="2">
        <v>150.72999999999999</v>
      </c>
      <c r="K267" s="4">
        <v>0.05</v>
      </c>
      <c r="L267" t="s">
        <v>90</v>
      </c>
      <c r="M267">
        <v>2</v>
      </c>
      <c r="N267" t="s">
        <v>91</v>
      </c>
    </row>
    <row r="268" spans="1:14">
      <c r="A268" t="s">
        <v>665</v>
      </c>
      <c r="B268" s="3">
        <v>45854</v>
      </c>
      <c r="C268" t="s">
        <v>480</v>
      </c>
      <c r="D268" t="s">
        <v>165</v>
      </c>
      <c r="E268" t="s">
        <v>481</v>
      </c>
      <c r="F268" t="s">
        <v>103</v>
      </c>
      <c r="G268" t="s">
        <v>122</v>
      </c>
      <c r="H268" t="s">
        <v>97</v>
      </c>
      <c r="I268">
        <v>5</v>
      </c>
      <c r="J268" s="2">
        <v>102.86</v>
      </c>
      <c r="K268" s="4">
        <v>0.05</v>
      </c>
      <c r="L268" t="s">
        <v>106</v>
      </c>
      <c r="M268">
        <v>2</v>
      </c>
      <c r="N268" t="s">
        <v>91</v>
      </c>
    </row>
    <row r="269" spans="1:14">
      <c r="A269" t="s">
        <v>666</v>
      </c>
      <c r="B269" s="3">
        <v>45827</v>
      </c>
      <c r="C269" t="s">
        <v>438</v>
      </c>
      <c r="D269" t="s">
        <v>190</v>
      </c>
      <c r="E269" t="s">
        <v>439</v>
      </c>
      <c r="F269" t="s">
        <v>111</v>
      </c>
      <c r="G269" t="s">
        <v>117</v>
      </c>
      <c r="H269" t="s">
        <v>97</v>
      </c>
      <c r="I269">
        <v>3</v>
      </c>
      <c r="J269" s="2">
        <v>275.74</v>
      </c>
      <c r="K269" s="4">
        <v>0.1</v>
      </c>
      <c r="L269" t="s">
        <v>353</v>
      </c>
      <c r="M269">
        <v>3</v>
      </c>
      <c r="N269" t="s">
        <v>91</v>
      </c>
    </row>
    <row r="270" spans="1:14">
      <c r="A270" t="s">
        <v>667</v>
      </c>
      <c r="B270" s="3">
        <v>45957</v>
      </c>
      <c r="C270" t="s">
        <v>427</v>
      </c>
      <c r="D270" t="s">
        <v>94</v>
      </c>
      <c r="E270" t="s">
        <v>428</v>
      </c>
      <c r="F270" t="s">
        <v>116</v>
      </c>
      <c r="G270" t="s">
        <v>117</v>
      </c>
      <c r="H270" t="s">
        <v>97</v>
      </c>
      <c r="I270">
        <v>1</v>
      </c>
      <c r="J270" s="2">
        <v>290.17</v>
      </c>
      <c r="K270" s="4">
        <v>0.15</v>
      </c>
      <c r="L270" t="s">
        <v>106</v>
      </c>
      <c r="M270">
        <v>4</v>
      </c>
      <c r="N270" t="s">
        <v>91</v>
      </c>
    </row>
    <row r="271" spans="1:14">
      <c r="A271" t="s">
        <v>668</v>
      </c>
      <c r="B271" s="3">
        <v>45936</v>
      </c>
      <c r="C271" t="s">
        <v>203</v>
      </c>
      <c r="D271" t="s">
        <v>346</v>
      </c>
      <c r="E271" t="s">
        <v>573</v>
      </c>
      <c r="F271" t="s">
        <v>116</v>
      </c>
      <c r="G271" t="s">
        <v>104</v>
      </c>
      <c r="H271" t="s">
        <v>97</v>
      </c>
      <c r="I271">
        <v>2</v>
      </c>
      <c r="J271" s="2">
        <v>250.11</v>
      </c>
      <c r="K271" s="4">
        <v>0</v>
      </c>
      <c r="L271" t="s">
        <v>98</v>
      </c>
      <c r="M271">
        <v>2</v>
      </c>
      <c r="N271" t="s">
        <v>91</v>
      </c>
    </row>
    <row r="272" spans="1:14">
      <c r="A272" t="s">
        <v>669</v>
      </c>
      <c r="B272" s="3">
        <v>45755</v>
      </c>
      <c r="C272" t="s">
        <v>670</v>
      </c>
      <c r="D272" t="s">
        <v>157</v>
      </c>
      <c r="E272" t="s">
        <v>671</v>
      </c>
      <c r="F272" t="s">
        <v>87</v>
      </c>
      <c r="G272" t="s">
        <v>130</v>
      </c>
      <c r="H272" t="s">
        <v>89</v>
      </c>
      <c r="I272">
        <v>2</v>
      </c>
      <c r="J272" s="2">
        <v>285.47000000000003</v>
      </c>
      <c r="K272" s="4">
        <v>0</v>
      </c>
      <c r="L272" t="s">
        <v>106</v>
      </c>
      <c r="M272">
        <v>1</v>
      </c>
      <c r="N272" t="s">
        <v>91</v>
      </c>
    </row>
    <row r="273" spans="1:14">
      <c r="A273" t="s">
        <v>672</v>
      </c>
      <c r="B273" s="3">
        <v>45861</v>
      </c>
      <c r="C273" t="s">
        <v>597</v>
      </c>
      <c r="D273" t="s">
        <v>85</v>
      </c>
      <c r="E273" t="s">
        <v>598</v>
      </c>
      <c r="F273" t="s">
        <v>87</v>
      </c>
      <c r="G273" t="s">
        <v>104</v>
      </c>
      <c r="H273" t="s">
        <v>105</v>
      </c>
      <c r="I273">
        <v>3</v>
      </c>
      <c r="J273" s="2">
        <v>297.58999999999997</v>
      </c>
      <c r="K273" s="4">
        <v>0.05</v>
      </c>
      <c r="L273" t="s">
        <v>98</v>
      </c>
      <c r="M273">
        <v>6</v>
      </c>
      <c r="N273" t="s">
        <v>91</v>
      </c>
    </row>
    <row r="274" spans="1:14">
      <c r="A274" t="s">
        <v>673</v>
      </c>
      <c r="B274" s="3">
        <v>46004</v>
      </c>
      <c r="C274" t="s">
        <v>594</v>
      </c>
      <c r="D274" t="s">
        <v>252</v>
      </c>
      <c r="E274" t="s">
        <v>595</v>
      </c>
      <c r="F274" t="s">
        <v>116</v>
      </c>
      <c r="G274" t="s">
        <v>117</v>
      </c>
      <c r="H274" t="s">
        <v>105</v>
      </c>
      <c r="I274">
        <v>3</v>
      </c>
      <c r="J274" s="2">
        <v>272.70999999999998</v>
      </c>
      <c r="K274" s="4">
        <v>0.25</v>
      </c>
      <c r="L274" t="s">
        <v>106</v>
      </c>
      <c r="M274">
        <v>3</v>
      </c>
      <c r="N274" t="s">
        <v>91</v>
      </c>
    </row>
    <row r="275" spans="1:14">
      <c r="A275" t="s">
        <v>674</v>
      </c>
      <c r="B275" s="3">
        <v>45858</v>
      </c>
      <c r="C275" t="s">
        <v>675</v>
      </c>
      <c r="D275" t="s">
        <v>120</v>
      </c>
      <c r="E275" t="s">
        <v>676</v>
      </c>
      <c r="F275" t="s">
        <v>111</v>
      </c>
      <c r="G275" t="s">
        <v>104</v>
      </c>
      <c r="H275" t="s">
        <v>97</v>
      </c>
      <c r="I275">
        <v>1</v>
      </c>
      <c r="J275" s="2">
        <v>402.61</v>
      </c>
      <c r="K275" s="4">
        <v>0.05</v>
      </c>
      <c r="L275" t="s">
        <v>106</v>
      </c>
      <c r="M275">
        <v>4</v>
      </c>
      <c r="N275" t="s">
        <v>91</v>
      </c>
    </row>
    <row r="276" spans="1:14">
      <c r="A276" t="s">
        <v>677</v>
      </c>
      <c r="B276" s="3">
        <v>45955</v>
      </c>
      <c r="C276" t="s">
        <v>248</v>
      </c>
      <c r="D276" t="s">
        <v>149</v>
      </c>
      <c r="E276" t="s">
        <v>678</v>
      </c>
      <c r="F276" t="s">
        <v>116</v>
      </c>
      <c r="G276" t="s">
        <v>122</v>
      </c>
      <c r="H276" t="s">
        <v>89</v>
      </c>
      <c r="I276">
        <v>3</v>
      </c>
      <c r="J276" s="2">
        <v>84.93</v>
      </c>
      <c r="K276" s="4">
        <v>0</v>
      </c>
      <c r="L276" t="s">
        <v>90</v>
      </c>
      <c r="M276">
        <v>6</v>
      </c>
      <c r="N276" t="s">
        <v>91</v>
      </c>
    </row>
    <row r="277" spans="1:14">
      <c r="A277" t="s">
        <v>679</v>
      </c>
      <c r="B277" s="3">
        <v>45660</v>
      </c>
      <c r="C277" t="s">
        <v>93</v>
      </c>
      <c r="D277" t="s">
        <v>210</v>
      </c>
      <c r="E277" t="s">
        <v>95</v>
      </c>
      <c r="F277" t="s">
        <v>145</v>
      </c>
      <c r="G277" t="s">
        <v>117</v>
      </c>
      <c r="H277" t="s">
        <v>105</v>
      </c>
      <c r="I277">
        <v>2</v>
      </c>
      <c r="J277" s="2">
        <v>300.93</v>
      </c>
      <c r="K277" s="4">
        <v>0.2</v>
      </c>
      <c r="L277" t="s">
        <v>253</v>
      </c>
      <c r="M277">
        <v>1</v>
      </c>
      <c r="N277" t="s">
        <v>91</v>
      </c>
    </row>
    <row r="278" spans="1:14">
      <c r="A278" t="s">
        <v>680</v>
      </c>
      <c r="B278" s="3">
        <v>45700</v>
      </c>
      <c r="C278" t="s">
        <v>193</v>
      </c>
      <c r="D278" t="s">
        <v>277</v>
      </c>
      <c r="E278" t="s">
        <v>195</v>
      </c>
      <c r="F278" t="s">
        <v>145</v>
      </c>
      <c r="G278" t="s">
        <v>88</v>
      </c>
      <c r="H278" t="s">
        <v>89</v>
      </c>
      <c r="I278">
        <v>2</v>
      </c>
      <c r="J278" s="2">
        <v>381.2</v>
      </c>
      <c r="K278" s="4">
        <v>0</v>
      </c>
      <c r="L278" t="s">
        <v>106</v>
      </c>
      <c r="M278">
        <v>7</v>
      </c>
      <c r="N278" t="s">
        <v>91</v>
      </c>
    </row>
    <row r="279" spans="1:14">
      <c r="A279" t="s">
        <v>681</v>
      </c>
      <c r="B279" s="3">
        <v>45758</v>
      </c>
      <c r="C279" t="s">
        <v>177</v>
      </c>
      <c r="D279" t="s">
        <v>249</v>
      </c>
      <c r="E279" t="s">
        <v>682</v>
      </c>
      <c r="F279" t="s">
        <v>111</v>
      </c>
      <c r="G279" t="s">
        <v>88</v>
      </c>
      <c r="H279" t="s">
        <v>97</v>
      </c>
      <c r="I279">
        <v>2</v>
      </c>
      <c r="J279" s="2">
        <v>405.16</v>
      </c>
      <c r="K279" s="4">
        <v>0</v>
      </c>
      <c r="L279" t="s">
        <v>106</v>
      </c>
      <c r="M279">
        <v>1</v>
      </c>
      <c r="N279" t="s">
        <v>91</v>
      </c>
    </row>
    <row r="280" spans="1:14">
      <c r="A280" t="s">
        <v>683</v>
      </c>
      <c r="B280" s="3">
        <v>45660</v>
      </c>
      <c r="C280" t="s">
        <v>209</v>
      </c>
      <c r="D280" t="s">
        <v>152</v>
      </c>
      <c r="E280" t="s">
        <v>211</v>
      </c>
      <c r="F280" t="s">
        <v>655</v>
      </c>
      <c r="G280" t="s">
        <v>130</v>
      </c>
      <c r="H280" t="s">
        <v>97</v>
      </c>
      <c r="I280">
        <v>1</v>
      </c>
      <c r="J280" s="2">
        <v>139.33000000000001</v>
      </c>
      <c r="K280" s="4">
        <v>0.05</v>
      </c>
      <c r="L280" t="s">
        <v>106</v>
      </c>
      <c r="M280">
        <v>3</v>
      </c>
      <c r="N280" t="s">
        <v>91</v>
      </c>
    </row>
    <row r="281" spans="1:14">
      <c r="A281" t="s">
        <v>684</v>
      </c>
      <c r="B281" s="3">
        <v>45923</v>
      </c>
      <c r="C281" t="s">
        <v>239</v>
      </c>
      <c r="D281" t="s">
        <v>303</v>
      </c>
      <c r="E281" t="s">
        <v>240</v>
      </c>
      <c r="F281" t="s">
        <v>111</v>
      </c>
      <c r="G281" t="s">
        <v>88</v>
      </c>
      <c r="H281" t="s">
        <v>97</v>
      </c>
      <c r="I281">
        <v>4</v>
      </c>
      <c r="J281" s="2">
        <v>153.82</v>
      </c>
      <c r="K281" s="4">
        <v>0</v>
      </c>
      <c r="L281" t="s">
        <v>106</v>
      </c>
      <c r="M281">
        <v>2</v>
      </c>
      <c r="N281" t="s">
        <v>91</v>
      </c>
    </row>
    <row r="282" spans="1:14">
      <c r="A282" t="s">
        <v>685</v>
      </c>
      <c r="B282" s="3">
        <v>45708</v>
      </c>
      <c r="C282" t="s">
        <v>600</v>
      </c>
      <c r="D282" t="s">
        <v>255</v>
      </c>
      <c r="E282" t="s">
        <v>601</v>
      </c>
      <c r="F282" t="s">
        <v>116</v>
      </c>
      <c r="G282" t="s">
        <v>122</v>
      </c>
      <c r="H282" t="s">
        <v>89</v>
      </c>
      <c r="I282">
        <v>1</v>
      </c>
      <c r="J282" s="2">
        <v>234.76</v>
      </c>
      <c r="K282" s="4">
        <v>0.15</v>
      </c>
      <c r="L282" t="s">
        <v>90</v>
      </c>
      <c r="M282">
        <v>1</v>
      </c>
      <c r="N282" t="s">
        <v>147</v>
      </c>
    </row>
    <row r="283" spans="1:14">
      <c r="A283" t="s">
        <v>686</v>
      </c>
      <c r="B283" s="3">
        <v>45682</v>
      </c>
      <c r="C283" t="s">
        <v>374</v>
      </c>
      <c r="D283" t="s">
        <v>323</v>
      </c>
      <c r="E283" t="s">
        <v>375</v>
      </c>
      <c r="F283" t="s">
        <v>145</v>
      </c>
      <c r="G283" t="s">
        <v>96</v>
      </c>
      <c r="H283" t="s">
        <v>308</v>
      </c>
      <c r="I283">
        <v>1</v>
      </c>
      <c r="J283" s="2">
        <v>337.81</v>
      </c>
      <c r="K283" s="4">
        <v>0.1</v>
      </c>
      <c r="L283" t="s">
        <v>521</v>
      </c>
      <c r="M283">
        <v>5</v>
      </c>
      <c r="N283" t="s">
        <v>147</v>
      </c>
    </row>
    <row r="284" spans="1:14">
      <c r="A284" t="s">
        <v>687</v>
      </c>
      <c r="B284" s="3">
        <v>45872</v>
      </c>
      <c r="C284" t="s">
        <v>463</v>
      </c>
      <c r="D284" t="s">
        <v>181</v>
      </c>
      <c r="E284" t="s">
        <v>464</v>
      </c>
      <c r="F284" t="s">
        <v>145</v>
      </c>
      <c r="G284" t="s">
        <v>171</v>
      </c>
      <c r="H284" t="s">
        <v>105</v>
      </c>
      <c r="I284">
        <v>3</v>
      </c>
      <c r="J284" s="2">
        <v>359.35</v>
      </c>
      <c r="K284" s="4">
        <v>0.2</v>
      </c>
      <c r="L284" t="s">
        <v>106</v>
      </c>
      <c r="M284">
        <v>2</v>
      </c>
      <c r="N284" t="s">
        <v>91</v>
      </c>
    </row>
    <row r="285" spans="1:14">
      <c r="A285" t="s">
        <v>688</v>
      </c>
      <c r="B285" s="3">
        <v>45879</v>
      </c>
      <c r="C285" t="s">
        <v>480</v>
      </c>
      <c r="D285" t="s">
        <v>133</v>
      </c>
      <c r="E285" t="s">
        <v>481</v>
      </c>
      <c r="F285" t="s">
        <v>103</v>
      </c>
      <c r="G285" t="s">
        <v>117</v>
      </c>
      <c r="H285" t="s">
        <v>228</v>
      </c>
      <c r="I285">
        <v>2</v>
      </c>
      <c r="J285" s="2">
        <v>331.42</v>
      </c>
      <c r="K285" s="4">
        <v>0</v>
      </c>
      <c r="L285" t="s">
        <v>432</v>
      </c>
      <c r="M285">
        <v>7</v>
      </c>
      <c r="N285" t="s">
        <v>91</v>
      </c>
    </row>
    <row r="286" spans="1:14">
      <c r="A286" t="s">
        <v>689</v>
      </c>
      <c r="B286" s="3">
        <v>45845</v>
      </c>
      <c r="C286" t="s">
        <v>675</v>
      </c>
      <c r="D286" t="s">
        <v>85</v>
      </c>
      <c r="E286" t="s">
        <v>676</v>
      </c>
      <c r="F286" t="s">
        <v>87</v>
      </c>
      <c r="G286" t="s">
        <v>117</v>
      </c>
      <c r="H286" t="s">
        <v>97</v>
      </c>
      <c r="I286">
        <v>1</v>
      </c>
      <c r="J286" s="2">
        <v>307.8</v>
      </c>
      <c r="K286" s="4">
        <v>0</v>
      </c>
      <c r="L286" t="s">
        <v>90</v>
      </c>
      <c r="M286">
        <v>1</v>
      </c>
      <c r="N286" t="s">
        <v>91</v>
      </c>
    </row>
    <row r="287" spans="1:14">
      <c r="A287" t="s">
        <v>690</v>
      </c>
      <c r="B287" s="3">
        <v>45969</v>
      </c>
      <c r="C287" t="s">
        <v>356</v>
      </c>
      <c r="D287" t="s">
        <v>194</v>
      </c>
      <c r="E287" t="s">
        <v>357</v>
      </c>
      <c r="F287" t="s">
        <v>145</v>
      </c>
      <c r="G287" t="s">
        <v>96</v>
      </c>
      <c r="H287" t="s">
        <v>89</v>
      </c>
      <c r="I287">
        <v>3</v>
      </c>
      <c r="J287" s="2">
        <v>194.83</v>
      </c>
      <c r="K287" s="4">
        <v>0</v>
      </c>
      <c r="L287" t="s">
        <v>106</v>
      </c>
      <c r="M287">
        <v>1</v>
      </c>
      <c r="N287" t="s">
        <v>91</v>
      </c>
    </row>
    <row r="288" spans="1:14">
      <c r="A288" t="s">
        <v>691</v>
      </c>
      <c r="B288" s="3">
        <v>45871</v>
      </c>
      <c r="C288" t="s">
        <v>594</v>
      </c>
      <c r="D288" t="s">
        <v>255</v>
      </c>
      <c r="E288" t="s">
        <v>595</v>
      </c>
      <c r="F288" t="s">
        <v>116</v>
      </c>
      <c r="G288" t="s">
        <v>117</v>
      </c>
      <c r="H288" t="s">
        <v>97</v>
      </c>
      <c r="I288">
        <v>2</v>
      </c>
      <c r="J288" s="2">
        <v>238.26</v>
      </c>
      <c r="K288" s="4">
        <v>0</v>
      </c>
      <c r="L288" t="s">
        <v>90</v>
      </c>
      <c r="M288">
        <v>3</v>
      </c>
      <c r="N288" t="s">
        <v>91</v>
      </c>
    </row>
    <row r="289" spans="1:14">
      <c r="A289" t="s">
        <v>692</v>
      </c>
      <c r="B289" s="3">
        <v>45912</v>
      </c>
      <c r="C289" t="s">
        <v>169</v>
      </c>
      <c r="D289" t="s">
        <v>157</v>
      </c>
      <c r="E289" t="s">
        <v>170</v>
      </c>
      <c r="F289" t="s">
        <v>145</v>
      </c>
      <c r="G289" t="s">
        <v>96</v>
      </c>
      <c r="H289" t="s">
        <v>89</v>
      </c>
      <c r="I289">
        <v>1</v>
      </c>
      <c r="J289" s="2">
        <v>293.91000000000003</v>
      </c>
      <c r="K289" s="4">
        <v>0.15</v>
      </c>
      <c r="L289" t="s">
        <v>106</v>
      </c>
      <c r="M289">
        <v>8</v>
      </c>
      <c r="N289" t="s">
        <v>91</v>
      </c>
    </row>
    <row r="290" spans="1:14">
      <c r="A290" t="s">
        <v>693</v>
      </c>
      <c r="B290" s="3">
        <v>45920</v>
      </c>
      <c r="C290" t="s">
        <v>316</v>
      </c>
      <c r="D290" t="s">
        <v>143</v>
      </c>
      <c r="E290" t="s">
        <v>317</v>
      </c>
      <c r="F290" t="s">
        <v>116</v>
      </c>
      <c r="G290" t="s">
        <v>104</v>
      </c>
      <c r="H290" t="s">
        <v>89</v>
      </c>
      <c r="I290">
        <v>1</v>
      </c>
      <c r="J290" s="2">
        <v>274.36</v>
      </c>
      <c r="K290" s="4">
        <v>0</v>
      </c>
      <c r="L290" t="s">
        <v>106</v>
      </c>
      <c r="M290">
        <v>8</v>
      </c>
      <c r="N290" t="s">
        <v>91</v>
      </c>
    </row>
    <row r="291" spans="1:14">
      <c r="A291" t="s">
        <v>694</v>
      </c>
      <c r="B291" s="3">
        <v>45769</v>
      </c>
      <c r="C291" t="s">
        <v>695</v>
      </c>
      <c r="D291" t="s">
        <v>165</v>
      </c>
      <c r="E291" t="s">
        <v>696</v>
      </c>
      <c r="F291" t="s">
        <v>145</v>
      </c>
      <c r="G291" t="s">
        <v>88</v>
      </c>
      <c r="H291" t="s">
        <v>233</v>
      </c>
      <c r="I291">
        <v>2</v>
      </c>
      <c r="J291" s="2">
        <v>100.73</v>
      </c>
      <c r="K291" s="4">
        <v>0</v>
      </c>
      <c r="L291" t="s">
        <v>90</v>
      </c>
      <c r="M291">
        <v>3</v>
      </c>
      <c r="N291" t="s">
        <v>91</v>
      </c>
    </row>
    <row r="292" spans="1:14">
      <c r="A292" t="s">
        <v>697</v>
      </c>
      <c r="B292" s="3">
        <v>45996</v>
      </c>
      <c r="C292" t="s">
        <v>319</v>
      </c>
      <c r="D292" t="s">
        <v>303</v>
      </c>
      <c r="E292" t="s">
        <v>320</v>
      </c>
      <c r="F292" t="s">
        <v>111</v>
      </c>
      <c r="G292" t="s">
        <v>171</v>
      </c>
      <c r="H292" t="s">
        <v>97</v>
      </c>
      <c r="I292">
        <v>2</v>
      </c>
      <c r="J292" s="2">
        <v>165.88</v>
      </c>
      <c r="K292" s="4">
        <v>0.15</v>
      </c>
      <c r="L292" t="s">
        <v>90</v>
      </c>
      <c r="M292">
        <v>2</v>
      </c>
      <c r="N292" t="s">
        <v>91</v>
      </c>
    </row>
    <row r="293" spans="1:14">
      <c r="A293" t="s">
        <v>698</v>
      </c>
      <c r="B293" s="3">
        <v>45852</v>
      </c>
      <c r="C293" t="s">
        <v>699</v>
      </c>
      <c r="D293" t="s">
        <v>114</v>
      </c>
      <c r="E293" t="s">
        <v>700</v>
      </c>
      <c r="F293" t="s">
        <v>87</v>
      </c>
      <c r="G293" t="s">
        <v>171</v>
      </c>
      <c r="H293" t="s">
        <v>97</v>
      </c>
      <c r="I293">
        <v>2</v>
      </c>
      <c r="J293" s="2">
        <v>144.15</v>
      </c>
      <c r="K293" s="4">
        <v>0.2</v>
      </c>
      <c r="L293" t="s">
        <v>98</v>
      </c>
      <c r="M293">
        <v>0</v>
      </c>
      <c r="N293" t="s">
        <v>91</v>
      </c>
    </row>
    <row r="294" spans="1:14">
      <c r="A294" t="s">
        <v>701</v>
      </c>
      <c r="B294" s="3">
        <v>45828</v>
      </c>
      <c r="C294" t="s">
        <v>209</v>
      </c>
      <c r="D294" t="s">
        <v>360</v>
      </c>
      <c r="E294" t="s">
        <v>211</v>
      </c>
      <c r="F294" t="s">
        <v>103</v>
      </c>
      <c r="G294" t="s">
        <v>183</v>
      </c>
      <c r="H294" t="s">
        <v>89</v>
      </c>
      <c r="I294">
        <v>1</v>
      </c>
      <c r="J294" s="2">
        <v>64.86</v>
      </c>
      <c r="K294" s="4">
        <v>0.1</v>
      </c>
      <c r="L294" t="s">
        <v>106</v>
      </c>
      <c r="M294">
        <v>3</v>
      </c>
      <c r="N294" t="s">
        <v>91</v>
      </c>
    </row>
    <row r="295" spans="1:14">
      <c r="A295" t="s">
        <v>702</v>
      </c>
      <c r="B295" s="3">
        <v>45793</v>
      </c>
      <c r="C295" t="s">
        <v>637</v>
      </c>
      <c r="D295" t="s">
        <v>174</v>
      </c>
      <c r="E295" t="s">
        <v>638</v>
      </c>
      <c r="F295" t="s">
        <v>103</v>
      </c>
      <c r="G295" t="s">
        <v>183</v>
      </c>
      <c r="H295" t="s">
        <v>89</v>
      </c>
      <c r="I295">
        <v>1</v>
      </c>
      <c r="J295" s="2">
        <v>39.409999999999997</v>
      </c>
      <c r="K295" s="4">
        <v>0.25</v>
      </c>
      <c r="L295" t="s">
        <v>98</v>
      </c>
      <c r="M295">
        <v>1</v>
      </c>
      <c r="N295" t="s">
        <v>91</v>
      </c>
    </row>
    <row r="296" spans="1:14">
      <c r="A296" t="s">
        <v>703</v>
      </c>
      <c r="B296" s="3">
        <v>45864</v>
      </c>
      <c r="C296" t="s">
        <v>414</v>
      </c>
      <c r="D296" t="s">
        <v>149</v>
      </c>
      <c r="E296" t="s">
        <v>415</v>
      </c>
      <c r="F296" t="s">
        <v>116</v>
      </c>
      <c r="G296" t="s">
        <v>171</v>
      </c>
      <c r="H296" t="s">
        <v>89</v>
      </c>
      <c r="I296">
        <v>1</v>
      </c>
      <c r="J296" s="2">
        <v>76.13</v>
      </c>
      <c r="K296" s="4">
        <v>0.15</v>
      </c>
      <c r="L296" t="s">
        <v>90</v>
      </c>
      <c r="M296">
        <v>2</v>
      </c>
      <c r="N296" t="s">
        <v>91</v>
      </c>
    </row>
    <row r="297" spans="1:14">
      <c r="A297" t="s">
        <v>704</v>
      </c>
      <c r="B297" s="3">
        <v>45798</v>
      </c>
      <c r="C297" t="s">
        <v>466</v>
      </c>
      <c r="D297" t="s">
        <v>323</v>
      </c>
      <c r="E297" t="s">
        <v>467</v>
      </c>
      <c r="F297" t="s">
        <v>145</v>
      </c>
      <c r="G297" t="s">
        <v>130</v>
      </c>
      <c r="H297" t="s">
        <v>97</v>
      </c>
      <c r="I297">
        <v>2</v>
      </c>
      <c r="J297" s="2">
        <v>324.64</v>
      </c>
      <c r="K297" s="4">
        <v>0.15</v>
      </c>
      <c r="L297" t="s">
        <v>154</v>
      </c>
      <c r="M297">
        <v>1</v>
      </c>
      <c r="N297" t="s">
        <v>91</v>
      </c>
    </row>
    <row r="298" spans="1:14">
      <c r="A298" t="s">
        <v>705</v>
      </c>
      <c r="B298" s="3">
        <v>45727</v>
      </c>
      <c r="C298" t="s">
        <v>706</v>
      </c>
      <c r="D298" t="s">
        <v>217</v>
      </c>
      <c r="E298" t="s">
        <v>707</v>
      </c>
      <c r="F298" t="s">
        <v>111</v>
      </c>
      <c r="G298" t="s">
        <v>130</v>
      </c>
      <c r="H298" t="s">
        <v>97</v>
      </c>
      <c r="I298">
        <v>1</v>
      </c>
      <c r="J298" s="2">
        <v>100.86</v>
      </c>
      <c r="K298" s="4">
        <v>0.2</v>
      </c>
      <c r="L298" t="s">
        <v>98</v>
      </c>
      <c r="M298">
        <v>2</v>
      </c>
      <c r="N298" t="s">
        <v>91</v>
      </c>
    </row>
    <row r="299" spans="1:14">
      <c r="A299" t="s">
        <v>708</v>
      </c>
      <c r="B299" s="3">
        <v>45849</v>
      </c>
      <c r="C299" t="s">
        <v>189</v>
      </c>
      <c r="D299" t="s">
        <v>303</v>
      </c>
      <c r="E299" t="s">
        <v>457</v>
      </c>
      <c r="F299" t="s">
        <v>111</v>
      </c>
      <c r="G299" t="s">
        <v>96</v>
      </c>
      <c r="H299" t="s">
        <v>97</v>
      </c>
      <c r="I299">
        <v>1</v>
      </c>
      <c r="J299" s="2">
        <v>152.72999999999999</v>
      </c>
      <c r="K299" s="4">
        <v>0.25</v>
      </c>
      <c r="L299" t="s">
        <v>98</v>
      </c>
      <c r="M299">
        <v>3</v>
      </c>
      <c r="N299" t="s">
        <v>91</v>
      </c>
    </row>
    <row r="300" spans="1:14">
      <c r="A300" t="s">
        <v>709</v>
      </c>
      <c r="B300" s="3">
        <v>45973</v>
      </c>
      <c r="C300" t="s">
        <v>613</v>
      </c>
      <c r="D300" t="s">
        <v>323</v>
      </c>
      <c r="E300" t="s">
        <v>710</v>
      </c>
      <c r="F300" t="s">
        <v>111</v>
      </c>
      <c r="G300" t="s">
        <v>122</v>
      </c>
      <c r="H300" t="s">
        <v>97</v>
      </c>
      <c r="I300">
        <v>1</v>
      </c>
      <c r="J300" s="2">
        <v>316.62</v>
      </c>
      <c r="K300" s="4">
        <v>0</v>
      </c>
      <c r="L300" t="s">
        <v>106</v>
      </c>
      <c r="M300">
        <v>1</v>
      </c>
      <c r="N300" t="s">
        <v>91</v>
      </c>
    </row>
    <row r="301" spans="1:14">
      <c r="A301" t="s">
        <v>711</v>
      </c>
      <c r="B301" s="3">
        <v>45809</v>
      </c>
      <c r="C301" t="s">
        <v>438</v>
      </c>
      <c r="D301" t="s">
        <v>85</v>
      </c>
      <c r="E301" t="s">
        <v>439</v>
      </c>
      <c r="F301" t="s">
        <v>111</v>
      </c>
      <c r="G301" t="s">
        <v>117</v>
      </c>
      <c r="H301" t="s">
        <v>97</v>
      </c>
      <c r="I301">
        <v>2</v>
      </c>
      <c r="J301" s="2">
        <v>308.31</v>
      </c>
      <c r="K301" s="4">
        <v>0.05</v>
      </c>
      <c r="L301" t="s">
        <v>504</v>
      </c>
      <c r="M301">
        <v>3</v>
      </c>
      <c r="N301" t="s">
        <v>91</v>
      </c>
    </row>
    <row r="302" spans="1:14">
      <c r="A302" t="s">
        <v>712</v>
      </c>
      <c r="B302" s="3">
        <v>45676</v>
      </c>
      <c r="C302" t="s">
        <v>326</v>
      </c>
      <c r="D302" t="s">
        <v>143</v>
      </c>
      <c r="E302" t="s">
        <v>327</v>
      </c>
      <c r="F302" t="s">
        <v>103</v>
      </c>
      <c r="G302" t="s">
        <v>104</v>
      </c>
      <c r="H302" t="s">
        <v>89</v>
      </c>
      <c r="I302">
        <v>2</v>
      </c>
      <c r="J302" s="2">
        <v>253.83</v>
      </c>
      <c r="K302" s="4">
        <v>0.1</v>
      </c>
      <c r="L302" t="s">
        <v>98</v>
      </c>
      <c r="M302">
        <v>9</v>
      </c>
      <c r="N302" t="s">
        <v>91</v>
      </c>
    </row>
    <row r="303" spans="1:14">
      <c r="A303" t="s">
        <v>713</v>
      </c>
      <c r="B303" s="3">
        <v>45696</v>
      </c>
      <c r="C303" t="s">
        <v>414</v>
      </c>
      <c r="D303" t="s">
        <v>226</v>
      </c>
      <c r="E303" t="s">
        <v>415</v>
      </c>
      <c r="F303" t="s">
        <v>145</v>
      </c>
      <c r="G303" t="s">
        <v>171</v>
      </c>
      <c r="H303" t="s">
        <v>89</v>
      </c>
      <c r="I303">
        <v>1</v>
      </c>
      <c r="J303" s="2">
        <v>218.34</v>
      </c>
      <c r="K303" s="4">
        <v>0.15</v>
      </c>
      <c r="L303" t="s">
        <v>106</v>
      </c>
      <c r="M303">
        <v>5</v>
      </c>
      <c r="N303" t="s">
        <v>91</v>
      </c>
    </row>
    <row r="304" spans="1:14">
      <c r="A304" t="s">
        <v>714</v>
      </c>
      <c r="B304" s="3">
        <v>45682</v>
      </c>
      <c r="C304" t="s">
        <v>330</v>
      </c>
      <c r="D304" t="s">
        <v>165</v>
      </c>
      <c r="E304" t="s">
        <v>424</v>
      </c>
      <c r="F304" t="s">
        <v>87</v>
      </c>
      <c r="G304" t="s">
        <v>130</v>
      </c>
      <c r="H304" t="s">
        <v>228</v>
      </c>
      <c r="I304">
        <v>4</v>
      </c>
      <c r="J304" s="2">
        <v>106.03</v>
      </c>
      <c r="K304" s="4">
        <v>0.05</v>
      </c>
      <c r="L304" t="s">
        <v>106</v>
      </c>
      <c r="M304">
        <v>7</v>
      </c>
      <c r="N304" t="s">
        <v>91</v>
      </c>
    </row>
    <row r="305" spans="1:14">
      <c r="A305" t="s">
        <v>715</v>
      </c>
      <c r="B305" s="3">
        <v>45765</v>
      </c>
      <c r="C305" t="s">
        <v>300</v>
      </c>
      <c r="D305" t="s">
        <v>174</v>
      </c>
      <c r="E305" t="s">
        <v>301</v>
      </c>
      <c r="F305" t="s">
        <v>111</v>
      </c>
      <c r="G305" t="s">
        <v>96</v>
      </c>
      <c r="H305" t="s">
        <v>89</v>
      </c>
      <c r="I305">
        <v>3</v>
      </c>
      <c r="J305" s="2">
        <v>40.25</v>
      </c>
      <c r="K305" s="4">
        <v>0</v>
      </c>
      <c r="L305" t="s">
        <v>90</v>
      </c>
      <c r="M305">
        <v>1</v>
      </c>
      <c r="N305" t="s">
        <v>91</v>
      </c>
    </row>
    <row r="306" spans="1:14">
      <c r="A306" t="s">
        <v>716</v>
      </c>
      <c r="B306" s="3">
        <v>45968</v>
      </c>
      <c r="C306" t="s">
        <v>507</v>
      </c>
      <c r="D306" t="s">
        <v>149</v>
      </c>
      <c r="E306" t="s">
        <v>508</v>
      </c>
      <c r="F306" t="s">
        <v>103</v>
      </c>
      <c r="G306" t="s">
        <v>130</v>
      </c>
      <c r="H306" t="s">
        <v>97</v>
      </c>
      <c r="I306">
        <v>1</v>
      </c>
      <c r="J306" s="2">
        <v>79.12</v>
      </c>
      <c r="K306" s="4">
        <v>0</v>
      </c>
      <c r="L306" t="s">
        <v>106</v>
      </c>
      <c r="M306">
        <v>3</v>
      </c>
      <c r="N306" t="s">
        <v>91</v>
      </c>
    </row>
    <row r="307" spans="1:14">
      <c r="A307" t="s">
        <v>717</v>
      </c>
      <c r="B307" s="3">
        <v>45683</v>
      </c>
      <c r="C307" t="s">
        <v>108</v>
      </c>
      <c r="D307" t="s">
        <v>261</v>
      </c>
      <c r="E307" t="s">
        <v>110</v>
      </c>
      <c r="F307" t="s">
        <v>116</v>
      </c>
      <c r="G307" t="s">
        <v>183</v>
      </c>
      <c r="H307" t="s">
        <v>97</v>
      </c>
      <c r="I307">
        <v>4</v>
      </c>
      <c r="J307" s="2">
        <v>253.26</v>
      </c>
      <c r="K307" s="4">
        <v>0.15</v>
      </c>
      <c r="L307" t="s">
        <v>106</v>
      </c>
      <c r="M307">
        <v>4</v>
      </c>
      <c r="N307" t="s">
        <v>91</v>
      </c>
    </row>
    <row r="308" spans="1:14">
      <c r="A308" t="s">
        <v>718</v>
      </c>
      <c r="B308" s="3">
        <v>45818</v>
      </c>
      <c r="C308" t="s">
        <v>279</v>
      </c>
      <c r="D308" t="s">
        <v>109</v>
      </c>
      <c r="E308" t="s">
        <v>280</v>
      </c>
      <c r="F308" t="s">
        <v>87</v>
      </c>
      <c r="G308" t="s">
        <v>183</v>
      </c>
      <c r="H308" t="s">
        <v>97</v>
      </c>
      <c r="I308">
        <v>2</v>
      </c>
      <c r="J308" s="2">
        <v>201.38</v>
      </c>
      <c r="K308" s="4">
        <v>0</v>
      </c>
      <c r="L308" t="s">
        <v>504</v>
      </c>
      <c r="M308">
        <v>1</v>
      </c>
      <c r="N308" t="s">
        <v>91</v>
      </c>
    </row>
    <row r="309" spans="1:14">
      <c r="A309" t="s">
        <v>719</v>
      </c>
      <c r="B309" s="3">
        <v>45995</v>
      </c>
      <c r="C309" t="s">
        <v>197</v>
      </c>
      <c r="D309" t="s">
        <v>133</v>
      </c>
      <c r="E309" t="s">
        <v>198</v>
      </c>
      <c r="F309" t="s">
        <v>111</v>
      </c>
      <c r="G309" t="s">
        <v>117</v>
      </c>
      <c r="H309" t="s">
        <v>89</v>
      </c>
      <c r="I309">
        <v>1</v>
      </c>
      <c r="J309" s="2">
        <v>341.39</v>
      </c>
      <c r="K309" s="4">
        <v>0</v>
      </c>
      <c r="M309">
        <v>4</v>
      </c>
      <c r="N309" t="s">
        <v>91</v>
      </c>
    </row>
    <row r="310" spans="1:14">
      <c r="A310" t="s">
        <v>720</v>
      </c>
      <c r="B310" s="3">
        <v>45856</v>
      </c>
      <c r="C310" t="s">
        <v>100</v>
      </c>
      <c r="D310" t="s">
        <v>261</v>
      </c>
      <c r="E310" t="s">
        <v>102</v>
      </c>
      <c r="F310" t="s">
        <v>145</v>
      </c>
      <c r="G310" t="s">
        <v>183</v>
      </c>
      <c r="H310" t="s">
        <v>89</v>
      </c>
      <c r="I310">
        <v>3</v>
      </c>
      <c r="J310" s="2">
        <v>252.56</v>
      </c>
      <c r="K310" s="4">
        <v>0.15</v>
      </c>
      <c r="L310" t="s">
        <v>90</v>
      </c>
      <c r="M310">
        <v>5</v>
      </c>
      <c r="N310" t="s">
        <v>91</v>
      </c>
    </row>
    <row r="311" spans="1:14">
      <c r="A311" t="s">
        <v>721</v>
      </c>
      <c r="B311" s="3">
        <v>46007</v>
      </c>
      <c r="C311" t="s">
        <v>124</v>
      </c>
      <c r="D311" t="s">
        <v>114</v>
      </c>
      <c r="E311" t="s">
        <v>126</v>
      </c>
      <c r="F311" t="s">
        <v>145</v>
      </c>
      <c r="G311" t="s">
        <v>130</v>
      </c>
      <c r="H311" t="s">
        <v>105</v>
      </c>
      <c r="I311">
        <v>2</v>
      </c>
      <c r="J311" s="2">
        <v>140.47</v>
      </c>
      <c r="K311" s="4">
        <v>0.15</v>
      </c>
      <c r="L311" t="s">
        <v>106</v>
      </c>
      <c r="M311">
        <v>6</v>
      </c>
      <c r="N311" t="s">
        <v>91</v>
      </c>
    </row>
    <row r="312" spans="1:14">
      <c r="A312" t="s">
        <v>722</v>
      </c>
      <c r="B312" s="3">
        <v>45923</v>
      </c>
      <c r="C312" t="s">
        <v>647</v>
      </c>
      <c r="D312" t="s">
        <v>303</v>
      </c>
      <c r="E312" t="s">
        <v>648</v>
      </c>
      <c r="F312" t="s">
        <v>103</v>
      </c>
      <c r="G312" t="s">
        <v>104</v>
      </c>
      <c r="H312" t="s">
        <v>97</v>
      </c>
      <c r="I312">
        <v>1</v>
      </c>
      <c r="J312" s="2">
        <v>168.49</v>
      </c>
      <c r="K312" s="4">
        <v>0.05</v>
      </c>
      <c r="L312" t="s">
        <v>98</v>
      </c>
      <c r="M312">
        <v>3</v>
      </c>
      <c r="N312" t="s">
        <v>91</v>
      </c>
    </row>
    <row r="313" spans="1:14">
      <c r="A313" t="s">
        <v>723</v>
      </c>
      <c r="B313" s="3">
        <v>45795</v>
      </c>
      <c r="C313" t="s">
        <v>670</v>
      </c>
      <c r="D313" t="s">
        <v>469</v>
      </c>
      <c r="E313" t="s">
        <v>671</v>
      </c>
      <c r="F313" t="s">
        <v>111</v>
      </c>
      <c r="G313" t="s">
        <v>130</v>
      </c>
      <c r="H313" t="s">
        <v>228</v>
      </c>
      <c r="I313">
        <v>2</v>
      </c>
      <c r="J313" s="2">
        <v>82.55</v>
      </c>
      <c r="K313" s="4">
        <v>0.05</v>
      </c>
      <c r="L313" t="s">
        <v>90</v>
      </c>
      <c r="M313">
        <v>7</v>
      </c>
      <c r="N313" t="s">
        <v>91</v>
      </c>
    </row>
    <row r="314" spans="1:14">
      <c r="A314" t="s">
        <v>724</v>
      </c>
      <c r="B314" s="3">
        <v>45855</v>
      </c>
      <c r="C314" t="s">
        <v>695</v>
      </c>
      <c r="D314" t="s">
        <v>194</v>
      </c>
      <c r="E314" t="s">
        <v>696</v>
      </c>
      <c r="F314" t="s">
        <v>111</v>
      </c>
      <c r="G314" t="s">
        <v>130</v>
      </c>
      <c r="H314" t="s">
        <v>97</v>
      </c>
      <c r="I314">
        <v>2</v>
      </c>
      <c r="J314" s="2">
        <v>197.34</v>
      </c>
      <c r="K314" s="4">
        <v>0.1</v>
      </c>
      <c r="L314" t="s">
        <v>253</v>
      </c>
      <c r="M314">
        <v>1</v>
      </c>
      <c r="N314" t="s">
        <v>91</v>
      </c>
    </row>
    <row r="315" spans="1:14">
      <c r="A315" t="s">
        <v>725</v>
      </c>
      <c r="B315" s="3">
        <v>45876</v>
      </c>
      <c r="C315" t="s">
        <v>293</v>
      </c>
      <c r="D315" t="s">
        <v>94</v>
      </c>
      <c r="E315" t="s">
        <v>394</v>
      </c>
      <c r="F315" t="s">
        <v>145</v>
      </c>
      <c r="G315" t="s">
        <v>183</v>
      </c>
      <c r="H315" t="s">
        <v>97</v>
      </c>
      <c r="I315">
        <v>1</v>
      </c>
      <c r="J315" s="2">
        <v>301.12</v>
      </c>
      <c r="K315" s="4">
        <v>0.2</v>
      </c>
      <c r="L315" t="s">
        <v>106</v>
      </c>
      <c r="M315">
        <v>0</v>
      </c>
      <c r="N315" t="s">
        <v>91</v>
      </c>
    </row>
    <row r="316" spans="1:14">
      <c r="A316" t="s">
        <v>726</v>
      </c>
      <c r="B316" s="3">
        <v>45761</v>
      </c>
      <c r="C316" t="s">
        <v>695</v>
      </c>
      <c r="D316" t="s">
        <v>503</v>
      </c>
      <c r="E316" t="s">
        <v>696</v>
      </c>
      <c r="F316" t="s">
        <v>145</v>
      </c>
      <c r="G316" t="s">
        <v>104</v>
      </c>
      <c r="H316" t="s">
        <v>89</v>
      </c>
      <c r="I316">
        <v>1</v>
      </c>
      <c r="J316" s="2">
        <v>127.63</v>
      </c>
      <c r="K316" s="4">
        <v>0.05</v>
      </c>
      <c r="L316" t="s">
        <v>98</v>
      </c>
      <c r="M316">
        <v>4</v>
      </c>
      <c r="N316" t="s">
        <v>91</v>
      </c>
    </row>
    <row r="317" spans="1:14">
      <c r="A317" t="s">
        <v>727</v>
      </c>
      <c r="B317" s="3">
        <v>45762</v>
      </c>
      <c r="C317" t="s">
        <v>213</v>
      </c>
      <c r="D317" t="s">
        <v>133</v>
      </c>
      <c r="E317" t="s">
        <v>214</v>
      </c>
      <c r="F317" t="s">
        <v>103</v>
      </c>
      <c r="G317" t="s">
        <v>117</v>
      </c>
      <c r="H317" t="s">
        <v>97</v>
      </c>
      <c r="I317">
        <v>1</v>
      </c>
      <c r="J317" s="2">
        <v>337.2</v>
      </c>
      <c r="K317" s="4">
        <v>0.05</v>
      </c>
      <c r="L317" t="s">
        <v>106</v>
      </c>
      <c r="M317">
        <v>1</v>
      </c>
      <c r="N317" t="s">
        <v>91</v>
      </c>
    </row>
    <row r="318" spans="1:14">
      <c r="A318" t="s">
        <v>728</v>
      </c>
      <c r="B318" s="3">
        <v>45823</v>
      </c>
      <c r="C318" t="s">
        <v>200</v>
      </c>
      <c r="D318" t="s">
        <v>133</v>
      </c>
      <c r="E318" t="s">
        <v>201</v>
      </c>
      <c r="F318" t="s">
        <v>87</v>
      </c>
      <c r="G318" t="s">
        <v>130</v>
      </c>
      <c r="H318" t="s">
        <v>89</v>
      </c>
      <c r="I318">
        <v>1</v>
      </c>
      <c r="J318" s="2">
        <v>334.17</v>
      </c>
      <c r="K318" s="4">
        <v>0.05</v>
      </c>
      <c r="L318" t="s">
        <v>521</v>
      </c>
      <c r="M318">
        <v>7</v>
      </c>
      <c r="N318" t="s">
        <v>91</v>
      </c>
    </row>
    <row r="319" spans="1:14">
      <c r="A319" t="s">
        <v>729</v>
      </c>
      <c r="B319" s="3">
        <v>45795</v>
      </c>
      <c r="C319" t="s">
        <v>313</v>
      </c>
      <c r="D319" t="s">
        <v>120</v>
      </c>
      <c r="E319" t="s">
        <v>314</v>
      </c>
      <c r="F319" t="s">
        <v>87</v>
      </c>
      <c r="G319" t="s">
        <v>104</v>
      </c>
      <c r="H319" t="s">
        <v>308</v>
      </c>
      <c r="I319">
        <v>1</v>
      </c>
      <c r="J319" s="2">
        <v>390.94</v>
      </c>
      <c r="K319" s="4">
        <v>0.2</v>
      </c>
      <c r="L319" t="s">
        <v>253</v>
      </c>
      <c r="M319">
        <v>4</v>
      </c>
      <c r="N319" t="s">
        <v>91</v>
      </c>
    </row>
    <row r="320" spans="1:14">
      <c r="A320" t="s">
        <v>730</v>
      </c>
      <c r="B320" s="3">
        <v>45709</v>
      </c>
      <c r="C320" t="s">
        <v>610</v>
      </c>
      <c r="D320" t="s">
        <v>133</v>
      </c>
      <c r="E320" t="s">
        <v>611</v>
      </c>
      <c r="F320" t="s">
        <v>145</v>
      </c>
      <c r="G320" t="s">
        <v>88</v>
      </c>
      <c r="H320" t="s">
        <v>105</v>
      </c>
      <c r="I320">
        <v>4</v>
      </c>
      <c r="J320" s="2">
        <v>339.87</v>
      </c>
      <c r="K320" s="4">
        <v>0</v>
      </c>
      <c r="L320" t="s">
        <v>98</v>
      </c>
      <c r="M320">
        <v>8</v>
      </c>
      <c r="N320" t="s">
        <v>91</v>
      </c>
    </row>
    <row r="321" spans="1:14">
      <c r="A321" t="s">
        <v>731</v>
      </c>
      <c r="B321" s="3">
        <v>45866</v>
      </c>
      <c r="C321" t="s">
        <v>290</v>
      </c>
      <c r="D321" t="s">
        <v>252</v>
      </c>
      <c r="E321" t="s">
        <v>732</v>
      </c>
      <c r="F321" t="s">
        <v>111</v>
      </c>
      <c r="G321" t="s">
        <v>183</v>
      </c>
      <c r="H321" t="s">
        <v>97</v>
      </c>
      <c r="I321">
        <v>2</v>
      </c>
      <c r="J321" s="2">
        <v>268.60000000000002</v>
      </c>
      <c r="K321" s="4">
        <v>0.15</v>
      </c>
      <c r="L321" t="s">
        <v>90</v>
      </c>
      <c r="M321">
        <v>1</v>
      </c>
      <c r="N321" t="s">
        <v>91</v>
      </c>
    </row>
    <row r="322" spans="1:14">
      <c r="A322" t="s">
        <v>733</v>
      </c>
      <c r="B322" s="3">
        <v>45727</v>
      </c>
      <c r="C322" t="s">
        <v>396</v>
      </c>
      <c r="D322" t="s">
        <v>323</v>
      </c>
      <c r="E322" t="s">
        <v>397</v>
      </c>
      <c r="F322" t="s">
        <v>116</v>
      </c>
      <c r="G322" t="s">
        <v>104</v>
      </c>
      <c r="H322" t="s">
        <v>97</v>
      </c>
      <c r="I322">
        <v>3</v>
      </c>
      <c r="J322" s="2">
        <v>325.47000000000003</v>
      </c>
      <c r="K322" s="4">
        <v>0.25</v>
      </c>
      <c r="L322" t="s">
        <v>90</v>
      </c>
      <c r="M322">
        <v>3</v>
      </c>
      <c r="N322" t="s">
        <v>91</v>
      </c>
    </row>
    <row r="323" spans="1:14">
      <c r="A323" t="s">
        <v>734</v>
      </c>
      <c r="B323" s="3">
        <v>46007</v>
      </c>
      <c r="C323" t="s">
        <v>239</v>
      </c>
      <c r="D323" t="s">
        <v>133</v>
      </c>
      <c r="E323" t="s">
        <v>560</v>
      </c>
      <c r="F323" t="s">
        <v>87</v>
      </c>
      <c r="G323" t="s">
        <v>171</v>
      </c>
      <c r="H323" t="s">
        <v>105</v>
      </c>
      <c r="I323">
        <v>1</v>
      </c>
      <c r="J323" s="2">
        <v>354.82</v>
      </c>
      <c r="K323" s="4">
        <v>0.1</v>
      </c>
      <c r="L323" t="s">
        <v>106</v>
      </c>
      <c r="M323">
        <v>7</v>
      </c>
      <c r="N323" t="s">
        <v>91</v>
      </c>
    </row>
    <row r="324" spans="1:14">
      <c r="A324" t="s">
        <v>735</v>
      </c>
      <c r="B324" s="3">
        <v>45901</v>
      </c>
      <c r="C324" t="s">
        <v>248</v>
      </c>
      <c r="D324" t="s">
        <v>271</v>
      </c>
      <c r="E324" t="s">
        <v>250</v>
      </c>
      <c r="F324" t="s">
        <v>103</v>
      </c>
      <c r="G324" t="s">
        <v>104</v>
      </c>
      <c r="H324" t="s">
        <v>89</v>
      </c>
      <c r="I324">
        <v>1</v>
      </c>
      <c r="J324" s="2">
        <v>225.3</v>
      </c>
      <c r="K324" s="4">
        <v>0.05</v>
      </c>
      <c r="L324" t="s">
        <v>90</v>
      </c>
      <c r="M324">
        <v>4</v>
      </c>
      <c r="N324" t="s">
        <v>91</v>
      </c>
    </row>
    <row r="325" spans="1:14">
      <c r="A325" t="s">
        <v>736</v>
      </c>
      <c r="B325" s="3">
        <v>45840</v>
      </c>
      <c r="C325" t="s">
        <v>647</v>
      </c>
      <c r="D325" t="s">
        <v>249</v>
      </c>
      <c r="E325" t="s">
        <v>648</v>
      </c>
      <c r="F325" t="s">
        <v>103</v>
      </c>
      <c r="G325" t="s">
        <v>183</v>
      </c>
      <c r="H325" t="s">
        <v>105</v>
      </c>
      <c r="I325">
        <v>2</v>
      </c>
      <c r="J325" s="2">
        <v>430.2</v>
      </c>
      <c r="K325" s="4">
        <v>0</v>
      </c>
      <c r="L325" t="s">
        <v>106</v>
      </c>
      <c r="M325">
        <v>6</v>
      </c>
      <c r="N325" t="s">
        <v>91</v>
      </c>
    </row>
    <row r="326" spans="1:14">
      <c r="A326" t="s">
        <v>737</v>
      </c>
      <c r="B326" s="3">
        <v>45789</v>
      </c>
      <c r="C326" t="s">
        <v>197</v>
      </c>
      <c r="D326" t="s">
        <v>738</v>
      </c>
      <c r="E326" t="s">
        <v>198</v>
      </c>
      <c r="F326" t="s">
        <v>111</v>
      </c>
      <c r="G326" t="s">
        <v>122</v>
      </c>
      <c r="H326" t="s">
        <v>89</v>
      </c>
      <c r="I326">
        <v>3</v>
      </c>
      <c r="J326" s="2">
        <v>313.67</v>
      </c>
      <c r="K326" s="4">
        <v>0.25</v>
      </c>
      <c r="L326" t="s">
        <v>106</v>
      </c>
      <c r="M326">
        <v>7</v>
      </c>
      <c r="N326" t="s">
        <v>147</v>
      </c>
    </row>
    <row r="327" spans="1:14">
      <c r="A327" t="s">
        <v>739</v>
      </c>
      <c r="B327" s="3">
        <v>46018</v>
      </c>
      <c r="C327" t="s">
        <v>326</v>
      </c>
      <c r="D327" t="s">
        <v>226</v>
      </c>
      <c r="E327" t="s">
        <v>327</v>
      </c>
      <c r="F327" t="s">
        <v>111</v>
      </c>
      <c r="G327" t="s">
        <v>183</v>
      </c>
      <c r="H327" t="s">
        <v>89</v>
      </c>
      <c r="I327">
        <v>1</v>
      </c>
      <c r="J327" s="2">
        <v>215.29</v>
      </c>
      <c r="K327" s="4">
        <v>0</v>
      </c>
      <c r="L327" t="s">
        <v>106</v>
      </c>
      <c r="M327">
        <v>3</v>
      </c>
      <c r="N327" t="s">
        <v>147</v>
      </c>
    </row>
    <row r="328" spans="1:14">
      <c r="A328" t="s">
        <v>740</v>
      </c>
      <c r="B328" s="3">
        <v>45864</v>
      </c>
      <c r="C328" t="s">
        <v>543</v>
      </c>
      <c r="D328" t="s">
        <v>101</v>
      </c>
      <c r="E328" t="s">
        <v>544</v>
      </c>
      <c r="F328" t="s">
        <v>111</v>
      </c>
      <c r="G328" t="s">
        <v>117</v>
      </c>
      <c r="H328" t="s">
        <v>233</v>
      </c>
      <c r="I328">
        <v>1</v>
      </c>
      <c r="J328" s="2">
        <v>289.89</v>
      </c>
      <c r="K328" s="4">
        <v>0.05</v>
      </c>
      <c r="L328" t="s">
        <v>98</v>
      </c>
      <c r="M328">
        <v>1</v>
      </c>
      <c r="N328" t="s">
        <v>91</v>
      </c>
    </row>
    <row r="329" spans="1:14">
      <c r="A329" t="s">
        <v>741</v>
      </c>
      <c r="B329" s="3">
        <v>45736</v>
      </c>
      <c r="C329" t="s">
        <v>326</v>
      </c>
      <c r="D329" t="s">
        <v>181</v>
      </c>
      <c r="E329" t="s">
        <v>327</v>
      </c>
      <c r="F329" t="s">
        <v>145</v>
      </c>
      <c r="G329" t="s">
        <v>88</v>
      </c>
      <c r="H329" t="s">
        <v>233</v>
      </c>
      <c r="I329">
        <v>5</v>
      </c>
      <c r="J329" s="2">
        <v>335.95</v>
      </c>
      <c r="K329" s="4">
        <v>0</v>
      </c>
      <c r="L329" t="s">
        <v>98</v>
      </c>
      <c r="M329">
        <v>1</v>
      </c>
      <c r="N329" t="s">
        <v>91</v>
      </c>
    </row>
    <row r="330" spans="1:14">
      <c r="A330" t="s">
        <v>742</v>
      </c>
      <c r="B330" s="3">
        <v>45910</v>
      </c>
      <c r="C330" t="s">
        <v>410</v>
      </c>
      <c r="D330" t="s">
        <v>133</v>
      </c>
      <c r="E330" t="s">
        <v>411</v>
      </c>
      <c r="F330" t="s">
        <v>111</v>
      </c>
      <c r="G330" t="s">
        <v>171</v>
      </c>
      <c r="H330" t="s">
        <v>89</v>
      </c>
      <c r="I330">
        <v>1</v>
      </c>
      <c r="J330" s="2">
        <v>343.98</v>
      </c>
      <c r="K330" s="4">
        <v>0.1</v>
      </c>
      <c r="L330" t="s">
        <v>106</v>
      </c>
      <c r="M330">
        <v>3</v>
      </c>
      <c r="N330" t="s">
        <v>91</v>
      </c>
    </row>
    <row r="331" spans="1:14">
      <c r="A331" t="s">
        <v>743</v>
      </c>
      <c r="B331" s="3">
        <v>45940</v>
      </c>
      <c r="C331" t="s">
        <v>265</v>
      </c>
      <c r="D331" t="s">
        <v>271</v>
      </c>
      <c r="E331" t="s">
        <v>266</v>
      </c>
      <c r="F331" t="s">
        <v>103</v>
      </c>
      <c r="G331" t="s">
        <v>122</v>
      </c>
      <c r="H331" t="s">
        <v>97</v>
      </c>
      <c r="I331">
        <v>4</v>
      </c>
      <c r="J331" s="2">
        <v>228.16</v>
      </c>
      <c r="K331" s="4">
        <v>0.15</v>
      </c>
      <c r="L331" t="s">
        <v>98</v>
      </c>
      <c r="M331">
        <v>3</v>
      </c>
      <c r="N331" t="s">
        <v>91</v>
      </c>
    </row>
    <row r="332" spans="1:14">
      <c r="A332" t="s">
        <v>744</v>
      </c>
      <c r="B332" s="3">
        <v>45820</v>
      </c>
      <c r="C332" t="s">
        <v>695</v>
      </c>
      <c r="D332" t="s">
        <v>418</v>
      </c>
      <c r="E332" t="s">
        <v>696</v>
      </c>
      <c r="F332" t="s">
        <v>111</v>
      </c>
      <c r="G332" t="s">
        <v>96</v>
      </c>
      <c r="H332" t="s">
        <v>89</v>
      </c>
      <c r="I332">
        <v>2</v>
      </c>
      <c r="J332" s="2">
        <v>369.52</v>
      </c>
      <c r="K332" s="4">
        <v>0</v>
      </c>
      <c r="L332" t="s">
        <v>253</v>
      </c>
      <c r="M332">
        <v>4</v>
      </c>
      <c r="N332" t="s">
        <v>91</v>
      </c>
    </row>
    <row r="333" spans="1:14">
      <c r="A333" t="s">
        <v>745</v>
      </c>
      <c r="B333" s="3">
        <v>45946</v>
      </c>
      <c r="C333" t="s">
        <v>661</v>
      </c>
      <c r="D333" t="s">
        <v>249</v>
      </c>
      <c r="E333" t="s">
        <v>662</v>
      </c>
      <c r="F333" t="s">
        <v>111</v>
      </c>
      <c r="G333" t="s">
        <v>171</v>
      </c>
      <c r="H333" t="s">
        <v>89</v>
      </c>
      <c r="I333">
        <v>2</v>
      </c>
      <c r="J333" s="2">
        <v>430.93</v>
      </c>
      <c r="K333" s="4">
        <v>0.15</v>
      </c>
      <c r="L333" t="s">
        <v>106</v>
      </c>
      <c r="M333">
        <v>4</v>
      </c>
      <c r="N333" t="s">
        <v>91</v>
      </c>
    </row>
    <row r="334" spans="1:14">
      <c r="A334" t="s">
        <v>746</v>
      </c>
      <c r="B334" s="3">
        <v>45749</v>
      </c>
      <c r="C334" t="s">
        <v>239</v>
      </c>
      <c r="D334" t="s">
        <v>738</v>
      </c>
      <c r="E334" t="s">
        <v>240</v>
      </c>
      <c r="F334" t="s">
        <v>116</v>
      </c>
      <c r="G334" t="s">
        <v>88</v>
      </c>
      <c r="H334" t="s">
        <v>89</v>
      </c>
      <c r="I334">
        <v>3</v>
      </c>
      <c r="J334" s="2">
        <v>319.5</v>
      </c>
      <c r="K334" s="4">
        <v>0</v>
      </c>
      <c r="L334" t="s">
        <v>98</v>
      </c>
      <c r="M334">
        <v>2</v>
      </c>
      <c r="N334" t="s">
        <v>91</v>
      </c>
    </row>
    <row r="335" spans="1:14">
      <c r="A335" t="s">
        <v>747</v>
      </c>
      <c r="B335" s="3">
        <v>45681</v>
      </c>
      <c r="C335" t="s">
        <v>177</v>
      </c>
      <c r="D335" t="s">
        <v>125</v>
      </c>
      <c r="E335" t="s">
        <v>178</v>
      </c>
      <c r="F335" t="s">
        <v>145</v>
      </c>
      <c r="G335" t="s">
        <v>183</v>
      </c>
      <c r="H335" t="s">
        <v>97</v>
      </c>
      <c r="I335">
        <v>1</v>
      </c>
      <c r="J335" s="2">
        <v>56.55</v>
      </c>
      <c r="K335" s="4">
        <v>0.1</v>
      </c>
      <c r="L335" t="s">
        <v>98</v>
      </c>
      <c r="M335">
        <v>4</v>
      </c>
      <c r="N335" t="s">
        <v>91</v>
      </c>
    </row>
    <row r="336" spans="1:14">
      <c r="A336" t="s">
        <v>748</v>
      </c>
      <c r="B336" s="3">
        <v>45937</v>
      </c>
      <c r="C336" t="s">
        <v>124</v>
      </c>
      <c r="D336" t="s">
        <v>323</v>
      </c>
      <c r="E336" t="s">
        <v>126</v>
      </c>
      <c r="F336" t="s">
        <v>116</v>
      </c>
      <c r="G336" t="s">
        <v>88</v>
      </c>
      <c r="H336" t="s">
        <v>89</v>
      </c>
      <c r="I336">
        <v>2</v>
      </c>
      <c r="J336" s="2">
        <v>330.56</v>
      </c>
      <c r="K336" s="4">
        <v>0.2</v>
      </c>
      <c r="L336" t="s">
        <v>441</v>
      </c>
      <c r="M336">
        <v>3</v>
      </c>
      <c r="N336" t="s">
        <v>91</v>
      </c>
    </row>
    <row r="337" spans="1:14">
      <c r="A337" t="s">
        <v>749</v>
      </c>
      <c r="B337" s="3">
        <v>45950</v>
      </c>
      <c r="C337" t="s">
        <v>239</v>
      </c>
      <c r="D337" t="s">
        <v>255</v>
      </c>
      <c r="E337" t="s">
        <v>240</v>
      </c>
      <c r="F337" t="s">
        <v>145</v>
      </c>
      <c r="G337" t="s">
        <v>122</v>
      </c>
      <c r="H337" t="s">
        <v>89</v>
      </c>
      <c r="I337">
        <v>1</v>
      </c>
      <c r="J337" s="2">
        <v>249.26</v>
      </c>
      <c r="K337" s="4">
        <v>0.2</v>
      </c>
      <c r="L337" t="s">
        <v>106</v>
      </c>
      <c r="M337">
        <v>7</v>
      </c>
      <c r="N337" t="s">
        <v>91</v>
      </c>
    </row>
    <row r="338" spans="1:14">
      <c r="A338" t="s">
        <v>750</v>
      </c>
      <c r="B338" s="3">
        <v>45702</v>
      </c>
      <c r="C338" t="s">
        <v>220</v>
      </c>
      <c r="D338" t="s">
        <v>152</v>
      </c>
      <c r="E338" t="s">
        <v>222</v>
      </c>
      <c r="F338" t="s">
        <v>103</v>
      </c>
      <c r="G338" t="s">
        <v>130</v>
      </c>
      <c r="H338" t="s">
        <v>233</v>
      </c>
      <c r="I338">
        <v>1</v>
      </c>
      <c r="J338" s="2">
        <v>141.25</v>
      </c>
      <c r="K338" s="4">
        <v>0.15</v>
      </c>
      <c r="L338" t="s">
        <v>90</v>
      </c>
      <c r="M338">
        <v>4</v>
      </c>
      <c r="N338" t="s">
        <v>91</v>
      </c>
    </row>
    <row r="339" spans="1:14">
      <c r="A339" t="s">
        <v>751</v>
      </c>
      <c r="B339" s="3">
        <v>45918</v>
      </c>
      <c r="C339" t="s">
        <v>613</v>
      </c>
      <c r="D339" t="s">
        <v>157</v>
      </c>
      <c r="E339" t="s">
        <v>710</v>
      </c>
      <c r="F339" t="s">
        <v>103</v>
      </c>
      <c r="G339" t="s">
        <v>122</v>
      </c>
      <c r="H339" t="s">
        <v>97</v>
      </c>
      <c r="I339">
        <v>1</v>
      </c>
      <c r="J339" s="2">
        <v>280.99</v>
      </c>
      <c r="K339" s="4">
        <v>0</v>
      </c>
      <c r="L339" t="s">
        <v>98</v>
      </c>
      <c r="M339">
        <v>3</v>
      </c>
      <c r="N339" t="s">
        <v>91</v>
      </c>
    </row>
    <row r="340" spans="1:14">
      <c r="A340" t="s">
        <v>752</v>
      </c>
      <c r="B340" s="3">
        <v>45826</v>
      </c>
      <c r="C340" t="s">
        <v>343</v>
      </c>
      <c r="D340" t="s">
        <v>114</v>
      </c>
      <c r="E340" t="s">
        <v>344</v>
      </c>
      <c r="F340" t="s">
        <v>87</v>
      </c>
      <c r="G340" t="s">
        <v>183</v>
      </c>
      <c r="H340" t="s">
        <v>97</v>
      </c>
      <c r="I340">
        <v>1</v>
      </c>
      <c r="J340" s="2">
        <v>136.97999999999999</v>
      </c>
      <c r="K340" s="4">
        <v>0.2</v>
      </c>
      <c r="L340" t="s">
        <v>106</v>
      </c>
      <c r="M340">
        <v>4</v>
      </c>
      <c r="N340" t="s">
        <v>91</v>
      </c>
    </row>
    <row r="341" spans="1:14">
      <c r="A341" t="s">
        <v>753</v>
      </c>
      <c r="B341" s="3">
        <v>45808</v>
      </c>
      <c r="C341" t="s">
        <v>538</v>
      </c>
      <c r="D341" t="s">
        <v>190</v>
      </c>
      <c r="E341" t="s">
        <v>539</v>
      </c>
      <c r="F341" t="s">
        <v>145</v>
      </c>
      <c r="G341" t="s">
        <v>171</v>
      </c>
      <c r="H341" t="s">
        <v>97</v>
      </c>
      <c r="I341">
        <v>3</v>
      </c>
      <c r="J341" s="2">
        <v>297.43</v>
      </c>
      <c r="K341" s="4">
        <v>0.15</v>
      </c>
      <c r="L341" t="s">
        <v>98</v>
      </c>
      <c r="M341">
        <v>0</v>
      </c>
      <c r="N341" t="s">
        <v>91</v>
      </c>
    </row>
    <row r="342" spans="1:14">
      <c r="A342" t="s">
        <v>754</v>
      </c>
      <c r="B342" s="3">
        <v>45817</v>
      </c>
      <c r="C342" t="s">
        <v>173</v>
      </c>
      <c r="D342" t="s">
        <v>165</v>
      </c>
      <c r="E342" t="s">
        <v>175</v>
      </c>
      <c r="F342" t="s">
        <v>111</v>
      </c>
      <c r="G342" t="s">
        <v>183</v>
      </c>
      <c r="H342" t="s">
        <v>89</v>
      </c>
      <c r="I342">
        <v>2</v>
      </c>
      <c r="J342" s="2">
        <v>106.69</v>
      </c>
      <c r="K342" s="4">
        <v>0.1</v>
      </c>
      <c r="L342" t="s">
        <v>106</v>
      </c>
      <c r="M342">
        <v>1</v>
      </c>
      <c r="N342" t="s">
        <v>91</v>
      </c>
    </row>
    <row r="343" spans="1:14">
      <c r="A343" t="s">
        <v>755</v>
      </c>
      <c r="B343" s="3">
        <v>45676</v>
      </c>
      <c r="C343" t="s">
        <v>132</v>
      </c>
      <c r="D343" t="s">
        <v>133</v>
      </c>
      <c r="E343" t="s">
        <v>134</v>
      </c>
      <c r="F343" t="s">
        <v>145</v>
      </c>
      <c r="G343" t="s">
        <v>171</v>
      </c>
      <c r="H343" t="s">
        <v>105</v>
      </c>
      <c r="I343">
        <v>4</v>
      </c>
      <c r="J343" s="2">
        <v>344.84</v>
      </c>
      <c r="K343" s="4">
        <v>0</v>
      </c>
      <c r="L343" t="s">
        <v>90</v>
      </c>
      <c r="M343">
        <v>7</v>
      </c>
      <c r="N343" t="s">
        <v>91</v>
      </c>
    </row>
    <row r="344" spans="1:14">
      <c r="A344" t="s">
        <v>756</v>
      </c>
      <c r="B344" s="3">
        <v>45786</v>
      </c>
      <c r="C344" t="s">
        <v>564</v>
      </c>
      <c r="D344" t="s">
        <v>157</v>
      </c>
      <c r="E344" t="s">
        <v>565</v>
      </c>
      <c r="F344" t="s">
        <v>111</v>
      </c>
      <c r="G344" t="s">
        <v>130</v>
      </c>
      <c r="H344" t="s">
        <v>89</v>
      </c>
      <c r="I344">
        <v>2</v>
      </c>
      <c r="J344" s="2">
        <v>309.99</v>
      </c>
      <c r="K344" s="4">
        <v>0.05</v>
      </c>
      <c r="M344">
        <v>2</v>
      </c>
      <c r="N344" t="s">
        <v>91</v>
      </c>
    </row>
    <row r="345" spans="1:14">
      <c r="A345" t="s">
        <v>757</v>
      </c>
      <c r="B345" s="3">
        <v>45703</v>
      </c>
      <c r="C345" t="s">
        <v>758</v>
      </c>
      <c r="D345" t="s">
        <v>418</v>
      </c>
      <c r="E345" t="s">
        <v>759</v>
      </c>
      <c r="F345" t="s">
        <v>111</v>
      </c>
      <c r="G345" t="s">
        <v>96</v>
      </c>
      <c r="H345" t="s">
        <v>89</v>
      </c>
      <c r="I345">
        <v>1</v>
      </c>
      <c r="J345" s="2">
        <v>351.13</v>
      </c>
      <c r="K345" s="4">
        <v>0</v>
      </c>
      <c r="L345" t="s">
        <v>98</v>
      </c>
      <c r="M345">
        <v>8</v>
      </c>
      <c r="N345" t="s">
        <v>91</v>
      </c>
    </row>
    <row r="346" spans="1:14">
      <c r="A346" t="s">
        <v>760</v>
      </c>
      <c r="B346" s="3">
        <v>45884</v>
      </c>
      <c r="C346" t="s">
        <v>637</v>
      </c>
      <c r="D346" t="s">
        <v>217</v>
      </c>
      <c r="E346" t="s">
        <v>638</v>
      </c>
      <c r="F346" t="s">
        <v>103</v>
      </c>
      <c r="G346" t="s">
        <v>96</v>
      </c>
      <c r="H346" t="s">
        <v>89</v>
      </c>
      <c r="I346">
        <v>5</v>
      </c>
      <c r="J346" s="2">
        <v>107.3</v>
      </c>
      <c r="K346" s="4">
        <v>0</v>
      </c>
      <c r="L346" t="s">
        <v>106</v>
      </c>
      <c r="M346">
        <v>6</v>
      </c>
      <c r="N346" t="s">
        <v>91</v>
      </c>
    </row>
    <row r="347" spans="1:14">
      <c r="A347" t="s">
        <v>761</v>
      </c>
      <c r="B347" s="3">
        <v>45943</v>
      </c>
      <c r="C347" t="s">
        <v>300</v>
      </c>
      <c r="D347" t="s">
        <v>346</v>
      </c>
      <c r="E347" t="s">
        <v>301</v>
      </c>
      <c r="F347" t="s">
        <v>103</v>
      </c>
      <c r="G347" t="s">
        <v>122</v>
      </c>
      <c r="H347" t="s">
        <v>89</v>
      </c>
      <c r="I347">
        <v>1</v>
      </c>
      <c r="J347" s="2">
        <v>236.69</v>
      </c>
      <c r="K347" s="4">
        <v>0.05</v>
      </c>
      <c r="L347" t="s">
        <v>98</v>
      </c>
      <c r="M347">
        <v>5</v>
      </c>
      <c r="N347" t="s">
        <v>91</v>
      </c>
    </row>
    <row r="348" spans="1:14">
      <c r="A348" t="s">
        <v>762</v>
      </c>
      <c r="B348" s="3">
        <v>45936</v>
      </c>
      <c r="C348" t="s">
        <v>293</v>
      </c>
      <c r="D348" t="s">
        <v>261</v>
      </c>
      <c r="E348" t="s">
        <v>394</v>
      </c>
      <c r="F348" t="s">
        <v>103</v>
      </c>
      <c r="G348" t="s">
        <v>104</v>
      </c>
      <c r="H348" t="s">
        <v>89</v>
      </c>
      <c r="I348">
        <v>2</v>
      </c>
      <c r="J348" s="2">
        <v>237.79</v>
      </c>
      <c r="K348" s="4">
        <v>0.1</v>
      </c>
      <c r="L348" t="s">
        <v>106</v>
      </c>
      <c r="M348">
        <v>7</v>
      </c>
      <c r="N348" t="s">
        <v>91</v>
      </c>
    </row>
    <row r="349" spans="1:14">
      <c r="A349" t="s">
        <v>763</v>
      </c>
      <c r="B349" s="3">
        <v>45782</v>
      </c>
      <c r="C349" t="s">
        <v>386</v>
      </c>
      <c r="D349" t="s">
        <v>252</v>
      </c>
      <c r="E349" t="s">
        <v>576</v>
      </c>
      <c r="F349" t="s">
        <v>145</v>
      </c>
      <c r="G349" t="s">
        <v>122</v>
      </c>
      <c r="H349" t="s">
        <v>97</v>
      </c>
      <c r="I349">
        <v>4</v>
      </c>
      <c r="J349" s="2">
        <v>253.99</v>
      </c>
      <c r="K349" s="4">
        <v>0</v>
      </c>
      <c r="L349" t="s">
        <v>253</v>
      </c>
      <c r="M349">
        <v>4</v>
      </c>
      <c r="N349" t="s">
        <v>91</v>
      </c>
    </row>
    <row r="350" spans="1:14">
      <c r="A350" t="s">
        <v>764</v>
      </c>
      <c r="B350" s="3">
        <v>45836</v>
      </c>
      <c r="C350" t="s">
        <v>414</v>
      </c>
      <c r="D350" t="s">
        <v>125</v>
      </c>
      <c r="E350" t="s">
        <v>415</v>
      </c>
      <c r="F350" t="s">
        <v>103</v>
      </c>
      <c r="G350" t="s">
        <v>88</v>
      </c>
      <c r="H350" t="s">
        <v>89</v>
      </c>
      <c r="I350">
        <v>1</v>
      </c>
      <c r="J350" s="2">
        <v>59.27</v>
      </c>
      <c r="K350" s="4">
        <v>0.1</v>
      </c>
      <c r="L350" t="s">
        <v>106</v>
      </c>
      <c r="M350">
        <v>1</v>
      </c>
      <c r="N350" t="s">
        <v>91</v>
      </c>
    </row>
    <row r="351" spans="1:14">
      <c r="A351" t="s">
        <v>765</v>
      </c>
      <c r="B351" s="3">
        <v>45896</v>
      </c>
      <c r="C351" t="s">
        <v>466</v>
      </c>
      <c r="D351" t="s">
        <v>244</v>
      </c>
      <c r="E351" t="s">
        <v>467</v>
      </c>
      <c r="F351" t="s">
        <v>145</v>
      </c>
      <c r="G351" t="s">
        <v>183</v>
      </c>
      <c r="H351" t="s">
        <v>89</v>
      </c>
      <c r="I351">
        <v>1</v>
      </c>
      <c r="J351" s="2">
        <v>244.01</v>
      </c>
      <c r="K351" s="4">
        <v>0.05</v>
      </c>
      <c r="L351" t="s">
        <v>106</v>
      </c>
      <c r="M351">
        <v>6</v>
      </c>
      <c r="N351" t="s">
        <v>147</v>
      </c>
    </row>
    <row r="352" spans="1:14">
      <c r="A352" t="s">
        <v>766</v>
      </c>
      <c r="B352" s="3">
        <v>45777</v>
      </c>
      <c r="C352" t="s">
        <v>706</v>
      </c>
      <c r="D352" t="s">
        <v>261</v>
      </c>
      <c r="E352" t="s">
        <v>707</v>
      </c>
      <c r="F352" t="s">
        <v>145</v>
      </c>
      <c r="G352" t="s">
        <v>130</v>
      </c>
      <c r="H352" t="s">
        <v>246</v>
      </c>
      <c r="I352">
        <v>3</v>
      </c>
      <c r="J352" s="2">
        <v>255.82</v>
      </c>
      <c r="K352" s="4">
        <v>0</v>
      </c>
      <c r="L352" t="s">
        <v>90</v>
      </c>
      <c r="M352">
        <v>4</v>
      </c>
      <c r="N352" t="s">
        <v>91</v>
      </c>
    </row>
    <row r="353" spans="1:14">
      <c r="A353" t="s">
        <v>767</v>
      </c>
      <c r="B353" s="3">
        <v>45878</v>
      </c>
      <c r="C353" t="s">
        <v>197</v>
      </c>
      <c r="D353" t="s">
        <v>136</v>
      </c>
      <c r="E353" t="s">
        <v>768</v>
      </c>
      <c r="F353" t="s">
        <v>116</v>
      </c>
      <c r="G353" t="s">
        <v>104</v>
      </c>
      <c r="H353" t="s">
        <v>105</v>
      </c>
      <c r="I353">
        <v>2</v>
      </c>
      <c r="J353" s="2">
        <v>164.5</v>
      </c>
      <c r="K353" s="4">
        <v>0</v>
      </c>
      <c r="L353" t="s">
        <v>90</v>
      </c>
      <c r="M353">
        <v>2</v>
      </c>
      <c r="N353" t="s">
        <v>91</v>
      </c>
    </row>
    <row r="354" spans="1:14">
      <c r="A354" t="s">
        <v>769</v>
      </c>
      <c r="B354" s="3">
        <v>45666</v>
      </c>
      <c r="C354" t="s">
        <v>100</v>
      </c>
      <c r="D354" t="s">
        <v>323</v>
      </c>
      <c r="E354" t="s">
        <v>102</v>
      </c>
      <c r="F354" t="s">
        <v>111</v>
      </c>
      <c r="G354" t="s">
        <v>117</v>
      </c>
      <c r="H354" t="s">
        <v>97</v>
      </c>
      <c r="I354">
        <v>1</v>
      </c>
      <c r="J354" s="2">
        <v>339.34</v>
      </c>
      <c r="K354" s="4">
        <v>0.05</v>
      </c>
      <c r="L354" t="s">
        <v>106</v>
      </c>
      <c r="M354">
        <v>0</v>
      </c>
      <c r="N354" t="s">
        <v>91</v>
      </c>
    </row>
    <row r="355" spans="1:14">
      <c r="A355" t="s">
        <v>770</v>
      </c>
      <c r="B355" s="3">
        <v>46016</v>
      </c>
      <c r="C355" t="s">
        <v>349</v>
      </c>
      <c r="D355" t="s">
        <v>194</v>
      </c>
      <c r="E355" t="s">
        <v>350</v>
      </c>
      <c r="F355" t="s">
        <v>87</v>
      </c>
      <c r="G355" t="s">
        <v>130</v>
      </c>
      <c r="H355" t="s">
        <v>97</v>
      </c>
      <c r="I355">
        <v>2</v>
      </c>
      <c r="J355" s="2">
        <v>191.38</v>
      </c>
      <c r="K355" s="4">
        <v>0.15</v>
      </c>
      <c r="L355" t="s">
        <v>90</v>
      </c>
      <c r="M355">
        <v>2</v>
      </c>
      <c r="N355" t="s">
        <v>91</v>
      </c>
    </row>
    <row r="356" spans="1:14">
      <c r="A356" t="s">
        <v>771</v>
      </c>
      <c r="B356" s="3">
        <v>45771</v>
      </c>
      <c r="C356" t="s">
        <v>402</v>
      </c>
      <c r="D356" t="s">
        <v>252</v>
      </c>
      <c r="E356" t="s">
        <v>403</v>
      </c>
      <c r="F356" t="s">
        <v>116</v>
      </c>
      <c r="G356" t="s">
        <v>104</v>
      </c>
      <c r="H356" t="s">
        <v>89</v>
      </c>
      <c r="I356">
        <v>2</v>
      </c>
      <c r="J356" s="2">
        <v>283.27999999999997</v>
      </c>
      <c r="K356" s="4">
        <v>0.1</v>
      </c>
      <c r="L356" t="s">
        <v>253</v>
      </c>
      <c r="M356">
        <v>4</v>
      </c>
      <c r="N356" t="s">
        <v>147</v>
      </c>
    </row>
    <row r="357" spans="1:14">
      <c r="A357" t="s">
        <v>772</v>
      </c>
      <c r="B357" s="3">
        <v>46021</v>
      </c>
      <c r="C357" t="s">
        <v>480</v>
      </c>
      <c r="D357" t="s">
        <v>149</v>
      </c>
      <c r="E357" t="s">
        <v>773</v>
      </c>
      <c r="F357" t="s">
        <v>145</v>
      </c>
      <c r="G357" t="s">
        <v>104</v>
      </c>
      <c r="H357" t="s">
        <v>97</v>
      </c>
      <c r="I357">
        <v>3</v>
      </c>
      <c r="J357" s="2">
        <v>79.77</v>
      </c>
      <c r="K357" s="4">
        <v>0</v>
      </c>
      <c r="L357" t="s">
        <v>98</v>
      </c>
      <c r="M357">
        <v>3</v>
      </c>
      <c r="N357" t="s">
        <v>91</v>
      </c>
    </row>
    <row r="358" spans="1:14">
      <c r="A358" t="s">
        <v>774</v>
      </c>
      <c r="B358" s="3">
        <v>45879</v>
      </c>
      <c r="C358" t="s">
        <v>93</v>
      </c>
      <c r="D358" t="s">
        <v>94</v>
      </c>
      <c r="E358" t="s">
        <v>95</v>
      </c>
      <c r="F358" t="s">
        <v>87</v>
      </c>
      <c r="G358" t="s">
        <v>96</v>
      </c>
      <c r="H358" t="s">
        <v>97</v>
      </c>
      <c r="I358">
        <v>1</v>
      </c>
      <c r="J358" s="2">
        <v>307.58999999999997</v>
      </c>
      <c r="K358" s="4">
        <v>0.2</v>
      </c>
      <c r="L358" t="s">
        <v>106</v>
      </c>
      <c r="M358">
        <v>4</v>
      </c>
      <c r="N358" t="s">
        <v>91</v>
      </c>
    </row>
    <row r="359" spans="1:14">
      <c r="A359" t="s">
        <v>775</v>
      </c>
      <c r="B359" s="3">
        <v>45878</v>
      </c>
      <c r="C359" t="s">
        <v>466</v>
      </c>
      <c r="D359" t="s">
        <v>139</v>
      </c>
      <c r="E359" t="s">
        <v>467</v>
      </c>
      <c r="F359" t="s">
        <v>111</v>
      </c>
      <c r="G359" t="s">
        <v>104</v>
      </c>
      <c r="H359" t="s">
        <v>89</v>
      </c>
      <c r="I359">
        <v>2</v>
      </c>
      <c r="J359" s="2">
        <v>85.44</v>
      </c>
      <c r="K359" s="4">
        <v>0.1</v>
      </c>
      <c r="L359" t="s">
        <v>106</v>
      </c>
      <c r="M359">
        <v>7</v>
      </c>
      <c r="N359" t="s">
        <v>147</v>
      </c>
    </row>
    <row r="360" spans="1:14">
      <c r="A360" t="s">
        <v>776</v>
      </c>
      <c r="B360" s="3">
        <v>45825</v>
      </c>
      <c r="C360" t="s">
        <v>356</v>
      </c>
      <c r="D360" t="s">
        <v>181</v>
      </c>
      <c r="E360" t="s">
        <v>357</v>
      </c>
      <c r="F360" t="s">
        <v>116</v>
      </c>
      <c r="G360" t="s">
        <v>117</v>
      </c>
      <c r="H360" t="s">
        <v>89</v>
      </c>
      <c r="I360">
        <v>2</v>
      </c>
      <c r="J360" s="2">
        <v>364.57</v>
      </c>
      <c r="K360" s="4">
        <v>0.15</v>
      </c>
      <c r="M360">
        <v>1</v>
      </c>
      <c r="N360" t="s">
        <v>91</v>
      </c>
    </row>
    <row r="361" spans="1:14">
      <c r="A361" t="s">
        <v>777</v>
      </c>
      <c r="B361" s="3">
        <v>45756</v>
      </c>
      <c r="C361" t="s">
        <v>197</v>
      </c>
      <c r="D361" t="s">
        <v>221</v>
      </c>
      <c r="E361" t="s">
        <v>198</v>
      </c>
      <c r="F361" t="s">
        <v>116</v>
      </c>
      <c r="G361" t="s">
        <v>104</v>
      </c>
      <c r="H361" t="s">
        <v>89</v>
      </c>
      <c r="I361">
        <v>1</v>
      </c>
      <c r="J361" s="2">
        <v>31.76</v>
      </c>
      <c r="K361" s="4">
        <v>0.05</v>
      </c>
      <c r="L361" t="s">
        <v>106</v>
      </c>
      <c r="M361">
        <v>7</v>
      </c>
      <c r="N361" t="s">
        <v>91</v>
      </c>
    </row>
    <row r="362" spans="1:14">
      <c r="A362" t="s">
        <v>778</v>
      </c>
      <c r="B362" s="3">
        <v>45702</v>
      </c>
      <c r="C362" t="s">
        <v>296</v>
      </c>
      <c r="D362" t="s">
        <v>418</v>
      </c>
      <c r="E362" t="s">
        <v>297</v>
      </c>
      <c r="F362" t="s">
        <v>103</v>
      </c>
      <c r="G362" t="s">
        <v>96</v>
      </c>
      <c r="H362" t="s">
        <v>97</v>
      </c>
      <c r="I362">
        <v>4</v>
      </c>
      <c r="J362" s="2">
        <v>366.27</v>
      </c>
      <c r="K362" s="4">
        <v>0</v>
      </c>
      <c r="L362" t="s">
        <v>369</v>
      </c>
      <c r="M362">
        <v>0</v>
      </c>
      <c r="N362" t="s">
        <v>91</v>
      </c>
    </row>
    <row r="363" spans="1:14">
      <c r="A363" t="s">
        <v>779</v>
      </c>
      <c r="B363" s="3">
        <v>45664</v>
      </c>
      <c r="C363" t="s">
        <v>438</v>
      </c>
      <c r="D363" t="s">
        <v>152</v>
      </c>
      <c r="E363" t="s">
        <v>439</v>
      </c>
      <c r="F363" t="s">
        <v>116</v>
      </c>
      <c r="G363" t="s">
        <v>130</v>
      </c>
      <c r="H363" t="s">
        <v>89</v>
      </c>
      <c r="I363">
        <v>1</v>
      </c>
      <c r="J363" s="2">
        <v>137</v>
      </c>
      <c r="K363" s="4">
        <v>0.15</v>
      </c>
      <c r="L363" t="s">
        <v>98</v>
      </c>
      <c r="M363">
        <v>1</v>
      </c>
      <c r="N363" t="s">
        <v>91</v>
      </c>
    </row>
    <row r="364" spans="1:14">
      <c r="A364" t="s">
        <v>780</v>
      </c>
      <c r="B364" s="3">
        <v>45771</v>
      </c>
      <c r="C364" t="s">
        <v>100</v>
      </c>
      <c r="D364" t="s">
        <v>231</v>
      </c>
      <c r="E364" t="s">
        <v>102</v>
      </c>
      <c r="F364" t="s">
        <v>223</v>
      </c>
      <c r="G364" t="s">
        <v>122</v>
      </c>
      <c r="H364" t="s">
        <v>233</v>
      </c>
      <c r="I364">
        <v>2</v>
      </c>
      <c r="J364" s="2">
        <v>346.11</v>
      </c>
      <c r="K364" s="4">
        <v>0.15</v>
      </c>
      <c r="L364" t="s">
        <v>106</v>
      </c>
      <c r="M364">
        <v>0</v>
      </c>
      <c r="N364" t="s">
        <v>147</v>
      </c>
    </row>
    <row r="365" spans="1:14">
      <c r="A365" t="s">
        <v>781</v>
      </c>
      <c r="B365" s="3">
        <v>45939</v>
      </c>
      <c r="C365" t="s">
        <v>216</v>
      </c>
      <c r="D365" t="s">
        <v>244</v>
      </c>
      <c r="E365" t="s">
        <v>218</v>
      </c>
      <c r="F365" t="s">
        <v>87</v>
      </c>
      <c r="G365" t="s">
        <v>96</v>
      </c>
      <c r="H365" t="s">
        <v>89</v>
      </c>
      <c r="I365">
        <v>1</v>
      </c>
      <c r="J365" s="2">
        <v>243.13</v>
      </c>
      <c r="K365" s="4">
        <v>0</v>
      </c>
      <c r="L365" t="s">
        <v>432</v>
      </c>
      <c r="M365">
        <v>5</v>
      </c>
      <c r="N365" t="s">
        <v>91</v>
      </c>
    </row>
    <row r="366" spans="1:14">
      <c r="A366" t="s">
        <v>782</v>
      </c>
      <c r="B366" s="3">
        <v>45794</v>
      </c>
      <c r="C366" t="s">
        <v>286</v>
      </c>
      <c r="D366" t="s">
        <v>360</v>
      </c>
      <c r="E366" t="s">
        <v>287</v>
      </c>
      <c r="F366" t="s">
        <v>103</v>
      </c>
      <c r="G366" t="s">
        <v>183</v>
      </c>
      <c r="H366" t="s">
        <v>89</v>
      </c>
      <c r="I366">
        <v>4</v>
      </c>
      <c r="J366" s="2">
        <v>66.459999999999994</v>
      </c>
      <c r="K366" s="4">
        <v>0</v>
      </c>
      <c r="L366" t="s">
        <v>106</v>
      </c>
      <c r="M366">
        <v>3</v>
      </c>
      <c r="N366" t="s">
        <v>91</v>
      </c>
    </row>
    <row r="367" spans="1:14">
      <c r="A367" t="s">
        <v>783</v>
      </c>
      <c r="B367" s="3">
        <v>45898</v>
      </c>
      <c r="C367" t="s">
        <v>108</v>
      </c>
      <c r="D367" t="s">
        <v>210</v>
      </c>
      <c r="E367" t="s">
        <v>110</v>
      </c>
      <c r="F367" t="s">
        <v>103</v>
      </c>
      <c r="G367" t="s">
        <v>183</v>
      </c>
      <c r="H367" t="s">
        <v>228</v>
      </c>
      <c r="I367">
        <v>2</v>
      </c>
      <c r="J367" s="2">
        <v>320.83999999999997</v>
      </c>
      <c r="K367" s="4">
        <v>0.25</v>
      </c>
      <c r="L367" t="s">
        <v>90</v>
      </c>
      <c r="M367">
        <v>5</v>
      </c>
      <c r="N367" t="s">
        <v>91</v>
      </c>
    </row>
    <row r="368" spans="1:14">
      <c r="A368" t="s">
        <v>784</v>
      </c>
      <c r="B368" s="3">
        <v>45877</v>
      </c>
      <c r="C368" t="s">
        <v>472</v>
      </c>
      <c r="D368" t="s">
        <v>136</v>
      </c>
      <c r="E368" t="s">
        <v>473</v>
      </c>
      <c r="F368" t="s">
        <v>116</v>
      </c>
      <c r="G368" t="s">
        <v>130</v>
      </c>
      <c r="H368" t="s">
        <v>89</v>
      </c>
      <c r="I368">
        <v>3</v>
      </c>
      <c r="J368" s="2">
        <v>165.26</v>
      </c>
      <c r="K368" s="4">
        <v>0.05</v>
      </c>
      <c r="L368" t="s">
        <v>106</v>
      </c>
      <c r="M368">
        <v>1</v>
      </c>
      <c r="N368" t="s">
        <v>91</v>
      </c>
    </row>
    <row r="369" spans="1:14">
      <c r="A369" t="s">
        <v>785</v>
      </c>
      <c r="B369" s="3">
        <v>45897</v>
      </c>
      <c r="C369" t="s">
        <v>675</v>
      </c>
      <c r="D369" t="s">
        <v>194</v>
      </c>
      <c r="E369" t="s">
        <v>676</v>
      </c>
      <c r="F369" t="s">
        <v>145</v>
      </c>
      <c r="G369" t="s">
        <v>104</v>
      </c>
      <c r="H369" t="s">
        <v>97</v>
      </c>
      <c r="I369">
        <v>1</v>
      </c>
      <c r="J369" s="2">
        <v>209.3</v>
      </c>
      <c r="K369" s="4">
        <v>0.1</v>
      </c>
      <c r="L369" t="s">
        <v>106</v>
      </c>
      <c r="M369">
        <v>2</v>
      </c>
      <c r="N369" t="s">
        <v>91</v>
      </c>
    </row>
    <row r="370" spans="1:14">
      <c r="A370" t="s">
        <v>786</v>
      </c>
      <c r="B370" s="3">
        <v>45923</v>
      </c>
      <c r="C370" t="s">
        <v>647</v>
      </c>
      <c r="D370" t="s">
        <v>738</v>
      </c>
      <c r="E370" t="s">
        <v>648</v>
      </c>
      <c r="F370" t="s">
        <v>116</v>
      </c>
      <c r="G370" t="s">
        <v>88</v>
      </c>
      <c r="H370" t="s">
        <v>97</v>
      </c>
      <c r="I370">
        <v>1</v>
      </c>
      <c r="J370" s="2">
        <v>308.68</v>
      </c>
      <c r="K370" s="4">
        <v>0.2</v>
      </c>
      <c r="L370" t="s">
        <v>106</v>
      </c>
      <c r="M370">
        <v>2</v>
      </c>
      <c r="N370" t="s">
        <v>91</v>
      </c>
    </row>
    <row r="371" spans="1:14">
      <c r="A371" t="s">
        <v>787</v>
      </c>
      <c r="B371" s="3">
        <v>45887</v>
      </c>
      <c r="C371" t="s">
        <v>531</v>
      </c>
      <c r="D371" t="s">
        <v>226</v>
      </c>
      <c r="E371" t="s">
        <v>532</v>
      </c>
      <c r="F371" t="s">
        <v>116</v>
      </c>
      <c r="G371" t="s">
        <v>104</v>
      </c>
      <c r="H371" t="s">
        <v>97</v>
      </c>
      <c r="I371">
        <v>3</v>
      </c>
      <c r="J371" s="2">
        <v>215.17</v>
      </c>
      <c r="K371" s="4">
        <v>0.2</v>
      </c>
      <c r="L371" t="s">
        <v>106</v>
      </c>
      <c r="M371">
        <v>0</v>
      </c>
      <c r="N371" t="s">
        <v>91</v>
      </c>
    </row>
    <row r="372" spans="1:14">
      <c r="A372" t="s">
        <v>788</v>
      </c>
      <c r="B372" s="3">
        <v>45816</v>
      </c>
      <c r="C372" t="s">
        <v>197</v>
      </c>
      <c r="D372" t="s">
        <v>217</v>
      </c>
      <c r="E372" t="s">
        <v>198</v>
      </c>
      <c r="F372" t="s">
        <v>145</v>
      </c>
      <c r="G372" t="s">
        <v>183</v>
      </c>
      <c r="H372" t="s">
        <v>97</v>
      </c>
      <c r="I372">
        <v>3</v>
      </c>
      <c r="J372" s="2">
        <v>111.59</v>
      </c>
      <c r="K372" s="4">
        <v>0.05</v>
      </c>
      <c r="L372" t="s">
        <v>98</v>
      </c>
      <c r="M372">
        <v>1</v>
      </c>
      <c r="N372" t="s">
        <v>147</v>
      </c>
    </row>
    <row r="373" spans="1:14">
      <c r="A373" t="s">
        <v>789</v>
      </c>
      <c r="B373" s="3">
        <v>45663</v>
      </c>
      <c r="C373" t="s">
        <v>448</v>
      </c>
      <c r="D373" t="s">
        <v>165</v>
      </c>
      <c r="E373" t="s">
        <v>790</v>
      </c>
      <c r="F373" t="s">
        <v>116</v>
      </c>
      <c r="G373" t="s">
        <v>183</v>
      </c>
      <c r="H373" t="s">
        <v>89</v>
      </c>
      <c r="I373">
        <v>2</v>
      </c>
      <c r="J373" s="2">
        <v>102.81</v>
      </c>
      <c r="K373" s="4">
        <v>0</v>
      </c>
      <c r="L373" t="s">
        <v>90</v>
      </c>
      <c r="M373">
        <v>7</v>
      </c>
      <c r="N373" t="s">
        <v>91</v>
      </c>
    </row>
    <row r="374" spans="1:14">
      <c r="A374" t="s">
        <v>791</v>
      </c>
      <c r="B374" s="3">
        <v>45828</v>
      </c>
      <c r="C374" t="s">
        <v>132</v>
      </c>
      <c r="D374" t="s">
        <v>271</v>
      </c>
      <c r="E374" t="s">
        <v>134</v>
      </c>
      <c r="F374" t="s">
        <v>116</v>
      </c>
      <c r="G374" t="s">
        <v>88</v>
      </c>
      <c r="H374" t="s">
        <v>89</v>
      </c>
      <c r="I374">
        <v>1</v>
      </c>
      <c r="J374" s="2">
        <v>224.42</v>
      </c>
      <c r="K374" s="4">
        <v>0.05</v>
      </c>
      <c r="L374" t="s">
        <v>106</v>
      </c>
      <c r="M374">
        <v>7</v>
      </c>
      <c r="N374" t="s">
        <v>91</v>
      </c>
    </row>
    <row r="375" spans="1:14">
      <c r="A375" t="s">
        <v>792</v>
      </c>
      <c r="B375" s="3">
        <v>46001</v>
      </c>
      <c r="C375" t="s">
        <v>203</v>
      </c>
      <c r="D375" t="s">
        <v>120</v>
      </c>
      <c r="E375" t="s">
        <v>204</v>
      </c>
      <c r="F375" t="s">
        <v>87</v>
      </c>
      <c r="G375" t="s">
        <v>104</v>
      </c>
      <c r="H375" t="s">
        <v>97</v>
      </c>
      <c r="I375">
        <v>1</v>
      </c>
      <c r="J375" s="2">
        <v>386.46</v>
      </c>
      <c r="K375" s="4">
        <v>0.2</v>
      </c>
      <c r="L375" t="s">
        <v>98</v>
      </c>
      <c r="M375">
        <v>0</v>
      </c>
      <c r="N375" t="s">
        <v>91</v>
      </c>
    </row>
    <row r="376" spans="1:14">
      <c r="A376" t="s">
        <v>793</v>
      </c>
      <c r="B376" s="3">
        <v>45805</v>
      </c>
      <c r="C376" t="s">
        <v>286</v>
      </c>
      <c r="D376" t="s">
        <v>738</v>
      </c>
      <c r="E376" t="s">
        <v>287</v>
      </c>
      <c r="F376" t="s">
        <v>103</v>
      </c>
      <c r="G376" t="s">
        <v>122</v>
      </c>
      <c r="H376" t="s">
        <v>89</v>
      </c>
      <c r="I376">
        <v>2</v>
      </c>
      <c r="J376" s="2">
        <v>334.82</v>
      </c>
      <c r="K376" s="4">
        <v>0.05</v>
      </c>
      <c r="L376" t="s">
        <v>106</v>
      </c>
      <c r="M376">
        <v>4</v>
      </c>
      <c r="N376" t="s">
        <v>91</v>
      </c>
    </row>
    <row r="377" spans="1:14">
      <c r="A377" t="s">
        <v>794</v>
      </c>
      <c r="B377" s="3">
        <v>45964</v>
      </c>
      <c r="C377" t="s">
        <v>430</v>
      </c>
      <c r="D377" t="s">
        <v>94</v>
      </c>
      <c r="E377" t="s">
        <v>431</v>
      </c>
      <c r="F377" t="s">
        <v>103</v>
      </c>
      <c r="G377" t="s">
        <v>171</v>
      </c>
      <c r="H377" t="s">
        <v>89</v>
      </c>
      <c r="I377">
        <v>2</v>
      </c>
      <c r="J377" s="2">
        <v>313.77999999999997</v>
      </c>
      <c r="K377" s="4">
        <v>0.15</v>
      </c>
      <c r="L377" t="s">
        <v>432</v>
      </c>
      <c r="M377">
        <v>1</v>
      </c>
      <c r="N377" t="s">
        <v>91</v>
      </c>
    </row>
    <row r="378" spans="1:14">
      <c r="A378" t="s">
        <v>795</v>
      </c>
      <c r="B378" s="3">
        <v>45670</v>
      </c>
      <c r="C378" t="s">
        <v>313</v>
      </c>
      <c r="D378" t="s">
        <v>252</v>
      </c>
      <c r="E378" t="s">
        <v>314</v>
      </c>
      <c r="F378" t="s">
        <v>111</v>
      </c>
      <c r="G378" t="s">
        <v>104</v>
      </c>
      <c r="H378" t="s">
        <v>105</v>
      </c>
      <c r="I378">
        <v>2</v>
      </c>
      <c r="J378" s="2">
        <v>262.64999999999998</v>
      </c>
      <c r="K378" s="4">
        <v>0.05</v>
      </c>
      <c r="L378" t="s">
        <v>106</v>
      </c>
      <c r="M378">
        <v>8</v>
      </c>
      <c r="N378" t="s">
        <v>91</v>
      </c>
    </row>
    <row r="379" spans="1:14">
      <c r="A379" t="s">
        <v>796</v>
      </c>
      <c r="B379" s="3">
        <v>45891</v>
      </c>
      <c r="C379" t="s">
        <v>548</v>
      </c>
      <c r="D379" t="s">
        <v>190</v>
      </c>
      <c r="E379" t="s">
        <v>585</v>
      </c>
      <c r="F379" t="s">
        <v>145</v>
      </c>
      <c r="G379" t="s">
        <v>104</v>
      </c>
      <c r="H379" t="s">
        <v>97</v>
      </c>
      <c r="I379">
        <v>3</v>
      </c>
      <c r="J379" s="2">
        <v>277.93</v>
      </c>
      <c r="K379" s="4">
        <v>0.05</v>
      </c>
      <c r="M379">
        <v>2</v>
      </c>
      <c r="N379" t="s">
        <v>91</v>
      </c>
    </row>
    <row r="380" spans="1:14">
      <c r="A380" t="s">
        <v>797</v>
      </c>
      <c r="B380" s="3">
        <v>45793</v>
      </c>
      <c r="C380" t="s">
        <v>322</v>
      </c>
      <c r="D380" t="s">
        <v>221</v>
      </c>
      <c r="E380" t="s">
        <v>470</v>
      </c>
      <c r="F380" t="s">
        <v>87</v>
      </c>
      <c r="G380" t="s">
        <v>96</v>
      </c>
      <c r="H380" t="s">
        <v>89</v>
      </c>
      <c r="I380">
        <v>4</v>
      </c>
      <c r="J380" s="2">
        <v>29.49</v>
      </c>
      <c r="K380" s="4">
        <v>0</v>
      </c>
      <c r="L380" t="s">
        <v>90</v>
      </c>
      <c r="M380">
        <v>2</v>
      </c>
      <c r="N380" t="s">
        <v>91</v>
      </c>
    </row>
    <row r="381" spans="1:14">
      <c r="A381" t="s">
        <v>798</v>
      </c>
      <c r="B381" s="3">
        <v>45719</v>
      </c>
      <c r="C381" t="s">
        <v>279</v>
      </c>
      <c r="D381" t="s">
        <v>217</v>
      </c>
      <c r="E381" t="s">
        <v>280</v>
      </c>
      <c r="F381" t="s">
        <v>103</v>
      </c>
      <c r="G381" t="s">
        <v>96</v>
      </c>
      <c r="H381" t="s">
        <v>89</v>
      </c>
      <c r="I381">
        <v>3</v>
      </c>
      <c r="J381" s="2">
        <v>102</v>
      </c>
      <c r="K381" s="4">
        <v>0</v>
      </c>
      <c r="L381" t="s">
        <v>90</v>
      </c>
      <c r="M381">
        <v>8</v>
      </c>
      <c r="N381" t="s">
        <v>91</v>
      </c>
    </row>
    <row r="382" spans="1:14">
      <c r="A382" t="s">
        <v>799</v>
      </c>
      <c r="B382" s="3">
        <v>45746</v>
      </c>
      <c r="C382" t="s">
        <v>512</v>
      </c>
      <c r="D382" t="s">
        <v>139</v>
      </c>
      <c r="E382" t="s">
        <v>513</v>
      </c>
      <c r="F382" t="s">
        <v>111</v>
      </c>
      <c r="G382" t="s">
        <v>171</v>
      </c>
      <c r="H382" t="s">
        <v>105</v>
      </c>
      <c r="I382">
        <v>3</v>
      </c>
      <c r="J382" s="2">
        <v>81.489999999999995</v>
      </c>
      <c r="K382" s="4">
        <v>0.05</v>
      </c>
      <c r="L382" t="s">
        <v>154</v>
      </c>
      <c r="M382">
        <v>2</v>
      </c>
      <c r="N382" t="s">
        <v>91</v>
      </c>
    </row>
    <row r="383" spans="1:14">
      <c r="A383" t="s">
        <v>800</v>
      </c>
      <c r="B383" s="3">
        <v>45786</v>
      </c>
      <c r="C383" t="s">
        <v>386</v>
      </c>
      <c r="D383" t="s">
        <v>139</v>
      </c>
      <c r="E383" t="s">
        <v>576</v>
      </c>
      <c r="F383" t="s">
        <v>116</v>
      </c>
      <c r="G383" t="s">
        <v>104</v>
      </c>
      <c r="H383" t="s">
        <v>97</v>
      </c>
      <c r="I383">
        <v>4</v>
      </c>
      <c r="J383" s="2">
        <v>82.08</v>
      </c>
      <c r="K383" s="4">
        <v>0.2</v>
      </c>
      <c r="L383" t="s">
        <v>98</v>
      </c>
      <c r="M383">
        <v>1</v>
      </c>
      <c r="N383" t="s">
        <v>91</v>
      </c>
    </row>
    <row r="384" spans="1:14">
      <c r="A384" t="s">
        <v>801</v>
      </c>
      <c r="B384" s="3">
        <v>45947</v>
      </c>
      <c r="C384" t="s">
        <v>268</v>
      </c>
      <c r="D384" t="s">
        <v>181</v>
      </c>
      <c r="E384" t="s">
        <v>269</v>
      </c>
      <c r="F384" t="s">
        <v>145</v>
      </c>
      <c r="G384" t="s">
        <v>104</v>
      </c>
      <c r="H384" t="s">
        <v>105</v>
      </c>
      <c r="I384">
        <v>2</v>
      </c>
      <c r="J384" s="2">
        <v>369.15</v>
      </c>
      <c r="K384" s="4">
        <v>0</v>
      </c>
      <c r="L384" t="s">
        <v>90</v>
      </c>
      <c r="M384">
        <v>2</v>
      </c>
      <c r="N384" t="s">
        <v>91</v>
      </c>
    </row>
    <row r="385" spans="1:14">
      <c r="A385" t="s">
        <v>802</v>
      </c>
      <c r="B385" s="3">
        <v>45947</v>
      </c>
      <c r="C385" t="s">
        <v>335</v>
      </c>
      <c r="D385" t="s">
        <v>194</v>
      </c>
      <c r="E385" t="s">
        <v>336</v>
      </c>
      <c r="F385" t="s">
        <v>103</v>
      </c>
      <c r="G385" t="s">
        <v>171</v>
      </c>
      <c r="H385" t="s">
        <v>308</v>
      </c>
      <c r="I385">
        <v>5</v>
      </c>
      <c r="J385" s="2">
        <v>198.14</v>
      </c>
      <c r="K385" s="4">
        <v>0.25</v>
      </c>
      <c r="L385" t="s">
        <v>369</v>
      </c>
      <c r="M385">
        <v>6</v>
      </c>
      <c r="N385" t="s">
        <v>147</v>
      </c>
    </row>
    <row r="386" spans="1:14">
      <c r="A386" t="s">
        <v>803</v>
      </c>
      <c r="B386" s="3">
        <v>45783</v>
      </c>
      <c r="C386" t="s">
        <v>374</v>
      </c>
      <c r="D386" t="s">
        <v>114</v>
      </c>
      <c r="E386" t="s">
        <v>375</v>
      </c>
      <c r="F386" t="s">
        <v>145</v>
      </c>
      <c r="G386" t="s">
        <v>130</v>
      </c>
      <c r="H386" t="s">
        <v>89</v>
      </c>
      <c r="I386">
        <v>1</v>
      </c>
      <c r="J386" s="2">
        <v>151.30000000000001</v>
      </c>
      <c r="K386" s="4">
        <v>0</v>
      </c>
      <c r="L386" t="s">
        <v>98</v>
      </c>
      <c r="M386">
        <v>8</v>
      </c>
      <c r="N386" t="s">
        <v>91</v>
      </c>
    </row>
    <row r="387" spans="1:14">
      <c r="A387" t="s">
        <v>804</v>
      </c>
      <c r="B387" s="3">
        <v>45773</v>
      </c>
      <c r="C387" t="s">
        <v>164</v>
      </c>
      <c r="D387" t="s">
        <v>194</v>
      </c>
      <c r="E387" t="s">
        <v>166</v>
      </c>
      <c r="F387" t="s">
        <v>116</v>
      </c>
      <c r="G387" t="s">
        <v>88</v>
      </c>
      <c r="H387" t="s">
        <v>308</v>
      </c>
      <c r="I387">
        <v>3</v>
      </c>
      <c r="J387" s="2">
        <v>210.85</v>
      </c>
      <c r="K387" s="4">
        <v>0.1</v>
      </c>
      <c r="L387" t="s">
        <v>90</v>
      </c>
      <c r="M387">
        <v>8</v>
      </c>
      <c r="N387" t="s">
        <v>91</v>
      </c>
    </row>
    <row r="388" spans="1:14">
      <c r="A388" t="s">
        <v>805</v>
      </c>
      <c r="B388" s="3">
        <v>46019</v>
      </c>
      <c r="C388" t="s">
        <v>487</v>
      </c>
      <c r="D388" t="s">
        <v>271</v>
      </c>
      <c r="E388" t="s">
        <v>806</v>
      </c>
      <c r="F388" t="s">
        <v>103</v>
      </c>
      <c r="G388" t="s">
        <v>88</v>
      </c>
      <c r="H388" t="s">
        <v>228</v>
      </c>
      <c r="I388">
        <v>1</v>
      </c>
      <c r="J388" s="2">
        <v>223.94</v>
      </c>
      <c r="K388" s="4">
        <v>0</v>
      </c>
      <c r="L388" t="s">
        <v>106</v>
      </c>
      <c r="M388">
        <v>7</v>
      </c>
      <c r="N388" t="s">
        <v>147</v>
      </c>
    </row>
    <row r="389" spans="1:14">
      <c r="A389" t="s">
        <v>807</v>
      </c>
      <c r="B389" s="3">
        <v>46009</v>
      </c>
      <c r="C389" t="s">
        <v>185</v>
      </c>
      <c r="D389" t="s">
        <v>217</v>
      </c>
      <c r="E389" t="s">
        <v>186</v>
      </c>
      <c r="F389" t="s">
        <v>111</v>
      </c>
      <c r="G389" t="s">
        <v>117</v>
      </c>
      <c r="H389" t="s">
        <v>89</v>
      </c>
      <c r="I389">
        <v>1</v>
      </c>
      <c r="J389" s="2">
        <v>103.33</v>
      </c>
      <c r="K389" s="4">
        <v>0.1</v>
      </c>
      <c r="L389" t="s">
        <v>98</v>
      </c>
      <c r="M389">
        <v>9</v>
      </c>
      <c r="N389" t="s">
        <v>91</v>
      </c>
    </row>
    <row r="390" spans="1:14">
      <c r="A390" t="s">
        <v>808</v>
      </c>
      <c r="B390" s="3">
        <v>45911</v>
      </c>
      <c r="C390" t="s">
        <v>809</v>
      </c>
      <c r="D390" t="s">
        <v>136</v>
      </c>
      <c r="E390" t="s">
        <v>810</v>
      </c>
      <c r="F390" t="s">
        <v>111</v>
      </c>
      <c r="G390" t="s">
        <v>122</v>
      </c>
      <c r="H390" t="s">
        <v>97</v>
      </c>
      <c r="I390">
        <v>1</v>
      </c>
      <c r="J390" s="2">
        <v>153.69999999999999</v>
      </c>
      <c r="K390" s="4">
        <v>0.05</v>
      </c>
      <c r="L390" t="s">
        <v>106</v>
      </c>
      <c r="M390">
        <v>1</v>
      </c>
      <c r="N390" t="s">
        <v>91</v>
      </c>
    </row>
    <row r="391" spans="1:14">
      <c r="A391" t="s">
        <v>811</v>
      </c>
      <c r="B391" s="3">
        <v>45678</v>
      </c>
      <c r="C391" t="s">
        <v>243</v>
      </c>
      <c r="D391" t="s">
        <v>323</v>
      </c>
      <c r="E391" t="s">
        <v>245</v>
      </c>
      <c r="F391" t="s">
        <v>111</v>
      </c>
      <c r="G391" t="s">
        <v>122</v>
      </c>
      <c r="H391" t="s">
        <v>89</v>
      </c>
      <c r="I391">
        <v>3</v>
      </c>
      <c r="J391" s="2">
        <v>318.11</v>
      </c>
      <c r="K391" s="4">
        <v>0.05</v>
      </c>
      <c r="L391" t="s">
        <v>106</v>
      </c>
      <c r="M391">
        <v>5</v>
      </c>
      <c r="N391" t="s">
        <v>91</v>
      </c>
    </row>
    <row r="392" spans="1:14">
      <c r="A392" t="s">
        <v>812</v>
      </c>
      <c r="B392" s="3">
        <v>45862</v>
      </c>
      <c r="C392" t="s">
        <v>564</v>
      </c>
      <c r="D392" t="s">
        <v>271</v>
      </c>
      <c r="E392" t="s">
        <v>565</v>
      </c>
      <c r="F392" t="s">
        <v>116</v>
      </c>
      <c r="G392" t="s">
        <v>183</v>
      </c>
      <c r="H392" t="s">
        <v>89</v>
      </c>
      <c r="I392">
        <v>2</v>
      </c>
      <c r="J392" s="2">
        <v>213.53</v>
      </c>
      <c r="K392" s="4">
        <v>0.15</v>
      </c>
      <c r="L392" t="s">
        <v>90</v>
      </c>
      <c r="M392">
        <v>7</v>
      </c>
      <c r="N392" t="s">
        <v>91</v>
      </c>
    </row>
    <row r="393" spans="1:14">
      <c r="A393" t="s">
        <v>813</v>
      </c>
      <c r="B393" s="3">
        <v>46018</v>
      </c>
      <c r="C393" t="s">
        <v>472</v>
      </c>
      <c r="D393" t="s">
        <v>252</v>
      </c>
      <c r="E393" t="s">
        <v>473</v>
      </c>
      <c r="F393" t="s">
        <v>87</v>
      </c>
      <c r="G393" t="s">
        <v>130</v>
      </c>
      <c r="H393" t="s">
        <v>89</v>
      </c>
      <c r="I393">
        <v>2</v>
      </c>
      <c r="J393" s="2">
        <v>266.48</v>
      </c>
      <c r="K393" s="4">
        <v>0.05</v>
      </c>
      <c r="L393" t="s">
        <v>98</v>
      </c>
      <c r="M393">
        <v>6</v>
      </c>
      <c r="N393" t="s">
        <v>91</v>
      </c>
    </row>
    <row r="394" spans="1:14">
      <c r="A394" t="s">
        <v>814</v>
      </c>
      <c r="B394" s="3">
        <v>45952</v>
      </c>
      <c r="C394" t="s">
        <v>290</v>
      </c>
      <c r="D394" t="s">
        <v>418</v>
      </c>
      <c r="E394" t="s">
        <v>732</v>
      </c>
      <c r="F394" t="s">
        <v>87</v>
      </c>
      <c r="G394" t="s">
        <v>183</v>
      </c>
      <c r="H394" t="s">
        <v>89</v>
      </c>
      <c r="I394">
        <v>1</v>
      </c>
      <c r="J394" s="2">
        <v>373.1</v>
      </c>
      <c r="K394" s="4">
        <v>0.1</v>
      </c>
      <c r="L394" t="s">
        <v>98</v>
      </c>
      <c r="M394">
        <v>9</v>
      </c>
      <c r="N394" t="s">
        <v>91</v>
      </c>
    </row>
    <row r="395" spans="1:14">
      <c r="A395" t="s">
        <v>815</v>
      </c>
      <c r="B395" s="3">
        <v>45740</v>
      </c>
      <c r="C395" t="s">
        <v>197</v>
      </c>
      <c r="D395" t="s">
        <v>157</v>
      </c>
      <c r="E395" t="s">
        <v>198</v>
      </c>
      <c r="F395" t="s">
        <v>116</v>
      </c>
      <c r="G395" t="s">
        <v>96</v>
      </c>
      <c r="H395" t="s">
        <v>97</v>
      </c>
      <c r="I395">
        <v>4</v>
      </c>
      <c r="J395" s="2">
        <v>285.99</v>
      </c>
      <c r="K395" s="4">
        <v>0</v>
      </c>
      <c r="L395" t="s">
        <v>106</v>
      </c>
      <c r="M395">
        <v>2</v>
      </c>
      <c r="N395" t="s">
        <v>91</v>
      </c>
    </row>
    <row r="396" spans="1:14">
      <c r="A396" t="s">
        <v>816</v>
      </c>
      <c r="B396" s="3">
        <v>45786</v>
      </c>
      <c r="C396" t="s">
        <v>487</v>
      </c>
      <c r="D396" t="s">
        <v>277</v>
      </c>
      <c r="E396" t="s">
        <v>806</v>
      </c>
      <c r="F396" t="s">
        <v>103</v>
      </c>
      <c r="G396" t="s">
        <v>117</v>
      </c>
      <c r="H396" t="s">
        <v>97</v>
      </c>
      <c r="I396">
        <v>4</v>
      </c>
      <c r="J396" s="2">
        <v>392.12</v>
      </c>
      <c r="K396" s="4">
        <v>0.2</v>
      </c>
      <c r="L396" t="s">
        <v>90</v>
      </c>
      <c r="M396">
        <v>1</v>
      </c>
      <c r="N396" t="s">
        <v>91</v>
      </c>
    </row>
    <row r="397" spans="1:14">
      <c r="A397" t="s">
        <v>817</v>
      </c>
      <c r="B397" s="3">
        <v>45881</v>
      </c>
      <c r="C397" t="s">
        <v>396</v>
      </c>
      <c r="D397" t="s">
        <v>139</v>
      </c>
      <c r="E397" t="s">
        <v>397</v>
      </c>
      <c r="F397" t="s">
        <v>111</v>
      </c>
      <c r="G397" t="s">
        <v>171</v>
      </c>
      <c r="H397" t="s">
        <v>89</v>
      </c>
      <c r="I397">
        <v>1</v>
      </c>
      <c r="J397" s="2">
        <v>84.27</v>
      </c>
      <c r="K397" s="4">
        <v>0.1</v>
      </c>
      <c r="M397">
        <v>8</v>
      </c>
      <c r="N397" t="s">
        <v>91</v>
      </c>
    </row>
    <row r="398" spans="1:14">
      <c r="A398" t="s">
        <v>818</v>
      </c>
      <c r="B398" s="3">
        <v>45896</v>
      </c>
      <c r="C398" t="s">
        <v>203</v>
      </c>
      <c r="D398" t="s">
        <v>271</v>
      </c>
      <c r="E398" t="s">
        <v>573</v>
      </c>
      <c r="F398" t="s">
        <v>111</v>
      </c>
      <c r="G398" t="s">
        <v>183</v>
      </c>
      <c r="H398" t="s">
        <v>97</v>
      </c>
      <c r="I398">
        <v>1</v>
      </c>
      <c r="J398" s="2">
        <v>231.29</v>
      </c>
      <c r="K398" s="4">
        <v>0.05</v>
      </c>
      <c r="L398" t="s">
        <v>369</v>
      </c>
      <c r="M398">
        <v>1</v>
      </c>
      <c r="N398" t="s">
        <v>91</v>
      </c>
    </row>
    <row r="399" spans="1:14">
      <c r="A399" t="s">
        <v>819</v>
      </c>
      <c r="B399" s="3">
        <v>45920</v>
      </c>
      <c r="C399" t="s">
        <v>480</v>
      </c>
      <c r="D399" t="s">
        <v>303</v>
      </c>
      <c r="E399" t="s">
        <v>773</v>
      </c>
      <c r="F399" t="s">
        <v>87</v>
      </c>
      <c r="G399" t="s">
        <v>117</v>
      </c>
      <c r="H399" t="s">
        <v>89</v>
      </c>
      <c r="I399">
        <v>2</v>
      </c>
      <c r="J399" s="2">
        <v>158.16</v>
      </c>
      <c r="K399" s="4">
        <v>0</v>
      </c>
      <c r="L399" t="s">
        <v>369</v>
      </c>
      <c r="M399">
        <v>2</v>
      </c>
      <c r="N399" t="s">
        <v>91</v>
      </c>
    </row>
    <row r="400" spans="1:14">
      <c r="A400" t="s">
        <v>820</v>
      </c>
      <c r="B400" s="3">
        <v>45881</v>
      </c>
      <c r="C400" t="s">
        <v>487</v>
      </c>
      <c r="D400" t="s">
        <v>249</v>
      </c>
      <c r="E400" t="s">
        <v>806</v>
      </c>
      <c r="F400" t="s">
        <v>103</v>
      </c>
      <c r="G400" t="s">
        <v>122</v>
      </c>
      <c r="H400" t="s">
        <v>105</v>
      </c>
      <c r="I400">
        <v>3</v>
      </c>
      <c r="J400" s="2">
        <v>439.62</v>
      </c>
      <c r="K400" s="4">
        <v>0</v>
      </c>
      <c r="L400" t="s">
        <v>98</v>
      </c>
      <c r="M400">
        <v>6</v>
      </c>
      <c r="N400" t="s">
        <v>91</v>
      </c>
    </row>
    <row r="401" spans="1:14">
      <c r="A401" t="s">
        <v>821</v>
      </c>
      <c r="B401" s="3">
        <v>45697</v>
      </c>
      <c r="C401" t="s">
        <v>213</v>
      </c>
      <c r="D401" t="s">
        <v>323</v>
      </c>
      <c r="E401" t="s">
        <v>214</v>
      </c>
      <c r="F401" t="s">
        <v>145</v>
      </c>
      <c r="G401" t="s">
        <v>117</v>
      </c>
      <c r="H401" t="s">
        <v>89</v>
      </c>
      <c r="I401">
        <v>4</v>
      </c>
      <c r="J401" s="2">
        <v>329.97</v>
      </c>
      <c r="K401" s="4">
        <v>0</v>
      </c>
      <c r="L401" t="s">
        <v>369</v>
      </c>
      <c r="M401">
        <v>8</v>
      </c>
      <c r="N401" t="s">
        <v>91</v>
      </c>
    </row>
    <row r="402" spans="1:14">
      <c r="A402" t="s">
        <v>822</v>
      </c>
      <c r="B402" s="3">
        <v>45838</v>
      </c>
      <c r="C402" t="s">
        <v>206</v>
      </c>
      <c r="D402" t="s">
        <v>165</v>
      </c>
      <c r="E402" t="s">
        <v>823</v>
      </c>
      <c r="F402" t="s">
        <v>87</v>
      </c>
      <c r="G402" t="s">
        <v>96</v>
      </c>
      <c r="H402" t="s">
        <v>97</v>
      </c>
      <c r="I402">
        <v>1</v>
      </c>
      <c r="J402" s="2">
        <v>105.56</v>
      </c>
      <c r="K402" s="4">
        <v>0.05</v>
      </c>
      <c r="L402" t="s">
        <v>369</v>
      </c>
      <c r="M402">
        <v>1</v>
      </c>
      <c r="N402" t="s">
        <v>91</v>
      </c>
    </row>
    <row r="403" spans="1:14">
      <c r="A403" t="s">
        <v>824</v>
      </c>
      <c r="B403" s="3">
        <v>45691</v>
      </c>
      <c r="C403" t="s">
        <v>374</v>
      </c>
      <c r="D403" t="s">
        <v>249</v>
      </c>
      <c r="E403" t="s">
        <v>825</v>
      </c>
      <c r="F403" t="s">
        <v>111</v>
      </c>
      <c r="G403" t="s">
        <v>117</v>
      </c>
      <c r="H403" t="s">
        <v>105</v>
      </c>
      <c r="I403">
        <v>1</v>
      </c>
      <c r="J403" s="2">
        <v>411.6</v>
      </c>
      <c r="K403" s="4">
        <v>0</v>
      </c>
      <c r="L403" t="s">
        <v>90</v>
      </c>
      <c r="M403">
        <v>4</v>
      </c>
      <c r="N403" t="s">
        <v>91</v>
      </c>
    </row>
    <row r="404" spans="1:14">
      <c r="A404" t="s">
        <v>826</v>
      </c>
      <c r="B404" s="3">
        <v>45922</v>
      </c>
      <c r="C404" t="s">
        <v>151</v>
      </c>
      <c r="D404" t="s">
        <v>360</v>
      </c>
      <c r="E404" t="s">
        <v>827</v>
      </c>
      <c r="F404" t="s">
        <v>111</v>
      </c>
      <c r="G404" t="s">
        <v>171</v>
      </c>
      <c r="H404" t="s">
        <v>308</v>
      </c>
      <c r="I404">
        <v>1</v>
      </c>
      <c r="J404" s="2">
        <v>62.36</v>
      </c>
      <c r="K404" s="4">
        <v>0</v>
      </c>
      <c r="L404" t="s">
        <v>432</v>
      </c>
      <c r="M404">
        <v>6</v>
      </c>
      <c r="N404" t="s">
        <v>91</v>
      </c>
    </row>
    <row r="405" spans="1:14">
      <c r="A405" t="s">
        <v>828</v>
      </c>
      <c r="B405" s="3">
        <v>45905</v>
      </c>
      <c r="C405" t="s">
        <v>180</v>
      </c>
      <c r="D405" t="s">
        <v>85</v>
      </c>
      <c r="E405" t="s">
        <v>182</v>
      </c>
      <c r="F405" t="s">
        <v>145</v>
      </c>
      <c r="G405" t="s">
        <v>117</v>
      </c>
      <c r="H405" t="s">
        <v>89</v>
      </c>
      <c r="I405">
        <v>1</v>
      </c>
      <c r="J405" s="2">
        <v>310.61</v>
      </c>
      <c r="K405" s="4">
        <v>0.25</v>
      </c>
      <c r="L405" t="s">
        <v>106</v>
      </c>
      <c r="M405">
        <v>5</v>
      </c>
      <c r="N405" t="s">
        <v>91</v>
      </c>
    </row>
    <row r="406" spans="1:14">
      <c r="A406" t="s">
        <v>829</v>
      </c>
      <c r="B406" s="3">
        <v>45988</v>
      </c>
      <c r="C406" t="s">
        <v>706</v>
      </c>
      <c r="D406" t="s">
        <v>136</v>
      </c>
      <c r="E406" t="s">
        <v>707</v>
      </c>
      <c r="F406" t="s">
        <v>87</v>
      </c>
      <c r="G406" t="s">
        <v>183</v>
      </c>
      <c r="H406" t="s">
        <v>89</v>
      </c>
      <c r="I406">
        <v>2</v>
      </c>
      <c r="J406" s="2">
        <v>151.38999999999999</v>
      </c>
      <c r="K406" s="4">
        <v>0.15</v>
      </c>
      <c r="L406" t="s">
        <v>106</v>
      </c>
      <c r="M406">
        <v>1</v>
      </c>
      <c r="N406" t="s">
        <v>91</v>
      </c>
    </row>
    <row r="407" spans="1:14">
      <c r="A407" t="s">
        <v>830</v>
      </c>
      <c r="B407" s="3">
        <v>45788</v>
      </c>
      <c r="C407" t="s">
        <v>366</v>
      </c>
      <c r="D407" t="s">
        <v>360</v>
      </c>
      <c r="E407" t="s">
        <v>367</v>
      </c>
      <c r="F407" t="s">
        <v>116</v>
      </c>
      <c r="G407" t="s">
        <v>183</v>
      </c>
      <c r="H407" t="s">
        <v>89</v>
      </c>
      <c r="I407">
        <v>1</v>
      </c>
      <c r="J407" s="2">
        <v>67.59</v>
      </c>
      <c r="K407" s="4">
        <v>0.2</v>
      </c>
      <c r="L407" t="s">
        <v>98</v>
      </c>
      <c r="M407">
        <v>3</v>
      </c>
      <c r="N407" t="s">
        <v>91</v>
      </c>
    </row>
    <row r="408" spans="1:14">
      <c r="A408" t="s">
        <v>831</v>
      </c>
      <c r="B408" s="3">
        <v>45746</v>
      </c>
      <c r="C408" t="s">
        <v>597</v>
      </c>
      <c r="D408" t="s">
        <v>418</v>
      </c>
      <c r="E408" t="s">
        <v>598</v>
      </c>
      <c r="F408" t="s">
        <v>116</v>
      </c>
      <c r="G408" t="s">
        <v>183</v>
      </c>
      <c r="H408" t="s">
        <v>89</v>
      </c>
      <c r="I408">
        <v>4</v>
      </c>
      <c r="J408" s="2">
        <v>369.52</v>
      </c>
      <c r="K408" s="4">
        <v>0.05</v>
      </c>
      <c r="L408" t="s">
        <v>106</v>
      </c>
      <c r="M408">
        <v>5</v>
      </c>
      <c r="N408" t="s">
        <v>91</v>
      </c>
    </row>
    <row r="409" spans="1:14">
      <c r="A409" t="s">
        <v>832</v>
      </c>
      <c r="B409" s="3">
        <v>45786</v>
      </c>
      <c r="C409" t="s">
        <v>189</v>
      </c>
      <c r="D409" t="s">
        <v>143</v>
      </c>
      <c r="E409" t="s">
        <v>457</v>
      </c>
      <c r="F409" t="s">
        <v>103</v>
      </c>
      <c r="G409" t="s">
        <v>88</v>
      </c>
      <c r="H409" t="s">
        <v>89</v>
      </c>
      <c r="I409">
        <v>1</v>
      </c>
      <c r="J409" s="2">
        <v>273.12</v>
      </c>
      <c r="K409" s="4">
        <v>0</v>
      </c>
      <c r="L409" t="s">
        <v>90</v>
      </c>
      <c r="M409">
        <v>1</v>
      </c>
      <c r="N409" t="s">
        <v>91</v>
      </c>
    </row>
    <row r="410" spans="1:14">
      <c r="A410" t="s">
        <v>833</v>
      </c>
      <c r="B410" s="3">
        <v>45857</v>
      </c>
      <c r="C410" t="s">
        <v>124</v>
      </c>
      <c r="D410" t="s">
        <v>261</v>
      </c>
      <c r="E410" t="s">
        <v>126</v>
      </c>
      <c r="F410" t="s">
        <v>111</v>
      </c>
      <c r="G410" t="s">
        <v>171</v>
      </c>
      <c r="H410" t="s">
        <v>97</v>
      </c>
      <c r="I410">
        <v>1</v>
      </c>
      <c r="J410" s="2">
        <v>265.35000000000002</v>
      </c>
      <c r="K410" s="4">
        <v>0.15</v>
      </c>
      <c r="L410" t="s">
        <v>90</v>
      </c>
      <c r="M410">
        <v>0</v>
      </c>
      <c r="N410" t="s">
        <v>91</v>
      </c>
    </row>
    <row r="411" spans="1:14">
      <c r="A411" t="s">
        <v>834</v>
      </c>
      <c r="B411" s="3">
        <v>46011</v>
      </c>
      <c r="C411" t="s">
        <v>84</v>
      </c>
      <c r="D411" t="s">
        <v>120</v>
      </c>
      <c r="E411" t="s">
        <v>86</v>
      </c>
      <c r="F411" t="s">
        <v>145</v>
      </c>
      <c r="G411" t="s">
        <v>96</v>
      </c>
      <c r="H411" t="s">
        <v>89</v>
      </c>
      <c r="I411">
        <v>4</v>
      </c>
      <c r="J411" s="2">
        <v>369.84</v>
      </c>
      <c r="K411" s="4">
        <v>0.15</v>
      </c>
      <c r="L411" t="s">
        <v>106</v>
      </c>
      <c r="M411">
        <v>9</v>
      </c>
      <c r="N411" t="s">
        <v>91</v>
      </c>
    </row>
    <row r="412" spans="1:14">
      <c r="A412" t="s">
        <v>835</v>
      </c>
      <c r="B412" s="3">
        <v>45924</v>
      </c>
      <c r="C412" t="s">
        <v>379</v>
      </c>
      <c r="D412" t="s">
        <v>125</v>
      </c>
      <c r="E412" t="s">
        <v>380</v>
      </c>
      <c r="F412" t="s">
        <v>145</v>
      </c>
      <c r="G412" t="s">
        <v>96</v>
      </c>
      <c r="H412" t="s">
        <v>89</v>
      </c>
      <c r="I412">
        <v>1</v>
      </c>
      <c r="J412" s="2">
        <v>54.86</v>
      </c>
      <c r="K412" s="4">
        <v>0</v>
      </c>
      <c r="L412" t="s">
        <v>106</v>
      </c>
      <c r="M412">
        <v>2</v>
      </c>
      <c r="N412" t="s">
        <v>91</v>
      </c>
    </row>
    <row r="413" spans="1:14">
      <c r="A413" t="s">
        <v>836</v>
      </c>
      <c r="B413" s="3">
        <v>45747</v>
      </c>
      <c r="C413" t="s">
        <v>466</v>
      </c>
      <c r="D413" t="s">
        <v>249</v>
      </c>
      <c r="E413" t="s">
        <v>467</v>
      </c>
      <c r="F413" t="s">
        <v>103</v>
      </c>
      <c r="G413" t="s">
        <v>88</v>
      </c>
      <c r="H413" t="s">
        <v>89</v>
      </c>
      <c r="I413">
        <v>2</v>
      </c>
      <c r="J413" s="2">
        <v>405.32</v>
      </c>
      <c r="K413" s="4">
        <v>0</v>
      </c>
      <c r="L413" t="s">
        <v>106</v>
      </c>
      <c r="M413">
        <v>5</v>
      </c>
      <c r="N413" t="s">
        <v>91</v>
      </c>
    </row>
    <row r="414" spans="1:14">
      <c r="A414" t="s">
        <v>837</v>
      </c>
      <c r="B414" s="3">
        <v>45779</v>
      </c>
      <c r="C414" t="s">
        <v>516</v>
      </c>
      <c r="D414" t="s">
        <v>210</v>
      </c>
      <c r="E414" t="s">
        <v>517</v>
      </c>
      <c r="F414" t="s">
        <v>111</v>
      </c>
      <c r="G414" t="s">
        <v>130</v>
      </c>
      <c r="H414" t="s">
        <v>89</v>
      </c>
      <c r="I414">
        <v>2</v>
      </c>
      <c r="J414" s="2">
        <v>316.13</v>
      </c>
      <c r="K414" s="4">
        <v>0</v>
      </c>
      <c r="L414" t="s">
        <v>106</v>
      </c>
      <c r="M414">
        <v>6</v>
      </c>
      <c r="N414" t="s">
        <v>147</v>
      </c>
    </row>
    <row r="415" spans="1:14">
      <c r="A415" t="s">
        <v>838</v>
      </c>
      <c r="B415" s="3">
        <v>45941</v>
      </c>
      <c r="C415" t="s">
        <v>177</v>
      </c>
      <c r="D415" t="s">
        <v>261</v>
      </c>
      <c r="E415" t="s">
        <v>178</v>
      </c>
      <c r="F415" t="s">
        <v>103</v>
      </c>
      <c r="G415" t="s">
        <v>104</v>
      </c>
      <c r="H415" t="s">
        <v>89</v>
      </c>
      <c r="I415">
        <v>4</v>
      </c>
      <c r="J415" s="2">
        <v>245.77</v>
      </c>
      <c r="K415" s="4">
        <v>0</v>
      </c>
      <c r="L415" t="s">
        <v>154</v>
      </c>
      <c r="M415">
        <v>9</v>
      </c>
      <c r="N415" t="s">
        <v>91</v>
      </c>
    </row>
    <row r="416" spans="1:14">
      <c r="A416" t="s">
        <v>839</v>
      </c>
      <c r="B416" s="3">
        <v>45972</v>
      </c>
      <c r="C416" t="s">
        <v>220</v>
      </c>
      <c r="D416" t="s">
        <v>139</v>
      </c>
      <c r="E416" t="s">
        <v>222</v>
      </c>
      <c r="F416" t="s">
        <v>87</v>
      </c>
      <c r="G416" t="s">
        <v>117</v>
      </c>
      <c r="H416" t="s">
        <v>105</v>
      </c>
      <c r="I416">
        <v>1</v>
      </c>
      <c r="J416" s="2">
        <v>85.38</v>
      </c>
      <c r="K416" s="4">
        <v>0</v>
      </c>
      <c r="L416" t="s">
        <v>106</v>
      </c>
      <c r="M416">
        <v>7</v>
      </c>
      <c r="N416" t="s">
        <v>91</v>
      </c>
    </row>
    <row r="417" spans="1:14">
      <c r="A417" t="s">
        <v>840</v>
      </c>
      <c r="B417" s="3">
        <v>45740</v>
      </c>
      <c r="C417" t="s">
        <v>268</v>
      </c>
      <c r="D417" t="s">
        <v>94</v>
      </c>
      <c r="E417" t="s">
        <v>269</v>
      </c>
      <c r="F417" t="s">
        <v>111</v>
      </c>
      <c r="G417" t="s">
        <v>117</v>
      </c>
      <c r="H417" t="s">
        <v>89</v>
      </c>
      <c r="I417">
        <v>1</v>
      </c>
      <c r="J417" s="2">
        <v>303.56</v>
      </c>
      <c r="K417" s="4">
        <v>0</v>
      </c>
      <c r="L417" t="s">
        <v>154</v>
      </c>
      <c r="M417">
        <v>4</v>
      </c>
      <c r="N417" t="s">
        <v>91</v>
      </c>
    </row>
    <row r="418" spans="1:14">
      <c r="A418" t="s">
        <v>841</v>
      </c>
      <c r="B418" s="3">
        <v>45809</v>
      </c>
      <c r="C418" t="s">
        <v>480</v>
      </c>
      <c r="D418" t="s">
        <v>143</v>
      </c>
      <c r="E418" t="s">
        <v>481</v>
      </c>
      <c r="F418" t="s">
        <v>103</v>
      </c>
      <c r="G418" t="s">
        <v>183</v>
      </c>
      <c r="H418" t="s">
        <v>308</v>
      </c>
      <c r="I418">
        <v>2</v>
      </c>
      <c r="J418" s="2">
        <v>276.93</v>
      </c>
      <c r="K418" s="4">
        <v>0.25</v>
      </c>
      <c r="L418" t="s">
        <v>521</v>
      </c>
      <c r="M418">
        <v>1</v>
      </c>
      <c r="N418" t="s">
        <v>91</v>
      </c>
    </row>
    <row r="419" spans="1:14">
      <c r="A419" t="s">
        <v>842</v>
      </c>
      <c r="B419" s="3">
        <v>45980</v>
      </c>
      <c r="C419" t="s">
        <v>706</v>
      </c>
      <c r="D419" t="s">
        <v>360</v>
      </c>
      <c r="E419" t="s">
        <v>843</v>
      </c>
      <c r="F419" t="s">
        <v>87</v>
      </c>
      <c r="G419" t="s">
        <v>130</v>
      </c>
      <c r="H419" t="s">
        <v>97</v>
      </c>
      <c r="I419">
        <v>1</v>
      </c>
      <c r="J419" s="2">
        <v>65.44</v>
      </c>
      <c r="K419" s="4">
        <v>0.1</v>
      </c>
      <c r="L419" t="s">
        <v>106</v>
      </c>
      <c r="M419">
        <v>4</v>
      </c>
      <c r="N419" t="s">
        <v>91</v>
      </c>
    </row>
    <row r="420" spans="1:14">
      <c r="A420" t="s">
        <v>844</v>
      </c>
      <c r="B420" s="3">
        <v>45892</v>
      </c>
      <c r="C420" t="s">
        <v>173</v>
      </c>
      <c r="D420" t="s">
        <v>194</v>
      </c>
      <c r="E420" t="s">
        <v>175</v>
      </c>
      <c r="F420" t="s">
        <v>145</v>
      </c>
      <c r="G420" t="s">
        <v>183</v>
      </c>
      <c r="H420" t="s">
        <v>97</v>
      </c>
      <c r="I420">
        <v>2</v>
      </c>
      <c r="J420" s="2">
        <v>206.15</v>
      </c>
      <c r="K420" s="4">
        <v>0.1</v>
      </c>
      <c r="L420" t="s">
        <v>98</v>
      </c>
      <c r="M420">
        <v>3</v>
      </c>
      <c r="N420" t="s">
        <v>91</v>
      </c>
    </row>
    <row r="421" spans="1:14">
      <c r="A421" t="s">
        <v>845</v>
      </c>
      <c r="B421" s="3">
        <v>45877</v>
      </c>
      <c r="C421" t="s">
        <v>500</v>
      </c>
      <c r="D421" t="s">
        <v>271</v>
      </c>
      <c r="E421" t="s">
        <v>846</v>
      </c>
      <c r="F421" t="s">
        <v>116</v>
      </c>
      <c r="G421" t="s">
        <v>183</v>
      </c>
      <c r="H421" t="s">
        <v>97</v>
      </c>
      <c r="I421">
        <v>2</v>
      </c>
      <c r="J421" s="2">
        <v>212.26</v>
      </c>
      <c r="K421" s="4">
        <v>0.1</v>
      </c>
      <c r="L421" t="s">
        <v>106</v>
      </c>
      <c r="M421">
        <v>0</v>
      </c>
      <c r="N421" t="s">
        <v>91</v>
      </c>
    </row>
    <row r="422" spans="1:14">
      <c r="A422" t="s">
        <v>847</v>
      </c>
      <c r="B422" s="3">
        <v>45801</v>
      </c>
      <c r="C422" t="s">
        <v>209</v>
      </c>
      <c r="D422" t="s">
        <v>303</v>
      </c>
      <c r="E422" t="s">
        <v>211</v>
      </c>
      <c r="F422" t="s">
        <v>103</v>
      </c>
      <c r="G422" t="s">
        <v>183</v>
      </c>
      <c r="H422" t="s">
        <v>478</v>
      </c>
      <c r="I422">
        <v>1</v>
      </c>
      <c r="J422" s="2">
        <v>165.6</v>
      </c>
      <c r="K422" s="4">
        <v>0.2</v>
      </c>
      <c r="L422" t="s">
        <v>98</v>
      </c>
      <c r="M422">
        <v>4</v>
      </c>
      <c r="N422" t="s">
        <v>91</v>
      </c>
    </row>
    <row r="423" spans="1:14">
      <c r="A423" t="s">
        <v>848</v>
      </c>
      <c r="B423" s="3">
        <v>45743</v>
      </c>
      <c r="C423" t="s">
        <v>225</v>
      </c>
      <c r="D423" t="s">
        <v>249</v>
      </c>
      <c r="E423" t="s">
        <v>227</v>
      </c>
      <c r="F423" t="s">
        <v>849</v>
      </c>
      <c r="G423" t="s">
        <v>88</v>
      </c>
      <c r="H423" t="s">
        <v>97</v>
      </c>
      <c r="I423">
        <v>1</v>
      </c>
      <c r="J423" s="2">
        <v>394.3</v>
      </c>
      <c r="K423" s="4">
        <v>0</v>
      </c>
      <c r="L423" t="s">
        <v>106</v>
      </c>
      <c r="M423">
        <v>4</v>
      </c>
      <c r="N423" t="s">
        <v>91</v>
      </c>
    </row>
    <row r="424" spans="1:14">
      <c r="A424" t="s">
        <v>850</v>
      </c>
      <c r="B424" s="3">
        <v>45747</v>
      </c>
      <c r="C424" t="s">
        <v>851</v>
      </c>
      <c r="D424" t="s">
        <v>271</v>
      </c>
      <c r="E424" t="s">
        <v>852</v>
      </c>
      <c r="F424" t="s">
        <v>116</v>
      </c>
      <c r="G424" t="s">
        <v>183</v>
      </c>
      <c r="H424" t="s">
        <v>233</v>
      </c>
      <c r="I424">
        <v>1</v>
      </c>
      <c r="J424" s="2">
        <v>236.77</v>
      </c>
      <c r="K424" s="4">
        <v>0.1</v>
      </c>
      <c r="L424" t="s">
        <v>106</v>
      </c>
      <c r="M424">
        <v>0</v>
      </c>
      <c r="N424" t="s">
        <v>91</v>
      </c>
    </row>
    <row r="425" spans="1:14">
      <c r="A425" t="s">
        <v>853</v>
      </c>
      <c r="B425" s="3">
        <v>45992</v>
      </c>
      <c r="C425" t="s">
        <v>661</v>
      </c>
      <c r="D425" t="s">
        <v>503</v>
      </c>
      <c r="E425" t="s">
        <v>662</v>
      </c>
      <c r="F425" t="s">
        <v>87</v>
      </c>
      <c r="G425" t="s">
        <v>104</v>
      </c>
      <c r="H425" t="s">
        <v>97</v>
      </c>
      <c r="I425">
        <v>1</v>
      </c>
      <c r="J425" s="2">
        <v>123.65</v>
      </c>
      <c r="K425" s="4">
        <v>0.2</v>
      </c>
      <c r="L425" t="s">
        <v>253</v>
      </c>
      <c r="M425">
        <v>3</v>
      </c>
      <c r="N425" t="s">
        <v>91</v>
      </c>
    </row>
    <row r="426" spans="1:14">
      <c r="A426" t="s">
        <v>854</v>
      </c>
      <c r="B426" s="3">
        <v>45970</v>
      </c>
      <c r="C426" t="s">
        <v>220</v>
      </c>
      <c r="D426" t="s">
        <v>133</v>
      </c>
      <c r="E426" t="s">
        <v>222</v>
      </c>
      <c r="F426" t="s">
        <v>145</v>
      </c>
      <c r="G426" t="s">
        <v>183</v>
      </c>
      <c r="H426" t="s">
        <v>97</v>
      </c>
      <c r="I426">
        <v>4</v>
      </c>
      <c r="J426" s="2">
        <v>342.63</v>
      </c>
      <c r="K426" s="4">
        <v>0.05</v>
      </c>
      <c r="L426" t="s">
        <v>106</v>
      </c>
      <c r="M426">
        <v>2</v>
      </c>
      <c r="N426" t="s">
        <v>91</v>
      </c>
    </row>
    <row r="427" spans="1:14">
      <c r="A427" t="s">
        <v>855</v>
      </c>
      <c r="B427" s="3">
        <v>45881</v>
      </c>
      <c r="C427" t="s">
        <v>209</v>
      </c>
      <c r="D427" t="s">
        <v>520</v>
      </c>
      <c r="E427" t="s">
        <v>211</v>
      </c>
      <c r="F427" t="s">
        <v>87</v>
      </c>
      <c r="G427" t="s">
        <v>171</v>
      </c>
      <c r="H427" t="s">
        <v>97</v>
      </c>
      <c r="I427">
        <v>3</v>
      </c>
      <c r="J427" s="2">
        <v>380.43</v>
      </c>
      <c r="K427" s="4">
        <v>0</v>
      </c>
      <c r="L427" t="s">
        <v>98</v>
      </c>
      <c r="M427">
        <v>1</v>
      </c>
      <c r="N427" t="s">
        <v>147</v>
      </c>
    </row>
    <row r="428" spans="1:14">
      <c r="A428" t="s">
        <v>856</v>
      </c>
      <c r="B428" s="3">
        <v>45840</v>
      </c>
      <c r="C428" t="s">
        <v>472</v>
      </c>
      <c r="D428" t="s">
        <v>277</v>
      </c>
      <c r="E428" t="s">
        <v>473</v>
      </c>
      <c r="F428" t="s">
        <v>87</v>
      </c>
      <c r="G428" t="s">
        <v>130</v>
      </c>
      <c r="H428" t="s">
        <v>228</v>
      </c>
      <c r="I428">
        <v>2</v>
      </c>
      <c r="J428" s="2">
        <v>351.69</v>
      </c>
      <c r="K428" s="4">
        <v>0</v>
      </c>
      <c r="L428" t="s">
        <v>106</v>
      </c>
      <c r="M428">
        <v>2</v>
      </c>
      <c r="N428" t="s">
        <v>91</v>
      </c>
    </row>
    <row r="429" spans="1:14">
      <c r="A429" t="s">
        <v>857</v>
      </c>
      <c r="B429" s="3">
        <v>45924</v>
      </c>
      <c r="C429" t="s">
        <v>243</v>
      </c>
      <c r="D429" t="s">
        <v>738</v>
      </c>
      <c r="E429" t="s">
        <v>245</v>
      </c>
      <c r="F429" t="s">
        <v>145</v>
      </c>
      <c r="G429" t="s">
        <v>171</v>
      </c>
      <c r="H429" t="s">
        <v>89</v>
      </c>
      <c r="I429">
        <v>2</v>
      </c>
      <c r="J429" s="2">
        <v>336.2</v>
      </c>
      <c r="K429" s="4">
        <v>0.05</v>
      </c>
      <c r="L429" t="s">
        <v>90</v>
      </c>
      <c r="M429">
        <v>6</v>
      </c>
      <c r="N429" t="s">
        <v>91</v>
      </c>
    </row>
    <row r="430" spans="1:14">
      <c r="A430" t="s">
        <v>858</v>
      </c>
      <c r="B430" s="3">
        <v>45719</v>
      </c>
      <c r="C430" t="s">
        <v>216</v>
      </c>
      <c r="D430" t="s">
        <v>360</v>
      </c>
      <c r="E430" t="s">
        <v>218</v>
      </c>
      <c r="F430" t="s">
        <v>111</v>
      </c>
      <c r="G430" t="s">
        <v>171</v>
      </c>
      <c r="H430" t="s">
        <v>228</v>
      </c>
      <c r="I430">
        <v>3</v>
      </c>
      <c r="J430" s="2">
        <v>65.599999999999994</v>
      </c>
      <c r="K430" s="4">
        <v>0.05</v>
      </c>
      <c r="L430" t="s">
        <v>90</v>
      </c>
      <c r="M430">
        <v>4</v>
      </c>
      <c r="N430" t="s">
        <v>91</v>
      </c>
    </row>
    <row r="431" spans="1:14">
      <c r="A431" t="s">
        <v>859</v>
      </c>
      <c r="B431" s="3">
        <v>46004</v>
      </c>
      <c r="C431" t="s">
        <v>610</v>
      </c>
      <c r="D431" t="s">
        <v>190</v>
      </c>
      <c r="E431" t="s">
        <v>611</v>
      </c>
      <c r="F431" t="s">
        <v>145</v>
      </c>
      <c r="G431" t="s">
        <v>183</v>
      </c>
      <c r="H431" t="s">
        <v>89</v>
      </c>
      <c r="I431">
        <v>1</v>
      </c>
      <c r="J431" s="2">
        <v>273.05</v>
      </c>
      <c r="K431" s="4">
        <v>0</v>
      </c>
      <c r="L431" t="s">
        <v>106</v>
      </c>
      <c r="M431">
        <v>2</v>
      </c>
      <c r="N431" t="s">
        <v>147</v>
      </c>
    </row>
    <row r="432" spans="1:14">
      <c r="A432" t="s">
        <v>860</v>
      </c>
      <c r="B432" s="3">
        <v>45834</v>
      </c>
      <c r="C432" t="s">
        <v>507</v>
      </c>
      <c r="D432" t="s">
        <v>149</v>
      </c>
      <c r="E432" t="s">
        <v>508</v>
      </c>
      <c r="F432" t="s">
        <v>116</v>
      </c>
      <c r="G432" t="s">
        <v>88</v>
      </c>
      <c r="H432" t="s">
        <v>89</v>
      </c>
      <c r="I432">
        <v>1</v>
      </c>
      <c r="J432" s="2">
        <v>80.47</v>
      </c>
      <c r="K432" s="4">
        <v>0.25</v>
      </c>
      <c r="L432" t="s">
        <v>98</v>
      </c>
      <c r="M432">
        <v>4</v>
      </c>
      <c r="N432" t="s">
        <v>91</v>
      </c>
    </row>
    <row r="433" spans="1:14">
      <c r="A433" t="s">
        <v>861</v>
      </c>
      <c r="B433" s="3">
        <v>45758</v>
      </c>
      <c r="C433" t="s">
        <v>349</v>
      </c>
      <c r="D433" t="s">
        <v>503</v>
      </c>
      <c r="E433" t="s">
        <v>350</v>
      </c>
      <c r="F433" t="s">
        <v>87</v>
      </c>
      <c r="G433" t="s">
        <v>104</v>
      </c>
      <c r="H433" t="s">
        <v>89</v>
      </c>
      <c r="I433">
        <v>1</v>
      </c>
      <c r="J433" s="2">
        <v>117.18</v>
      </c>
      <c r="K433" s="4">
        <v>0.05</v>
      </c>
      <c r="L433" t="s">
        <v>106</v>
      </c>
      <c r="M433">
        <v>7</v>
      </c>
      <c r="N433" t="s">
        <v>91</v>
      </c>
    </row>
    <row r="434" spans="1:14">
      <c r="A434" t="s">
        <v>862</v>
      </c>
      <c r="B434" s="3">
        <v>45671</v>
      </c>
      <c r="C434" t="s">
        <v>523</v>
      </c>
      <c r="D434" t="s">
        <v>136</v>
      </c>
      <c r="E434" t="s">
        <v>524</v>
      </c>
      <c r="F434" t="s">
        <v>145</v>
      </c>
      <c r="G434" t="s">
        <v>96</v>
      </c>
      <c r="H434" t="s">
        <v>97</v>
      </c>
      <c r="I434">
        <v>1</v>
      </c>
      <c r="J434" s="2">
        <v>161.27000000000001</v>
      </c>
      <c r="K434" s="4">
        <v>0</v>
      </c>
      <c r="L434" t="s">
        <v>90</v>
      </c>
      <c r="M434">
        <v>1</v>
      </c>
      <c r="N434" t="s">
        <v>91</v>
      </c>
    </row>
    <row r="435" spans="1:14">
      <c r="A435" t="s">
        <v>863</v>
      </c>
      <c r="B435" s="3">
        <v>45847</v>
      </c>
      <c r="C435" t="s">
        <v>193</v>
      </c>
      <c r="D435" t="s">
        <v>520</v>
      </c>
      <c r="E435" t="s">
        <v>195</v>
      </c>
      <c r="F435" t="s">
        <v>103</v>
      </c>
      <c r="G435" t="s">
        <v>88</v>
      </c>
      <c r="H435" t="s">
        <v>97</v>
      </c>
      <c r="I435">
        <v>1</v>
      </c>
      <c r="J435" s="2">
        <v>376.37</v>
      </c>
      <c r="K435" s="4">
        <v>0.15</v>
      </c>
      <c r="L435" t="s">
        <v>106</v>
      </c>
      <c r="M435">
        <v>4</v>
      </c>
      <c r="N435" t="s">
        <v>147</v>
      </c>
    </row>
    <row r="436" spans="1:14">
      <c r="A436" t="s">
        <v>864</v>
      </c>
      <c r="B436" s="3">
        <v>45689</v>
      </c>
      <c r="C436" t="s">
        <v>273</v>
      </c>
      <c r="D436" t="s">
        <v>520</v>
      </c>
      <c r="E436" t="s">
        <v>274</v>
      </c>
      <c r="F436" t="s">
        <v>111</v>
      </c>
      <c r="G436" t="s">
        <v>104</v>
      </c>
      <c r="H436" t="s">
        <v>105</v>
      </c>
      <c r="I436">
        <v>5</v>
      </c>
      <c r="J436" s="2">
        <v>356.85</v>
      </c>
      <c r="K436" s="4">
        <v>0</v>
      </c>
      <c r="L436" t="s">
        <v>90</v>
      </c>
      <c r="M436">
        <v>1</v>
      </c>
      <c r="N436" t="s">
        <v>91</v>
      </c>
    </row>
    <row r="437" spans="1:14">
      <c r="A437" t="s">
        <v>865</v>
      </c>
      <c r="B437" s="3">
        <v>45671</v>
      </c>
      <c r="C437" t="s">
        <v>322</v>
      </c>
      <c r="D437" t="s">
        <v>252</v>
      </c>
      <c r="E437" t="s">
        <v>470</v>
      </c>
      <c r="F437" t="s">
        <v>116</v>
      </c>
      <c r="G437" t="s">
        <v>96</v>
      </c>
      <c r="H437" t="s">
        <v>97</v>
      </c>
      <c r="I437">
        <v>5</v>
      </c>
      <c r="J437" s="2">
        <v>277.52999999999997</v>
      </c>
      <c r="K437" s="4">
        <v>0.25</v>
      </c>
      <c r="L437" t="s">
        <v>106</v>
      </c>
      <c r="M437">
        <v>0</v>
      </c>
      <c r="N437" t="s">
        <v>91</v>
      </c>
    </row>
    <row r="438" spans="1:14">
      <c r="A438" t="s">
        <v>866</v>
      </c>
      <c r="B438" s="3">
        <v>46003</v>
      </c>
      <c r="C438" t="s">
        <v>613</v>
      </c>
      <c r="D438" t="s">
        <v>85</v>
      </c>
      <c r="E438" t="s">
        <v>710</v>
      </c>
      <c r="F438" t="s">
        <v>116</v>
      </c>
      <c r="G438" t="s">
        <v>183</v>
      </c>
      <c r="H438" t="s">
        <v>89</v>
      </c>
      <c r="I438">
        <v>1</v>
      </c>
      <c r="J438" s="2">
        <v>302.3</v>
      </c>
      <c r="K438" s="4">
        <v>0</v>
      </c>
      <c r="L438" t="s">
        <v>106</v>
      </c>
      <c r="M438">
        <v>3</v>
      </c>
      <c r="N438" t="s">
        <v>91</v>
      </c>
    </row>
    <row r="439" spans="1:14">
      <c r="A439" t="s">
        <v>867</v>
      </c>
      <c r="B439" s="3">
        <v>45879</v>
      </c>
      <c r="C439" t="s">
        <v>551</v>
      </c>
      <c r="D439" t="s">
        <v>217</v>
      </c>
      <c r="E439" t="s">
        <v>552</v>
      </c>
      <c r="F439" t="s">
        <v>310</v>
      </c>
      <c r="G439" t="s">
        <v>122</v>
      </c>
      <c r="H439" t="s">
        <v>97</v>
      </c>
      <c r="I439">
        <v>1</v>
      </c>
      <c r="J439" s="2">
        <v>99.22</v>
      </c>
      <c r="K439" s="4">
        <v>0.05</v>
      </c>
      <c r="L439" t="s">
        <v>154</v>
      </c>
      <c r="M439">
        <v>3</v>
      </c>
      <c r="N439" t="s">
        <v>91</v>
      </c>
    </row>
    <row r="440" spans="1:14">
      <c r="A440" t="s">
        <v>868</v>
      </c>
      <c r="B440" s="3">
        <v>45758</v>
      </c>
      <c r="C440" t="s">
        <v>613</v>
      </c>
      <c r="D440" t="s">
        <v>271</v>
      </c>
      <c r="E440" t="s">
        <v>710</v>
      </c>
      <c r="F440" t="s">
        <v>145</v>
      </c>
      <c r="G440" t="s">
        <v>130</v>
      </c>
      <c r="H440" t="s">
        <v>97</v>
      </c>
      <c r="I440">
        <v>1</v>
      </c>
      <c r="J440" s="2">
        <v>217.33</v>
      </c>
      <c r="K440" s="4">
        <v>0.15</v>
      </c>
      <c r="L440" t="s">
        <v>98</v>
      </c>
      <c r="M440">
        <v>2</v>
      </c>
      <c r="N440" t="s">
        <v>91</v>
      </c>
    </row>
    <row r="441" spans="1:14">
      <c r="A441" t="s">
        <v>869</v>
      </c>
      <c r="B441" s="3">
        <v>45850</v>
      </c>
      <c r="C441" t="s">
        <v>93</v>
      </c>
      <c r="D441" t="s">
        <v>143</v>
      </c>
      <c r="E441" t="s">
        <v>95</v>
      </c>
      <c r="F441" t="s">
        <v>87</v>
      </c>
      <c r="G441" t="s">
        <v>117</v>
      </c>
      <c r="H441" t="s">
        <v>97</v>
      </c>
      <c r="I441">
        <v>1</v>
      </c>
      <c r="J441" s="2">
        <v>269.99</v>
      </c>
      <c r="K441" s="4">
        <v>0.15</v>
      </c>
      <c r="L441" t="s">
        <v>90</v>
      </c>
      <c r="M441">
        <v>0</v>
      </c>
      <c r="N441" t="s">
        <v>91</v>
      </c>
    </row>
    <row r="442" spans="1:14">
      <c r="A442" t="s">
        <v>870</v>
      </c>
      <c r="B442" s="3">
        <v>45956</v>
      </c>
      <c r="C442" t="s">
        <v>239</v>
      </c>
      <c r="D442" t="s">
        <v>271</v>
      </c>
      <c r="E442" t="s">
        <v>240</v>
      </c>
      <c r="F442" t="s">
        <v>87</v>
      </c>
      <c r="G442" t="s">
        <v>183</v>
      </c>
      <c r="H442" t="s">
        <v>89</v>
      </c>
      <c r="I442">
        <v>3</v>
      </c>
      <c r="J442" s="2">
        <v>236.23</v>
      </c>
      <c r="K442" s="4">
        <v>0</v>
      </c>
      <c r="L442" t="s">
        <v>106</v>
      </c>
      <c r="M442">
        <v>3</v>
      </c>
      <c r="N442" t="s">
        <v>91</v>
      </c>
    </row>
    <row r="443" spans="1:14">
      <c r="A443" t="s">
        <v>871</v>
      </c>
      <c r="B443" s="3">
        <v>45768</v>
      </c>
      <c r="C443" t="s">
        <v>466</v>
      </c>
      <c r="D443" t="s">
        <v>109</v>
      </c>
      <c r="E443" t="s">
        <v>467</v>
      </c>
      <c r="F443" t="s">
        <v>145</v>
      </c>
      <c r="G443" t="s">
        <v>171</v>
      </c>
      <c r="H443" t="s">
        <v>308</v>
      </c>
      <c r="I443">
        <v>2</v>
      </c>
      <c r="J443" s="2">
        <v>191.17</v>
      </c>
      <c r="K443" s="4">
        <v>0</v>
      </c>
      <c r="L443" t="s">
        <v>106</v>
      </c>
      <c r="M443">
        <v>9</v>
      </c>
      <c r="N443" t="s">
        <v>91</v>
      </c>
    </row>
    <row r="444" spans="1:14">
      <c r="A444" t="s">
        <v>872</v>
      </c>
      <c r="B444" s="3">
        <v>45813</v>
      </c>
      <c r="C444" t="s">
        <v>363</v>
      </c>
      <c r="D444" t="s">
        <v>346</v>
      </c>
      <c r="E444" t="s">
        <v>364</v>
      </c>
      <c r="F444" t="s">
        <v>87</v>
      </c>
      <c r="G444" t="s">
        <v>183</v>
      </c>
      <c r="H444" t="s">
        <v>89</v>
      </c>
      <c r="I444">
        <v>1</v>
      </c>
      <c r="J444" s="2">
        <v>259.19</v>
      </c>
      <c r="K444" s="4">
        <v>0.1</v>
      </c>
      <c r="L444" t="s">
        <v>106</v>
      </c>
      <c r="M444">
        <v>3</v>
      </c>
      <c r="N444" t="s">
        <v>91</v>
      </c>
    </row>
    <row r="445" spans="1:14">
      <c r="A445" t="s">
        <v>873</v>
      </c>
      <c r="B445" s="3">
        <v>45810</v>
      </c>
      <c r="C445" t="s">
        <v>494</v>
      </c>
      <c r="D445" t="s">
        <v>418</v>
      </c>
      <c r="E445" t="s">
        <v>495</v>
      </c>
      <c r="F445" t="s">
        <v>145</v>
      </c>
      <c r="G445" t="s">
        <v>183</v>
      </c>
      <c r="H445" t="s">
        <v>89</v>
      </c>
      <c r="I445">
        <v>1</v>
      </c>
      <c r="J445" s="2">
        <v>365.39</v>
      </c>
      <c r="K445" s="4">
        <v>0.15</v>
      </c>
      <c r="L445" t="s">
        <v>90</v>
      </c>
      <c r="M445">
        <v>8</v>
      </c>
      <c r="N445" t="s">
        <v>91</v>
      </c>
    </row>
    <row r="446" spans="1:14">
      <c r="A446" t="s">
        <v>874</v>
      </c>
      <c r="B446" s="3">
        <v>45939</v>
      </c>
      <c r="C446" t="s">
        <v>466</v>
      </c>
      <c r="D446" t="s">
        <v>244</v>
      </c>
      <c r="E446" t="s">
        <v>467</v>
      </c>
      <c r="F446" t="s">
        <v>116</v>
      </c>
      <c r="G446" t="s">
        <v>96</v>
      </c>
      <c r="H446" t="s">
        <v>97</v>
      </c>
      <c r="I446">
        <v>1</v>
      </c>
      <c r="J446" s="2">
        <v>245.43</v>
      </c>
      <c r="K446" s="4">
        <v>0.2</v>
      </c>
      <c r="L446" t="s">
        <v>90</v>
      </c>
      <c r="M446">
        <v>2</v>
      </c>
      <c r="N446" t="s">
        <v>147</v>
      </c>
    </row>
    <row r="447" spans="1:14">
      <c r="A447" t="s">
        <v>875</v>
      </c>
      <c r="B447" s="3">
        <v>45966</v>
      </c>
      <c r="C447" t="s">
        <v>371</v>
      </c>
      <c r="D447" t="s">
        <v>418</v>
      </c>
      <c r="E447" t="s">
        <v>372</v>
      </c>
      <c r="F447" t="s">
        <v>87</v>
      </c>
      <c r="G447" t="s">
        <v>104</v>
      </c>
      <c r="H447" t="s">
        <v>105</v>
      </c>
      <c r="I447">
        <v>3</v>
      </c>
      <c r="J447" s="2">
        <v>352.01</v>
      </c>
      <c r="K447" s="4">
        <v>0.1</v>
      </c>
      <c r="L447" t="s">
        <v>106</v>
      </c>
      <c r="M447">
        <v>3</v>
      </c>
      <c r="N447" t="s">
        <v>91</v>
      </c>
    </row>
    <row r="448" spans="1:14">
      <c r="A448" t="s">
        <v>876</v>
      </c>
      <c r="B448" s="3">
        <v>45832</v>
      </c>
      <c r="C448" t="s">
        <v>322</v>
      </c>
      <c r="D448" t="s">
        <v>143</v>
      </c>
      <c r="E448" t="s">
        <v>470</v>
      </c>
      <c r="F448" t="s">
        <v>145</v>
      </c>
      <c r="G448" t="s">
        <v>104</v>
      </c>
      <c r="H448" t="s">
        <v>105</v>
      </c>
      <c r="I448">
        <v>1</v>
      </c>
      <c r="J448" s="2">
        <v>259.24</v>
      </c>
      <c r="K448" s="4">
        <v>0.2</v>
      </c>
      <c r="L448" t="s">
        <v>106</v>
      </c>
      <c r="M448">
        <v>6</v>
      </c>
      <c r="N448" t="s">
        <v>91</v>
      </c>
    </row>
    <row r="449" spans="1:14">
      <c r="A449" t="s">
        <v>877</v>
      </c>
      <c r="B449" s="3">
        <v>45875</v>
      </c>
      <c r="C449" t="s">
        <v>151</v>
      </c>
      <c r="D449" t="s">
        <v>149</v>
      </c>
      <c r="E449" t="s">
        <v>827</v>
      </c>
      <c r="F449" t="s">
        <v>116</v>
      </c>
      <c r="G449" t="s">
        <v>122</v>
      </c>
      <c r="H449" t="s">
        <v>89</v>
      </c>
      <c r="I449">
        <v>1</v>
      </c>
      <c r="J449" s="2">
        <v>83.23</v>
      </c>
      <c r="K449" s="4">
        <v>0.05</v>
      </c>
      <c r="L449" t="s">
        <v>90</v>
      </c>
      <c r="M449">
        <v>6</v>
      </c>
      <c r="N449" t="s">
        <v>91</v>
      </c>
    </row>
    <row r="450" spans="1:14">
      <c r="A450" t="s">
        <v>878</v>
      </c>
      <c r="B450" s="3">
        <v>45924</v>
      </c>
      <c r="C450" t="s">
        <v>142</v>
      </c>
      <c r="D450" t="s">
        <v>217</v>
      </c>
      <c r="E450" t="s">
        <v>144</v>
      </c>
      <c r="F450" t="s">
        <v>116</v>
      </c>
      <c r="G450" t="s">
        <v>171</v>
      </c>
      <c r="H450" t="s">
        <v>105</v>
      </c>
      <c r="I450">
        <v>4</v>
      </c>
      <c r="J450" s="2">
        <v>109.34</v>
      </c>
      <c r="K450" s="4">
        <v>0.2</v>
      </c>
      <c r="L450" t="s">
        <v>106</v>
      </c>
      <c r="M450">
        <v>7</v>
      </c>
      <c r="N450" t="s">
        <v>91</v>
      </c>
    </row>
    <row r="451" spans="1:14">
      <c r="A451" t="s">
        <v>879</v>
      </c>
      <c r="B451" s="3">
        <v>45961</v>
      </c>
      <c r="C451" t="s">
        <v>758</v>
      </c>
      <c r="D451" t="s">
        <v>252</v>
      </c>
      <c r="E451" t="s">
        <v>759</v>
      </c>
      <c r="F451" t="s">
        <v>145</v>
      </c>
      <c r="G451" t="s">
        <v>96</v>
      </c>
      <c r="H451" t="s">
        <v>89</v>
      </c>
      <c r="I451">
        <v>1</v>
      </c>
      <c r="J451" s="2">
        <v>263.44</v>
      </c>
      <c r="K451" s="4">
        <v>0</v>
      </c>
      <c r="M451">
        <v>2</v>
      </c>
      <c r="N451" t="s">
        <v>91</v>
      </c>
    </row>
    <row r="452" spans="1:14">
      <c r="A452" t="s">
        <v>880</v>
      </c>
      <c r="B452" s="3">
        <v>45664</v>
      </c>
      <c r="C452" t="s">
        <v>647</v>
      </c>
      <c r="D452" t="s">
        <v>217</v>
      </c>
      <c r="E452" t="s">
        <v>648</v>
      </c>
      <c r="F452" t="s">
        <v>87</v>
      </c>
      <c r="G452" t="s">
        <v>171</v>
      </c>
      <c r="H452" t="s">
        <v>97</v>
      </c>
      <c r="I452">
        <v>1</v>
      </c>
      <c r="J452" s="2">
        <v>102.79</v>
      </c>
      <c r="K452" s="4">
        <v>0.05</v>
      </c>
      <c r="L452" t="s">
        <v>106</v>
      </c>
      <c r="M452">
        <v>1</v>
      </c>
      <c r="N452" t="s">
        <v>91</v>
      </c>
    </row>
    <row r="453" spans="1:14">
      <c r="A453" t="s">
        <v>881</v>
      </c>
      <c r="B453" s="3">
        <v>45683</v>
      </c>
      <c r="C453" t="s">
        <v>438</v>
      </c>
      <c r="D453" t="s">
        <v>133</v>
      </c>
      <c r="E453" t="s">
        <v>882</v>
      </c>
      <c r="F453" t="s">
        <v>145</v>
      </c>
      <c r="G453" t="s">
        <v>88</v>
      </c>
      <c r="H453" t="s">
        <v>97</v>
      </c>
      <c r="I453">
        <v>1</v>
      </c>
      <c r="J453" s="2">
        <v>334.66</v>
      </c>
      <c r="K453" s="4">
        <v>0.2</v>
      </c>
      <c r="L453" t="s">
        <v>90</v>
      </c>
      <c r="M453">
        <v>2</v>
      </c>
      <c r="N453" t="s">
        <v>91</v>
      </c>
    </row>
    <row r="454" spans="1:14">
      <c r="A454" t="s">
        <v>883</v>
      </c>
      <c r="B454" s="3">
        <v>46007</v>
      </c>
      <c r="C454" t="s">
        <v>286</v>
      </c>
      <c r="D454" t="s">
        <v>114</v>
      </c>
      <c r="E454" t="s">
        <v>287</v>
      </c>
      <c r="F454" t="s">
        <v>103</v>
      </c>
      <c r="G454" t="s">
        <v>88</v>
      </c>
      <c r="H454" t="s">
        <v>97</v>
      </c>
      <c r="I454">
        <v>2</v>
      </c>
      <c r="J454" s="2">
        <v>142.21</v>
      </c>
      <c r="K454" s="4">
        <v>0.05</v>
      </c>
      <c r="L454" t="s">
        <v>106</v>
      </c>
      <c r="M454">
        <v>2</v>
      </c>
      <c r="N454" t="s">
        <v>91</v>
      </c>
    </row>
    <row r="455" spans="1:14">
      <c r="A455" t="s">
        <v>884</v>
      </c>
      <c r="B455" s="3">
        <v>45797</v>
      </c>
      <c r="C455" t="s">
        <v>124</v>
      </c>
      <c r="D455" t="s">
        <v>194</v>
      </c>
      <c r="E455" t="s">
        <v>126</v>
      </c>
      <c r="F455" t="s">
        <v>103</v>
      </c>
      <c r="G455" t="s">
        <v>171</v>
      </c>
      <c r="H455" t="s">
        <v>97</v>
      </c>
      <c r="I455">
        <v>1</v>
      </c>
      <c r="J455" s="2">
        <v>203.87</v>
      </c>
      <c r="K455" s="4">
        <v>0</v>
      </c>
      <c r="L455" t="s">
        <v>521</v>
      </c>
      <c r="M455">
        <v>2</v>
      </c>
      <c r="N455" t="s">
        <v>91</v>
      </c>
    </row>
    <row r="456" spans="1:14">
      <c r="A456" t="s">
        <v>885</v>
      </c>
      <c r="B456" s="3">
        <v>45993</v>
      </c>
      <c r="C456" t="s">
        <v>610</v>
      </c>
      <c r="D456" t="s">
        <v>360</v>
      </c>
      <c r="E456" t="s">
        <v>611</v>
      </c>
      <c r="F456" t="s">
        <v>87</v>
      </c>
      <c r="G456" t="s">
        <v>117</v>
      </c>
      <c r="H456" t="s">
        <v>89</v>
      </c>
      <c r="I456">
        <v>4</v>
      </c>
      <c r="J456" s="2">
        <v>66.59</v>
      </c>
      <c r="K456" s="4">
        <v>0.15</v>
      </c>
      <c r="L456" t="s">
        <v>90</v>
      </c>
      <c r="M456">
        <v>4</v>
      </c>
      <c r="N456" t="s">
        <v>91</v>
      </c>
    </row>
    <row r="457" spans="1:14">
      <c r="A457" t="s">
        <v>886</v>
      </c>
      <c r="B457" s="3">
        <v>45852</v>
      </c>
      <c r="C457" t="s">
        <v>330</v>
      </c>
      <c r="D457" t="s">
        <v>226</v>
      </c>
      <c r="E457" t="s">
        <v>424</v>
      </c>
      <c r="F457" t="s">
        <v>87</v>
      </c>
      <c r="G457" t="s">
        <v>171</v>
      </c>
      <c r="H457" t="s">
        <v>97</v>
      </c>
      <c r="I457">
        <v>2</v>
      </c>
      <c r="J457" s="2">
        <v>210.56</v>
      </c>
      <c r="K457" s="4">
        <v>0.05</v>
      </c>
      <c r="L457" t="s">
        <v>106</v>
      </c>
      <c r="M457">
        <v>2</v>
      </c>
      <c r="N457" t="s">
        <v>91</v>
      </c>
    </row>
    <row r="458" spans="1:14">
      <c r="A458" t="s">
        <v>887</v>
      </c>
      <c r="B458" s="3">
        <v>46019</v>
      </c>
      <c r="C458" t="s">
        <v>173</v>
      </c>
      <c r="D458" t="s">
        <v>323</v>
      </c>
      <c r="E458" t="s">
        <v>175</v>
      </c>
      <c r="F458" t="s">
        <v>87</v>
      </c>
      <c r="G458" t="s">
        <v>183</v>
      </c>
      <c r="H458" t="s">
        <v>97</v>
      </c>
      <c r="I458">
        <v>2</v>
      </c>
      <c r="J458" s="2">
        <v>350.32</v>
      </c>
      <c r="K458" s="4">
        <v>0.2</v>
      </c>
      <c r="L458" t="s">
        <v>106</v>
      </c>
      <c r="M458">
        <v>2</v>
      </c>
      <c r="N458" t="s">
        <v>91</v>
      </c>
    </row>
    <row r="459" spans="1:14">
      <c r="A459" t="s">
        <v>888</v>
      </c>
      <c r="B459" s="3">
        <v>45908</v>
      </c>
      <c r="C459" t="s">
        <v>265</v>
      </c>
      <c r="D459" t="s">
        <v>346</v>
      </c>
      <c r="E459" t="s">
        <v>266</v>
      </c>
      <c r="F459" t="s">
        <v>87</v>
      </c>
      <c r="G459" t="s">
        <v>122</v>
      </c>
      <c r="H459" t="s">
        <v>97</v>
      </c>
      <c r="I459">
        <v>3</v>
      </c>
      <c r="J459" s="2">
        <v>252.66</v>
      </c>
      <c r="K459" s="4">
        <v>0.25</v>
      </c>
      <c r="L459" t="s">
        <v>98</v>
      </c>
      <c r="M459">
        <v>2</v>
      </c>
      <c r="N459" t="s">
        <v>91</v>
      </c>
    </row>
    <row r="460" spans="1:14">
      <c r="A460" t="s">
        <v>889</v>
      </c>
      <c r="B460" s="3">
        <v>45908</v>
      </c>
      <c r="C460" t="s">
        <v>536</v>
      </c>
      <c r="D460" t="s">
        <v>271</v>
      </c>
      <c r="E460" t="s">
        <v>431</v>
      </c>
      <c r="F460" t="s">
        <v>111</v>
      </c>
      <c r="G460" t="s">
        <v>171</v>
      </c>
      <c r="H460" t="s">
        <v>105</v>
      </c>
      <c r="I460">
        <v>2</v>
      </c>
      <c r="J460" s="2">
        <v>235.33</v>
      </c>
      <c r="K460" s="4">
        <v>0.05</v>
      </c>
      <c r="L460" t="s">
        <v>98</v>
      </c>
      <c r="M460">
        <v>2</v>
      </c>
      <c r="N460" t="s">
        <v>91</v>
      </c>
    </row>
    <row r="461" spans="1:14">
      <c r="A461" t="s">
        <v>890</v>
      </c>
      <c r="B461" s="3">
        <v>45734</v>
      </c>
      <c r="C461" t="s">
        <v>406</v>
      </c>
      <c r="D461" t="s">
        <v>157</v>
      </c>
      <c r="E461" t="s">
        <v>407</v>
      </c>
      <c r="F461" t="s">
        <v>116</v>
      </c>
      <c r="G461" t="s">
        <v>104</v>
      </c>
      <c r="H461" t="s">
        <v>233</v>
      </c>
      <c r="I461">
        <v>3</v>
      </c>
      <c r="J461" s="2">
        <v>277.63</v>
      </c>
      <c r="K461" s="4">
        <v>0.1</v>
      </c>
      <c r="L461" t="s">
        <v>90</v>
      </c>
      <c r="M461">
        <v>3</v>
      </c>
      <c r="N461" t="s">
        <v>91</v>
      </c>
    </row>
    <row r="462" spans="1:14">
      <c r="A462" t="s">
        <v>891</v>
      </c>
      <c r="B462" s="3">
        <v>45984</v>
      </c>
      <c r="C462" t="s">
        <v>613</v>
      </c>
      <c r="D462" t="s">
        <v>277</v>
      </c>
      <c r="E462" t="s">
        <v>710</v>
      </c>
      <c r="F462" t="s">
        <v>111</v>
      </c>
      <c r="G462" t="s">
        <v>104</v>
      </c>
      <c r="H462" t="s">
        <v>97</v>
      </c>
      <c r="I462">
        <v>1</v>
      </c>
      <c r="J462" s="2">
        <v>392.21</v>
      </c>
      <c r="K462" s="4">
        <v>0</v>
      </c>
      <c r="L462" t="s">
        <v>106</v>
      </c>
      <c r="M462">
        <v>1</v>
      </c>
      <c r="N462" t="s">
        <v>91</v>
      </c>
    </row>
    <row r="463" spans="1:14">
      <c r="A463" t="s">
        <v>892</v>
      </c>
      <c r="B463" s="3">
        <v>45896</v>
      </c>
      <c r="C463" t="s">
        <v>359</v>
      </c>
      <c r="D463" t="s">
        <v>190</v>
      </c>
      <c r="E463" t="s">
        <v>361</v>
      </c>
      <c r="F463" t="s">
        <v>103</v>
      </c>
      <c r="G463" t="s">
        <v>96</v>
      </c>
      <c r="H463" t="s">
        <v>89</v>
      </c>
      <c r="I463">
        <v>1</v>
      </c>
      <c r="J463" s="2">
        <v>279.77</v>
      </c>
      <c r="K463" s="4">
        <v>0</v>
      </c>
      <c r="L463" t="s">
        <v>98</v>
      </c>
      <c r="M463">
        <v>4</v>
      </c>
      <c r="N463" t="s">
        <v>91</v>
      </c>
    </row>
    <row r="464" spans="1:14">
      <c r="A464" t="s">
        <v>893</v>
      </c>
      <c r="B464" s="3">
        <v>45754</v>
      </c>
      <c r="C464" t="s">
        <v>225</v>
      </c>
      <c r="D464" t="s">
        <v>165</v>
      </c>
      <c r="E464" t="s">
        <v>227</v>
      </c>
      <c r="F464" t="s">
        <v>111</v>
      </c>
      <c r="G464" t="s">
        <v>104</v>
      </c>
      <c r="H464" t="s">
        <v>105</v>
      </c>
      <c r="I464">
        <v>1</v>
      </c>
      <c r="J464" s="2">
        <v>103.89</v>
      </c>
      <c r="K464" s="4">
        <v>0.25</v>
      </c>
      <c r="L464" t="s">
        <v>98</v>
      </c>
      <c r="M464">
        <v>8</v>
      </c>
      <c r="N464" t="s">
        <v>91</v>
      </c>
    </row>
    <row r="465" spans="1:14">
      <c r="A465" t="s">
        <v>894</v>
      </c>
      <c r="B465" s="3">
        <v>45781</v>
      </c>
      <c r="C465" t="s">
        <v>338</v>
      </c>
      <c r="D465" t="s">
        <v>143</v>
      </c>
      <c r="E465" t="s">
        <v>339</v>
      </c>
      <c r="F465" t="s">
        <v>111</v>
      </c>
      <c r="G465" t="s">
        <v>122</v>
      </c>
      <c r="H465" t="s">
        <v>97</v>
      </c>
      <c r="I465">
        <v>1</v>
      </c>
      <c r="J465" s="2">
        <v>273.39</v>
      </c>
      <c r="K465" s="4">
        <v>0.1</v>
      </c>
      <c r="L465" t="s">
        <v>90</v>
      </c>
      <c r="M465">
        <v>3</v>
      </c>
      <c r="N465" t="s">
        <v>91</v>
      </c>
    </row>
    <row r="466" spans="1:14">
      <c r="A466" t="s">
        <v>895</v>
      </c>
      <c r="B466" s="3">
        <v>45912</v>
      </c>
      <c r="C466" t="s">
        <v>316</v>
      </c>
      <c r="D466" t="s">
        <v>85</v>
      </c>
      <c r="E466" t="s">
        <v>317</v>
      </c>
      <c r="F466" t="s">
        <v>103</v>
      </c>
      <c r="G466" t="s">
        <v>96</v>
      </c>
      <c r="H466" t="s">
        <v>105</v>
      </c>
      <c r="I466">
        <v>1</v>
      </c>
      <c r="J466" s="2">
        <v>295.25</v>
      </c>
      <c r="K466" s="4">
        <v>0.1</v>
      </c>
      <c r="L466" t="s">
        <v>154</v>
      </c>
      <c r="M466">
        <v>5</v>
      </c>
      <c r="N466" t="s">
        <v>91</v>
      </c>
    </row>
    <row r="467" spans="1:14">
      <c r="A467" t="s">
        <v>896</v>
      </c>
      <c r="B467" s="3">
        <v>45685</v>
      </c>
      <c r="C467" t="s">
        <v>516</v>
      </c>
      <c r="D467" t="s">
        <v>255</v>
      </c>
      <c r="E467" t="s">
        <v>517</v>
      </c>
      <c r="F467" t="s">
        <v>87</v>
      </c>
      <c r="G467" t="s">
        <v>130</v>
      </c>
      <c r="H467" t="s">
        <v>105</v>
      </c>
      <c r="I467">
        <v>1</v>
      </c>
      <c r="J467" s="2">
        <v>252.23</v>
      </c>
      <c r="K467" s="4">
        <v>0</v>
      </c>
      <c r="L467" t="s">
        <v>98</v>
      </c>
      <c r="M467">
        <v>2</v>
      </c>
      <c r="N467" t="s">
        <v>91</v>
      </c>
    </row>
    <row r="468" spans="1:14">
      <c r="A468" t="s">
        <v>897</v>
      </c>
      <c r="B468" s="3">
        <v>45906</v>
      </c>
      <c r="C468" t="s">
        <v>359</v>
      </c>
      <c r="D468" t="s">
        <v>114</v>
      </c>
      <c r="E468" t="s">
        <v>361</v>
      </c>
      <c r="F468" t="s">
        <v>103</v>
      </c>
      <c r="G468" t="s">
        <v>171</v>
      </c>
      <c r="H468" t="s">
        <v>105</v>
      </c>
      <c r="I468">
        <v>3</v>
      </c>
      <c r="J468" s="2">
        <v>145.91999999999999</v>
      </c>
      <c r="K468" s="4">
        <v>0</v>
      </c>
      <c r="L468" t="s">
        <v>504</v>
      </c>
      <c r="M468">
        <v>7</v>
      </c>
      <c r="N468" t="s">
        <v>91</v>
      </c>
    </row>
    <row r="469" spans="1:14">
      <c r="A469" t="s">
        <v>898</v>
      </c>
      <c r="B469" s="3">
        <v>45837</v>
      </c>
      <c r="C469" t="s">
        <v>466</v>
      </c>
      <c r="D469" t="s">
        <v>101</v>
      </c>
      <c r="E469" t="s">
        <v>467</v>
      </c>
      <c r="F469" t="s">
        <v>111</v>
      </c>
      <c r="G469" t="s">
        <v>117</v>
      </c>
      <c r="H469" t="s">
        <v>89</v>
      </c>
      <c r="I469">
        <v>3</v>
      </c>
      <c r="J469" s="2">
        <v>314.99</v>
      </c>
      <c r="K469" s="4">
        <v>0.15</v>
      </c>
      <c r="L469" t="s">
        <v>98</v>
      </c>
      <c r="M469">
        <v>9</v>
      </c>
      <c r="N469" t="s">
        <v>91</v>
      </c>
    </row>
    <row r="470" spans="1:14">
      <c r="A470" t="s">
        <v>899</v>
      </c>
      <c r="B470" s="3">
        <v>45707</v>
      </c>
      <c r="C470" t="s">
        <v>491</v>
      </c>
      <c r="D470" t="s">
        <v>277</v>
      </c>
      <c r="E470" t="s">
        <v>492</v>
      </c>
      <c r="F470" t="s">
        <v>145</v>
      </c>
      <c r="G470" t="s">
        <v>104</v>
      </c>
      <c r="H470" t="s">
        <v>97</v>
      </c>
      <c r="I470">
        <v>1</v>
      </c>
      <c r="J470" s="2">
        <v>380.08</v>
      </c>
      <c r="K470" s="4">
        <v>0</v>
      </c>
      <c r="L470" t="s">
        <v>90</v>
      </c>
      <c r="M470">
        <v>4</v>
      </c>
      <c r="N470" t="s">
        <v>91</v>
      </c>
    </row>
    <row r="471" spans="1:14">
      <c r="A471" t="s">
        <v>900</v>
      </c>
      <c r="B471" s="3">
        <v>45785</v>
      </c>
      <c r="C471" t="s">
        <v>100</v>
      </c>
      <c r="D471" t="s">
        <v>101</v>
      </c>
      <c r="E471" t="s">
        <v>102</v>
      </c>
      <c r="F471" t="s">
        <v>145</v>
      </c>
      <c r="G471" t="s">
        <v>104</v>
      </c>
      <c r="H471" t="s">
        <v>89</v>
      </c>
      <c r="I471">
        <v>4</v>
      </c>
      <c r="J471" s="2">
        <v>310.64999999999998</v>
      </c>
      <c r="K471" s="4">
        <v>0.1</v>
      </c>
      <c r="L471" t="s">
        <v>98</v>
      </c>
      <c r="M471">
        <v>1</v>
      </c>
      <c r="N471" t="s">
        <v>91</v>
      </c>
    </row>
    <row r="472" spans="1:14">
      <c r="A472" t="s">
        <v>901</v>
      </c>
      <c r="B472" s="3">
        <v>45806</v>
      </c>
      <c r="C472" t="s">
        <v>366</v>
      </c>
      <c r="D472" t="s">
        <v>249</v>
      </c>
      <c r="E472" t="s">
        <v>367</v>
      </c>
      <c r="F472" t="s">
        <v>87</v>
      </c>
      <c r="G472" t="s">
        <v>122</v>
      </c>
      <c r="H472" t="s">
        <v>97</v>
      </c>
      <c r="I472">
        <v>2</v>
      </c>
      <c r="J472" s="2">
        <v>440.76</v>
      </c>
      <c r="K472" s="4">
        <v>0.2</v>
      </c>
      <c r="L472" t="s">
        <v>106</v>
      </c>
      <c r="M472">
        <v>2</v>
      </c>
      <c r="N472" t="s">
        <v>91</v>
      </c>
    </row>
    <row r="473" spans="1:14">
      <c r="A473" t="s">
        <v>902</v>
      </c>
      <c r="B473" s="3">
        <v>45978</v>
      </c>
      <c r="C473" t="s">
        <v>335</v>
      </c>
      <c r="D473" t="s">
        <v>152</v>
      </c>
      <c r="E473" t="s">
        <v>336</v>
      </c>
      <c r="F473" t="s">
        <v>87</v>
      </c>
      <c r="G473" t="s">
        <v>122</v>
      </c>
      <c r="H473" t="s">
        <v>105</v>
      </c>
      <c r="I473">
        <v>1</v>
      </c>
      <c r="J473" s="2">
        <v>133.57</v>
      </c>
      <c r="K473" s="4">
        <v>0.15</v>
      </c>
      <c r="L473" t="s">
        <v>154</v>
      </c>
      <c r="M473">
        <v>9</v>
      </c>
      <c r="N473" t="s">
        <v>91</v>
      </c>
    </row>
    <row r="474" spans="1:14">
      <c r="A474" t="s">
        <v>903</v>
      </c>
      <c r="B474" s="3">
        <v>45693</v>
      </c>
      <c r="C474" t="s">
        <v>448</v>
      </c>
      <c r="D474" t="s">
        <v>360</v>
      </c>
      <c r="E474" t="s">
        <v>790</v>
      </c>
      <c r="F474" t="s">
        <v>111</v>
      </c>
      <c r="G474" t="s">
        <v>117</v>
      </c>
      <c r="H474" t="s">
        <v>97</v>
      </c>
      <c r="I474">
        <v>1</v>
      </c>
      <c r="J474" s="2">
        <v>68.52</v>
      </c>
      <c r="K474" s="4">
        <v>0.1</v>
      </c>
      <c r="L474" t="s">
        <v>106</v>
      </c>
      <c r="M474">
        <v>1</v>
      </c>
      <c r="N474" t="s">
        <v>91</v>
      </c>
    </row>
    <row r="475" spans="1:14">
      <c r="A475" t="s">
        <v>904</v>
      </c>
      <c r="B475" s="3">
        <v>45812</v>
      </c>
      <c r="C475" t="s">
        <v>169</v>
      </c>
      <c r="D475" t="s">
        <v>85</v>
      </c>
      <c r="E475" t="s">
        <v>170</v>
      </c>
      <c r="F475" t="s">
        <v>116</v>
      </c>
      <c r="G475" t="s">
        <v>130</v>
      </c>
      <c r="H475" t="s">
        <v>105</v>
      </c>
      <c r="I475">
        <v>1</v>
      </c>
      <c r="J475" s="2">
        <v>294.06</v>
      </c>
      <c r="K475" s="4">
        <v>0.15</v>
      </c>
      <c r="L475" t="s">
        <v>106</v>
      </c>
      <c r="M475">
        <v>8</v>
      </c>
      <c r="N475" t="s">
        <v>91</v>
      </c>
    </row>
    <row r="476" spans="1:14">
      <c r="A476" t="s">
        <v>905</v>
      </c>
      <c r="B476" s="3">
        <v>45896</v>
      </c>
      <c r="C476" t="s">
        <v>551</v>
      </c>
      <c r="D476" t="s">
        <v>217</v>
      </c>
      <c r="E476" t="s">
        <v>552</v>
      </c>
      <c r="F476" t="s">
        <v>116</v>
      </c>
      <c r="G476" t="s">
        <v>117</v>
      </c>
      <c r="H476" t="s">
        <v>89</v>
      </c>
      <c r="I476">
        <v>3</v>
      </c>
      <c r="J476" s="2">
        <v>111.3</v>
      </c>
      <c r="K476" s="4">
        <v>0.2</v>
      </c>
      <c r="L476" t="s">
        <v>98</v>
      </c>
      <c r="M476">
        <v>4</v>
      </c>
      <c r="N476" t="s">
        <v>91</v>
      </c>
    </row>
    <row r="477" spans="1:14">
      <c r="A477" t="s">
        <v>906</v>
      </c>
      <c r="B477" s="3">
        <v>45974</v>
      </c>
      <c r="C477" t="s">
        <v>213</v>
      </c>
      <c r="D477" t="s">
        <v>249</v>
      </c>
      <c r="E477" t="s">
        <v>907</v>
      </c>
      <c r="F477" t="s">
        <v>103</v>
      </c>
      <c r="G477" t="s">
        <v>122</v>
      </c>
      <c r="H477" t="s">
        <v>246</v>
      </c>
      <c r="I477">
        <v>2</v>
      </c>
      <c r="J477" s="2">
        <v>401.68</v>
      </c>
      <c r="K477" s="4">
        <v>0.1</v>
      </c>
      <c r="L477" t="s">
        <v>98</v>
      </c>
      <c r="M477">
        <v>3</v>
      </c>
      <c r="N477" t="s">
        <v>91</v>
      </c>
    </row>
    <row r="478" spans="1:14">
      <c r="A478" t="s">
        <v>908</v>
      </c>
      <c r="B478" s="3">
        <v>45773</v>
      </c>
      <c r="C478" t="s">
        <v>230</v>
      </c>
      <c r="D478" t="s">
        <v>738</v>
      </c>
      <c r="E478" t="s">
        <v>909</v>
      </c>
      <c r="F478" t="s">
        <v>87</v>
      </c>
      <c r="G478" t="s">
        <v>88</v>
      </c>
      <c r="H478" t="s">
        <v>89</v>
      </c>
      <c r="I478">
        <v>3</v>
      </c>
      <c r="J478" s="2">
        <v>329.79</v>
      </c>
      <c r="K478" s="4">
        <v>0.1</v>
      </c>
      <c r="L478" t="s">
        <v>90</v>
      </c>
      <c r="M478">
        <v>3</v>
      </c>
      <c r="N478" t="s">
        <v>91</v>
      </c>
    </row>
    <row r="479" spans="1:14">
      <c r="A479" t="s">
        <v>910</v>
      </c>
      <c r="B479" s="3">
        <v>45837</v>
      </c>
      <c r="C479" t="s">
        <v>177</v>
      </c>
      <c r="D479" t="s">
        <v>109</v>
      </c>
      <c r="E479" t="s">
        <v>178</v>
      </c>
      <c r="F479" t="s">
        <v>87</v>
      </c>
      <c r="G479" t="s">
        <v>171</v>
      </c>
      <c r="H479" t="s">
        <v>89</v>
      </c>
      <c r="I479">
        <v>1</v>
      </c>
      <c r="J479" s="2">
        <v>202.81</v>
      </c>
      <c r="K479" s="4">
        <v>0.15</v>
      </c>
      <c r="L479" t="s">
        <v>106</v>
      </c>
      <c r="M479">
        <v>9</v>
      </c>
      <c r="N479" t="s">
        <v>91</v>
      </c>
    </row>
    <row r="480" spans="1:14">
      <c r="A480" t="s">
        <v>911</v>
      </c>
      <c r="B480" s="3">
        <v>45956</v>
      </c>
      <c r="C480" t="s">
        <v>283</v>
      </c>
      <c r="D480" t="s">
        <v>152</v>
      </c>
      <c r="E480" t="s">
        <v>284</v>
      </c>
      <c r="F480" t="s">
        <v>187</v>
      </c>
      <c r="G480" t="s">
        <v>130</v>
      </c>
      <c r="H480" t="s">
        <v>89</v>
      </c>
      <c r="I480">
        <v>2</v>
      </c>
      <c r="J480" s="2">
        <v>128.86000000000001</v>
      </c>
      <c r="K480" s="4">
        <v>0</v>
      </c>
      <c r="L480" t="s">
        <v>441</v>
      </c>
      <c r="M480">
        <v>6</v>
      </c>
      <c r="N480" t="s">
        <v>147</v>
      </c>
    </row>
    <row r="481" spans="1:14">
      <c r="A481" t="s">
        <v>912</v>
      </c>
      <c r="B481" s="3">
        <v>45735</v>
      </c>
      <c r="C481" t="s">
        <v>290</v>
      </c>
      <c r="D481" t="s">
        <v>271</v>
      </c>
      <c r="E481" t="s">
        <v>732</v>
      </c>
      <c r="F481" t="s">
        <v>103</v>
      </c>
      <c r="G481" t="s">
        <v>171</v>
      </c>
      <c r="H481" t="s">
        <v>89</v>
      </c>
      <c r="I481">
        <v>2</v>
      </c>
      <c r="J481" s="2">
        <v>223.1</v>
      </c>
      <c r="K481" s="4">
        <v>0.25</v>
      </c>
      <c r="L481" t="s">
        <v>106</v>
      </c>
      <c r="M481">
        <v>8</v>
      </c>
      <c r="N481" t="s">
        <v>91</v>
      </c>
    </row>
    <row r="482" spans="1:14">
      <c r="A482" t="s">
        <v>913</v>
      </c>
      <c r="B482" s="3">
        <v>45768</v>
      </c>
      <c r="C482" t="s">
        <v>548</v>
      </c>
      <c r="D482" t="s">
        <v>261</v>
      </c>
      <c r="E482" t="s">
        <v>585</v>
      </c>
      <c r="F482" t="s">
        <v>116</v>
      </c>
      <c r="G482" t="s">
        <v>130</v>
      </c>
      <c r="H482" t="s">
        <v>246</v>
      </c>
      <c r="I482">
        <v>2</v>
      </c>
      <c r="J482" s="2">
        <v>254.63</v>
      </c>
      <c r="K482" s="4">
        <v>0.1</v>
      </c>
      <c r="L482" t="s">
        <v>90</v>
      </c>
      <c r="M482">
        <v>2</v>
      </c>
      <c r="N482" t="s">
        <v>91</v>
      </c>
    </row>
    <row r="483" spans="1:14">
      <c r="A483" t="s">
        <v>914</v>
      </c>
      <c r="B483" s="3">
        <v>45801</v>
      </c>
      <c r="C483" t="s">
        <v>151</v>
      </c>
      <c r="D483" t="s">
        <v>277</v>
      </c>
      <c r="E483" t="s">
        <v>153</v>
      </c>
      <c r="F483" t="s">
        <v>103</v>
      </c>
      <c r="G483" t="s">
        <v>117</v>
      </c>
      <c r="H483" t="s">
        <v>89</v>
      </c>
      <c r="I483">
        <v>2</v>
      </c>
      <c r="J483" s="2">
        <v>375.55</v>
      </c>
      <c r="K483" s="4">
        <v>0.05</v>
      </c>
      <c r="L483" t="s">
        <v>106</v>
      </c>
      <c r="M483">
        <v>8</v>
      </c>
      <c r="N483" t="s">
        <v>91</v>
      </c>
    </row>
    <row r="484" spans="1:14">
      <c r="A484" t="s">
        <v>915</v>
      </c>
      <c r="B484" s="3">
        <v>45847</v>
      </c>
      <c r="C484" t="s">
        <v>273</v>
      </c>
      <c r="D484" t="s">
        <v>194</v>
      </c>
      <c r="E484" t="s">
        <v>274</v>
      </c>
      <c r="F484" t="s">
        <v>111</v>
      </c>
      <c r="G484" t="s">
        <v>130</v>
      </c>
      <c r="H484" t="s">
        <v>97</v>
      </c>
      <c r="I484">
        <v>2</v>
      </c>
      <c r="J484" s="2">
        <v>190.66</v>
      </c>
      <c r="K484" s="4">
        <v>0</v>
      </c>
      <c r="L484" t="s">
        <v>106</v>
      </c>
      <c r="M484">
        <v>3</v>
      </c>
      <c r="N484" t="s">
        <v>91</v>
      </c>
    </row>
    <row r="485" spans="1:14">
      <c r="A485" t="s">
        <v>916</v>
      </c>
      <c r="B485" s="3">
        <v>45785</v>
      </c>
      <c r="C485" t="s">
        <v>169</v>
      </c>
      <c r="D485" t="s">
        <v>255</v>
      </c>
      <c r="E485" t="s">
        <v>170</v>
      </c>
      <c r="F485" t="s">
        <v>145</v>
      </c>
      <c r="G485" t="s">
        <v>117</v>
      </c>
      <c r="H485" t="s">
        <v>167</v>
      </c>
      <c r="I485">
        <v>1</v>
      </c>
      <c r="J485" s="2">
        <v>229.48</v>
      </c>
      <c r="K485" s="4">
        <v>0.1</v>
      </c>
      <c r="L485" t="s">
        <v>154</v>
      </c>
      <c r="M485">
        <v>3</v>
      </c>
      <c r="N485" t="s">
        <v>91</v>
      </c>
    </row>
    <row r="486" spans="1:14">
      <c r="A486" t="s">
        <v>917</v>
      </c>
      <c r="B486" s="3">
        <v>45708</v>
      </c>
      <c r="C486" t="s">
        <v>349</v>
      </c>
      <c r="D486" t="s">
        <v>271</v>
      </c>
      <c r="E486" t="s">
        <v>350</v>
      </c>
      <c r="F486" t="s">
        <v>87</v>
      </c>
      <c r="G486" t="s">
        <v>183</v>
      </c>
      <c r="H486" t="s">
        <v>97</v>
      </c>
      <c r="I486">
        <v>1</v>
      </c>
      <c r="J486" s="2">
        <v>231.28</v>
      </c>
      <c r="K486" s="4">
        <v>0</v>
      </c>
      <c r="L486" t="s">
        <v>90</v>
      </c>
      <c r="M486">
        <v>2</v>
      </c>
      <c r="N486" t="s">
        <v>147</v>
      </c>
    </row>
    <row r="487" spans="1:14">
      <c r="A487" t="s">
        <v>918</v>
      </c>
      <c r="B487" s="3">
        <v>45841</v>
      </c>
      <c r="C487" t="s">
        <v>500</v>
      </c>
      <c r="D487" t="s">
        <v>503</v>
      </c>
      <c r="E487" t="s">
        <v>501</v>
      </c>
      <c r="F487" t="s">
        <v>87</v>
      </c>
      <c r="G487" t="s">
        <v>96</v>
      </c>
      <c r="H487" t="s">
        <v>89</v>
      </c>
      <c r="I487">
        <v>2</v>
      </c>
      <c r="J487" s="2">
        <v>121.51</v>
      </c>
      <c r="K487" s="4">
        <v>0.1</v>
      </c>
      <c r="M487">
        <v>7</v>
      </c>
      <c r="N487" t="s">
        <v>91</v>
      </c>
    </row>
    <row r="488" spans="1:14">
      <c r="A488" t="s">
        <v>919</v>
      </c>
      <c r="B488" s="3">
        <v>45800</v>
      </c>
      <c r="C488" t="s">
        <v>661</v>
      </c>
      <c r="D488" t="s">
        <v>157</v>
      </c>
      <c r="E488" t="s">
        <v>662</v>
      </c>
      <c r="F488" t="s">
        <v>103</v>
      </c>
      <c r="G488" t="s">
        <v>171</v>
      </c>
      <c r="H488" t="s">
        <v>89</v>
      </c>
      <c r="I488">
        <v>1</v>
      </c>
      <c r="J488" s="2">
        <v>296.25</v>
      </c>
      <c r="K488" s="4">
        <v>0.2</v>
      </c>
      <c r="L488" t="s">
        <v>106</v>
      </c>
      <c r="M488">
        <v>3</v>
      </c>
      <c r="N488" t="s">
        <v>91</v>
      </c>
    </row>
    <row r="489" spans="1:14">
      <c r="A489" t="s">
        <v>920</v>
      </c>
      <c r="B489" s="3">
        <v>45872</v>
      </c>
      <c r="C489" t="s">
        <v>491</v>
      </c>
      <c r="D489" t="s">
        <v>346</v>
      </c>
      <c r="E489" t="s">
        <v>492</v>
      </c>
      <c r="F489" t="s">
        <v>145</v>
      </c>
      <c r="G489" t="s">
        <v>88</v>
      </c>
      <c r="H489" t="s">
        <v>89</v>
      </c>
      <c r="I489">
        <v>2</v>
      </c>
      <c r="J489" s="2">
        <v>238.38</v>
      </c>
      <c r="K489" s="4">
        <v>0.15</v>
      </c>
      <c r="L489" t="s">
        <v>90</v>
      </c>
      <c r="M489">
        <v>6</v>
      </c>
      <c r="N489" t="s">
        <v>91</v>
      </c>
    </row>
    <row r="490" spans="1:14">
      <c r="A490" t="s">
        <v>921</v>
      </c>
      <c r="B490" s="3">
        <v>45849</v>
      </c>
      <c r="C490" t="s">
        <v>389</v>
      </c>
      <c r="D490" t="s">
        <v>85</v>
      </c>
      <c r="E490" t="s">
        <v>390</v>
      </c>
      <c r="F490" t="s">
        <v>145</v>
      </c>
      <c r="G490" t="s">
        <v>117</v>
      </c>
      <c r="H490" t="s">
        <v>105</v>
      </c>
      <c r="I490">
        <v>1</v>
      </c>
      <c r="J490" s="2">
        <v>295.45</v>
      </c>
      <c r="K490" s="4">
        <v>0.2</v>
      </c>
      <c r="L490" t="s">
        <v>98</v>
      </c>
      <c r="M490">
        <v>6</v>
      </c>
      <c r="N490" t="s">
        <v>91</v>
      </c>
    </row>
    <row r="491" spans="1:14">
      <c r="A491" t="s">
        <v>922</v>
      </c>
      <c r="B491" s="3">
        <v>45849</v>
      </c>
      <c r="C491" t="s">
        <v>809</v>
      </c>
      <c r="D491" t="s">
        <v>249</v>
      </c>
      <c r="E491" t="s">
        <v>810</v>
      </c>
      <c r="F491" t="s">
        <v>111</v>
      </c>
      <c r="G491" t="s">
        <v>130</v>
      </c>
      <c r="H491" t="s">
        <v>97</v>
      </c>
      <c r="I491">
        <v>1</v>
      </c>
      <c r="J491" s="2">
        <v>420.77</v>
      </c>
      <c r="K491" s="4">
        <v>0.05</v>
      </c>
      <c r="M491">
        <v>1</v>
      </c>
      <c r="N491" t="s">
        <v>91</v>
      </c>
    </row>
    <row r="492" spans="1:14">
      <c r="A492" t="s">
        <v>923</v>
      </c>
      <c r="B492" s="3">
        <v>45691</v>
      </c>
      <c r="C492" t="s">
        <v>531</v>
      </c>
      <c r="D492" t="s">
        <v>469</v>
      </c>
      <c r="E492" t="s">
        <v>532</v>
      </c>
      <c r="F492" t="s">
        <v>116</v>
      </c>
      <c r="G492" t="s">
        <v>117</v>
      </c>
      <c r="H492" t="s">
        <v>97</v>
      </c>
      <c r="I492">
        <v>2</v>
      </c>
      <c r="J492" s="2">
        <v>88.09</v>
      </c>
      <c r="K492" s="4">
        <v>0</v>
      </c>
      <c r="L492" t="s">
        <v>106</v>
      </c>
      <c r="M492">
        <v>1</v>
      </c>
      <c r="N492" t="s">
        <v>91</v>
      </c>
    </row>
    <row r="493" spans="1:14">
      <c r="A493" t="s">
        <v>924</v>
      </c>
      <c r="B493" s="3">
        <v>45896</v>
      </c>
      <c r="C493" t="s">
        <v>248</v>
      </c>
      <c r="D493" t="s">
        <v>190</v>
      </c>
      <c r="E493" t="s">
        <v>250</v>
      </c>
      <c r="F493" t="s">
        <v>145</v>
      </c>
      <c r="G493" t="s">
        <v>117</v>
      </c>
      <c r="H493" t="s">
        <v>89</v>
      </c>
      <c r="I493">
        <v>3</v>
      </c>
      <c r="J493" s="2">
        <v>274.23</v>
      </c>
      <c r="K493" s="4">
        <v>0</v>
      </c>
      <c r="L493" t="s">
        <v>90</v>
      </c>
      <c r="M493">
        <v>6</v>
      </c>
      <c r="N493" t="s">
        <v>147</v>
      </c>
    </row>
    <row r="494" spans="1:14">
      <c r="A494" t="s">
        <v>925</v>
      </c>
      <c r="B494" s="3">
        <v>45704</v>
      </c>
      <c r="C494" t="s">
        <v>463</v>
      </c>
      <c r="D494" t="s">
        <v>181</v>
      </c>
      <c r="E494" t="s">
        <v>464</v>
      </c>
      <c r="F494" t="s">
        <v>116</v>
      </c>
      <c r="G494" t="s">
        <v>122</v>
      </c>
      <c r="H494" t="s">
        <v>97</v>
      </c>
      <c r="I494">
        <v>1</v>
      </c>
      <c r="J494" s="2">
        <v>360.8</v>
      </c>
      <c r="K494" s="4">
        <v>0</v>
      </c>
      <c r="L494" t="s">
        <v>106</v>
      </c>
      <c r="M494">
        <v>2</v>
      </c>
      <c r="N494" t="s">
        <v>91</v>
      </c>
    </row>
    <row r="495" spans="1:14">
      <c r="A495" t="s">
        <v>926</v>
      </c>
      <c r="B495" s="3">
        <v>45819</v>
      </c>
      <c r="C495" t="s">
        <v>500</v>
      </c>
      <c r="D495" t="s">
        <v>323</v>
      </c>
      <c r="E495" t="s">
        <v>501</v>
      </c>
      <c r="F495" t="s">
        <v>116</v>
      </c>
      <c r="G495" t="s">
        <v>130</v>
      </c>
      <c r="H495" t="s">
        <v>233</v>
      </c>
      <c r="I495">
        <v>1</v>
      </c>
      <c r="J495" s="2">
        <v>345.91</v>
      </c>
      <c r="K495" s="4">
        <v>0.2</v>
      </c>
      <c r="L495" t="s">
        <v>106</v>
      </c>
      <c r="M495">
        <v>1</v>
      </c>
      <c r="N495" t="s">
        <v>91</v>
      </c>
    </row>
    <row r="496" spans="1:14">
      <c r="A496" t="s">
        <v>927</v>
      </c>
      <c r="B496" s="3">
        <v>45928</v>
      </c>
      <c r="C496" t="s">
        <v>169</v>
      </c>
      <c r="D496" t="s">
        <v>109</v>
      </c>
      <c r="E496" t="s">
        <v>435</v>
      </c>
      <c r="F496" t="s">
        <v>116</v>
      </c>
      <c r="G496" t="s">
        <v>183</v>
      </c>
      <c r="H496" t="s">
        <v>97</v>
      </c>
      <c r="I496">
        <v>2</v>
      </c>
      <c r="J496" s="2">
        <v>202.09</v>
      </c>
      <c r="K496" s="4">
        <v>0.05</v>
      </c>
      <c r="L496" t="s">
        <v>106</v>
      </c>
      <c r="M496">
        <v>2</v>
      </c>
      <c r="N496" t="s">
        <v>91</v>
      </c>
    </row>
    <row r="497" spans="1:14">
      <c r="A497" t="s">
        <v>928</v>
      </c>
      <c r="B497" s="3">
        <v>45882</v>
      </c>
      <c r="C497" t="s">
        <v>374</v>
      </c>
      <c r="D497" t="s">
        <v>271</v>
      </c>
      <c r="E497" t="s">
        <v>825</v>
      </c>
      <c r="F497" t="s">
        <v>116</v>
      </c>
      <c r="G497" t="s">
        <v>183</v>
      </c>
      <c r="H497" t="s">
        <v>89</v>
      </c>
      <c r="I497">
        <v>2</v>
      </c>
      <c r="J497" s="2">
        <v>230.29</v>
      </c>
      <c r="K497" s="4">
        <v>0.25</v>
      </c>
      <c r="L497" t="s">
        <v>106</v>
      </c>
      <c r="M497">
        <v>5</v>
      </c>
      <c r="N497" t="s">
        <v>91</v>
      </c>
    </row>
    <row r="498" spans="1:14">
      <c r="A498" t="s">
        <v>929</v>
      </c>
      <c r="B498" s="3">
        <v>45665</v>
      </c>
      <c r="C498" t="s">
        <v>349</v>
      </c>
      <c r="D498" t="s">
        <v>152</v>
      </c>
      <c r="E498" t="s">
        <v>350</v>
      </c>
      <c r="F498" t="s">
        <v>111</v>
      </c>
      <c r="G498" t="s">
        <v>171</v>
      </c>
      <c r="H498" t="s">
        <v>89</v>
      </c>
      <c r="I498">
        <v>2</v>
      </c>
      <c r="J498" s="2">
        <v>131.4</v>
      </c>
      <c r="K498" s="4">
        <v>0</v>
      </c>
      <c r="L498" t="s">
        <v>106</v>
      </c>
      <c r="M498">
        <v>1</v>
      </c>
      <c r="N498" t="s">
        <v>91</v>
      </c>
    </row>
    <row r="499" spans="1:14">
      <c r="A499" t="s">
        <v>930</v>
      </c>
      <c r="B499" s="3">
        <v>45948</v>
      </c>
      <c r="C499" t="s">
        <v>330</v>
      </c>
      <c r="D499" t="s">
        <v>469</v>
      </c>
      <c r="E499" t="s">
        <v>424</v>
      </c>
      <c r="F499" t="s">
        <v>103</v>
      </c>
      <c r="G499" t="s">
        <v>122</v>
      </c>
      <c r="H499" t="s">
        <v>89</v>
      </c>
      <c r="I499">
        <v>2</v>
      </c>
      <c r="J499" s="2">
        <v>85.25</v>
      </c>
      <c r="K499" s="4">
        <v>0</v>
      </c>
      <c r="L499" t="s">
        <v>90</v>
      </c>
      <c r="M499">
        <v>5</v>
      </c>
      <c r="N499" t="s">
        <v>91</v>
      </c>
    </row>
    <row r="500" spans="1:14">
      <c r="A500" t="s">
        <v>931</v>
      </c>
      <c r="B500" s="3">
        <v>45940</v>
      </c>
      <c r="C500" t="s">
        <v>335</v>
      </c>
      <c r="D500" t="s">
        <v>210</v>
      </c>
      <c r="E500" t="s">
        <v>336</v>
      </c>
      <c r="F500" t="s">
        <v>103</v>
      </c>
      <c r="G500" t="s">
        <v>122</v>
      </c>
      <c r="H500" t="s">
        <v>97</v>
      </c>
      <c r="I500">
        <v>3</v>
      </c>
      <c r="J500" s="2">
        <v>291.72000000000003</v>
      </c>
      <c r="K500" s="4">
        <v>0.1</v>
      </c>
      <c r="L500" t="s">
        <v>90</v>
      </c>
      <c r="M500">
        <v>0</v>
      </c>
      <c r="N500" t="s">
        <v>91</v>
      </c>
    </row>
    <row r="501" spans="1:14">
      <c r="A501" t="s">
        <v>932</v>
      </c>
      <c r="B501" s="3">
        <v>45732</v>
      </c>
      <c r="C501" t="s">
        <v>933</v>
      </c>
      <c r="D501" t="s">
        <v>190</v>
      </c>
      <c r="E501" t="s">
        <v>934</v>
      </c>
      <c r="F501" t="s">
        <v>116</v>
      </c>
      <c r="G501" t="s">
        <v>183</v>
      </c>
      <c r="H501" t="s">
        <v>97</v>
      </c>
      <c r="I501">
        <v>1</v>
      </c>
      <c r="J501" s="2">
        <v>282.05</v>
      </c>
      <c r="K501" s="4">
        <v>0.2</v>
      </c>
      <c r="L501" t="s">
        <v>98</v>
      </c>
      <c r="M501">
        <v>1</v>
      </c>
      <c r="N501" t="s">
        <v>91</v>
      </c>
    </row>
    <row r="502" spans="1:14">
      <c r="A502" t="s">
        <v>935</v>
      </c>
      <c r="B502" s="3">
        <v>45798</v>
      </c>
      <c r="C502" t="s">
        <v>543</v>
      </c>
      <c r="D502" t="s">
        <v>255</v>
      </c>
      <c r="E502" t="s">
        <v>544</v>
      </c>
      <c r="F502" t="s">
        <v>103</v>
      </c>
      <c r="G502" t="s">
        <v>122</v>
      </c>
      <c r="H502" t="s">
        <v>105</v>
      </c>
      <c r="I502">
        <v>1</v>
      </c>
      <c r="J502" s="2">
        <v>230.73</v>
      </c>
      <c r="K502" s="4">
        <v>0.1</v>
      </c>
      <c r="L502" t="s">
        <v>90</v>
      </c>
      <c r="M502">
        <v>5</v>
      </c>
      <c r="N502" t="s">
        <v>91</v>
      </c>
    </row>
    <row r="503" spans="1:14">
      <c r="A503" t="s">
        <v>936</v>
      </c>
      <c r="B503" s="3">
        <v>45804</v>
      </c>
      <c r="C503" t="s">
        <v>396</v>
      </c>
      <c r="D503" t="s">
        <v>85</v>
      </c>
      <c r="E503" t="s">
        <v>397</v>
      </c>
      <c r="F503" t="s">
        <v>87</v>
      </c>
      <c r="G503" t="s">
        <v>88</v>
      </c>
      <c r="H503" t="s">
        <v>89</v>
      </c>
      <c r="I503">
        <v>1</v>
      </c>
      <c r="J503" s="2">
        <v>326.2</v>
      </c>
      <c r="K503" s="4">
        <v>0</v>
      </c>
      <c r="L503" t="s">
        <v>98</v>
      </c>
      <c r="M503">
        <v>1</v>
      </c>
      <c r="N503" t="s">
        <v>91</v>
      </c>
    </row>
    <row r="504" spans="1:14">
      <c r="A504" t="s">
        <v>937</v>
      </c>
      <c r="B504" s="3">
        <v>45875</v>
      </c>
      <c r="C504" t="s">
        <v>851</v>
      </c>
      <c r="D504" t="s">
        <v>418</v>
      </c>
      <c r="E504" t="s">
        <v>852</v>
      </c>
      <c r="F504" t="s">
        <v>111</v>
      </c>
      <c r="G504" t="s">
        <v>130</v>
      </c>
      <c r="H504" t="s">
        <v>89</v>
      </c>
      <c r="I504">
        <v>1</v>
      </c>
      <c r="J504" s="2">
        <v>353.25</v>
      </c>
      <c r="K504" s="4">
        <v>0.2</v>
      </c>
      <c r="L504" t="s">
        <v>106</v>
      </c>
      <c r="M504">
        <v>1</v>
      </c>
      <c r="N504" t="s">
        <v>91</v>
      </c>
    </row>
    <row r="505" spans="1:14">
      <c r="A505" t="s">
        <v>938</v>
      </c>
      <c r="B505" s="3">
        <v>45880</v>
      </c>
      <c r="C505" t="s">
        <v>220</v>
      </c>
      <c r="D505" t="s">
        <v>346</v>
      </c>
      <c r="E505" t="s">
        <v>222</v>
      </c>
      <c r="F505" t="s">
        <v>145</v>
      </c>
      <c r="G505" t="s">
        <v>104</v>
      </c>
      <c r="H505" t="s">
        <v>89</v>
      </c>
      <c r="I505">
        <v>1</v>
      </c>
      <c r="J505" s="2">
        <v>247.11</v>
      </c>
      <c r="K505" s="4">
        <v>0.1</v>
      </c>
      <c r="L505" t="s">
        <v>106</v>
      </c>
      <c r="M505">
        <v>5</v>
      </c>
      <c r="N505" t="s">
        <v>91</v>
      </c>
    </row>
    <row r="506" spans="1:14">
      <c r="A506" t="s">
        <v>939</v>
      </c>
      <c r="B506" s="3">
        <v>46007</v>
      </c>
      <c r="C506" t="s">
        <v>213</v>
      </c>
      <c r="D506" t="s">
        <v>303</v>
      </c>
      <c r="E506" t="s">
        <v>214</v>
      </c>
      <c r="F506" t="s">
        <v>116</v>
      </c>
      <c r="G506" t="s">
        <v>104</v>
      </c>
      <c r="H506" t="s">
        <v>89</v>
      </c>
      <c r="I506">
        <v>1</v>
      </c>
      <c r="J506" s="2">
        <v>161.33000000000001</v>
      </c>
      <c r="K506" s="4">
        <v>0.05</v>
      </c>
      <c r="L506" t="s">
        <v>253</v>
      </c>
      <c r="M506">
        <v>1</v>
      </c>
      <c r="N506" t="s">
        <v>91</v>
      </c>
    </row>
    <row r="507" spans="1:14">
      <c r="A507" t="s">
        <v>940</v>
      </c>
      <c r="B507" s="3">
        <v>45951</v>
      </c>
      <c r="C507" t="s">
        <v>230</v>
      </c>
      <c r="D507" t="s">
        <v>94</v>
      </c>
      <c r="E507" t="s">
        <v>232</v>
      </c>
      <c r="F507" t="s">
        <v>103</v>
      </c>
      <c r="G507" t="s">
        <v>88</v>
      </c>
      <c r="H507" t="s">
        <v>89</v>
      </c>
      <c r="I507">
        <v>4</v>
      </c>
      <c r="J507" s="2">
        <v>299.89999999999998</v>
      </c>
      <c r="K507" s="4">
        <v>0.05</v>
      </c>
      <c r="L507" t="s">
        <v>106</v>
      </c>
      <c r="M507">
        <v>7</v>
      </c>
      <c r="N507" t="s">
        <v>91</v>
      </c>
    </row>
    <row r="508" spans="1:14">
      <c r="A508" t="s">
        <v>941</v>
      </c>
      <c r="B508" s="3">
        <v>45872</v>
      </c>
      <c r="C508" t="s">
        <v>410</v>
      </c>
      <c r="D508" t="s">
        <v>109</v>
      </c>
      <c r="E508" t="s">
        <v>411</v>
      </c>
      <c r="F508" t="s">
        <v>145</v>
      </c>
      <c r="G508" t="s">
        <v>96</v>
      </c>
      <c r="H508" t="s">
        <v>89</v>
      </c>
      <c r="I508">
        <v>2</v>
      </c>
      <c r="J508" s="2">
        <v>204.99</v>
      </c>
      <c r="K508" s="4">
        <v>0</v>
      </c>
      <c r="L508" t="s">
        <v>98</v>
      </c>
      <c r="M508">
        <v>7</v>
      </c>
      <c r="N508" t="s">
        <v>91</v>
      </c>
    </row>
    <row r="509" spans="1:14">
      <c r="A509" t="s">
        <v>942</v>
      </c>
      <c r="B509" s="3">
        <v>46008</v>
      </c>
      <c r="C509" t="s">
        <v>430</v>
      </c>
      <c r="D509" t="s">
        <v>738</v>
      </c>
      <c r="E509" t="s">
        <v>431</v>
      </c>
      <c r="F509" t="s">
        <v>116</v>
      </c>
      <c r="G509" t="s">
        <v>117</v>
      </c>
      <c r="H509" t="s">
        <v>89</v>
      </c>
      <c r="I509">
        <v>2</v>
      </c>
      <c r="J509" s="2">
        <v>337.92</v>
      </c>
      <c r="K509" s="4">
        <v>0.1</v>
      </c>
      <c r="L509" t="s">
        <v>90</v>
      </c>
      <c r="M509">
        <v>6</v>
      </c>
      <c r="N509" t="s">
        <v>91</v>
      </c>
    </row>
    <row r="510" spans="1:14">
      <c r="A510" t="s">
        <v>943</v>
      </c>
      <c r="B510" s="3">
        <v>45895</v>
      </c>
      <c r="C510" t="s">
        <v>200</v>
      </c>
      <c r="D510" t="s">
        <v>143</v>
      </c>
      <c r="E510" t="s">
        <v>201</v>
      </c>
      <c r="F510" t="s">
        <v>116</v>
      </c>
      <c r="G510" t="s">
        <v>122</v>
      </c>
      <c r="H510" t="s">
        <v>89</v>
      </c>
      <c r="I510">
        <v>1</v>
      </c>
      <c r="J510" s="2">
        <v>249.77</v>
      </c>
      <c r="K510" s="4">
        <v>0</v>
      </c>
      <c r="L510" t="s">
        <v>504</v>
      </c>
      <c r="M510">
        <v>7</v>
      </c>
      <c r="N510" t="s">
        <v>91</v>
      </c>
    </row>
    <row r="511" spans="1:14">
      <c r="A511" t="s">
        <v>944</v>
      </c>
      <c r="B511" s="3">
        <v>45749</v>
      </c>
      <c r="C511" t="s">
        <v>286</v>
      </c>
      <c r="D511" t="s">
        <v>114</v>
      </c>
      <c r="E511" t="s">
        <v>287</v>
      </c>
      <c r="F511" t="s">
        <v>103</v>
      </c>
      <c r="G511" t="s">
        <v>104</v>
      </c>
      <c r="H511" t="s">
        <v>97</v>
      </c>
      <c r="I511">
        <v>1</v>
      </c>
      <c r="J511" s="2">
        <v>139.44</v>
      </c>
      <c r="K511" s="4">
        <v>0</v>
      </c>
      <c r="L511" t="s">
        <v>90</v>
      </c>
      <c r="M511">
        <v>3</v>
      </c>
      <c r="N511" t="s">
        <v>91</v>
      </c>
    </row>
    <row r="512" spans="1:14">
      <c r="A512" t="s">
        <v>945</v>
      </c>
      <c r="B512" s="3">
        <v>45986</v>
      </c>
      <c r="C512" t="s">
        <v>300</v>
      </c>
      <c r="D512" t="s">
        <v>194</v>
      </c>
      <c r="E512" t="s">
        <v>301</v>
      </c>
      <c r="F512" t="s">
        <v>111</v>
      </c>
      <c r="G512" t="s">
        <v>104</v>
      </c>
      <c r="H512" t="s">
        <v>89</v>
      </c>
      <c r="I512">
        <v>2</v>
      </c>
      <c r="J512" s="2">
        <v>199.62</v>
      </c>
      <c r="K512" s="4">
        <v>0.15</v>
      </c>
      <c r="L512" t="s">
        <v>90</v>
      </c>
      <c r="M512">
        <v>6</v>
      </c>
      <c r="N512" t="s">
        <v>91</v>
      </c>
    </row>
    <row r="513" spans="1:14">
      <c r="A513" t="s">
        <v>946</v>
      </c>
      <c r="B513" s="3">
        <v>45957</v>
      </c>
      <c r="C513" t="s">
        <v>706</v>
      </c>
      <c r="D513" t="s">
        <v>101</v>
      </c>
      <c r="E513" t="s">
        <v>843</v>
      </c>
      <c r="F513" t="s">
        <v>111</v>
      </c>
      <c r="G513" t="s">
        <v>171</v>
      </c>
      <c r="H513" t="s">
        <v>97</v>
      </c>
      <c r="I513">
        <v>1</v>
      </c>
      <c r="J513" s="2">
        <v>316.77999999999997</v>
      </c>
      <c r="K513" s="4">
        <v>0</v>
      </c>
      <c r="L513" t="s">
        <v>106</v>
      </c>
      <c r="M513">
        <v>4</v>
      </c>
      <c r="N513" t="s">
        <v>91</v>
      </c>
    </row>
    <row r="514" spans="1:14">
      <c r="A514" t="s">
        <v>947</v>
      </c>
      <c r="B514" s="3">
        <v>45851</v>
      </c>
      <c r="C514" t="s">
        <v>410</v>
      </c>
      <c r="D514" t="s">
        <v>190</v>
      </c>
      <c r="E514" t="s">
        <v>411</v>
      </c>
      <c r="F514" t="s">
        <v>655</v>
      </c>
      <c r="G514" t="s">
        <v>117</v>
      </c>
      <c r="H514" t="s">
        <v>97</v>
      </c>
      <c r="I514">
        <v>1</v>
      </c>
      <c r="J514" s="2">
        <v>277.89999999999998</v>
      </c>
      <c r="K514" s="4">
        <v>0.1</v>
      </c>
      <c r="L514" t="s">
        <v>98</v>
      </c>
      <c r="M514">
        <v>1</v>
      </c>
      <c r="N514" t="s">
        <v>147</v>
      </c>
    </row>
    <row r="515" spans="1:14">
      <c r="A515" t="s">
        <v>948</v>
      </c>
      <c r="B515" s="3">
        <v>45973</v>
      </c>
      <c r="C515" t="s">
        <v>491</v>
      </c>
      <c r="D515" t="s">
        <v>85</v>
      </c>
      <c r="E515" t="s">
        <v>492</v>
      </c>
      <c r="F515" t="s">
        <v>145</v>
      </c>
      <c r="G515" t="s">
        <v>130</v>
      </c>
      <c r="H515" t="s">
        <v>97</v>
      </c>
      <c r="I515">
        <v>3</v>
      </c>
      <c r="J515" s="2">
        <v>324.2</v>
      </c>
      <c r="K515" s="4">
        <v>0.25</v>
      </c>
      <c r="L515" t="s">
        <v>253</v>
      </c>
      <c r="M515">
        <v>3</v>
      </c>
      <c r="N515" t="s">
        <v>91</v>
      </c>
    </row>
    <row r="516" spans="1:14">
      <c r="A516" t="s">
        <v>949</v>
      </c>
      <c r="B516" s="3">
        <v>45687</v>
      </c>
      <c r="C516" t="s">
        <v>257</v>
      </c>
      <c r="D516" t="s">
        <v>226</v>
      </c>
      <c r="E516" t="s">
        <v>950</v>
      </c>
      <c r="F516" t="s">
        <v>145</v>
      </c>
      <c r="G516" t="s">
        <v>88</v>
      </c>
      <c r="H516" t="s">
        <v>97</v>
      </c>
      <c r="I516">
        <v>1</v>
      </c>
      <c r="J516" s="2">
        <v>226.49</v>
      </c>
      <c r="K516" s="4">
        <v>0.1</v>
      </c>
      <c r="L516" t="s">
        <v>106</v>
      </c>
      <c r="M516">
        <v>0</v>
      </c>
      <c r="N516" t="s">
        <v>91</v>
      </c>
    </row>
    <row r="517" spans="1:14">
      <c r="A517" t="s">
        <v>951</v>
      </c>
      <c r="B517" s="3">
        <v>45973</v>
      </c>
      <c r="C517" t="s">
        <v>108</v>
      </c>
      <c r="D517" t="s">
        <v>181</v>
      </c>
      <c r="E517" t="s">
        <v>110</v>
      </c>
      <c r="F517" t="s">
        <v>111</v>
      </c>
      <c r="G517" t="s">
        <v>130</v>
      </c>
      <c r="H517" t="s">
        <v>97</v>
      </c>
      <c r="I517">
        <v>4</v>
      </c>
      <c r="J517" s="2">
        <v>374.13</v>
      </c>
      <c r="K517" s="4">
        <v>0.05</v>
      </c>
      <c r="L517" t="s">
        <v>106</v>
      </c>
      <c r="M517">
        <v>0</v>
      </c>
      <c r="N517" t="s">
        <v>91</v>
      </c>
    </row>
    <row r="518" spans="1:14">
      <c r="A518" t="s">
        <v>952</v>
      </c>
      <c r="B518" s="3">
        <v>45752</v>
      </c>
      <c r="C518" t="s">
        <v>200</v>
      </c>
      <c r="D518" t="s">
        <v>360</v>
      </c>
      <c r="E518" t="s">
        <v>201</v>
      </c>
      <c r="F518" t="s">
        <v>87</v>
      </c>
      <c r="G518" t="s">
        <v>117</v>
      </c>
      <c r="H518" t="s">
        <v>105</v>
      </c>
      <c r="I518">
        <v>2</v>
      </c>
      <c r="J518" s="2">
        <v>63.34</v>
      </c>
      <c r="K518" s="4">
        <v>0.1</v>
      </c>
      <c r="L518" t="s">
        <v>98</v>
      </c>
      <c r="M518">
        <v>6</v>
      </c>
      <c r="N518" t="s">
        <v>91</v>
      </c>
    </row>
    <row r="519" spans="1:14">
      <c r="A519" t="s">
        <v>953</v>
      </c>
      <c r="B519" s="3">
        <v>45938</v>
      </c>
      <c r="C519" t="s">
        <v>209</v>
      </c>
      <c r="D519" t="s">
        <v>114</v>
      </c>
      <c r="E519" t="s">
        <v>211</v>
      </c>
      <c r="F519" t="s">
        <v>116</v>
      </c>
      <c r="G519" t="s">
        <v>96</v>
      </c>
      <c r="H519" t="s">
        <v>97</v>
      </c>
      <c r="I519">
        <v>3</v>
      </c>
      <c r="J519" s="2">
        <v>140.27000000000001</v>
      </c>
      <c r="K519" s="4">
        <v>0.15</v>
      </c>
      <c r="L519" t="s">
        <v>98</v>
      </c>
      <c r="M519">
        <v>4</v>
      </c>
      <c r="N519" t="s">
        <v>91</v>
      </c>
    </row>
    <row r="520" spans="1:14">
      <c r="A520" t="s">
        <v>954</v>
      </c>
      <c r="B520" s="3">
        <v>45666</v>
      </c>
      <c r="C520" t="s">
        <v>366</v>
      </c>
      <c r="D520" t="s">
        <v>165</v>
      </c>
      <c r="E520" t="s">
        <v>367</v>
      </c>
      <c r="F520" t="s">
        <v>103</v>
      </c>
      <c r="G520" t="s">
        <v>122</v>
      </c>
      <c r="H520" t="s">
        <v>89</v>
      </c>
      <c r="I520">
        <v>3</v>
      </c>
      <c r="J520" s="2">
        <v>101.4</v>
      </c>
      <c r="K520" s="4">
        <v>0.1</v>
      </c>
      <c r="L520" t="s">
        <v>90</v>
      </c>
      <c r="M520">
        <v>4</v>
      </c>
      <c r="N520" t="s">
        <v>91</v>
      </c>
    </row>
    <row r="521" spans="1:14">
      <c r="A521" t="s">
        <v>955</v>
      </c>
      <c r="B521" s="3">
        <v>45661</v>
      </c>
      <c r="C521" t="s">
        <v>448</v>
      </c>
      <c r="D521" t="s">
        <v>139</v>
      </c>
      <c r="E521" t="s">
        <v>790</v>
      </c>
      <c r="F521" t="s">
        <v>111</v>
      </c>
      <c r="G521" t="s">
        <v>130</v>
      </c>
      <c r="H521" t="s">
        <v>97</v>
      </c>
      <c r="I521">
        <v>4</v>
      </c>
      <c r="J521" s="2">
        <v>86.59</v>
      </c>
      <c r="K521" s="4">
        <v>0.05</v>
      </c>
      <c r="L521" t="s">
        <v>106</v>
      </c>
      <c r="M521">
        <v>0</v>
      </c>
      <c r="N521" t="s">
        <v>91</v>
      </c>
    </row>
    <row r="522" spans="1:14">
      <c r="A522" t="s">
        <v>956</v>
      </c>
      <c r="B522" s="3">
        <v>45993</v>
      </c>
      <c r="C522" t="s">
        <v>500</v>
      </c>
      <c r="D522" t="s">
        <v>249</v>
      </c>
      <c r="E522" t="s">
        <v>501</v>
      </c>
      <c r="F522" t="s">
        <v>655</v>
      </c>
      <c r="G522" t="s">
        <v>117</v>
      </c>
      <c r="H522" t="s">
        <v>89</v>
      </c>
      <c r="I522">
        <v>2</v>
      </c>
      <c r="J522" s="2">
        <v>416.28</v>
      </c>
      <c r="K522" s="4">
        <v>0</v>
      </c>
      <c r="L522" t="s">
        <v>90</v>
      </c>
      <c r="M522">
        <v>9</v>
      </c>
      <c r="N522" t="s">
        <v>91</v>
      </c>
    </row>
    <row r="523" spans="1:14">
      <c r="A523" t="s">
        <v>957</v>
      </c>
      <c r="B523" s="3">
        <v>45730</v>
      </c>
      <c r="C523" t="s">
        <v>319</v>
      </c>
      <c r="D523" t="s">
        <v>271</v>
      </c>
      <c r="E523" t="s">
        <v>320</v>
      </c>
      <c r="F523" t="s">
        <v>116</v>
      </c>
      <c r="G523" t="s">
        <v>130</v>
      </c>
      <c r="H523" t="s">
        <v>89</v>
      </c>
      <c r="I523">
        <v>2</v>
      </c>
      <c r="J523" s="2">
        <v>222.18</v>
      </c>
      <c r="K523" s="4">
        <v>0.25</v>
      </c>
      <c r="L523" t="s">
        <v>106</v>
      </c>
      <c r="M523">
        <v>3</v>
      </c>
      <c r="N523" t="s">
        <v>91</v>
      </c>
    </row>
    <row r="524" spans="1:14">
      <c r="A524" t="s">
        <v>958</v>
      </c>
      <c r="B524" s="3">
        <v>45980</v>
      </c>
      <c r="C524" t="s">
        <v>335</v>
      </c>
      <c r="D524" t="s">
        <v>217</v>
      </c>
      <c r="E524" t="s">
        <v>336</v>
      </c>
      <c r="F524" t="s">
        <v>111</v>
      </c>
      <c r="G524" t="s">
        <v>171</v>
      </c>
      <c r="H524" t="s">
        <v>89</v>
      </c>
      <c r="I524">
        <v>1</v>
      </c>
      <c r="J524" s="2">
        <v>106.25</v>
      </c>
      <c r="K524" s="4">
        <v>0.05</v>
      </c>
      <c r="L524" t="s">
        <v>504</v>
      </c>
      <c r="M524">
        <v>3</v>
      </c>
      <c r="N524" t="s">
        <v>91</v>
      </c>
    </row>
    <row r="525" spans="1:14">
      <c r="A525" t="s">
        <v>959</v>
      </c>
      <c r="B525" s="3">
        <v>45980</v>
      </c>
      <c r="C525" t="s">
        <v>93</v>
      </c>
      <c r="D525" t="s">
        <v>210</v>
      </c>
      <c r="E525" t="s">
        <v>95</v>
      </c>
      <c r="F525" t="s">
        <v>116</v>
      </c>
      <c r="G525" t="s">
        <v>117</v>
      </c>
      <c r="H525" t="s">
        <v>97</v>
      </c>
      <c r="I525">
        <v>2</v>
      </c>
      <c r="J525" s="2">
        <v>298.18</v>
      </c>
      <c r="K525" s="4">
        <v>0</v>
      </c>
      <c r="L525" t="s">
        <v>90</v>
      </c>
      <c r="M525">
        <v>1</v>
      </c>
      <c r="N525" t="s">
        <v>91</v>
      </c>
    </row>
    <row r="526" spans="1:14">
      <c r="A526" t="s">
        <v>960</v>
      </c>
      <c r="B526" s="3">
        <v>45786</v>
      </c>
      <c r="C526" t="s">
        <v>239</v>
      </c>
      <c r="D526" t="s">
        <v>303</v>
      </c>
      <c r="E526" t="s">
        <v>240</v>
      </c>
      <c r="F526" t="s">
        <v>145</v>
      </c>
      <c r="G526" t="s">
        <v>96</v>
      </c>
      <c r="H526" t="s">
        <v>97</v>
      </c>
      <c r="I526">
        <v>3</v>
      </c>
      <c r="J526" s="2">
        <v>162.79</v>
      </c>
      <c r="K526" s="4">
        <v>0.05</v>
      </c>
      <c r="L526" t="s">
        <v>90</v>
      </c>
      <c r="M526">
        <v>0</v>
      </c>
      <c r="N526" t="s">
        <v>91</v>
      </c>
    </row>
    <row r="527" spans="1:14">
      <c r="A527" t="s">
        <v>961</v>
      </c>
      <c r="B527" s="3">
        <v>45723</v>
      </c>
      <c r="C527" t="s">
        <v>260</v>
      </c>
      <c r="D527" t="s">
        <v>85</v>
      </c>
      <c r="E527" t="s">
        <v>562</v>
      </c>
      <c r="F527" t="s">
        <v>116</v>
      </c>
      <c r="G527" t="s">
        <v>96</v>
      </c>
      <c r="H527" t="s">
        <v>105</v>
      </c>
      <c r="I527">
        <v>1</v>
      </c>
      <c r="J527" s="2">
        <v>318.27</v>
      </c>
      <c r="K527" s="4">
        <v>0</v>
      </c>
      <c r="L527" t="s">
        <v>521</v>
      </c>
      <c r="M527">
        <v>7</v>
      </c>
      <c r="N527" t="s">
        <v>91</v>
      </c>
    </row>
    <row r="528" spans="1:14">
      <c r="A528" t="s">
        <v>962</v>
      </c>
      <c r="B528" s="3">
        <v>45818</v>
      </c>
      <c r="C528" t="s">
        <v>410</v>
      </c>
      <c r="D528" t="s">
        <v>194</v>
      </c>
      <c r="E528" t="s">
        <v>411</v>
      </c>
      <c r="F528" t="s">
        <v>145</v>
      </c>
      <c r="G528" t="s">
        <v>122</v>
      </c>
      <c r="H528" t="s">
        <v>97</v>
      </c>
      <c r="I528">
        <v>1</v>
      </c>
      <c r="J528" s="2">
        <v>207.24</v>
      </c>
      <c r="K528" s="4">
        <v>0.15</v>
      </c>
      <c r="L528" t="s">
        <v>90</v>
      </c>
      <c r="M528">
        <v>3</v>
      </c>
      <c r="N528" t="s">
        <v>91</v>
      </c>
    </row>
    <row r="529" spans="1:14">
      <c r="A529" t="s">
        <v>963</v>
      </c>
      <c r="B529" s="3">
        <v>45886</v>
      </c>
      <c r="C529" t="s">
        <v>84</v>
      </c>
      <c r="D529" t="s">
        <v>503</v>
      </c>
      <c r="E529" t="s">
        <v>86</v>
      </c>
      <c r="F529" t="s">
        <v>87</v>
      </c>
      <c r="G529" t="s">
        <v>104</v>
      </c>
      <c r="H529" t="s">
        <v>105</v>
      </c>
      <c r="I529">
        <v>2</v>
      </c>
      <c r="J529" s="2">
        <v>117.72</v>
      </c>
      <c r="K529" s="4">
        <v>0.05</v>
      </c>
      <c r="L529" t="s">
        <v>106</v>
      </c>
      <c r="M529">
        <v>5</v>
      </c>
      <c r="N529" t="s">
        <v>91</v>
      </c>
    </row>
    <row r="530" spans="1:14">
      <c r="A530" t="s">
        <v>964</v>
      </c>
      <c r="B530" s="3">
        <v>45863</v>
      </c>
      <c r="C530" t="s">
        <v>531</v>
      </c>
      <c r="D530" t="s">
        <v>101</v>
      </c>
      <c r="E530" t="s">
        <v>532</v>
      </c>
      <c r="F530" t="s">
        <v>111</v>
      </c>
      <c r="G530" t="s">
        <v>183</v>
      </c>
      <c r="H530" t="s">
        <v>89</v>
      </c>
      <c r="I530">
        <v>1</v>
      </c>
      <c r="J530" s="2">
        <v>314.3</v>
      </c>
      <c r="K530" s="4">
        <v>0.05</v>
      </c>
      <c r="L530" t="s">
        <v>106</v>
      </c>
      <c r="M530">
        <v>3</v>
      </c>
      <c r="N530" t="s">
        <v>91</v>
      </c>
    </row>
    <row r="531" spans="1:14">
      <c r="A531" t="s">
        <v>965</v>
      </c>
      <c r="B531" s="3">
        <v>45662</v>
      </c>
      <c r="C531" t="s">
        <v>531</v>
      </c>
      <c r="D531" t="s">
        <v>120</v>
      </c>
      <c r="E531" t="s">
        <v>532</v>
      </c>
      <c r="F531" t="s">
        <v>111</v>
      </c>
      <c r="G531" t="s">
        <v>122</v>
      </c>
      <c r="H531" t="s">
        <v>89</v>
      </c>
      <c r="I531">
        <v>1</v>
      </c>
      <c r="J531" s="2">
        <v>400.01</v>
      </c>
      <c r="K531" s="4">
        <v>0</v>
      </c>
      <c r="L531" t="s">
        <v>106</v>
      </c>
      <c r="M531">
        <v>6</v>
      </c>
      <c r="N531" t="s">
        <v>91</v>
      </c>
    </row>
    <row r="532" spans="1:14">
      <c r="A532" t="s">
        <v>966</v>
      </c>
      <c r="B532" s="3">
        <v>45902</v>
      </c>
      <c r="C532" t="s">
        <v>156</v>
      </c>
      <c r="D532" t="s">
        <v>303</v>
      </c>
      <c r="E532" t="s">
        <v>158</v>
      </c>
      <c r="F532" t="s">
        <v>116</v>
      </c>
      <c r="G532" t="s">
        <v>117</v>
      </c>
      <c r="H532" t="s">
        <v>89</v>
      </c>
      <c r="I532">
        <v>1</v>
      </c>
      <c r="J532" s="2">
        <v>166.49</v>
      </c>
      <c r="K532" s="4">
        <v>0.1</v>
      </c>
      <c r="L532" t="s">
        <v>106</v>
      </c>
      <c r="M532">
        <v>4</v>
      </c>
      <c r="N532" t="s">
        <v>91</v>
      </c>
    </row>
    <row r="533" spans="1:14">
      <c r="A533" t="s">
        <v>967</v>
      </c>
      <c r="B533" s="3">
        <v>45998</v>
      </c>
      <c r="C533" t="s">
        <v>610</v>
      </c>
      <c r="D533" t="s">
        <v>120</v>
      </c>
      <c r="E533" t="s">
        <v>611</v>
      </c>
      <c r="F533" t="s">
        <v>145</v>
      </c>
      <c r="G533" t="s">
        <v>183</v>
      </c>
      <c r="H533" t="s">
        <v>89</v>
      </c>
      <c r="I533">
        <v>1</v>
      </c>
      <c r="J533" s="2">
        <v>358.44</v>
      </c>
      <c r="K533" s="4">
        <v>0.05</v>
      </c>
      <c r="L533" t="s">
        <v>98</v>
      </c>
      <c r="M533">
        <v>6</v>
      </c>
      <c r="N533" t="s">
        <v>91</v>
      </c>
    </row>
    <row r="534" spans="1:14">
      <c r="A534" t="s">
        <v>968</v>
      </c>
      <c r="B534" s="3">
        <v>45837</v>
      </c>
      <c r="C534" t="s">
        <v>113</v>
      </c>
      <c r="D534" t="s">
        <v>174</v>
      </c>
      <c r="E534" t="s">
        <v>115</v>
      </c>
      <c r="F534" t="s">
        <v>145</v>
      </c>
      <c r="G534" t="s">
        <v>104</v>
      </c>
      <c r="H534" t="s">
        <v>308</v>
      </c>
      <c r="I534">
        <v>3</v>
      </c>
      <c r="J534" s="2">
        <v>39.380000000000003</v>
      </c>
      <c r="K534" s="4">
        <v>0.15</v>
      </c>
      <c r="L534" t="s">
        <v>98</v>
      </c>
      <c r="M534">
        <v>2</v>
      </c>
      <c r="N534" t="s">
        <v>91</v>
      </c>
    </row>
    <row r="535" spans="1:14">
      <c r="A535" t="s">
        <v>969</v>
      </c>
      <c r="B535" s="3">
        <v>45806</v>
      </c>
      <c r="C535" t="s">
        <v>597</v>
      </c>
      <c r="D535" t="s">
        <v>174</v>
      </c>
      <c r="E535" t="s">
        <v>598</v>
      </c>
      <c r="F535" t="s">
        <v>116</v>
      </c>
      <c r="G535" t="s">
        <v>117</v>
      </c>
      <c r="H535" t="s">
        <v>89</v>
      </c>
      <c r="I535">
        <v>3</v>
      </c>
      <c r="J535" s="2">
        <v>38.880000000000003</v>
      </c>
      <c r="K535" s="4">
        <v>0</v>
      </c>
      <c r="L535" t="s">
        <v>90</v>
      </c>
      <c r="M535">
        <v>7</v>
      </c>
      <c r="N535" t="s">
        <v>91</v>
      </c>
    </row>
    <row r="536" spans="1:14">
      <c r="A536" t="s">
        <v>970</v>
      </c>
      <c r="B536" s="3">
        <v>45970</v>
      </c>
      <c r="C536" t="s">
        <v>758</v>
      </c>
      <c r="D536" t="s">
        <v>157</v>
      </c>
      <c r="E536" t="s">
        <v>759</v>
      </c>
      <c r="F536" t="s">
        <v>655</v>
      </c>
      <c r="G536" t="s">
        <v>88</v>
      </c>
      <c r="H536" t="s">
        <v>97</v>
      </c>
      <c r="I536">
        <v>3</v>
      </c>
      <c r="J536" s="2">
        <v>299.64</v>
      </c>
      <c r="K536" s="4">
        <v>0</v>
      </c>
      <c r="L536" t="s">
        <v>106</v>
      </c>
      <c r="M536">
        <v>3</v>
      </c>
      <c r="N536" t="s">
        <v>91</v>
      </c>
    </row>
    <row r="537" spans="1:14">
      <c r="A537" t="s">
        <v>971</v>
      </c>
      <c r="B537" s="3">
        <v>45669</v>
      </c>
      <c r="C537" t="s">
        <v>610</v>
      </c>
      <c r="D537" t="s">
        <v>231</v>
      </c>
      <c r="E537" t="s">
        <v>611</v>
      </c>
      <c r="F537" t="s">
        <v>103</v>
      </c>
      <c r="G537" t="s">
        <v>88</v>
      </c>
      <c r="H537" t="s">
        <v>89</v>
      </c>
      <c r="I537">
        <v>2</v>
      </c>
      <c r="J537" s="2">
        <v>370.98</v>
      </c>
      <c r="K537" s="4">
        <v>0.15</v>
      </c>
      <c r="L537" t="s">
        <v>106</v>
      </c>
      <c r="M537">
        <v>5</v>
      </c>
      <c r="N537" t="s">
        <v>91</v>
      </c>
    </row>
    <row r="538" spans="1:14">
      <c r="A538" t="s">
        <v>972</v>
      </c>
      <c r="B538" s="3">
        <v>45693</v>
      </c>
      <c r="C538" t="s">
        <v>156</v>
      </c>
      <c r="D538" t="s">
        <v>125</v>
      </c>
      <c r="E538" t="s">
        <v>973</v>
      </c>
      <c r="F538" t="s">
        <v>87</v>
      </c>
      <c r="G538" t="s">
        <v>122</v>
      </c>
      <c r="H538" t="s">
        <v>105</v>
      </c>
      <c r="I538">
        <v>2</v>
      </c>
      <c r="J538" s="2">
        <v>56.24</v>
      </c>
      <c r="K538" s="4">
        <v>0</v>
      </c>
      <c r="L538" t="s">
        <v>98</v>
      </c>
      <c r="M538">
        <v>3</v>
      </c>
      <c r="N538" t="s">
        <v>91</v>
      </c>
    </row>
    <row r="539" spans="1:14">
      <c r="A539" t="s">
        <v>974</v>
      </c>
      <c r="B539" s="3">
        <v>45722</v>
      </c>
      <c r="C539" t="s">
        <v>164</v>
      </c>
      <c r="D539" t="s">
        <v>152</v>
      </c>
      <c r="E539" t="s">
        <v>166</v>
      </c>
      <c r="F539" t="s">
        <v>87</v>
      </c>
      <c r="G539" t="s">
        <v>104</v>
      </c>
      <c r="H539" t="s">
        <v>228</v>
      </c>
      <c r="I539">
        <v>2</v>
      </c>
      <c r="J539" s="2">
        <v>136.83000000000001</v>
      </c>
      <c r="K539" s="4">
        <v>0.15</v>
      </c>
      <c r="L539" t="s">
        <v>90</v>
      </c>
      <c r="M539">
        <v>3</v>
      </c>
      <c r="N539" t="s">
        <v>91</v>
      </c>
    </row>
    <row r="540" spans="1:14">
      <c r="A540" t="s">
        <v>975</v>
      </c>
      <c r="B540" s="3">
        <v>45721</v>
      </c>
      <c r="C540" t="s">
        <v>119</v>
      </c>
      <c r="D540" t="s">
        <v>139</v>
      </c>
      <c r="E540" t="s">
        <v>976</v>
      </c>
      <c r="F540" t="s">
        <v>103</v>
      </c>
      <c r="G540" t="s">
        <v>88</v>
      </c>
      <c r="H540" t="s">
        <v>89</v>
      </c>
      <c r="I540">
        <v>1</v>
      </c>
      <c r="J540" s="2">
        <v>82.59</v>
      </c>
      <c r="K540" s="4">
        <v>0.2</v>
      </c>
      <c r="L540" t="s">
        <v>90</v>
      </c>
      <c r="M540">
        <v>6</v>
      </c>
      <c r="N540" t="s">
        <v>91</v>
      </c>
    </row>
    <row r="541" spans="1:14">
      <c r="A541" t="s">
        <v>977</v>
      </c>
      <c r="B541" s="3">
        <v>45928</v>
      </c>
      <c r="C541" t="s">
        <v>93</v>
      </c>
      <c r="D541" t="s">
        <v>139</v>
      </c>
      <c r="E541" t="s">
        <v>95</v>
      </c>
      <c r="F541" t="s">
        <v>145</v>
      </c>
      <c r="G541" t="s">
        <v>171</v>
      </c>
      <c r="H541" t="s">
        <v>89</v>
      </c>
      <c r="I541">
        <v>2</v>
      </c>
      <c r="J541" s="2">
        <v>82.4</v>
      </c>
      <c r="K541" s="4">
        <v>0.05</v>
      </c>
      <c r="L541" t="s">
        <v>106</v>
      </c>
      <c r="M541">
        <v>7</v>
      </c>
      <c r="N541" t="s">
        <v>91</v>
      </c>
    </row>
    <row r="542" spans="1:14">
      <c r="A542" t="s">
        <v>978</v>
      </c>
      <c r="B542" s="3">
        <v>45773</v>
      </c>
      <c r="C542" t="s">
        <v>319</v>
      </c>
      <c r="D542" t="s">
        <v>194</v>
      </c>
      <c r="E542" t="s">
        <v>320</v>
      </c>
      <c r="F542" t="s">
        <v>116</v>
      </c>
      <c r="G542" t="s">
        <v>96</v>
      </c>
      <c r="H542" t="s">
        <v>105</v>
      </c>
      <c r="I542">
        <v>1</v>
      </c>
      <c r="J542" s="2">
        <v>191.25</v>
      </c>
      <c r="K542" s="4">
        <v>0</v>
      </c>
      <c r="L542" t="s">
        <v>98</v>
      </c>
      <c r="M542">
        <v>1</v>
      </c>
      <c r="N542" t="s">
        <v>91</v>
      </c>
    </row>
    <row r="543" spans="1:14">
      <c r="A543" t="s">
        <v>979</v>
      </c>
      <c r="B543" s="3">
        <v>45807</v>
      </c>
      <c r="C543" t="s">
        <v>661</v>
      </c>
      <c r="D543" t="s">
        <v>261</v>
      </c>
      <c r="E543" t="s">
        <v>662</v>
      </c>
      <c r="F543" t="s">
        <v>103</v>
      </c>
      <c r="G543" t="s">
        <v>88</v>
      </c>
      <c r="H543" t="s">
        <v>105</v>
      </c>
      <c r="I543">
        <v>1</v>
      </c>
      <c r="J543" s="2">
        <v>257.38</v>
      </c>
      <c r="K543" s="4">
        <v>0.05</v>
      </c>
      <c r="L543" t="s">
        <v>90</v>
      </c>
      <c r="M543">
        <v>6</v>
      </c>
      <c r="N543" t="s">
        <v>91</v>
      </c>
    </row>
    <row r="544" spans="1:14">
      <c r="A544" t="s">
        <v>980</v>
      </c>
      <c r="B544" s="3">
        <v>45828</v>
      </c>
      <c r="C544" t="s">
        <v>359</v>
      </c>
      <c r="D544" t="s">
        <v>503</v>
      </c>
      <c r="E544" t="s">
        <v>981</v>
      </c>
      <c r="F544" t="s">
        <v>145</v>
      </c>
      <c r="G544" t="s">
        <v>88</v>
      </c>
      <c r="H544" t="s">
        <v>89</v>
      </c>
      <c r="I544">
        <v>1</v>
      </c>
      <c r="J544" s="2">
        <v>124.54</v>
      </c>
      <c r="K544" s="4">
        <v>0.05</v>
      </c>
      <c r="L544" t="s">
        <v>98</v>
      </c>
      <c r="M544">
        <v>4</v>
      </c>
      <c r="N544" t="s">
        <v>91</v>
      </c>
    </row>
    <row r="545" spans="1:14">
      <c r="A545" t="s">
        <v>982</v>
      </c>
      <c r="B545" s="3">
        <v>45902</v>
      </c>
      <c r="C545" t="s">
        <v>851</v>
      </c>
      <c r="D545" t="s">
        <v>303</v>
      </c>
      <c r="E545" t="s">
        <v>852</v>
      </c>
      <c r="F545" t="s">
        <v>116</v>
      </c>
      <c r="G545" t="s">
        <v>130</v>
      </c>
      <c r="H545" t="s">
        <v>89</v>
      </c>
      <c r="I545">
        <v>4</v>
      </c>
      <c r="J545" s="2">
        <v>153.62</v>
      </c>
      <c r="K545" s="4">
        <v>0</v>
      </c>
      <c r="L545" t="s">
        <v>98</v>
      </c>
      <c r="M545">
        <v>3</v>
      </c>
      <c r="N545" t="s">
        <v>91</v>
      </c>
    </row>
    <row r="546" spans="1:14">
      <c r="A546" t="s">
        <v>983</v>
      </c>
      <c r="B546" s="3">
        <v>45680</v>
      </c>
      <c r="C546" t="s">
        <v>417</v>
      </c>
      <c r="D546" t="s">
        <v>217</v>
      </c>
      <c r="E546" t="s">
        <v>419</v>
      </c>
      <c r="F546" t="s">
        <v>116</v>
      </c>
      <c r="G546" t="s">
        <v>117</v>
      </c>
      <c r="H546" t="s">
        <v>105</v>
      </c>
      <c r="I546">
        <v>1</v>
      </c>
      <c r="J546" s="2">
        <v>100.86</v>
      </c>
      <c r="K546" s="4">
        <v>0.15</v>
      </c>
      <c r="L546" t="s">
        <v>98</v>
      </c>
      <c r="M546">
        <v>5</v>
      </c>
      <c r="N546" t="s">
        <v>91</v>
      </c>
    </row>
    <row r="547" spans="1:14">
      <c r="A547" t="s">
        <v>984</v>
      </c>
      <c r="B547" s="3">
        <v>45780</v>
      </c>
      <c r="C547" t="s">
        <v>290</v>
      </c>
      <c r="D547" t="s">
        <v>252</v>
      </c>
      <c r="E547" t="s">
        <v>732</v>
      </c>
      <c r="F547" t="s">
        <v>111</v>
      </c>
      <c r="G547" t="s">
        <v>104</v>
      </c>
      <c r="H547" t="s">
        <v>105</v>
      </c>
      <c r="I547">
        <v>1</v>
      </c>
      <c r="J547" s="2">
        <v>263.81</v>
      </c>
      <c r="K547" s="4">
        <v>0</v>
      </c>
      <c r="L547" t="s">
        <v>106</v>
      </c>
      <c r="M547">
        <v>7</v>
      </c>
      <c r="N547" t="s">
        <v>91</v>
      </c>
    </row>
    <row r="548" spans="1:14">
      <c r="A548" t="s">
        <v>985</v>
      </c>
      <c r="B548" s="3">
        <v>45926</v>
      </c>
      <c r="C548" t="s">
        <v>670</v>
      </c>
      <c r="D548" t="s">
        <v>210</v>
      </c>
      <c r="E548" t="s">
        <v>671</v>
      </c>
      <c r="F548" t="s">
        <v>87</v>
      </c>
      <c r="G548" t="s">
        <v>171</v>
      </c>
      <c r="H548" t="s">
        <v>89</v>
      </c>
      <c r="I548">
        <v>3</v>
      </c>
      <c r="J548" s="2">
        <v>291.04000000000002</v>
      </c>
      <c r="K548" s="4">
        <v>0.1</v>
      </c>
      <c r="L548" t="s">
        <v>504</v>
      </c>
      <c r="M548">
        <v>9</v>
      </c>
      <c r="N548" t="s">
        <v>91</v>
      </c>
    </row>
    <row r="549" spans="1:14">
      <c r="A549" t="s">
        <v>986</v>
      </c>
      <c r="B549" s="3">
        <v>45824</v>
      </c>
      <c r="C549" t="s">
        <v>200</v>
      </c>
      <c r="D549" t="s">
        <v>174</v>
      </c>
      <c r="E549" t="s">
        <v>201</v>
      </c>
      <c r="F549" t="s">
        <v>116</v>
      </c>
      <c r="G549" t="s">
        <v>117</v>
      </c>
      <c r="H549" t="s">
        <v>105</v>
      </c>
      <c r="I549">
        <v>1</v>
      </c>
      <c r="J549" s="2">
        <v>36.26</v>
      </c>
      <c r="K549" s="4">
        <v>0.05</v>
      </c>
      <c r="L549" t="s">
        <v>98</v>
      </c>
      <c r="M549">
        <v>1</v>
      </c>
      <c r="N549" t="s">
        <v>147</v>
      </c>
    </row>
    <row r="550" spans="1:14">
      <c r="A550" t="s">
        <v>987</v>
      </c>
      <c r="B550" s="3">
        <v>45978</v>
      </c>
      <c r="C550" t="s">
        <v>594</v>
      </c>
      <c r="D550" t="s">
        <v>109</v>
      </c>
      <c r="E550" t="s">
        <v>595</v>
      </c>
      <c r="F550" t="s">
        <v>87</v>
      </c>
      <c r="G550" t="s">
        <v>117</v>
      </c>
      <c r="H550" t="s">
        <v>89</v>
      </c>
      <c r="I550">
        <v>3</v>
      </c>
      <c r="J550" s="2">
        <v>206.48</v>
      </c>
      <c r="K550" s="4">
        <v>0.2</v>
      </c>
      <c r="L550" t="s">
        <v>106</v>
      </c>
      <c r="M550">
        <v>1</v>
      </c>
      <c r="N550" t="s">
        <v>91</v>
      </c>
    </row>
    <row r="551" spans="1:14">
      <c r="A551" t="s">
        <v>988</v>
      </c>
      <c r="B551" s="3">
        <v>45965</v>
      </c>
      <c r="C551" t="s">
        <v>363</v>
      </c>
      <c r="D551" t="s">
        <v>190</v>
      </c>
      <c r="E551" t="s">
        <v>364</v>
      </c>
      <c r="F551" t="s">
        <v>103</v>
      </c>
      <c r="G551" t="s">
        <v>88</v>
      </c>
      <c r="H551" t="s">
        <v>89</v>
      </c>
      <c r="I551">
        <v>1</v>
      </c>
      <c r="J551" s="2">
        <v>291.87</v>
      </c>
      <c r="K551" s="4">
        <v>0.05</v>
      </c>
      <c r="L551" t="s">
        <v>98</v>
      </c>
      <c r="M551">
        <v>9</v>
      </c>
      <c r="N551" t="s">
        <v>91</v>
      </c>
    </row>
    <row r="552" spans="1:14">
      <c r="A552" t="s">
        <v>989</v>
      </c>
      <c r="B552" s="3">
        <v>45706</v>
      </c>
      <c r="C552" t="s">
        <v>93</v>
      </c>
      <c r="D552" t="s">
        <v>738</v>
      </c>
      <c r="E552" t="s">
        <v>95</v>
      </c>
      <c r="F552" t="s">
        <v>87</v>
      </c>
      <c r="G552" t="s">
        <v>104</v>
      </c>
      <c r="H552" t="s">
        <v>89</v>
      </c>
      <c r="I552">
        <v>1</v>
      </c>
      <c r="J552" s="2">
        <v>314.67</v>
      </c>
      <c r="K552" s="4">
        <v>0</v>
      </c>
      <c r="L552" t="s">
        <v>106</v>
      </c>
      <c r="M552">
        <v>9</v>
      </c>
      <c r="N552" t="s">
        <v>91</v>
      </c>
    </row>
    <row r="553" spans="1:14">
      <c r="A553" t="s">
        <v>990</v>
      </c>
      <c r="B553" s="3">
        <v>45684</v>
      </c>
      <c r="C553" t="s">
        <v>487</v>
      </c>
      <c r="D553" t="s">
        <v>244</v>
      </c>
      <c r="E553" t="s">
        <v>488</v>
      </c>
      <c r="F553" t="s">
        <v>87</v>
      </c>
      <c r="G553" t="s">
        <v>171</v>
      </c>
      <c r="H553" t="s">
        <v>105</v>
      </c>
      <c r="I553">
        <v>1</v>
      </c>
      <c r="J553" s="2">
        <v>250.61</v>
      </c>
      <c r="K553" s="4">
        <v>0</v>
      </c>
      <c r="L553" t="s">
        <v>98</v>
      </c>
      <c r="M553">
        <v>2</v>
      </c>
      <c r="N553" t="s">
        <v>91</v>
      </c>
    </row>
    <row r="554" spans="1:14">
      <c r="A554" t="s">
        <v>991</v>
      </c>
      <c r="B554" s="3">
        <v>45891</v>
      </c>
      <c r="C554" t="s">
        <v>507</v>
      </c>
      <c r="D554" t="s">
        <v>94</v>
      </c>
      <c r="E554" t="s">
        <v>508</v>
      </c>
      <c r="F554" t="s">
        <v>116</v>
      </c>
      <c r="G554" t="s">
        <v>96</v>
      </c>
      <c r="H554" t="s">
        <v>97</v>
      </c>
      <c r="I554">
        <v>2</v>
      </c>
      <c r="J554" s="2">
        <v>318.20999999999998</v>
      </c>
      <c r="K554" s="4">
        <v>0</v>
      </c>
      <c r="L554" t="s">
        <v>98</v>
      </c>
      <c r="M554">
        <v>3</v>
      </c>
      <c r="N554" t="s">
        <v>91</v>
      </c>
    </row>
    <row r="555" spans="1:14">
      <c r="A555" t="s">
        <v>992</v>
      </c>
      <c r="B555" s="3">
        <v>45799</v>
      </c>
      <c r="C555" t="s">
        <v>108</v>
      </c>
      <c r="D555" t="s">
        <v>210</v>
      </c>
      <c r="E555" t="s">
        <v>110</v>
      </c>
      <c r="F555" t="s">
        <v>87</v>
      </c>
      <c r="G555" t="s">
        <v>183</v>
      </c>
      <c r="H555" t="s">
        <v>105</v>
      </c>
      <c r="I555">
        <v>5</v>
      </c>
      <c r="J555" s="2">
        <v>323.45</v>
      </c>
      <c r="K555" s="4">
        <v>0.05</v>
      </c>
      <c r="L555" t="s">
        <v>106</v>
      </c>
      <c r="M555">
        <v>2</v>
      </c>
      <c r="N555" t="s">
        <v>91</v>
      </c>
    </row>
    <row r="556" spans="1:14">
      <c r="A556" t="s">
        <v>993</v>
      </c>
      <c r="B556" s="3">
        <v>45882</v>
      </c>
      <c r="C556" t="s">
        <v>396</v>
      </c>
      <c r="D556" t="s">
        <v>520</v>
      </c>
      <c r="E556" t="s">
        <v>397</v>
      </c>
      <c r="F556" t="s">
        <v>87</v>
      </c>
      <c r="G556" t="s">
        <v>88</v>
      </c>
      <c r="H556" t="s">
        <v>89</v>
      </c>
      <c r="I556">
        <v>1</v>
      </c>
      <c r="J556" s="2">
        <v>368.38</v>
      </c>
      <c r="K556" s="4">
        <v>0.15</v>
      </c>
      <c r="L556" t="s">
        <v>146</v>
      </c>
      <c r="M556">
        <v>5</v>
      </c>
      <c r="N556" t="s">
        <v>91</v>
      </c>
    </row>
    <row r="557" spans="1:14">
      <c r="A557" t="s">
        <v>994</v>
      </c>
      <c r="B557" s="3">
        <v>45996</v>
      </c>
      <c r="C557" t="s">
        <v>330</v>
      </c>
      <c r="D557" t="s">
        <v>738</v>
      </c>
      <c r="E557" t="s">
        <v>424</v>
      </c>
      <c r="F557" t="s">
        <v>116</v>
      </c>
      <c r="G557" t="s">
        <v>117</v>
      </c>
      <c r="H557" t="s">
        <v>89</v>
      </c>
      <c r="I557">
        <v>3</v>
      </c>
      <c r="J557" s="2">
        <v>316.8</v>
      </c>
      <c r="K557" s="4">
        <v>0.25</v>
      </c>
      <c r="L557" t="s">
        <v>106</v>
      </c>
      <c r="M557">
        <v>5</v>
      </c>
      <c r="N557" t="s">
        <v>91</v>
      </c>
    </row>
    <row r="558" spans="1:14">
      <c r="A558" t="s">
        <v>995</v>
      </c>
      <c r="B558" s="3">
        <v>45769</v>
      </c>
      <c r="C558" t="s">
        <v>359</v>
      </c>
      <c r="D558" t="s">
        <v>85</v>
      </c>
      <c r="E558" t="s">
        <v>361</v>
      </c>
      <c r="F558" t="s">
        <v>116</v>
      </c>
      <c r="G558" t="s">
        <v>104</v>
      </c>
      <c r="H558" t="s">
        <v>105</v>
      </c>
      <c r="I558">
        <v>3</v>
      </c>
      <c r="J558" s="2">
        <v>308.24</v>
      </c>
      <c r="K558" s="4">
        <v>0.05</v>
      </c>
      <c r="L558" t="s">
        <v>98</v>
      </c>
      <c r="M558">
        <v>8</v>
      </c>
      <c r="N558" t="s">
        <v>91</v>
      </c>
    </row>
    <row r="559" spans="1:14">
      <c r="A559" t="s">
        <v>996</v>
      </c>
      <c r="B559" s="3">
        <v>46005</v>
      </c>
      <c r="C559" t="s">
        <v>180</v>
      </c>
      <c r="D559" t="s">
        <v>249</v>
      </c>
      <c r="E559" t="s">
        <v>182</v>
      </c>
      <c r="F559" t="s">
        <v>116</v>
      </c>
      <c r="G559" t="s">
        <v>117</v>
      </c>
      <c r="H559" t="s">
        <v>89</v>
      </c>
      <c r="I559">
        <v>1</v>
      </c>
      <c r="J559" s="2">
        <v>428.94</v>
      </c>
      <c r="K559" s="4">
        <v>0</v>
      </c>
      <c r="L559" t="s">
        <v>106</v>
      </c>
      <c r="M559">
        <v>4</v>
      </c>
      <c r="N559" t="s">
        <v>91</v>
      </c>
    </row>
    <row r="560" spans="1:14">
      <c r="A560" t="s">
        <v>997</v>
      </c>
      <c r="B560" s="3">
        <v>45727</v>
      </c>
      <c r="C560" t="s">
        <v>200</v>
      </c>
      <c r="D560" t="s">
        <v>139</v>
      </c>
      <c r="E560" t="s">
        <v>201</v>
      </c>
      <c r="F560" t="s">
        <v>116</v>
      </c>
      <c r="G560" t="s">
        <v>183</v>
      </c>
      <c r="H560" t="s">
        <v>105</v>
      </c>
      <c r="I560">
        <v>1</v>
      </c>
      <c r="J560" s="2">
        <v>83.97</v>
      </c>
      <c r="K560" s="4">
        <v>0.1</v>
      </c>
      <c r="L560" t="s">
        <v>106</v>
      </c>
      <c r="M560">
        <v>5</v>
      </c>
      <c r="N560" t="s">
        <v>91</v>
      </c>
    </row>
    <row r="561" spans="1:14">
      <c r="A561" t="s">
        <v>998</v>
      </c>
      <c r="B561" s="3">
        <v>45909</v>
      </c>
      <c r="C561" t="s">
        <v>349</v>
      </c>
      <c r="D561" t="s">
        <v>143</v>
      </c>
      <c r="E561" t="s">
        <v>350</v>
      </c>
      <c r="F561" t="s">
        <v>103</v>
      </c>
      <c r="G561" t="s">
        <v>117</v>
      </c>
      <c r="H561" t="s">
        <v>97</v>
      </c>
      <c r="I561">
        <v>2</v>
      </c>
      <c r="J561" s="2">
        <v>260.72000000000003</v>
      </c>
      <c r="K561" s="4">
        <v>0.05</v>
      </c>
      <c r="L561" t="s">
        <v>441</v>
      </c>
      <c r="M561">
        <v>4</v>
      </c>
      <c r="N561" t="s">
        <v>147</v>
      </c>
    </row>
    <row r="562" spans="1:14">
      <c r="A562" t="s">
        <v>999</v>
      </c>
      <c r="B562" s="3">
        <v>46004</v>
      </c>
      <c r="C562" t="s">
        <v>290</v>
      </c>
      <c r="D562" t="s">
        <v>139</v>
      </c>
      <c r="E562" t="s">
        <v>291</v>
      </c>
      <c r="F562" t="s">
        <v>116</v>
      </c>
      <c r="G562" t="s">
        <v>117</v>
      </c>
      <c r="H562" t="s">
        <v>105</v>
      </c>
      <c r="I562">
        <v>3</v>
      </c>
      <c r="J562" s="2">
        <v>81.14</v>
      </c>
      <c r="K562" s="4">
        <v>0</v>
      </c>
      <c r="L562" t="s">
        <v>90</v>
      </c>
      <c r="M562">
        <v>6</v>
      </c>
      <c r="N562" t="s">
        <v>91</v>
      </c>
    </row>
    <row r="563" spans="1:14">
      <c r="A563" t="s">
        <v>1000</v>
      </c>
      <c r="B563" s="3">
        <v>45697</v>
      </c>
      <c r="C563" t="s">
        <v>695</v>
      </c>
      <c r="D563" t="s">
        <v>181</v>
      </c>
      <c r="E563" t="s">
        <v>696</v>
      </c>
      <c r="F563" t="s">
        <v>87</v>
      </c>
      <c r="G563" t="s">
        <v>183</v>
      </c>
      <c r="H563" t="s">
        <v>89</v>
      </c>
      <c r="I563">
        <v>2</v>
      </c>
      <c r="J563" s="2">
        <v>367.23</v>
      </c>
      <c r="K563" s="4">
        <v>0.05</v>
      </c>
      <c r="L563" t="s">
        <v>90</v>
      </c>
      <c r="M563">
        <v>6</v>
      </c>
      <c r="N563" t="s">
        <v>91</v>
      </c>
    </row>
    <row r="564" spans="1:14">
      <c r="A564" t="s">
        <v>1001</v>
      </c>
      <c r="B564" s="3">
        <v>46000</v>
      </c>
      <c r="C564" t="s">
        <v>670</v>
      </c>
      <c r="D564" t="s">
        <v>469</v>
      </c>
      <c r="E564" t="s">
        <v>671</v>
      </c>
      <c r="F564" t="s">
        <v>116</v>
      </c>
      <c r="G564" t="s">
        <v>96</v>
      </c>
      <c r="H564" t="s">
        <v>89</v>
      </c>
      <c r="I564">
        <v>1</v>
      </c>
      <c r="J564" s="2">
        <v>80.66</v>
      </c>
      <c r="K564" s="4">
        <v>0.1</v>
      </c>
      <c r="L564" t="s">
        <v>106</v>
      </c>
      <c r="M564">
        <v>1</v>
      </c>
      <c r="N564" t="s">
        <v>91</v>
      </c>
    </row>
    <row r="565" spans="1:14">
      <c r="A565" t="s">
        <v>1002</v>
      </c>
      <c r="B565" s="3">
        <v>45858</v>
      </c>
      <c r="C565" t="s">
        <v>406</v>
      </c>
      <c r="D565" t="s">
        <v>85</v>
      </c>
      <c r="E565" t="s">
        <v>407</v>
      </c>
      <c r="F565" t="s">
        <v>111</v>
      </c>
      <c r="G565" t="s">
        <v>96</v>
      </c>
      <c r="H565" t="s">
        <v>89</v>
      </c>
      <c r="I565">
        <v>1</v>
      </c>
      <c r="J565" s="2">
        <v>301.2</v>
      </c>
      <c r="K565" s="4">
        <v>0</v>
      </c>
      <c r="L565" t="s">
        <v>90</v>
      </c>
      <c r="M565">
        <v>1</v>
      </c>
      <c r="N565" t="s">
        <v>91</v>
      </c>
    </row>
    <row r="566" spans="1:14">
      <c r="A566" t="s">
        <v>1003</v>
      </c>
      <c r="B566" s="3">
        <v>45722</v>
      </c>
      <c r="C566" t="s">
        <v>427</v>
      </c>
      <c r="D566" t="s">
        <v>231</v>
      </c>
      <c r="E566" t="s">
        <v>428</v>
      </c>
      <c r="F566" t="s">
        <v>849</v>
      </c>
      <c r="G566" t="s">
        <v>130</v>
      </c>
      <c r="H566" t="s">
        <v>89</v>
      </c>
      <c r="I566">
        <v>1</v>
      </c>
      <c r="J566" s="2">
        <v>348.97</v>
      </c>
      <c r="K566" s="4">
        <v>0</v>
      </c>
      <c r="L566" t="s">
        <v>106</v>
      </c>
      <c r="M566">
        <v>5</v>
      </c>
      <c r="N566" t="s">
        <v>91</v>
      </c>
    </row>
    <row r="567" spans="1:14">
      <c r="A567" t="s">
        <v>1004</v>
      </c>
      <c r="B567" s="3">
        <v>46009</v>
      </c>
      <c r="C567" t="s">
        <v>500</v>
      </c>
      <c r="D567" t="s">
        <v>149</v>
      </c>
      <c r="E567" t="s">
        <v>501</v>
      </c>
      <c r="F567" t="s">
        <v>103</v>
      </c>
      <c r="G567" t="s">
        <v>104</v>
      </c>
      <c r="H567" t="s">
        <v>105</v>
      </c>
      <c r="I567">
        <v>1</v>
      </c>
      <c r="J567" s="2">
        <v>83.93</v>
      </c>
      <c r="K567" s="4">
        <v>0.15</v>
      </c>
      <c r="L567" t="s">
        <v>441</v>
      </c>
      <c r="M567">
        <v>1</v>
      </c>
      <c r="N567" t="s">
        <v>91</v>
      </c>
    </row>
    <row r="568" spans="1:14">
      <c r="A568" t="s">
        <v>1005</v>
      </c>
      <c r="B568" s="3">
        <v>45801</v>
      </c>
      <c r="C568" t="s">
        <v>402</v>
      </c>
      <c r="D568" t="s">
        <v>520</v>
      </c>
      <c r="E568" t="s">
        <v>1006</v>
      </c>
      <c r="F568" t="s">
        <v>116</v>
      </c>
      <c r="G568" t="s">
        <v>88</v>
      </c>
      <c r="H568" t="s">
        <v>89</v>
      </c>
      <c r="I568">
        <v>2</v>
      </c>
      <c r="J568" s="2">
        <v>384</v>
      </c>
      <c r="K568" s="4">
        <v>0</v>
      </c>
      <c r="L568" t="s">
        <v>98</v>
      </c>
      <c r="M568">
        <v>4</v>
      </c>
      <c r="N568" t="s">
        <v>91</v>
      </c>
    </row>
    <row r="569" spans="1:14">
      <c r="A569" t="s">
        <v>1007</v>
      </c>
      <c r="B569" s="3">
        <v>45662</v>
      </c>
      <c r="C569" t="s">
        <v>374</v>
      </c>
      <c r="D569" t="s">
        <v>249</v>
      </c>
      <c r="E569" t="s">
        <v>375</v>
      </c>
      <c r="F569" t="s">
        <v>111</v>
      </c>
      <c r="G569" t="s">
        <v>96</v>
      </c>
      <c r="H569" t="s">
        <v>167</v>
      </c>
      <c r="I569">
        <v>2</v>
      </c>
      <c r="J569" s="2">
        <v>414.63</v>
      </c>
      <c r="K569" s="4">
        <v>0.15</v>
      </c>
      <c r="L569" t="s">
        <v>106</v>
      </c>
      <c r="M569">
        <v>5</v>
      </c>
      <c r="N569" t="s">
        <v>91</v>
      </c>
    </row>
    <row r="570" spans="1:14">
      <c r="A570" t="s">
        <v>1008</v>
      </c>
      <c r="B570" s="3">
        <v>45817</v>
      </c>
      <c r="C570" t="s">
        <v>594</v>
      </c>
      <c r="D570" t="s">
        <v>174</v>
      </c>
      <c r="E570" t="s">
        <v>595</v>
      </c>
      <c r="F570" t="s">
        <v>87</v>
      </c>
      <c r="G570" t="s">
        <v>117</v>
      </c>
      <c r="H570" t="s">
        <v>89</v>
      </c>
      <c r="I570">
        <v>3</v>
      </c>
      <c r="J570" s="2">
        <v>39.950000000000003</v>
      </c>
      <c r="K570" s="4">
        <v>0</v>
      </c>
      <c r="L570" t="s">
        <v>422</v>
      </c>
      <c r="M570">
        <v>8</v>
      </c>
      <c r="N570" t="s">
        <v>91</v>
      </c>
    </row>
    <row r="571" spans="1:14">
      <c r="A571" t="s">
        <v>1009</v>
      </c>
      <c r="B571" s="3">
        <v>45796</v>
      </c>
      <c r="C571" t="s">
        <v>647</v>
      </c>
      <c r="D571" t="s">
        <v>109</v>
      </c>
      <c r="E571" t="s">
        <v>648</v>
      </c>
      <c r="F571" t="s">
        <v>103</v>
      </c>
      <c r="G571" t="s">
        <v>183</v>
      </c>
      <c r="H571" t="s">
        <v>97</v>
      </c>
      <c r="I571">
        <v>1</v>
      </c>
      <c r="J571" s="2">
        <v>189.83</v>
      </c>
      <c r="K571" s="4">
        <v>0.2</v>
      </c>
      <c r="L571" t="s">
        <v>90</v>
      </c>
      <c r="M571">
        <v>3</v>
      </c>
      <c r="N571" t="s">
        <v>91</v>
      </c>
    </row>
    <row r="572" spans="1:14">
      <c r="A572" t="s">
        <v>1010</v>
      </c>
      <c r="B572" s="3">
        <v>45719</v>
      </c>
      <c r="C572" t="s">
        <v>438</v>
      </c>
      <c r="D572" t="s">
        <v>503</v>
      </c>
      <c r="E572" t="s">
        <v>439</v>
      </c>
      <c r="F572" t="s">
        <v>116</v>
      </c>
      <c r="G572" t="s">
        <v>96</v>
      </c>
      <c r="H572" t="s">
        <v>89</v>
      </c>
      <c r="I572">
        <v>3</v>
      </c>
      <c r="J572" s="2">
        <v>119.26</v>
      </c>
      <c r="K572" s="4">
        <v>0</v>
      </c>
      <c r="L572" t="s">
        <v>106</v>
      </c>
      <c r="M572">
        <v>2</v>
      </c>
      <c r="N572" t="s">
        <v>91</v>
      </c>
    </row>
    <row r="573" spans="1:14">
      <c r="A573" t="s">
        <v>1011</v>
      </c>
      <c r="B573" s="3">
        <v>45746</v>
      </c>
      <c r="C573" t="s">
        <v>164</v>
      </c>
      <c r="D573" t="s">
        <v>101</v>
      </c>
      <c r="E573" t="s">
        <v>166</v>
      </c>
      <c r="F573" t="s">
        <v>87</v>
      </c>
      <c r="G573" t="s">
        <v>122</v>
      </c>
      <c r="H573" t="s">
        <v>89</v>
      </c>
      <c r="I573">
        <v>1</v>
      </c>
      <c r="J573" s="2">
        <v>298.7</v>
      </c>
      <c r="K573" s="4">
        <v>0</v>
      </c>
      <c r="L573" t="s">
        <v>504</v>
      </c>
      <c r="M573">
        <v>6</v>
      </c>
      <c r="N573" t="s">
        <v>91</v>
      </c>
    </row>
    <row r="574" spans="1:14">
      <c r="A574" t="s">
        <v>1012</v>
      </c>
      <c r="B574" s="3">
        <v>45706</v>
      </c>
      <c r="C574" t="s">
        <v>335</v>
      </c>
      <c r="D574" t="s">
        <v>323</v>
      </c>
      <c r="E574" t="s">
        <v>336</v>
      </c>
      <c r="F574" t="s">
        <v>145</v>
      </c>
      <c r="G574" t="s">
        <v>122</v>
      </c>
      <c r="H574" t="s">
        <v>89</v>
      </c>
      <c r="I574">
        <v>2</v>
      </c>
      <c r="J574" s="2">
        <v>317.93</v>
      </c>
      <c r="K574" s="4">
        <v>0.2</v>
      </c>
      <c r="L574" t="s">
        <v>90</v>
      </c>
      <c r="M574">
        <v>1</v>
      </c>
      <c r="N574" t="s">
        <v>91</v>
      </c>
    </row>
    <row r="575" spans="1:14">
      <c r="A575" t="s">
        <v>1013</v>
      </c>
      <c r="B575" s="3">
        <v>45664</v>
      </c>
      <c r="C575" t="s">
        <v>600</v>
      </c>
      <c r="D575" t="s">
        <v>323</v>
      </c>
      <c r="E575" t="s">
        <v>601</v>
      </c>
      <c r="F575" t="s">
        <v>111</v>
      </c>
      <c r="G575" t="s">
        <v>117</v>
      </c>
      <c r="H575" t="s">
        <v>89</v>
      </c>
      <c r="I575">
        <v>4</v>
      </c>
      <c r="J575" s="2">
        <v>330.62</v>
      </c>
      <c r="K575" s="4">
        <v>0</v>
      </c>
      <c r="L575" t="s">
        <v>90</v>
      </c>
      <c r="M575">
        <v>1</v>
      </c>
      <c r="N575" t="s">
        <v>91</v>
      </c>
    </row>
    <row r="576" spans="1:14">
      <c r="A576" t="s">
        <v>1014</v>
      </c>
      <c r="B576" s="3">
        <v>45704</v>
      </c>
      <c r="C576" t="s">
        <v>406</v>
      </c>
      <c r="D576" t="s">
        <v>244</v>
      </c>
      <c r="E576" t="s">
        <v>407</v>
      </c>
      <c r="F576" t="s">
        <v>145</v>
      </c>
      <c r="G576" t="s">
        <v>130</v>
      </c>
      <c r="H576" t="s">
        <v>246</v>
      </c>
      <c r="I576">
        <v>3</v>
      </c>
      <c r="J576" s="2">
        <v>248.18</v>
      </c>
      <c r="K576" s="4">
        <v>0.05</v>
      </c>
      <c r="L576" t="s">
        <v>106</v>
      </c>
      <c r="M576">
        <v>2</v>
      </c>
      <c r="N576" t="s">
        <v>91</v>
      </c>
    </row>
    <row r="577" spans="1:14">
      <c r="A577" t="s">
        <v>1015</v>
      </c>
      <c r="B577" s="3">
        <v>45690</v>
      </c>
      <c r="C577" t="s">
        <v>644</v>
      </c>
      <c r="D577" t="s">
        <v>114</v>
      </c>
      <c r="E577" t="s">
        <v>645</v>
      </c>
      <c r="F577" t="s">
        <v>103</v>
      </c>
      <c r="G577" t="s">
        <v>104</v>
      </c>
      <c r="H577" t="s">
        <v>105</v>
      </c>
      <c r="I577">
        <v>1</v>
      </c>
      <c r="J577" s="2">
        <v>152.36000000000001</v>
      </c>
      <c r="K577" s="4">
        <v>0.05</v>
      </c>
      <c r="L577" t="s">
        <v>106</v>
      </c>
      <c r="M577">
        <v>2</v>
      </c>
      <c r="N577" t="s">
        <v>91</v>
      </c>
    </row>
    <row r="578" spans="1:14">
      <c r="A578" t="s">
        <v>1016</v>
      </c>
      <c r="B578" s="3">
        <v>45911</v>
      </c>
      <c r="C578" t="s">
        <v>371</v>
      </c>
      <c r="D578" t="s">
        <v>136</v>
      </c>
      <c r="E578" t="s">
        <v>372</v>
      </c>
      <c r="F578" t="s">
        <v>187</v>
      </c>
      <c r="G578" t="s">
        <v>88</v>
      </c>
      <c r="H578" t="s">
        <v>97</v>
      </c>
      <c r="I578">
        <v>4</v>
      </c>
      <c r="J578" s="2">
        <v>158.27000000000001</v>
      </c>
      <c r="K578" s="4">
        <v>0.15</v>
      </c>
      <c r="L578" t="s">
        <v>98</v>
      </c>
      <c r="M578">
        <v>2</v>
      </c>
      <c r="N578" t="s">
        <v>91</v>
      </c>
    </row>
    <row r="579" spans="1:14">
      <c r="A579" t="s">
        <v>1017</v>
      </c>
      <c r="B579" s="3">
        <v>45943</v>
      </c>
      <c r="C579" t="s">
        <v>248</v>
      </c>
      <c r="D579" t="s">
        <v>244</v>
      </c>
      <c r="E579" t="s">
        <v>250</v>
      </c>
      <c r="F579" t="s">
        <v>116</v>
      </c>
      <c r="G579" t="s">
        <v>88</v>
      </c>
      <c r="H579" t="s">
        <v>89</v>
      </c>
      <c r="I579">
        <v>1</v>
      </c>
      <c r="J579" s="2">
        <v>237.69</v>
      </c>
      <c r="K579" s="4">
        <v>0.2</v>
      </c>
      <c r="L579" t="s">
        <v>106</v>
      </c>
      <c r="M579">
        <v>7</v>
      </c>
      <c r="N579" t="s">
        <v>147</v>
      </c>
    </row>
    <row r="580" spans="1:14">
      <c r="A580" t="s">
        <v>1018</v>
      </c>
      <c r="B580" s="3">
        <v>46001</v>
      </c>
      <c r="C580" t="s">
        <v>410</v>
      </c>
      <c r="D580" t="s">
        <v>190</v>
      </c>
      <c r="E580" t="s">
        <v>411</v>
      </c>
      <c r="F580" t="s">
        <v>116</v>
      </c>
      <c r="G580" t="s">
        <v>183</v>
      </c>
      <c r="H580" t="s">
        <v>89</v>
      </c>
      <c r="I580">
        <v>1</v>
      </c>
      <c r="J580" s="2">
        <v>270.91000000000003</v>
      </c>
      <c r="K580" s="4">
        <v>0.2</v>
      </c>
      <c r="L580" t="s">
        <v>106</v>
      </c>
      <c r="M580">
        <v>3</v>
      </c>
      <c r="N580" t="s">
        <v>91</v>
      </c>
    </row>
    <row r="581" spans="1:14">
      <c r="A581" t="s">
        <v>1019</v>
      </c>
      <c r="B581" s="3">
        <v>45771</v>
      </c>
      <c r="C581" t="s">
        <v>851</v>
      </c>
      <c r="D581" t="s">
        <v>255</v>
      </c>
      <c r="E581" t="s">
        <v>852</v>
      </c>
      <c r="F581" t="s">
        <v>103</v>
      </c>
      <c r="G581" t="s">
        <v>183</v>
      </c>
      <c r="H581" t="s">
        <v>89</v>
      </c>
      <c r="I581">
        <v>3</v>
      </c>
      <c r="J581" s="2">
        <v>236.49</v>
      </c>
      <c r="K581" s="4">
        <v>0.1</v>
      </c>
      <c r="L581" t="s">
        <v>106</v>
      </c>
      <c r="M581">
        <v>8</v>
      </c>
      <c r="N581" t="s">
        <v>147</v>
      </c>
    </row>
    <row r="582" spans="1:14">
      <c r="A582" t="s">
        <v>1020</v>
      </c>
      <c r="B582" s="3">
        <v>45698</v>
      </c>
      <c r="C582" t="s">
        <v>851</v>
      </c>
      <c r="D582" t="s">
        <v>221</v>
      </c>
      <c r="E582" t="s">
        <v>1021</v>
      </c>
      <c r="F582" t="s">
        <v>145</v>
      </c>
      <c r="G582" t="s">
        <v>183</v>
      </c>
      <c r="H582" t="s">
        <v>89</v>
      </c>
      <c r="I582">
        <v>2</v>
      </c>
      <c r="J582" s="2">
        <v>31.95</v>
      </c>
      <c r="K582" s="4">
        <v>0.05</v>
      </c>
      <c r="L582" t="s">
        <v>432</v>
      </c>
      <c r="M582">
        <v>5</v>
      </c>
      <c r="N582" t="s">
        <v>91</v>
      </c>
    </row>
    <row r="583" spans="1:14">
      <c r="A583" t="s">
        <v>1022</v>
      </c>
      <c r="B583" s="3">
        <v>46018</v>
      </c>
      <c r="C583" t="s">
        <v>343</v>
      </c>
      <c r="D583" t="s">
        <v>174</v>
      </c>
      <c r="E583" t="s">
        <v>344</v>
      </c>
      <c r="F583" t="s">
        <v>145</v>
      </c>
      <c r="G583" t="s">
        <v>171</v>
      </c>
      <c r="H583" t="s">
        <v>97</v>
      </c>
      <c r="I583">
        <v>1</v>
      </c>
      <c r="J583" s="2">
        <v>39.03</v>
      </c>
      <c r="K583" s="4">
        <v>0.2</v>
      </c>
      <c r="L583" t="s">
        <v>106</v>
      </c>
      <c r="M583">
        <v>0</v>
      </c>
      <c r="N583" t="s">
        <v>91</v>
      </c>
    </row>
    <row r="584" spans="1:14">
      <c r="A584" t="s">
        <v>1023</v>
      </c>
      <c r="B584" s="3">
        <v>45785</v>
      </c>
      <c r="C584" t="s">
        <v>374</v>
      </c>
      <c r="D584" t="s">
        <v>418</v>
      </c>
      <c r="E584" t="s">
        <v>375</v>
      </c>
      <c r="F584" t="s">
        <v>103</v>
      </c>
      <c r="G584" t="s">
        <v>122</v>
      </c>
      <c r="H584" t="s">
        <v>89</v>
      </c>
      <c r="I584">
        <v>1</v>
      </c>
      <c r="J584" s="2">
        <v>377.22</v>
      </c>
      <c r="K584" s="4">
        <v>0.05</v>
      </c>
      <c r="L584" t="s">
        <v>98</v>
      </c>
      <c r="M584">
        <v>7</v>
      </c>
      <c r="N584" t="s">
        <v>91</v>
      </c>
    </row>
    <row r="585" spans="1:14">
      <c r="A585" t="s">
        <v>1024</v>
      </c>
      <c r="B585" s="3">
        <v>45988</v>
      </c>
      <c r="C585" t="s">
        <v>169</v>
      </c>
      <c r="D585" t="s">
        <v>210</v>
      </c>
      <c r="E585" t="s">
        <v>170</v>
      </c>
      <c r="F585" t="s">
        <v>103</v>
      </c>
      <c r="G585" t="s">
        <v>130</v>
      </c>
      <c r="H585" t="s">
        <v>97</v>
      </c>
      <c r="I585">
        <v>3</v>
      </c>
      <c r="J585" s="2">
        <v>292.93</v>
      </c>
      <c r="K585" s="4">
        <v>0.05</v>
      </c>
      <c r="L585" t="s">
        <v>98</v>
      </c>
      <c r="M585">
        <v>0</v>
      </c>
      <c r="N585" t="s">
        <v>91</v>
      </c>
    </row>
    <row r="586" spans="1:14">
      <c r="A586" t="s">
        <v>1025</v>
      </c>
      <c r="B586" s="3">
        <v>45718</v>
      </c>
      <c r="C586" t="s">
        <v>414</v>
      </c>
      <c r="D586" t="s">
        <v>174</v>
      </c>
      <c r="E586" t="s">
        <v>415</v>
      </c>
      <c r="F586" t="s">
        <v>145</v>
      </c>
      <c r="G586" t="s">
        <v>171</v>
      </c>
      <c r="H586" t="s">
        <v>89</v>
      </c>
      <c r="I586">
        <v>1</v>
      </c>
      <c r="J586" s="2">
        <v>36.51</v>
      </c>
      <c r="K586" s="4">
        <v>0</v>
      </c>
      <c r="L586" t="s">
        <v>90</v>
      </c>
      <c r="M586">
        <v>9</v>
      </c>
      <c r="N586" t="s">
        <v>91</v>
      </c>
    </row>
    <row r="587" spans="1:14">
      <c r="A587" t="s">
        <v>1026</v>
      </c>
      <c r="B587" s="3">
        <v>45993</v>
      </c>
      <c r="C587" t="s">
        <v>371</v>
      </c>
      <c r="D587" t="s">
        <v>136</v>
      </c>
      <c r="E587" t="s">
        <v>372</v>
      </c>
      <c r="F587" t="s">
        <v>145</v>
      </c>
      <c r="G587" t="s">
        <v>88</v>
      </c>
      <c r="H587" t="s">
        <v>89</v>
      </c>
      <c r="I587">
        <v>1</v>
      </c>
      <c r="J587" s="2">
        <v>165.55</v>
      </c>
      <c r="K587" s="4">
        <v>0.05</v>
      </c>
      <c r="L587" t="s">
        <v>106</v>
      </c>
      <c r="M587">
        <v>7</v>
      </c>
      <c r="N587" t="s">
        <v>91</v>
      </c>
    </row>
    <row r="588" spans="1:14">
      <c r="A588" t="s">
        <v>1027</v>
      </c>
      <c r="B588" s="3">
        <v>45979</v>
      </c>
      <c r="C588" t="s">
        <v>180</v>
      </c>
      <c r="D588" t="s">
        <v>261</v>
      </c>
      <c r="E588" t="s">
        <v>182</v>
      </c>
      <c r="F588" t="s">
        <v>111</v>
      </c>
      <c r="G588" t="s">
        <v>122</v>
      </c>
      <c r="H588" t="s">
        <v>97</v>
      </c>
      <c r="I588">
        <v>1</v>
      </c>
      <c r="J588" s="2">
        <v>242.19</v>
      </c>
      <c r="K588" s="4">
        <v>0</v>
      </c>
      <c r="L588" t="s">
        <v>154</v>
      </c>
      <c r="M588">
        <v>1</v>
      </c>
      <c r="N588" t="s">
        <v>91</v>
      </c>
    </row>
    <row r="589" spans="1:14">
      <c r="A589" t="s">
        <v>1028</v>
      </c>
      <c r="B589" s="3">
        <v>45846</v>
      </c>
      <c r="C589" t="s">
        <v>197</v>
      </c>
      <c r="D589" t="s">
        <v>165</v>
      </c>
      <c r="E589" t="s">
        <v>198</v>
      </c>
      <c r="F589" t="s">
        <v>103</v>
      </c>
      <c r="G589" t="s">
        <v>171</v>
      </c>
      <c r="H589" t="s">
        <v>105</v>
      </c>
      <c r="I589">
        <v>1</v>
      </c>
      <c r="J589" s="2">
        <v>102.63</v>
      </c>
      <c r="K589" s="4">
        <v>0.05</v>
      </c>
      <c r="L589" t="s">
        <v>90</v>
      </c>
      <c r="M589">
        <v>3</v>
      </c>
      <c r="N589" t="s">
        <v>91</v>
      </c>
    </row>
    <row r="590" spans="1:14">
      <c r="A590" t="s">
        <v>1029</v>
      </c>
      <c r="B590" s="3">
        <v>45664</v>
      </c>
      <c r="C590" t="s">
        <v>243</v>
      </c>
      <c r="D590" t="s">
        <v>261</v>
      </c>
      <c r="E590" t="s">
        <v>245</v>
      </c>
      <c r="F590" t="s">
        <v>116</v>
      </c>
      <c r="G590" t="s">
        <v>122</v>
      </c>
      <c r="H590" t="s">
        <v>89</v>
      </c>
      <c r="I590">
        <v>2</v>
      </c>
      <c r="J590" s="2">
        <v>250.16</v>
      </c>
      <c r="K590" s="4">
        <v>0</v>
      </c>
      <c r="L590" t="s">
        <v>504</v>
      </c>
      <c r="M590">
        <v>7</v>
      </c>
      <c r="N590" t="s">
        <v>91</v>
      </c>
    </row>
    <row r="591" spans="1:14">
      <c r="A591" t="s">
        <v>1030</v>
      </c>
      <c r="B591" s="3">
        <v>45705</v>
      </c>
      <c r="C591" t="s">
        <v>338</v>
      </c>
      <c r="D591" t="s">
        <v>252</v>
      </c>
      <c r="E591" t="s">
        <v>339</v>
      </c>
      <c r="F591" t="s">
        <v>111</v>
      </c>
      <c r="G591" t="s">
        <v>183</v>
      </c>
      <c r="H591" t="s">
        <v>228</v>
      </c>
      <c r="I591">
        <v>1</v>
      </c>
      <c r="J591" s="2">
        <v>285.14999999999998</v>
      </c>
      <c r="K591" s="4">
        <v>0.05</v>
      </c>
      <c r="L591" t="s">
        <v>98</v>
      </c>
      <c r="M591">
        <v>5</v>
      </c>
      <c r="N591" t="s">
        <v>91</v>
      </c>
    </row>
    <row r="592" spans="1:14">
      <c r="A592" t="s">
        <v>1031</v>
      </c>
      <c r="B592" s="3">
        <v>45775</v>
      </c>
      <c r="C592" t="s">
        <v>497</v>
      </c>
      <c r="D592" t="s">
        <v>738</v>
      </c>
      <c r="E592" t="s">
        <v>1032</v>
      </c>
      <c r="F592" t="s">
        <v>116</v>
      </c>
      <c r="G592" t="s">
        <v>88</v>
      </c>
      <c r="H592" t="s">
        <v>97</v>
      </c>
      <c r="I592">
        <v>2</v>
      </c>
      <c r="J592" s="2">
        <v>334.51</v>
      </c>
      <c r="K592" s="4">
        <v>0.15</v>
      </c>
      <c r="L592" t="s">
        <v>253</v>
      </c>
      <c r="M592">
        <v>1</v>
      </c>
      <c r="N592" t="s">
        <v>91</v>
      </c>
    </row>
    <row r="593" spans="1:14">
      <c r="A593" t="s">
        <v>1033</v>
      </c>
      <c r="B593" s="3">
        <v>45849</v>
      </c>
      <c r="C593" t="s">
        <v>239</v>
      </c>
      <c r="D593" t="s">
        <v>190</v>
      </c>
      <c r="E593" t="s">
        <v>240</v>
      </c>
      <c r="F593" t="s">
        <v>87</v>
      </c>
      <c r="G593" t="s">
        <v>88</v>
      </c>
      <c r="H593" t="s">
        <v>308</v>
      </c>
      <c r="I593">
        <v>3</v>
      </c>
      <c r="J593" s="2">
        <v>286.7</v>
      </c>
      <c r="K593" s="4">
        <v>0</v>
      </c>
      <c r="L593" t="s">
        <v>90</v>
      </c>
      <c r="M593">
        <v>6</v>
      </c>
      <c r="N593" t="s">
        <v>91</v>
      </c>
    </row>
    <row r="594" spans="1:14">
      <c r="A594" t="s">
        <v>1034</v>
      </c>
      <c r="B594" s="3">
        <v>45747</v>
      </c>
      <c r="C594" t="s">
        <v>265</v>
      </c>
      <c r="D594" t="s">
        <v>255</v>
      </c>
      <c r="E594" t="s">
        <v>266</v>
      </c>
      <c r="F594" t="s">
        <v>87</v>
      </c>
      <c r="G594" t="s">
        <v>88</v>
      </c>
      <c r="H594" t="s">
        <v>89</v>
      </c>
      <c r="I594">
        <v>1</v>
      </c>
      <c r="J594" s="2">
        <v>227.24</v>
      </c>
      <c r="K594" s="4">
        <v>0.1</v>
      </c>
      <c r="L594" t="s">
        <v>521</v>
      </c>
      <c r="M594">
        <v>5</v>
      </c>
      <c r="N594" t="s">
        <v>91</v>
      </c>
    </row>
    <row r="595" spans="1:14">
      <c r="A595" t="s">
        <v>1035</v>
      </c>
      <c r="B595" s="3">
        <v>45916</v>
      </c>
      <c r="C595" t="s">
        <v>406</v>
      </c>
      <c r="D595" t="s">
        <v>109</v>
      </c>
      <c r="E595" t="s">
        <v>407</v>
      </c>
      <c r="F595" t="s">
        <v>116</v>
      </c>
      <c r="G595" t="s">
        <v>183</v>
      </c>
      <c r="H595" t="s">
        <v>105</v>
      </c>
      <c r="I595">
        <v>4</v>
      </c>
      <c r="J595" s="2">
        <v>197.43</v>
      </c>
      <c r="K595" s="4">
        <v>0</v>
      </c>
      <c r="L595" t="s">
        <v>253</v>
      </c>
      <c r="M595">
        <v>4</v>
      </c>
      <c r="N595" t="s">
        <v>91</v>
      </c>
    </row>
    <row r="596" spans="1:14">
      <c r="A596" t="s">
        <v>1036</v>
      </c>
      <c r="B596" s="3">
        <v>45728</v>
      </c>
      <c r="C596" t="s">
        <v>389</v>
      </c>
      <c r="D596" t="s">
        <v>244</v>
      </c>
      <c r="E596" t="s">
        <v>390</v>
      </c>
      <c r="F596" t="s">
        <v>116</v>
      </c>
      <c r="G596" t="s">
        <v>122</v>
      </c>
      <c r="H596" t="s">
        <v>89</v>
      </c>
      <c r="I596">
        <v>1</v>
      </c>
      <c r="J596" s="2">
        <v>247.8</v>
      </c>
      <c r="K596" s="4">
        <v>0.2</v>
      </c>
      <c r="L596" t="s">
        <v>369</v>
      </c>
      <c r="M596">
        <v>3</v>
      </c>
      <c r="N596" t="s">
        <v>91</v>
      </c>
    </row>
    <row r="597" spans="1:14">
      <c r="A597" t="s">
        <v>1037</v>
      </c>
      <c r="B597" s="3">
        <v>45756</v>
      </c>
      <c r="C597" t="s">
        <v>417</v>
      </c>
      <c r="D597" t="s">
        <v>181</v>
      </c>
      <c r="E597" t="s">
        <v>419</v>
      </c>
      <c r="F597" t="s">
        <v>111</v>
      </c>
      <c r="G597" t="s">
        <v>88</v>
      </c>
      <c r="H597" t="s">
        <v>89</v>
      </c>
      <c r="I597">
        <v>1</v>
      </c>
      <c r="J597" s="2">
        <v>347.2</v>
      </c>
      <c r="K597" s="4">
        <v>0.25</v>
      </c>
      <c r="L597" t="s">
        <v>441</v>
      </c>
      <c r="M597">
        <v>3</v>
      </c>
      <c r="N597" t="s">
        <v>91</v>
      </c>
    </row>
    <row r="598" spans="1:14">
      <c r="A598" t="s">
        <v>1038</v>
      </c>
      <c r="B598" s="3">
        <v>45936</v>
      </c>
      <c r="C598" t="s">
        <v>338</v>
      </c>
      <c r="D598" t="s">
        <v>143</v>
      </c>
      <c r="E598" t="s">
        <v>339</v>
      </c>
      <c r="F598" t="s">
        <v>145</v>
      </c>
      <c r="G598" t="s">
        <v>130</v>
      </c>
      <c r="H598" t="s">
        <v>97</v>
      </c>
      <c r="I598">
        <v>2</v>
      </c>
      <c r="J598" s="2">
        <v>269.25</v>
      </c>
      <c r="K598" s="4">
        <v>0.15</v>
      </c>
      <c r="L598" t="s">
        <v>106</v>
      </c>
      <c r="M598">
        <v>4</v>
      </c>
      <c r="N598" t="s">
        <v>91</v>
      </c>
    </row>
    <row r="599" spans="1:14">
      <c r="A599" t="s">
        <v>1039</v>
      </c>
      <c r="B599" s="3">
        <v>45831</v>
      </c>
      <c r="C599" t="s">
        <v>472</v>
      </c>
      <c r="D599" t="s">
        <v>109</v>
      </c>
      <c r="E599" t="s">
        <v>473</v>
      </c>
      <c r="F599" t="s">
        <v>145</v>
      </c>
      <c r="G599" t="s">
        <v>88</v>
      </c>
      <c r="H599" t="s">
        <v>89</v>
      </c>
      <c r="I599">
        <v>2</v>
      </c>
      <c r="J599" s="2">
        <v>203.99</v>
      </c>
      <c r="K599" s="4">
        <v>0</v>
      </c>
      <c r="L599" t="s">
        <v>106</v>
      </c>
      <c r="M599">
        <v>3</v>
      </c>
      <c r="N599" t="s">
        <v>91</v>
      </c>
    </row>
    <row r="600" spans="1:14">
      <c r="A600" t="s">
        <v>1040</v>
      </c>
      <c r="B600" s="3">
        <v>45842</v>
      </c>
      <c r="C600" t="s">
        <v>523</v>
      </c>
      <c r="D600" t="s">
        <v>194</v>
      </c>
      <c r="E600" t="s">
        <v>524</v>
      </c>
      <c r="F600" t="s">
        <v>87</v>
      </c>
      <c r="G600" t="s">
        <v>130</v>
      </c>
      <c r="H600" t="s">
        <v>89</v>
      </c>
      <c r="I600">
        <v>2</v>
      </c>
      <c r="J600" s="2">
        <v>212.05</v>
      </c>
      <c r="K600" s="4">
        <v>0</v>
      </c>
      <c r="L600" t="s">
        <v>106</v>
      </c>
      <c r="M600">
        <v>2</v>
      </c>
      <c r="N600" t="s">
        <v>91</v>
      </c>
    </row>
    <row r="601" spans="1:14">
      <c r="A601" t="s">
        <v>1041</v>
      </c>
      <c r="B601" s="3">
        <v>45949</v>
      </c>
      <c r="C601" t="s">
        <v>523</v>
      </c>
      <c r="D601" t="s">
        <v>255</v>
      </c>
      <c r="E601" t="s">
        <v>524</v>
      </c>
      <c r="F601" t="s">
        <v>116</v>
      </c>
      <c r="G601" t="s">
        <v>88</v>
      </c>
      <c r="H601" t="s">
        <v>89</v>
      </c>
      <c r="I601">
        <v>1</v>
      </c>
      <c r="J601" s="2">
        <v>228.4</v>
      </c>
      <c r="K601" s="4">
        <v>0.05</v>
      </c>
      <c r="L601" t="s">
        <v>98</v>
      </c>
      <c r="M601">
        <v>7</v>
      </c>
      <c r="N601" t="s">
        <v>91</v>
      </c>
    </row>
    <row r="602" spans="1:14">
      <c r="A602" t="s">
        <v>1042</v>
      </c>
      <c r="B602" s="3">
        <v>45679</v>
      </c>
      <c r="C602" t="s">
        <v>197</v>
      </c>
      <c r="D602" t="s">
        <v>85</v>
      </c>
      <c r="E602" t="s">
        <v>198</v>
      </c>
      <c r="F602" t="s">
        <v>145</v>
      </c>
      <c r="G602" t="s">
        <v>122</v>
      </c>
      <c r="H602" t="s">
        <v>89</v>
      </c>
      <c r="I602">
        <v>3</v>
      </c>
      <c r="J602" s="2">
        <v>308.48</v>
      </c>
      <c r="K602" s="4">
        <v>0.2</v>
      </c>
      <c r="L602" t="s">
        <v>98</v>
      </c>
      <c r="M602">
        <v>7</v>
      </c>
      <c r="N602" t="s">
        <v>91</v>
      </c>
    </row>
    <row r="603" spans="1:14">
      <c r="A603" t="s">
        <v>1043</v>
      </c>
      <c r="B603" s="3">
        <v>45816</v>
      </c>
      <c r="C603" t="s">
        <v>417</v>
      </c>
      <c r="D603" t="s">
        <v>114</v>
      </c>
      <c r="E603" t="s">
        <v>419</v>
      </c>
      <c r="F603" t="s">
        <v>103</v>
      </c>
      <c r="G603" t="s">
        <v>96</v>
      </c>
      <c r="H603" t="s">
        <v>97</v>
      </c>
      <c r="I603">
        <v>1</v>
      </c>
      <c r="J603" s="2">
        <v>137.82</v>
      </c>
      <c r="K603" s="4">
        <v>0.1</v>
      </c>
      <c r="L603" t="s">
        <v>90</v>
      </c>
      <c r="M603">
        <v>2</v>
      </c>
      <c r="N603" t="s">
        <v>91</v>
      </c>
    </row>
    <row r="604" spans="1:14">
      <c r="A604" t="s">
        <v>1044</v>
      </c>
      <c r="B604" s="3">
        <v>45957</v>
      </c>
      <c r="C604" t="s">
        <v>371</v>
      </c>
      <c r="D604" t="s">
        <v>277</v>
      </c>
      <c r="E604" t="s">
        <v>372</v>
      </c>
      <c r="F604" t="s">
        <v>103</v>
      </c>
      <c r="G604" t="s">
        <v>130</v>
      </c>
      <c r="H604" t="s">
        <v>308</v>
      </c>
      <c r="I604">
        <v>1</v>
      </c>
      <c r="J604" s="2">
        <v>355.43</v>
      </c>
      <c r="K604" s="4">
        <v>0.05</v>
      </c>
      <c r="L604" t="s">
        <v>90</v>
      </c>
      <c r="M604">
        <v>4</v>
      </c>
      <c r="N604" t="s">
        <v>91</v>
      </c>
    </row>
    <row r="605" spans="1:14">
      <c r="A605" t="s">
        <v>1045</v>
      </c>
      <c r="B605" s="3">
        <v>45899</v>
      </c>
      <c r="C605" t="s">
        <v>453</v>
      </c>
      <c r="D605" t="s">
        <v>469</v>
      </c>
      <c r="E605" t="s">
        <v>454</v>
      </c>
      <c r="F605" t="s">
        <v>111</v>
      </c>
      <c r="G605" t="s">
        <v>96</v>
      </c>
      <c r="H605" t="s">
        <v>97</v>
      </c>
      <c r="I605">
        <v>1</v>
      </c>
      <c r="J605" s="2">
        <v>83.52</v>
      </c>
      <c r="K605" s="4">
        <v>0.2</v>
      </c>
      <c r="L605" t="s">
        <v>98</v>
      </c>
      <c r="M605">
        <v>1</v>
      </c>
      <c r="N605" t="s">
        <v>91</v>
      </c>
    </row>
    <row r="606" spans="1:14">
      <c r="A606" t="s">
        <v>1046</v>
      </c>
      <c r="B606" s="3">
        <v>45688</v>
      </c>
      <c r="C606" t="s">
        <v>379</v>
      </c>
      <c r="D606" t="s">
        <v>194</v>
      </c>
      <c r="E606" t="s">
        <v>380</v>
      </c>
      <c r="F606" t="s">
        <v>111</v>
      </c>
      <c r="G606" t="s">
        <v>88</v>
      </c>
      <c r="H606" t="s">
        <v>97</v>
      </c>
      <c r="I606">
        <v>2</v>
      </c>
      <c r="J606" s="2">
        <v>207.51</v>
      </c>
      <c r="K606" s="4">
        <v>0</v>
      </c>
      <c r="L606" t="s">
        <v>154</v>
      </c>
      <c r="M606">
        <v>3</v>
      </c>
      <c r="N606" t="s">
        <v>91</v>
      </c>
    </row>
    <row r="607" spans="1:14">
      <c r="A607" t="s">
        <v>1047</v>
      </c>
      <c r="B607" s="3">
        <v>45904</v>
      </c>
      <c r="C607" t="s">
        <v>463</v>
      </c>
      <c r="D607" t="s">
        <v>165</v>
      </c>
      <c r="E607" t="s">
        <v>464</v>
      </c>
      <c r="F607" t="s">
        <v>111</v>
      </c>
      <c r="G607" t="s">
        <v>171</v>
      </c>
      <c r="H607" t="s">
        <v>89</v>
      </c>
      <c r="I607">
        <v>1</v>
      </c>
      <c r="J607" s="2">
        <v>106.45</v>
      </c>
      <c r="K607" s="4">
        <v>0.1</v>
      </c>
      <c r="L607" t="s">
        <v>106</v>
      </c>
      <c r="M607">
        <v>7</v>
      </c>
      <c r="N607" t="s">
        <v>91</v>
      </c>
    </row>
    <row r="608" spans="1:14">
      <c r="A608" t="s">
        <v>1048</v>
      </c>
      <c r="B608" s="3">
        <v>45801</v>
      </c>
      <c r="C608" t="s">
        <v>695</v>
      </c>
      <c r="D608" t="s">
        <v>221</v>
      </c>
      <c r="E608" t="s">
        <v>696</v>
      </c>
      <c r="F608" t="s">
        <v>116</v>
      </c>
      <c r="G608" t="s">
        <v>88</v>
      </c>
      <c r="H608" t="s">
        <v>89</v>
      </c>
      <c r="I608">
        <v>1</v>
      </c>
      <c r="J608" s="2">
        <v>31.95</v>
      </c>
      <c r="K608" s="4">
        <v>0.15</v>
      </c>
      <c r="L608" t="s">
        <v>106</v>
      </c>
      <c r="M608">
        <v>4</v>
      </c>
      <c r="N608" t="s">
        <v>91</v>
      </c>
    </row>
    <row r="609" spans="1:14">
      <c r="A609" t="s">
        <v>1049</v>
      </c>
      <c r="B609" s="3">
        <v>45965</v>
      </c>
      <c r="C609" t="s">
        <v>330</v>
      </c>
      <c r="D609" t="s">
        <v>125</v>
      </c>
      <c r="E609" t="s">
        <v>424</v>
      </c>
      <c r="F609" t="s">
        <v>116</v>
      </c>
      <c r="G609" t="s">
        <v>183</v>
      </c>
      <c r="H609" t="s">
        <v>89</v>
      </c>
      <c r="I609">
        <v>1</v>
      </c>
      <c r="J609" s="2">
        <v>54.15</v>
      </c>
      <c r="K609" s="4">
        <v>0</v>
      </c>
      <c r="L609" t="s">
        <v>106</v>
      </c>
      <c r="M609">
        <v>9</v>
      </c>
      <c r="N609" t="s">
        <v>91</v>
      </c>
    </row>
    <row r="610" spans="1:14">
      <c r="A610" t="s">
        <v>1050</v>
      </c>
      <c r="B610" s="3">
        <v>45971</v>
      </c>
      <c r="C610" t="s">
        <v>335</v>
      </c>
      <c r="D610" t="s">
        <v>143</v>
      </c>
      <c r="E610" t="s">
        <v>1051</v>
      </c>
      <c r="F610" t="s">
        <v>87</v>
      </c>
      <c r="G610" t="s">
        <v>183</v>
      </c>
      <c r="H610" t="s">
        <v>89</v>
      </c>
      <c r="I610">
        <v>1</v>
      </c>
      <c r="J610" s="2">
        <v>275.77999999999997</v>
      </c>
      <c r="K610" s="4">
        <v>0.05</v>
      </c>
      <c r="L610" t="s">
        <v>106</v>
      </c>
      <c r="M610">
        <v>4</v>
      </c>
      <c r="N610" t="s">
        <v>91</v>
      </c>
    </row>
    <row r="611" spans="1:14">
      <c r="A611" t="s">
        <v>1052</v>
      </c>
      <c r="B611" s="3">
        <v>45842</v>
      </c>
      <c r="C611" t="s">
        <v>257</v>
      </c>
      <c r="D611" t="s">
        <v>346</v>
      </c>
      <c r="E611" t="s">
        <v>258</v>
      </c>
      <c r="F611" t="s">
        <v>116</v>
      </c>
      <c r="G611" t="s">
        <v>122</v>
      </c>
      <c r="H611" t="s">
        <v>97</v>
      </c>
      <c r="I611">
        <v>1</v>
      </c>
      <c r="J611" s="2">
        <v>241.92</v>
      </c>
      <c r="K611" s="4">
        <v>0.1</v>
      </c>
      <c r="L611" t="s">
        <v>106</v>
      </c>
      <c r="M611">
        <v>0</v>
      </c>
      <c r="N611" t="s">
        <v>91</v>
      </c>
    </row>
    <row r="612" spans="1:14">
      <c r="A612" t="s">
        <v>1053</v>
      </c>
      <c r="B612" s="3">
        <v>45763</v>
      </c>
      <c r="C612" t="s">
        <v>613</v>
      </c>
      <c r="D612" t="s">
        <v>109</v>
      </c>
      <c r="E612" t="s">
        <v>614</v>
      </c>
      <c r="F612" t="s">
        <v>111</v>
      </c>
      <c r="G612" t="s">
        <v>104</v>
      </c>
      <c r="H612" t="s">
        <v>89</v>
      </c>
      <c r="I612">
        <v>2</v>
      </c>
      <c r="J612" s="2">
        <v>209.11</v>
      </c>
      <c r="K612" s="4">
        <v>0.05</v>
      </c>
      <c r="L612" t="s">
        <v>98</v>
      </c>
      <c r="M612">
        <v>8</v>
      </c>
      <c r="N612" t="s">
        <v>91</v>
      </c>
    </row>
    <row r="613" spans="1:14">
      <c r="A613" t="s">
        <v>1054</v>
      </c>
      <c r="B613" s="3">
        <v>45780</v>
      </c>
      <c r="C613" t="s">
        <v>273</v>
      </c>
      <c r="D613" t="s">
        <v>303</v>
      </c>
      <c r="E613" t="s">
        <v>274</v>
      </c>
      <c r="F613" t="s">
        <v>103</v>
      </c>
      <c r="G613" t="s">
        <v>117</v>
      </c>
      <c r="H613" t="s">
        <v>89</v>
      </c>
      <c r="I613">
        <v>1</v>
      </c>
      <c r="J613" s="2">
        <v>156.22</v>
      </c>
      <c r="K613" s="4">
        <v>0.25</v>
      </c>
      <c r="L613" t="s">
        <v>90</v>
      </c>
      <c r="M613">
        <v>8</v>
      </c>
      <c r="N613" t="s">
        <v>147</v>
      </c>
    </row>
    <row r="614" spans="1:14">
      <c r="A614" t="s">
        <v>1055</v>
      </c>
      <c r="B614" s="3">
        <v>45946</v>
      </c>
      <c r="C614" t="s">
        <v>209</v>
      </c>
      <c r="D614" t="s">
        <v>217</v>
      </c>
      <c r="E614" t="s">
        <v>211</v>
      </c>
      <c r="F614" t="s">
        <v>116</v>
      </c>
      <c r="G614" t="s">
        <v>104</v>
      </c>
      <c r="H614" t="s">
        <v>97</v>
      </c>
      <c r="I614">
        <v>4</v>
      </c>
      <c r="J614" s="2">
        <v>100.23</v>
      </c>
      <c r="K614" s="4">
        <v>0.05</v>
      </c>
      <c r="L614" t="s">
        <v>98</v>
      </c>
      <c r="M614">
        <v>0</v>
      </c>
      <c r="N614" t="s">
        <v>91</v>
      </c>
    </row>
    <row r="615" spans="1:14">
      <c r="A615" t="s">
        <v>1056</v>
      </c>
      <c r="B615" s="3">
        <v>45918</v>
      </c>
      <c r="C615" t="s">
        <v>216</v>
      </c>
      <c r="D615" t="s">
        <v>503</v>
      </c>
      <c r="E615" t="s">
        <v>218</v>
      </c>
      <c r="F615" t="s">
        <v>111</v>
      </c>
      <c r="G615" t="s">
        <v>96</v>
      </c>
      <c r="H615" t="s">
        <v>89</v>
      </c>
      <c r="I615">
        <v>1</v>
      </c>
      <c r="J615" s="2">
        <v>126.75</v>
      </c>
      <c r="K615" s="4">
        <v>0</v>
      </c>
      <c r="L615" t="s">
        <v>90</v>
      </c>
      <c r="M615">
        <v>6</v>
      </c>
      <c r="N615" t="s">
        <v>91</v>
      </c>
    </row>
    <row r="616" spans="1:14">
      <c r="A616" t="s">
        <v>1057</v>
      </c>
      <c r="B616" s="3">
        <v>45728</v>
      </c>
      <c r="C616" t="s">
        <v>379</v>
      </c>
      <c r="D616" t="s">
        <v>190</v>
      </c>
      <c r="E616" t="s">
        <v>380</v>
      </c>
      <c r="F616" t="s">
        <v>111</v>
      </c>
      <c r="G616" t="s">
        <v>117</v>
      </c>
      <c r="H616" t="s">
        <v>97</v>
      </c>
      <c r="I616">
        <v>1</v>
      </c>
      <c r="J616" s="2">
        <v>286.02</v>
      </c>
      <c r="K616" s="4">
        <v>0.25</v>
      </c>
      <c r="L616" t="s">
        <v>106</v>
      </c>
      <c r="M616">
        <v>0</v>
      </c>
      <c r="N616" t="s">
        <v>91</v>
      </c>
    </row>
    <row r="617" spans="1:14">
      <c r="A617" t="s">
        <v>1058</v>
      </c>
      <c r="B617" s="3">
        <v>45837</v>
      </c>
      <c r="C617" t="s">
        <v>371</v>
      </c>
      <c r="D617" t="s">
        <v>418</v>
      </c>
      <c r="E617" t="s">
        <v>372</v>
      </c>
      <c r="F617" t="s">
        <v>111</v>
      </c>
      <c r="G617" t="s">
        <v>104</v>
      </c>
      <c r="H617" t="s">
        <v>97</v>
      </c>
      <c r="I617">
        <v>5</v>
      </c>
      <c r="J617" s="2">
        <v>374.98</v>
      </c>
      <c r="K617" s="4">
        <v>0.15</v>
      </c>
      <c r="L617" t="s">
        <v>353</v>
      </c>
      <c r="M617">
        <v>4</v>
      </c>
      <c r="N617" t="s">
        <v>91</v>
      </c>
    </row>
    <row r="618" spans="1:14">
      <c r="A618" t="s">
        <v>1059</v>
      </c>
      <c r="B618" s="3">
        <v>45986</v>
      </c>
      <c r="C618" t="s">
        <v>156</v>
      </c>
      <c r="D618" t="s">
        <v>277</v>
      </c>
      <c r="E618" t="s">
        <v>158</v>
      </c>
      <c r="F618" t="s">
        <v>87</v>
      </c>
      <c r="G618" t="s">
        <v>96</v>
      </c>
      <c r="H618" t="s">
        <v>97</v>
      </c>
      <c r="I618">
        <v>2</v>
      </c>
      <c r="J618" s="2">
        <v>375.13</v>
      </c>
      <c r="K618" s="4">
        <v>0.1</v>
      </c>
      <c r="L618" t="s">
        <v>106</v>
      </c>
      <c r="M618">
        <v>1</v>
      </c>
      <c r="N618" t="s">
        <v>91</v>
      </c>
    </row>
    <row r="619" spans="1:14">
      <c r="A619" t="s">
        <v>1060</v>
      </c>
      <c r="B619" s="3">
        <v>45938</v>
      </c>
      <c r="C619" t="s">
        <v>84</v>
      </c>
      <c r="D619" t="s">
        <v>109</v>
      </c>
      <c r="E619" t="s">
        <v>86</v>
      </c>
      <c r="F619" t="s">
        <v>111</v>
      </c>
      <c r="G619" t="s">
        <v>88</v>
      </c>
      <c r="H619" t="s">
        <v>89</v>
      </c>
      <c r="I619">
        <v>2</v>
      </c>
      <c r="J619" s="2">
        <v>198.16</v>
      </c>
      <c r="K619" s="4">
        <v>0.25</v>
      </c>
      <c r="L619" t="s">
        <v>106</v>
      </c>
      <c r="M619">
        <v>1</v>
      </c>
      <c r="N619" t="s">
        <v>91</v>
      </c>
    </row>
    <row r="620" spans="1:14">
      <c r="A620" t="s">
        <v>1061</v>
      </c>
      <c r="B620" s="3">
        <v>45725</v>
      </c>
      <c r="C620" t="s">
        <v>164</v>
      </c>
      <c r="D620" t="s">
        <v>252</v>
      </c>
      <c r="E620" t="s">
        <v>166</v>
      </c>
      <c r="F620" t="s">
        <v>145</v>
      </c>
      <c r="G620" t="s">
        <v>88</v>
      </c>
      <c r="H620" t="s">
        <v>97</v>
      </c>
      <c r="I620">
        <v>1</v>
      </c>
      <c r="J620" s="2">
        <v>262.02999999999997</v>
      </c>
      <c r="K620" s="4">
        <v>0.2</v>
      </c>
      <c r="L620" t="s">
        <v>98</v>
      </c>
      <c r="M620">
        <v>3</v>
      </c>
      <c r="N620" t="s">
        <v>91</v>
      </c>
    </row>
    <row r="621" spans="1:14">
      <c r="A621" t="s">
        <v>1062</v>
      </c>
      <c r="B621" s="3">
        <v>45676</v>
      </c>
      <c r="C621" t="s">
        <v>343</v>
      </c>
      <c r="D621" t="s">
        <v>210</v>
      </c>
      <c r="E621" t="s">
        <v>344</v>
      </c>
      <c r="F621" t="s">
        <v>87</v>
      </c>
      <c r="G621" t="s">
        <v>96</v>
      </c>
      <c r="H621" t="s">
        <v>89</v>
      </c>
      <c r="I621">
        <v>4</v>
      </c>
      <c r="J621" s="2">
        <v>302</v>
      </c>
      <c r="K621" s="4">
        <v>0.05</v>
      </c>
      <c r="L621" t="s">
        <v>90</v>
      </c>
      <c r="M621">
        <v>6</v>
      </c>
      <c r="N621" t="s">
        <v>91</v>
      </c>
    </row>
    <row r="622" spans="1:14">
      <c r="A622" t="s">
        <v>1063</v>
      </c>
      <c r="B622" s="3">
        <v>45827</v>
      </c>
      <c r="C622" t="s">
        <v>220</v>
      </c>
      <c r="D622" t="s">
        <v>221</v>
      </c>
      <c r="E622" t="s">
        <v>222</v>
      </c>
      <c r="F622" t="s">
        <v>103</v>
      </c>
      <c r="G622" t="s">
        <v>130</v>
      </c>
      <c r="H622" t="s">
        <v>105</v>
      </c>
      <c r="I622">
        <v>2</v>
      </c>
      <c r="J622" s="2">
        <v>28.79</v>
      </c>
      <c r="K622" s="4">
        <v>0.05</v>
      </c>
      <c r="L622" t="s">
        <v>90</v>
      </c>
      <c r="M622">
        <v>4</v>
      </c>
      <c r="N622" t="s">
        <v>91</v>
      </c>
    </row>
    <row r="623" spans="1:14">
      <c r="A623" t="s">
        <v>1064</v>
      </c>
      <c r="B623" s="3">
        <v>45749</v>
      </c>
      <c r="C623" t="s">
        <v>414</v>
      </c>
      <c r="D623" t="s">
        <v>418</v>
      </c>
      <c r="E623" t="s">
        <v>415</v>
      </c>
      <c r="F623" t="s">
        <v>103</v>
      </c>
      <c r="G623" t="s">
        <v>88</v>
      </c>
      <c r="H623" t="s">
        <v>105</v>
      </c>
      <c r="I623">
        <v>1</v>
      </c>
      <c r="J623" s="2">
        <v>342.07</v>
      </c>
      <c r="K623" s="4">
        <v>0.05</v>
      </c>
      <c r="L623" t="s">
        <v>106</v>
      </c>
      <c r="M623">
        <v>9</v>
      </c>
      <c r="N623" t="s">
        <v>91</v>
      </c>
    </row>
    <row r="624" spans="1:14">
      <c r="A624" t="s">
        <v>1065</v>
      </c>
      <c r="B624" s="3">
        <v>46010</v>
      </c>
      <c r="C624" t="s">
        <v>216</v>
      </c>
      <c r="D624" t="s">
        <v>174</v>
      </c>
      <c r="E624" t="s">
        <v>218</v>
      </c>
      <c r="F624" t="s">
        <v>87</v>
      </c>
      <c r="G624" t="s">
        <v>96</v>
      </c>
      <c r="H624" t="s">
        <v>89</v>
      </c>
      <c r="I624">
        <v>2</v>
      </c>
      <c r="J624" s="2">
        <v>38.06</v>
      </c>
      <c r="K624" s="4">
        <v>0</v>
      </c>
      <c r="L624" t="s">
        <v>146</v>
      </c>
      <c r="M624">
        <v>5</v>
      </c>
      <c r="N624" t="s">
        <v>91</v>
      </c>
    </row>
    <row r="625" spans="1:14">
      <c r="A625" t="s">
        <v>1066</v>
      </c>
      <c r="B625" s="3">
        <v>45662</v>
      </c>
      <c r="C625" t="s">
        <v>156</v>
      </c>
      <c r="D625" t="s">
        <v>136</v>
      </c>
      <c r="E625" t="s">
        <v>973</v>
      </c>
      <c r="F625" t="s">
        <v>145</v>
      </c>
      <c r="G625" t="s">
        <v>104</v>
      </c>
      <c r="H625" t="s">
        <v>97</v>
      </c>
      <c r="I625">
        <v>4</v>
      </c>
      <c r="J625" s="2">
        <v>155.75</v>
      </c>
      <c r="K625" s="4">
        <v>0.1</v>
      </c>
      <c r="L625" t="s">
        <v>106</v>
      </c>
      <c r="M625">
        <v>1</v>
      </c>
      <c r="N625" t="s">
        <v>91</v>
      </c>
    </row>
    <row r="626" spans="1:14">
      <c r="A626" t="s">
        <v>1067</v>
      </c>
      <c r="B626" s="3">
        <v>45786</v>
      </c>
      <c r="C626" t="s">
        <v>466</v>
      </c>
      <c r="D626" t="s">
        <v>738</v>
      </c>
      <c r="E626" t="s">
        <v>467</v>
      </c>
      <c r="F626" t="s">
        <v>111</v>
      </c>
      <c r="G626" t="s">
        <v>130</v>
      </c>
      <c r="H626" t="s">
        <v>89</v>
      </c>
      <c r="I626">
        <v>4</v>
      </c>
      <c r="J626" s="2">
        <v>319.06</v>
      </c>
      <c r="K626" s="4">
        <v>0.1</v>
      </c>
      <c r="L626" t="s">
        <v>106</v>
      </c>
      <c r="M626">
        <v>2</v>
      </c>
      <c r="N626" t="s">
        <v>91</v>
      </c>
    </row>
    <row r="627" spans="1:14">
      <c r="A627" t="s">
        <v>1068</v>
      </c>
      <c r="B627" s="3">
        <v>45893</v>
      </c>
      <c r="C627" t="s">
        <v>564</v>
      </c>
      <c r="D627" t="s">
        <v>190</v>
      </c>
      <c r="E627" t="s">
        <v>1069</v>
      </c>
      <c r="F627" t="s">
        <v>111</v>
      </c>
      <c r="G627" t="s">
        <v>122</v>
      </c>
      <c r="H627" t="s">
        <v>89</v>
      </c>
      <c r="I627">
        <v>2</v>
      </c>
      <c r="J627" s="2">
        <v>296.08</v>
      </c>
      <c r="K627" s="4">
        <v>0</v>
      </c>
      <c r="L627" t="s">
        <v>441</v>
      </c>
      <c r="M627">
        <v>1</v>
      </c>
      <c r="N627" t="s">
        <v>91</v>
      </c>
    </row>
    <row r="628" spans="1:14">
      <c r="A628" t="s">
        <v>1070</v>
      </c>
      <c r="B628" s="3">
        <v>45780</v>
      </c>
      <c r="C628" t="s">
        <v>613</v>
      </c>
      <c r="D628" t="s">
        <v>277</v>
      </c>
      <c r="E628" t="s">
        <v>710</v>
      </c>
      <c r="F628" t="s">
        <v>103</v>
      </c>
      <c r="G628" t="s">
        <v>130</v>
      </c>
      <c r="H628" t="s">
        <v>246</v>
      </c>
      <c r="I628">
        <v>1</v>
      </c>
      <c r="J628" s="2">
        <v>376.61</v>
      </c>
      <c r="K628" s="4">
        <v>0.05</v>
      </c>
      <c r="L628" t="s">
        <v>98</v>
      </c>
      <c r="M628">
        <v>1</v>
      </c>
      <c r="N628" t="s">
        <v>91</v>
      </c>
    </row>
    <row r="629" spans="1:14">
      <c r="A629" t="s">
        <v>1071</v>
      </c>
      <c r="B629" s="3">
        <v>45791</v>
      </c>
      <c r="C629" t="s">
        <v>438</v>
      </c>
      <c r="D629" t="s">
        <v>231</v>
      </c>
      <c r="E629" t="s">
        <v>439</v>
      </c>
      <c r="F629" t="s">
        <v>103</v>
      </c>
      <c r="G629" t="s">
        <v>117</v>
      </c>
      <c r="H629" t="s">
        <v>97</v>
      </c>
      <c r="I629">
        <v>2</v>
      </c>
      <c r="J629" s="2">
        <v>364.47</v>
      </c>
      <c r="K629" s="4">
        <v>0.25</v>
      </c>
      <c r="L629" t="s">
        <v>106</v>
      </c>
      <c r="M629">
        <v>4</v>
      </c>
      <c r="N629" t="s">
        <v>91</v>
      </c>
    </row>
    <row r="630" spans="1:14">
      <c r="A630" t="s">
        <v>1072</v>
      </c>
      <c r="B630" s="3">
        <v>45749</v>
      </c>
      <c r="C630" t="s">
        <v>113</v>
      </c>
      <c r="D630" t="s">
        <v>157</v>
      </c>
      <c r="E630" t="s">
        <v>1073</v>
      </c>
      <c r="F630" t="s">
        <v>145</v>
      </c>
      <c r="G630" t="s">
        <v>104</v>
      </c>
      <c r="H630" t="s">
        <v>89</v>
      </c>
      <c r="I630">
        <v>2</v>
      </c>
      <c r="J630" s="2">
        <v>309.31</v>
      </c>
      <c r="K630" s="4">
        <v>0.2</v>
      </c>
      <c r="L630" t="s">
        <v>90</v>
      </c>
      <c r="M630">
        <v>1</v>
      </c>
      <c r="N630" t="s">
        <v>91</v>
      </c>
    </row>
    <row r="631" spans="1:14">
      <c r="A631" t="s">
        <v>1074</v>
      </c>
      <c r="B631" s="3">
        <v>45953</v>
      </c>
      <c r="C631" t="s">
        <v>335</v>
      </c>
      <c r="D631" t="s">
        <v>231</v>
      </c>
      <c r="E631" t="s">
        <v>336</v>
      </c>
      <c r="F631" t="s">
        <v>87</v>
      </c>
      <c r="G631" t="s">
        <v>122</v>
      </c>
      <c r="H631" t="s">
        <v>89</v>
      </c>
      <c r="I631">
        <v>1</v>
      </c>
      <c r="J631" s="2">
        <v>370.32</v>
      </c>
      <c r="K631" s="4">
        <v>0</v>
      </c>
      <c r="L631" t="s">
        <v>98</v>
      </c>
      <c r="M631">
        <v>5</v>
      </c>
      <c r="N631" t="s">
        <v>91</v>
      </c>
    </row>
    <row r="632" spans="1:14">
      <c r="A632" t="s">
        <v>1075</v>
      </c>
      <c r="B632" s="3">
        <v>45698</v>
      </c>
      <c r="C632" t="s">
        <v>142</v>
      </c>
      <c r="D632" t="s">
        <v>157</v>
      </c>
      <c r="E632" t="s">
        <v>144</v>
      </c>
      <c r="F632" t="s">
        <v>87</v>
      </c>
      <c r="G632" t="s">
        <v>122</v>
      </c>
      <c r="H632" t="s">
        <v>97</v>
      </c>
      <c r="I632">
        <v>1</v>
      </c>
      <c r="J632" s="2">
        <v>295.52</v>
      </c>
      <c r="K632" s="4">
        <v>0</v>
      </c>
      <c r="L632" t="s">
        <v>98</v>
      </c>
      <c r="M632">
        <v>3</v>
      </c>
      <c r="N632" t="s">
        <v>91</v>
      </c>
    </row>
    <row r="633" spans="1:14">
      <c r="A633" t="s">
        <v>1076</v>
      </c>
      <c r="B633" s="3">
        <v>45955</v>
      </c>
      <c r="C633" t="s">
        <v>313</v>
      </c>
      <c r="D633" t="s">
        <v>149</v>
      </c>
      <c r="E633" t="s">
        <v>314</v>
      </c>
      <c r="F633" t="s">
        <v>103</v>
      </c>
      <c r="G633" t="s">
        <v>122</v>
      </c>
      <c r="H633" t="s">
        <v>246</v>
      </c>
      <c r="I633">
        <v>2</v>
      </c>
      <c r="J633" s="2">
        <v>83.8</v>
      </c>
      <c r="K633" s="4">
        <v>0.05</v>
      </c>
      <c r="L633" t="s">
        <v>106</v>
      </c>
      <c r="M633">
        <v>3</v>
      </c>
      <c r="N633" t="s">
        <v>91</v>
      </c>
    </row>
    <row r="634" spans="1:14">
      <c r="A634" t="s">
        <v>1077</v>
      </c>
      <c r="B634" s="3">
        <v>45660</v>
      </c>
      <c r="C634" t="s">
        <v>406</v>
      </c>
      <c r="D634" t="s">
        <v>252</v>
      </c>
      <c r="E634" t="s">
        <v>1078</v>
      </c>
      <c r="F634" t="s">
        <v>116</v>
      </c>
      <c r="G634" t="s">
        <v>104</v>
      </c>
      <c r="H634" t="s">
        <v>308</v>
      </c>
      <c r="I634">
        <v>1</v>
      </c>
      <c r="J634" s="2">
        <v>258</v>
      </c>
      <c r="K634" s="4">
        <v>0.2</v>
      </c>
      <c r="L634" t="s">
        <v>106</v>
      </c>
      <c r="M634">
        <v>8</v>
      </c>
      <c r="N634" t="s">
        <v>91</v>
      </c>
    </row>
    <row r="635" spans="1:14">
      <c r="A635" t="s">
        <v>1079</v>
      </c>
      <c r="B635" s="3">
        <v>45871</v>
      </c>
      <c r="C635" t="s">
        <v>613</v>
      </c>
      <c r="D635" t="s">
        <v>346</v>
      </c>
      <c r="E635" t="s">
        <v>710</v>
      </c>
      <c r="F635" t="s">
        <v>111</v>
      </c>
      <c r="G635" t="s">
        <v>104</v>
      </c>
      <c r="H635" t="s">
        <v>89</v>
      </c>
      <c r="I635">
        <v>1</v>
      </c>
      <c r="J635" s="2">
        <v>247.09</v>
      </c>
      <c r="K635" s="4">
        <v>0.1</v>
      </c>
      <c r="L635" t="s">
        <v>106</v>
      </c>
      <c r="M635">
        <v>4</v>
      </c>
      <c r="N635" t="s">
        <v>91</v>
      </c>
    </row>
    <row r="636" spans="1:14">
      <c r="A636" t="s">
        <v>1080</v>
      </c>
      <c r="B636" s="3">
        <v>45884</v>
      </c>
      <c r="C636" t="s">
        <v>132</v>
      </c>
      <c r="D636" t="s">
        <v>194</v>
      </c>
      <c r="E636" t="s">
        <v>1081</v>
      </c>
      <c r="F636" t="s">
        <v>116</v>
      </c>
      <c r="G636" t="s">
        <v>96</v>
      </c>
      <c r="H636" t="s">
        <v>89</v>
      </c>
      <c r="I636">
        <v>3</v>
      </c>
      <c r="J636" s="2">
        <v>212.15</v>
      </c>
      <c r="K636" s="4">
        <v>0.05</v>
      </c>
      <c r="L636" t="s">
        <v>106</v>
      </c>
      <c r="M636">
        <v>1</v>
      </c>
      <c r="N636" t="s">
        <v>91</v>
      </c>
    </row>
    <row r="637" spans="1:14">
      <c r="A637" t="s">
        <v>1082</v>
      </c>
      <c r="B637" s="3">
        <v>45853</v>
      </c>
      <c r="C637" t="s">
        <v>494</v>
      </c>
      <c r="D637" t="s">
        <v>152</v>
      </c>
      <c r="E637" t="s">
        <v>495</v>
      </c>
      <c r="F637" t="s">
        <v>103</v>
      </c>
      <c r="G637" t="s">
        <v>171</v>
      </c>
      <c r="H637" t="s">
        <v>228</v>
      </c>
      <c r="I637">
        <v>1</v>
      </c>
      <c r="J637" s="2">
        <v>139.57</v>
      </c>
      <c r="K637" s="4">
        <v>0.25</v>
      </c>
      <c r="L637" t="s">
        <v>106</v>
      </c>
      <c r="M637">
        <v>7</v>
      </c>
      <c r="N637" t="s">
        <v>91</v>
      </c>
    </row>
    <row r="638" spans="1:14">
      <c r="A638" t="s">
        <v>1083</v>
      </c>
      <c r="B638" s="3">
        <v>45946</v>
      </c>
      <c r="C638" t="s">
        <v>371</v>
      </c>
      <c r="D638" t="s">
        <v>152</v>
      </c>
      <c r="E638" t="s">
        <v>372</v>
      </c>
      <c r="F638" t="s">
        <v>111</v>
      </c>
      <c r="G638" t="s">
        <v>122</v>
      </c>
      <c r="H638" t="s">
        <v>89</v>
      </c>
      <c r="I638">
        <v>3</v>
      </c>
      <c r="J638" s="2">
        <v>138.75</v>
      </c>
      <c r="K638" s="4">
        <v>0.25</v>
      </c>
      <c r="L638" t="s">
        <v>106</v>
      </c>
      <c r="M638">
        <v>8</v>
      </c>
      <c r="N638" t="s">
        <v>147</v>
      </c>
    </row>
    <row r="639" spans="1:14">
      <c r="A639" t="s">
        <v>1084</v>
      </c>
      <c r="B639" s="3">
        <v>45898</v>
      </c>
      <c r="C639" t="s">
        <v>497</v>
      </c>
      <c r="D639" t="s">
        <v>133</v>
      </c>
      <c r="E639" t="s">
        <v>498</v>
      </c>
      <c r="F639" t="s">
        <v>87</v>
      </c>
      <c r="G639" t="s">
        <v>171</v>
      </c>
      <c r="H639" t="s">
        <v>89</v>
      </c>
      <c r="I639">
        <v>4</v>
      </c>
      <c r="J639" s="2">
        <v>346.87</v>
      </c>
      <c r="K639" s="4">
        <v>0.05</v>
      </c>
      <c r="L639" t="s">
        <v>106</v>
      </c>
      <c r="M639">
        <v>2</v>
      </c>
      <c r="N639" t="s">
        <v>91</v>
      </c>
    </row>
    <row r="640" spans="1:14">
      <c r="A640" t="s">
        <v>1085</v>
      </c>
      <c r="B640" s="3">
        <v>45997</v>
      </c>
      <c r="C640" t="s">
        <v>653</v>
      </c>
      <c r="D640" t="s">
        <v>101</v>
      </c>
      <c r="E640" t="s">
        <v>654</v>
      </c>
      <c r="F640" t="s">
        <v>111</v>
      </c>
      <c r="G640" t="s">
        <v>171</v>
      </c>
      <c r="H640" t="s">
        <v>89</v>
      </c>
      <c r="I640">
        <v>3</v>
      </c>
      <c r="J640" s="2">
        <v>312.94</v>
      </c>
      <c r="K640" s="4">
        <v>0.1</v>
      </c>
      <c r="L640" t="s">
        <v>98</v>
      </c>
      <c r="M640">
        <v>1</v>
      </c>
      <c r="N640" t="s">
        <v>91</v>
      </c>
    </row>
    <row r="641" spans="1:14">
      <c r="A641" t="s">
        <v>1086</v>
      </c>
      <c r="B641" s="3">
        <v>45754</v>
      </c>
      <c r="C641" t="s">
        <v>151</v>
      </c>
      <c r="D641" t="s">
        <v>226</v>
      </c>
      <c r="E641" t="s">
        <v>153</v>
      </c>
      <c r="F641" t="s">
        <v>87</v>
      </c>
      <c r="G641" t="s">
        <v>88</v>
      </c>
      <c r="H641" t="s">
        <v>97</v>
      </c>
      <c r="I641">
        <v>2</v>
      </c>
      <c r="J641" s="2">
        <v>215.98</v>
      </c>
      <c r="K641" s="4">
        <v>0.05</v>
      </c>
      <c r="L641" t="s">
        <v>90</v>
      </c>
      <c r="M641">
        <v>4</v>
      </c>
      <c r="N641" t="s">
        <v>91</v>
      </c>
    </row>
    <row r="642" spans="1:14">
      <c r="A642" t="s">
        <v>1087</v>
      </c>
      <c r="B642" s="3">
        <v>45684</v>
      </c>
      <c r="C642" t="s">
        <v>675</v>
      </c>
      <c r="D642" t="s">
        <v>231</v>
      </c>
      <c r="E642" t="s">
        <v>676</v>
      </c>
      <c r="F642" t="s">
        <v>145</v>
      </c>
      <c r="G642" t="s">
        <v>130</v>
      </c>
      <c r="H642" t="s">
        <v>97</v>
      </c>
      <c r="I642">
        <v>3</v>
      </c>
      <c r="J642" s="2">
        <v>366.11</v>
      </c>
      <c r="K642" s="4">
        <v>0</v>
      </c>
      <c r="L642" t="s">
        <v>106</v>
      </c>
      <c r="M642">
        <v>4</v>
      </c>
      <c r="N642" t="s">
        <v>91</v>
      </c>
    </row>
    <row r="643" spans="1:14">
      <c r="A643" t="s">
        <v>1088</v>
      </c>
      <c r="B643" s="3">
        <v>45703</v>
      </c>
      <c r="C643" t="s">
        <v>487</v>
      </c>
      <c r="D643" t="s">
        <v>503</v>
      </c>
      <c r="E643" t="s">
        <v>806</v>
      </c>
      <c r="F643" t="s">
        <v>116</v>
      </c>
      <c r="G643" t="s">
        <v>117</v>
      </c>
      <c r="H643" t="s">
        <v>97</v>
      </c>
      <c r="I643">
        <v>1</v>
      </c>
      <c r="J643" s="2">
        <v>122.63</v>
      </c>
      <c r="K643" s="4">
        <v>0</v>
      </c>
      <c r="L643" t="s">
        <v>106</v>
      </c>
      <c r="M643">
        <v>4</v>
      </c>
      <c r="N643" t="s">
        <v>91</v>
      </c>
    </row>
    <row r="644" spans="1:14">
      <c r="A644" t="s">
        <v>1089</v>
      </c>
      <c r="B644" s="3">
        <v>46005</v>
      </c>
      <c r="C644" t="s">
        <v>236</v>
      </c>
      <c r="D644" t="s">
        <v>277</v>
      </c>
      <c r="E644" t="s">
        <v>1090</v>
      </c>
      <c r="F644" t="s">
        <v>111</v>
      </c>
      <c r="G644" t="s">
        <v>104</v>
      </c>
      <c r="H644" t="s">
        <v>89</v>
      </c>
      <c r="I644">
        <v>1</v>
      </c>
      <c r="J644" s="2">
        <v>379.66</v>
      </c>
      <c r="K644" s="4">
        <v>0</v>
      </c>
      <c r="L644" t="s">
        <v>90</v>
      </c>
      <c r="M644">
        <v>5</v>
      </c>
      <c r="N644" t="s">
        <v>91</v>
      </c>
    </row>
    <row r="645" spans="1:14">
      <c r="A645" t="s">
        <v>1091</v>
      </c>
      <c r="B645" s="3">
        <v>45685</v>
      </c>
      <c r="C645" t="s">
        <v>543</v>
      </c>
      <c r="D645" t="s">
        <v>136</v>
      </c>
      <c r="E645" t="s">
        <v>589</v>
      </c>
      <c r="F645" t="s">
        <v>116</v>
      </c>
      <c r="G645" t="s">
        <v>96</v>
      </c>
      <c r="H645" t="s">
        <v>89</v>
      </c>
      <c r="I645">
        <v>2</v>
      </c>
      <c r="J645" s="2">
        <v>164.07</v>
      </c>
      <c r="K645" s="4">
        <v>0</v>
      </c>
      <c r="L645" t="s">
        <v>106</v>
      </c>
      <c r="M645">
        <v>5</v>
      </c>
      <c r="N645" t="s">
        <v>91</v>
      </c>
    </row>
    <row r="646" spans="1:14">
      <c r="A646" t="s">
        <v>1092</v>
      </c>
      <c r="B646" s="3">
        <v>45817</v>
      </c>
      <c r="C646" t="s">
        <v>220</v>
      </c>
      <c r="D646" t="s">
        <v>109</v>
      </c>
      <c r="E646" t="s">
        <v>222</v>
      </c>
      <c r="F646" t="s">
        <v>103</v>
      </c>
      <c r="G646" t="s">
        <v>122</v>
      </c>
      <c r="H646" t="s">
        <v>89</v>
      </c>
      <c r="I646">
        <v>3</v>
      </c>
      <c r="J646" s="2">
        <v>205.35</v>
      </c>
      <c r="K646" s="4">
        <v>0.1</v>
      </c>
      <c r="L646" t="s">
        <v>106</v>
      </c>
      <c r="M646">
        <v>6</v>
      </c>
      <c r="N646" t="s">
        <v>91</v>
      </c>
    </row>
    <row r="647" spans="1:14">
      <c r="A647" t="s">
        <v>1093</v>
      </c>
      <c r="B647" s="3">
        <v>45906</v>
      </c>
      <c r="C647" t="s">
        <v>93</v>
      </c>
      <c r="D647" t="s">
        <v>136</v>
      </c>
      <c r="E647" t="s">
        <v>95</v>
      </c>
      <c r="F647" t="s">
        <v>103</v>
      </c>
      <c r="G647" t="s">
        <v>96</v>
      </c>
      <c r="H647" t="s">
        <v>89</v>
      </c>
      <c r="I647">
        <v>2</v>
      </c>
      <c r="J647" s="2">
        <v>163.54</v>
      </c>
      <c r="K647" s="4">
        <v>0.1</v>
      </c>
      <c r="L647" t="s">
        <v>98</v>
      </c>
      <c r="M647">
        <v>4</v>
      </c>
      <c r="N647" t="s">
        <v>91</v>
      </c>
    </row>
    <row r="648" spans="1:14">
      <c r="A648" t="s">
        <v>1094</v>
      </c>
      <c r="B648" s="3">
        <v>45912</v>
      </c>
      <c r="C648" t="s">
        <v>124</v>
      </c>
      <c r="D648" t="s">
        <v>323</v>
      </c>
      <c r="E648" t="s">
        <v>1095</v>
      </c>
      <c r="F648" t="s">
        <v>145</v>
      </c>
      <c r="G648" t="s">
        <v>183</v>
      </c>
      <c r="H648" t="s">
        <v>246</v>
      </c>
      <c r="I648">
        <v>2</v>
      </c>
      <c r="J648" s="2">
        <v>323.04000000000002</v>
      </c>
      <c r="K648" s="4">
        <v>0.05</v>
      </c>
      <c r="L648" t="s">
        <v>98</v>
      </c>
      <c r="M648">
        <v>1</v>
      </c>
      <c r="N648" t="s">
        <v>91</v>
      </c>
    </row>
    <row r="649" spans="1:14">
      <c r="A649" t="s">
        <v>1096</v>
      </c>
      <c r="B649" s="3">
        <v>45787</v>
      </c>
      <c r="C649" t="s">
        <v>427</v>
      </c>
      <c r="D649" t="s">
        <v>133</v>
      </c>
      <c r="E649" t="s">
        <v>428</v>
      </c>
      <c r="F649" t="s">
        <v>103</v>
      </c>
      <c r="G649" t="s">
        <v>88</v>
      </c>
      <c r="H649" t="s">
        <v>89</v>
      </c>
      <c r="I649">
        <v>2</v>
      </c>
      <c r="J649" s="2">
        <v>336.56</v>
      </c>
      <c r="K649" s="4">
        <v>0.25</v>
      </c>
      <c r="L649" t="s">
        <v>154</v>
      </c>
      <c r="M649">
        <v>6</v>
      </c>
      <c r="N649" t="s">
        <v>91</v>
      </c>
    </row>
    <row r="650" spans="1:14">
      <c r="A650" t="s">
        <v>1097</v>
      </c>
      <c r="B650" s="3">
        <v>46006</v>
      </c>
      <c r="C650" t="s">
        <v>463</v>
      </c>
      <c r="D650" t="s">
        <v>261</v>
      </c>
      <c r="E650" t="s">
        <v>464</v>
      </c>
      <c r="F650" t="s">
        <v>116</v>
      </c>
      <c r="G650" t="s">
        <v>171</v>
      </c>
      <c r="H650" t="s">
        <v>89</v>
      </c>
      <c r="I650">
        <v>2</v>
      </c>
      <c r="J650" s="2">
        <v>263.13</v>
      </c>
      <c r="K650" s="4">
        <v>0</v>
      </c>
      <c r="L650" t="s">
        <v>106</v>
      </c>
      <c r="M650">
        <v>4</v>
      </c>
      <c r="N650" t="s">
        <v>91</v>
      </c>
    </row>
    <row r="651" spans="1:14">
      <c r="A651" t="s">
        <v>1098</v>
      </c>
      <c r="B651" s="3">
        <v>45753</v>
      </c>
      <c r="C651" t="s">
        <v>538</v>
      </c>
      <c r="D651" t="s">
        <v>503</v>
      </c>
      <c r="E651" t="s">
        <v>1099</v>
      </c>
      <c r="F651" t="s">
        <v>87</v>
      </c>
      <c r="G651" t="s">
        <v>171</v>
      </c>
      <c r="H651" t="s">
        <v>89</v>
      </c>
      <c r="I651">
        <v>1</v>
      </c>
      <c r="J651" s="2">
        <v>117.96</v>
      </c>
      <c r="K651" s="4">
        <v>0</v>
      </c>
      <c r="L651" t="s">
        <v>106</v>
      </c>
      <c r="M651">
        <v>4</v>
      </c>
      <c r="N651" t="s">
        <v>91</v>
      </c>
    </row>
    <row r="652" spans="1:14">
      <c r="A652" t="s">
        <v>1100</v>
      </c>
      <c r="B652" s="3">
        <v>45694</v>
      </c>
      <c r="C652" t="s">
        <v>675</v>
      </c>
      <c r="D652" t="s">
        <v>255</v>
      </c>
      <c r="E652" t="s">
        <v>676</v>
      </c>
      <c r="F652" t="s">
        <v>223</v>
      </c>
      <c r="G652" t="s">
        <v>130</v>
      </c>
      <c r="H652" t="s">
        <v>89</v>
      </c>
      <c r="I652">
        <v>1</v>
      </c>
      <c r="J652" s="2">
        <v>246.22</v>
      </c>
      <c r="K652" s="4">
        <v>0.25</v>
      </c>
      <c r="L652" t="s">
        <v>98</v>
      </c>
      <c r="M652">
        <v>2</v>
      </c>
      <c r="N652" t="s">
        <v>91</v>
      </c>
    </row>
    <row r="653" spans="1:14">
      <c r="A653" t="s">
        <v>1101</v>
      </c>
      <c r="B653" s="3">
        <v>45715</v>
      </c>
      <c r="C653" t="s">
        <v>410</v>
      </c>
      <c r="D653" t="s">
        <v>360</v>
      </c>
      <c r="E653" t="s">
        <v>411</v>
      </c>
      <c r="F653" t="s">
        <v>655</v>
      </c>
      <c r="G653" t="s">
        <v>104</v>
      </c>
      <c r="H653" t="s">
        <v>89</v>
      </c>
      <c r="I653">
        <v>1</v>
      </c>
      <c r="J653" s="2">
        <v>69.75</v>
      </c>
      <c r="K653" s="4">
        <v>0.05</v>
      </c>
      <c r="L653" t="s">
        <v>98</v>
      </c>
      <c r="M653">
        <v>4</v>
      </c>
      <c r="N653" t="s">
        <v>91</v>
      </c>
    </row>
    <row r="654" spans="1:14">
      <c r="A654" t="s">
        <v>1102</v>
      </c>
      <c r="B654" s="3">
        <v>45792</v>
      </c>
      <c r="C654" t="s">
        <v>326</v>
      </c>
      <c r="D654" t="s">
        <v>277</v>
      </c>
      <c r="E654" t="s">
        <v>327</v>
      </c>
      <c r="F654" t="s">
        <v>87</v>
      </c>
      <c r="G654" t="s">
        <v>122</v>
      </c>
      <c r="H654" t="s">
        <v>308</v>
      </c>
      <c r="I654">
        <v>3</v>
      </c>
      <c r="J654" s="2">
        <v>354.76</v>
      </c>
      <c r="K654" s="4">
        <v>0.15</v>
      </c>
      <c r="L654" t="s">
        <v>106</v>
      </c>
      <c r="M654">
        <v>3</v>
      </c>
      <c r="N654" t="s">
        <v>91</v>
      </c>
    </row>
    <row r="655" spans="1:14">
      <c r="A655" t="s">
        <v>1103</v>
      </c>
      <c r="B655" s="3">
        <v>45747</v>
      </c>
      <c r="C655" t="s">
        <v>338</v>
      </c>
      <c r="D655" t="s">
        <v>190</v>
      </c>
      <c r="E655" t="s">
        <v>339</v>
      </c>
      <c r="F655" t="s">
        <v>111</v>
      </c>
      <c r="G655" t="s">
        <v>104</v>
      </c>
      <c r="H655" t="s">
        <v>97</v>
      </c>
      <c r="I655">
        <v>1</v>
      </c>
      <c r="J655" s="2">
        <v>272.07</v>
      </c>
      <c r="K655" s="4">
        <v>0</v>
      </c>
      <c r="L655" t="s">
        <v>106</v>
      </c>
      <c r="M655">
        <v>3</v>
      </c>
      <c r="N655" t="s">
        <v>91</v>
      </c>
    </row>
    <row r="656" spans="1:14">
      <c r="A656" t="s">
        <v>1104</v>
      </c>
      <c r="B656" s="3">
        <v>45735</v>
      </c>
      <c r="C656" t="s">
        <v>389</v>
      </c>
      <c r="D656" t="s">
        <v>174</v>
      </c>
      <c r="E656" t="s">
        <v>390</v>
      </c>
      <c r="F656" t="s">
        <v>145</v>
      </c>
      <c r="G656" t="s">
        <v>104</v>
      </c>
      <c r="H656" t="s">
        <v>89</v>
      </c>
      <c r="I656">
        <v>1</v>
      </c>
      <c r="J656" s="2">
        <v>38.159999999999997</v>
      </c>
      <c r="K656" s="4">
        <v>0</v>
      </c>
      <c r="L656" t="s">
        <v>90</v>
      </c>
      <c r="M656">
        <v>5</v>
      </c>
      <c r="N656" t="s">
        <v>91</v>
      </c>
    </row>
    <row r="657" spans="1:14">
      <c r="A657" t="s">
        <v>1105</v>
      </c>
      <c r="B657" s="3">
        <v>45962</v>
      </c>
      <c r="C657" t="s">
        <v>538</v>
      </c>
      <c r="D657" t="s">
        <v>120</v>
      </c>
      <c r="E657" t="s">
        <v>539</v>
      </c>
      <c r="F657" t="s">
        <v>87</v>
      </c>
      <c r="G657" t="s">
        <v>117</v>
      </c>
      <c r="H657" t="s">
        <v>89</v>
      </c>
      <c r="I657">
        <v>4</v>
      </c>
      <c r="J657" s="2">
        <v>380.79</v>
      </c>
      <c r="K657" s="4">
        <v>0.15</v>
      </c>
      <c r="L657" t="s">
        <v>106</v>
      </c>
      <c r="M657">
        <v>5</v>
      </c>
      <c r="N657" t="s">
        <v>91</v>
      </c>
    </row>
    <row r="658" spans="1:14">
      <c r="A658" t="s">
        <v>1106</v>
      </c>
      <c r="B658" s="3">
        <v>46006</v>
      </c>
      <c r="C658" t="s">
        <v>699</v>
      </c>
      <c r="D658" t="s">
        <v>181</v>
      </c>
      <c r="E658" t="s">
        <v>700</v>
      </c>
      <c r="F658" t="s">
        <v>111</v>
      </c>
      <c r="G658" t="s">
        <v>130</v>
      </c>
      <c r="H658" t="s">
        <v>89</v>
      </c>
      <c r="I658">
        <v>2</v>
      </c>
      <c r="J658" s="2">
        <v>373.93</v>
      </c>
      <c r="K658" s="4">
        <v>0</v>
      </c>
      <c r="L658" t="s">
        <v>106</v>
      </c>
      <c r="M658">
        <v>1</v>
      </c>
      <c r="N658" t="s">
        <v>91</v>
      </c>
    </row>
    <row r="659" spans="1:14">
      <c r="A659" t="s">
        <v>1107</v>
      </c>
      <c r="B659" s="3">
        <v>45816</v>
      </c>
      <c r="C659" t="s">
        <v>453</v>
      </c>
      <c r="D659" t="s">
        <v>418</v>
      </c>
      <c r="E659" t="s">
        <v>454</v>
      </c>
      <c r="F659" t="s">
        <v>116</v>
      </c>
      <c r="G659" t="s">
        <v>130</v>
      </c>
      <c r="H659" t="s">
        <v>89</v>
      </c>
      <c r="I659">
        <v>2</v>
      </c>
      <c r="J659" s="2">
        <v>375.09</v>
      </c>
      <c r="K659" s="4">
        <v>0.05</v>
      </c>
      <c r="L659" t="s">
        <v>521</v>
      </c>
      <c r="M659">
        <v>1</v>
      </c>
      <c r="N659" t="s">
        <v>91</v>
      </c>
    </row>
    <row r="660" spans="1:14">
      <c r="A660" t="s">
        <v>1108</v>
      </c>
      <c r="B660" s="3">
        <v>45938</v>
      </c>
      <c r="C660" t="s">
        <v>613</v>
      </c>
      <c r="D660" t="s">
        <v>149</v>
      </c>
      <c r="E660" t="s">
        <v>710</v>
      </c>
      <c r="F660" t="s">
        <v>116</v>
      </c>
      <c r="G660" t="s">
        <v>104</v>
      </c>
      <c r="H660" t="s">
        <v>89</v>
      </c>
      <c r="I660">
        <v>1</v>
      </c>
      <c r="J660" s="2">
        <v>80.88</v>
      </c>
      <c r="K660" s="4">
        <v>0.05</v>
      </c>
      <c r="L660" t="s">
        <v>106</v>
      </c>
      <c r="M660">
        <v>6</v>
      </c>
      <c r="N660" t="s">
        <v>147</v>
      </c>
    </row>
    <row r="661" spans="1:14">
      <c r="A661" t="s">
        <v>1109</v>
      </c>
      <c r="B661" s="3">
        <v>45673</v>
      </c>
      <c r="C661" t="s">
        <v>466</v>
      </c>
      <c r="D661" t="s">
        <v>271</v>
      </c>
      <c r="E661" t="s">
        <v>1110</v>
      </c>
      <c r="F661" t="s">
        <v>87</v>
      </c>
      <c r="G661" t="s">
        <v>117</v>
      </c>
      <c r="H661" t="s">
        <v>89</v>
      </c>
      <c r="I661">
        <v>2</v>
      </c>
      <c r="J661" s="2">
        <v>217.75</v>
      </c>
      <c r="K661" s="4">
        <v>0.15</v>
      </c>
      <c r="L661" t="s">
        <v>106</v>
      </c>
      <c r="M661">
        <v>2</v>
      </c>
      <c r="N661" t="s">
        <v>91</v>
      </c>
    </row>
    <row r="662" spans="1:14">
      <c r="A662" t="s">
        <v>1111</v>
      </c>
      <c r="B662" s="3">
        <v>45782</v>
      </c>
      <c r="C662" t="s">
        <v>695</v>
      </c>
      <c r="D662" t="s">
        <v>271</v>
      </c>
      <c r="E662" t="s">
        <v>696</v>
      </c>
      <c r="F662" t="s">
        <v>116</v>
      </c>
      <c r="G662" t="s">
        <v>88</v>
      </c>
      <c r="H662" t="s">
        <v>105</v>
      </c>
      <c r="I662">
        <v>1</v>
      </c>
      <c r="J662" s="2">
        <v>223.78</v>
      </c>
      <c r="K662" s="4">
        <v>0.1</v>
      </c>
      <c r="L662" t="s">
        <v>106</v>
      </c>
      <c r="M662">
        <v>3</v>
      </c>
      <c r="N662" t="s">
        <v>91</v>
      </c>
    </row>
    <row r="663" spans="1:14">
      <c r="A663" t="s">
        <v>1112</v>
      </c>
      <c r="B663" s="3">
        <v>45775</v>
      </c>
      <c r="C663" t="s">
        <v>406</v>
      </c>
      <c r="D663" t="s">
        <v>217</v>
      </c>
      <c r="E663" t="s">
        <v>407</v>
      </c>
      <c r="F663" t="s">
        <v>103</v>
      </c>
      <c r="G663" t="s">
        <v>117</v>
      </c>
      <c r="H663" t="s">
        <v>89</v>
      </c>
      <c r="I663">
        <v>1</v>
      </c>
      <c r="J663" s="2">
        <v>99.27</v>
      </c>
      <c r="K663" s="4">
        <v>0</v>
      </c>
      <c r="L663" t="s">
        <v>106</v>
      </c>
      <c r="M663">
        <v>5</v>
      </c>
      <c r="N663" t="s">
        <v>91</v>
      </c>
    </row>
    <row r="664" spans="1:14">
      <c r="A664" t="s">
        <v>1113</v>
      </c>
      <c r="B664" s="3">
        <v>45658</v>
      </c>
      <c r="C664" t="s">
        <v>594</v>
      </c>
      <c r="D664" t="s">
        <v>323</v>
      </c>
      <c r="E664" t="s">
        <v>1114</v>
      </c>
      <c r="F664" t="s">
        <v>87</v>
      </c>
      <c r="G664" t="s">
        <v>96</v>
      </c>
      <c r="H664" t="s">
        <v>97</v>
      </c>
      <c r="I664">
        <v>3</v>
      </c>
      <c r="J664" s="2">
        <v>335.87</v>
      </c>
      <c r="K664" s="4">
        <v>0.2</v>
      </c>
      <c r="L664" t="s">
        <v>98</v>
      </c>
      <c r="M664">
        <v>2</v>
      </c>
      <c r="N664" t="s">
        <v>147</v>
      </c>
    </row>
    <row r="665" spans="1:14">
      <c r="A665" t="s">
        <v>1115</v>
      </c>
      <c r="B665" s="3">
        <v>45922</v>
      </c>
      <c r="C665" t="s">
        <v>296</v>
      </c>
      <c r="D665" t="s">
        <v>114</v>
      </c>
      <c r="E665" t="s">
        <v>297</v>
      </c>
      <c r="F665" t="s">
        <v>145</v>
      </c>
      <c r="G665" t="s">
        <v>104</v>
      </c>
      <c r="H665" t="s">
        <v>89</v>
      </c>
      <c r="I665">
        <v>3</v>
      </c>
      <c r="J665" s="2">
        <v>143.22999999999999</v>
      </c>
      <c r="K665" s="4">
        <v>0.1</v>
      </c>
      <c r="L665" t="s">
        <v>90</v>
      </c>
      <c r="M665">
        <v>3</v>
      </c>
      <c r="N665" t="s">
        <v>91</v>
      </c>
    </row>
    <row r="666" spans="1:14">
      <c r="A666" t="s">
        <v>1116</v>
      </c>
      <c r="B666" s="3">
        <v>45737</v>
      </c>
      <c r="C666" t="s">
        <v>480</v>
      </c>
      <c r="D666" t="s">
        <v>94</v>
      </c>
      <c r="E666" t="s">
        <v>773</v>
      </c>
      <c r="F666" t="s">
        <v>116</v>
      </c>
      <c r="G666" t="s">
        <v>183</v>
      </c>
      <c r="H666" t="s">
        <v>89</v>
      </c>
      <c r="I666">
        <v>2</v>
      </c>
      <c r="J666" s="2">
        <v>304.67</v>
      </c>
      <c r="K666" s="4">
        <v>0.1</v>
      </c>
      <c r="L666" t="s">
        <v>98</v>
      </c>
      <c r="M666">
        <v>6</v>
      </c>
      <c r="N666" t="s">
        <v>91</v>
      </c>
    </row>
    <row r="667" spans="1:14">
      <c r="A667" t="s">
        <v>1117</v>
      </c>
      <c r="B667" s="3">
        <v>45905</v>
      </c>
      <c r="C667" t="s">
        <v>661</v>
      </c>
      <c r="D667" t="s">
        <v>101</v>
      </c>
      <c r="E667" t="s">
        <v>662</v>
      </c>
      <c r="F667" t="s">
        <v>87</v>
      </c>
      <c r="G667" t="s">
        <v>171</v>
      </c>
      <c r="H667" t="s">
        <v>97</v>
      </c>
      <c r="I667">
        <v>1</v>
      </c>
      <c r="J667" s="2">
        <v>320.24</v>
      </c>
      <c r="K667" s="4">
        <v>0.05</v>
      </c>
      <c r="L667" t="s">
        <v>106</v>
      </c>
      <c r="M667">
        <v>3</v>
      </c>
      <c r="N667" t="s">
        <v>91</v>
      </c>
    </row>
    <row r="668" spans="1:14">
      <c r="A668" t="s">
        <v>1118</v>
      </c>
      <c r="B668" s="3">
        <v>45971</v>
      </c>
      <c r="C668" t="s">
        <v>230</v>
      </c>
      <c r="D668" t="s">
        <v>277</v>
      </c>
      <c r="E668" t="s">
        <v>232</v>
      </c>
      <c r="F668" t="s">
        <v>145</v>
      </c>
      <c r="G668" t="s">
        <v>171</v>
      </c>
      <c r="H668" t="s">
        <v>89</v>
      </c>
      <c r="I668">
        <v>5</v>
      </c>
      <c r="J668" s="2">
        <v>377.75</v>
      </c>
      <c r="K668" s="4">
        <v>0.1</v>
      </c>
      <c r="L668" t="s">
        <v>98</v>
      </c>
      <c r="M668">
        <v>7</v>
      </c>
      <c r="N668" t="s">
        <v>91</v>
      </c>
    </row>
    <row r="669" spans="1:14">
      <c r="A669" t="s">
        <v>1119</v>
      </c>
      <c r="B669" s="3">
        <v>45951</v>
      </c>
      <c r="C669" t="s">
        <v>363</v>
      </c>
      <c r="D669" t="s">
        <v>139</v>
      </c>
      <c r="E669" t="s">
        <v>364</v>
      </c>
      <c r="F669" t="s">
        <v>116</v>
      </c>
      <c r="G669" t="s">
        <v>104</v>
      </c>
      <c r="H669" t="s">
        <v>167</v>
      </c>
      <c r="I669">
        <v>1</v>
      </c>
      <c r="J669" s="2">
        <v>83.34</v>
      </c>
      <c r="K669" s="4">
        <v>0.15</v>
      </c>
      <c r="L669" t="s">
        <v>369</v>
      </c>
      <c r="M669">
        <v>2</v>
      </c>
      <c r="N669" t="s">
        <v>91</v>
      </c>
    </row>
    <row r="670" spans="1:14">
      <c r="A670" t="s">
        <v>1120</v>
      </c>
      <c r="B670" s="3">
        <v>45879</v>
      </c>
      <c r="C670" t="s">
        <v>279</v>
      </c>
      <c r="D670" t="s">
        <v>231</v>
      </c>
      <c r="E670" t="s">
        <v>280</v>
      </c>
      <c r="F670" t="s">
        <v>116</v>
      </c>
      <c r="G670" t="s">
        <v>96</v>
      </c>
      <c r="H670" t="s">
        <v>97</v>
      </c>
      <c r="I670">
        <v>1</v>
      </c>
      <c r="J670" s="2">
        <v>354.02</v>
      </c>
      <c r="K670" s="4">
        <v>0.15</v>
      </c>
      <c r="L670" t="s">
        <v>90</v>
      </c>
      <c r="M670">
        <v>0</v>
      </c>
      <c r="N670" t="s">
        <v>147</v>
      </c>
    </row>
    <row r="671" spans="1:14">
      <c r="A671" t="s">
        <v>1121</v>
      </c>
      <c r="B671" s="3">
        <v>45992</v>
      </c>
      <c r="C671" t="s">
        <v>675</v>
      </c>
      <c r="D671" t="s">
        <v>303</v>
      </c>
      <c r="E671" t="s">
        <v>676</v>
      </c>
      <c r="F671" t="s">
        <v>103</v>
      </c>
      <c r="G671" t="s">
        <v>122</v>
      </c>
      <c r="H671" t="s">
        <v>89</v>
      </c>
      <c r="I671">
        <v>1</v>
      </c>
      <c r="J671" s="2">
        <v>163.31</v>
      </c>
      <c r="K671" s="4">
        <v>0.2</v>
      </c>
      <c r="L671" t="s">
        <v>106</v>
      </c>
      <c r="M671">
        <v>3</v>
      </c>
      <c r="N671" t="s">
        <v>91</v>
      </c>
    </row>
    <row r="672" spans="1:14">
      <c r="A672" t="s">
        <v>1122</v>
      </c>
      <c r="B672" s="3">
        <v>46012</v>
      </c>
      <c r="C672" t="s">
        <v>359</v>
      </c>
      <c r="D672" t="s">
        <v>346</v>
      </c>
      <c r="E672" t="s">
        <v>361</v>
      </c>
      <c r="F672" t="s">
        <v>87</v>
      </c>
      <c r="G672" t="s">
        <v>96</v>
      </c>
      <c r="H672" t="s">
        <v>89</v>
      </c>
      <c r="I672">
        <v>2</v>
      </c>
      <c r="J672" s="2">
        <v>243.64</v>
      </c>
      <c r="K672" s="4">
        <v>0.25</v>
      </c>
      <c r="L672" t="s">
        <v>521</v>
      </c>
      <c r="M672">
        <v>1</v>
      </c>
      <c r="N672" t="s">
        <v>91</v>
      </c>
    </row>
    <row r="673" spans="1:14">
      <c r="A673" t="s">
        <v>1123</v>
      </c>
      <c r="B673" s="3">
        <v>45795</v>
      </c>
      <c r="C673" t="s">
        <v>248</v>
      </c>
      <c r="D673" t="s">
        <v>738</v>
      </c>
      <c r="E673" t="s">
        <v>250</v>
      </c>
      <c r="F673" t="s">
        <v>111</v>
      </c>
      <c r="G673" t="s">
        <v>96</v>
      </c>
      <c r="H673" t="s">
        <v>89</v>
      </c>
      <c r="I673">
        <v>1</v>
      </c>
      <c r="J673" s="2">
        <v>333.13</v>
      </c>
      <c r="K673" s="4">
        <v>0</v>
      </c>
      <c r="L673" t="s">
        <v>106</v>
      </c>
      <c r="M673">
        <v>9</v>
      </c>
      <c r="N673" t="s">
        <v>91</v>
      </c>
    </row>
    <row r="674" spans="1:14">
      <c r="A674" t="s">
        <v>1124</v>
      </c>
      <c r="B674" s="3">
        <v>45725</v>
      </c>
      <c r="C674" t="s">
        <v>84</v>
      </c>
      <c r="D674" t="s">
        <v>94</v>
      </c>
      <c r="E674" t="s">
        <v>629</v>
      </c>
      <c r="F674" t="s">
        <v>111</v>
      </c>
      <c r="G674" t="s">
        <v>171</v>
      </c>
      <c r="H674" t="s">
        <v>89</v>
      </c>
      <c r="I674">
        <v>1</v>
      </c>
      <c r="J674" s="2">
        <v>300.93</v>
      </c>
      <c r="K674" s="4">
        <v>0.15</v>
      </c>
      <c r="L674" t="s">
        <v>106</v>
      </c>
      <c r="M674">
        <v>6</v>
      </c>
      <c r="N674" t="s">
        <v>91</v>
      </c>
    </row>
    <row r="675" spans="1:14">
      <c r="A675" t="s">
        <v>1125</v>
      </c>
      <c r="B675" s="3">
        <v>45969</v>
      </c>
      <c r="C675" t="s">
        <v>463</v>
      </c>
      <c r="D675" t="s">
        <v>226</v>
      </c>
      <c r="E675" t="s">
        <v>464</v>
      </c>
      <c r="F675" t="s">
        <v>87</v>
      </c>
      <c r="G675" t="s">
        <v>104</v>
      </c>
      <c r="H675" t="s">
        <v>89</v>
      </c>
      <c r="I675">
        <v>3</v>
      </c>
      <c r="J675" s="2">
        <v>211.4</v>
      </c>
      <c r="K675" s="4">
        <v>0.15</v>
      </c>
      <c r="M675">
        <v>2</v>
      </c>
      <c r="N675" t="s">
        <v>91</v>
      </c>
    </row>
    <row r="676" spans="1:14">
      <c r="A676" t="s">
        <v>1126</v>
      </c>
      <c r="B676" s="3">
        <v>45980</v>
      </c>
      <c r="C676" t="s">
        <v>386</v>
      </c>
      <c r="D676" t="s">
        <v>194</v>
      </c>
      <c r="E676" t="s">
        <v>576</v>
      </c>
      <c r="F676" t="s">
        <v>116</v>
      </c>
      <c r="G676" t="s">
        <v>104</v>
      </c>
      <c r="H676" t="s">
        <v>89</v>
      </c>
      <c r="I676">
        <v>1</v>
      </c>
      <c r="J676" s="2">
        <v>196.11</v>
      </c>
      <c r="K676" s="4">
        <v>0.1</v>
      </c>
      <c r="L676" t="s">
        <v>98</v>
      </c>
      <c r="M676">
        <v>3</v>
      </c>
      <c r="N676" t="s">
        <v>91</v>
      </c>
    </row>
    <row r="677" spans="1:14">
      <c r="A677" t="s">
        <v>1127</v>
      </c>
      <c r="B677" s="3">
        <v>45665</v>
      </c>
      <c r="C677" t="s">
        <v>180</v>
      </c>
      <c r="D677" t="s">
        <v>244</v>
      </c>
      <c r="E677" t="s">
        <v>182</v>
      </c>
      <c r="F677" t="s">
        <v>145</v>
      </c>
      <c r="G677" t="s">
        <v>171</v>
      </c>
      <c r="H677" t="s">
        <v>89</v>
      </c>
      <c r="I677">
        <v>2</v>
      </c>
      <c r="J677" s="2">
        <v>232.33</v>
      </c>
      <c r="K677" s="4">
        <v>0.15</v>
      </c>
      <c r="L677" t="s">
        <v>90</v>
      </c>
      <c r="M677">
        <v>5</v>
      </c>
      <c r="N677" t="s">
        <v>91</v>
      </c>
    </row>
    <row r="678" spans="1:14">
      <c r="A678" t="s">
        <v>1128</v>
      </c>
      <c r="B678" s="3">
        <v>45984</v>
      </c>
      <c r="C678" t="s">
        <v>675</v>
      </c>
      <c r="D678" t="s">
        <v>133</v>
      </c>
      <c r="E678" t="s">
        <v>676</v>
      </c>
      <c r="F678" t="s">
        <v>145</v>
      </c>
      <c r="G678" t="s">
        <v>122</v>
      </c>
      <c r="H678" t="s">
        <v>89</v>
      </c>
      <c r="I678">
        <v>1</v>
      </c>
      <c r="J678" s="2">
        <v>328.26</v>
      </c>
      <c r="K678" s="4">
        <v>0.2</v>
      </c>
      <c r="L678" t="s">
        <v>106</v>
      </c>
      <c r="M678">
        <v>1</v>
      </c>
      <c r="N678" t="s">
        <v>147</v>
      </c>
    </row>
    <row r="679" spans="1:14">
      <c r="A679" t="s">
        <v>1129</v>
      </c>
      <c r="B679" s="3">
        <v>45870</v>
      </c>
      <c r="C679" t="s">
        <v>268</v>
      </c>
      <c r="D679" t="s">
        <v>221</v>
      </c>
      <c r="E679" t="s">
        <v>269</v>
      </c>
      <c r="F679" t="s">
        <v>145</v>
      </c>
      <c r="G679" t="s">
        <v>88</v>
      </c>
      <c r="H679" t="s">
        <v>89</v>
      </c>
      <c r="I679">
        <v>1</v>
      </c>
      <c r="J679" s="2">
        <v>29.28</v>
      </c>
      <c r="K679" s="4">
        <v>0.2</v>
      </c>
      <c r="L679" t="s">
        <v>90</v>
      </c>
      <c r="M679">
        <v>9</v>
      </c>
      <c r="N679" t="s">
        <v>91</v>
      </c>
    </row>
    <row r="680" spans="1:14">
      <c r="A680" t="s">
        <v>1130</v>
      </c>
      <c r="B680" s="3">
        <v>45687</v>
      </c>
      <c r="C680" t="s">
        <v>386</v>
      </c>
      <c r="D680" t="s">
        <v>133</v>
      </c>
      <c r="E680" t="s">
        <v>576</v>
      </c>
      <c r="F680" t="s">
        <v>111</v>
      </c>
      <c r="G680" t="s">
        <v>122</v>
      </c>
      <c r="H680" t="s">
        <v>89</v>
      </c>
      <c r="I680">
        <v>2</v>
      </c>
      <c r="J680" s="2">
        <v>339.82</v>
      </c>
      <c r="K680" s="4">
        <v>0.05</v>
      </c>
      <c r="L680" t="s">
        <v>98</v>
      </c>
      <c r="M680">
        <v>7</v>
      </c>
      <c r="N680" t="s">
        <v>91</v>
      </c>
    </row>
    <row r="681" spans="1:14">
      <c r="A681" t="s">
        <v>1131</v>
      </c>
      <c r="B681" s="3">
        <v>45680</v>
      </c>
      <c r="C681" t="s">
        <v>453</v>
      </c>
      <c r="D681" t="s">
        <v>109</v>
      </c>
      <c r="E681" t="s">
        <v>454</v>
      </c>
      <c r="F681" t="s">
        <v>655</v>
      </c>
      <c r="G681" t="s">
        <v>171</v>
      </c>
      <c r="H681" t="s">
        <v>105</v>
      </c>
      <c r="I681">
        <v>5</v>
      </c>
      <c r="J681" s="2">
        <v>210.76</v>
      </c>
      <c r="K681" s="4">
        <v>0</v>
      </c>
      <c r="L681" t="s">
        <v>106</v>
      </c>
      <c r="M681">
        <v>7</v>
      </c>
      <c r="N681" t="s">
        <v>91</v>
      </c>
    </row>
    <row r="682" spans="1:14">
      <c r="A682" t="s">
        <v>1132</v>
      </c>
      <c r="B682" s="3">
        <v>45859</v>
      </c>
      <c r="C682" t="s">
        <v>414</v>
      </c>
      <c r="D682" t="s">
        <v>120</v>
      </c>
      <c r="E682" t="s">
        <v>415</v>
      </c>
      <c r="F682" t="s">
        <v>87</v>
      </c>
      <c r="G682" t="s">
        <v>183</v>
      </c>
      <c r="H682" t="s">
        <v>89</v>
      </c>
      <c r="I682">
        <v>2</v>
      </c>
      <c r="J682" s="2">
        <v>399.06</v>
      </c>
      <c r="K682" s="4">
        <v>0</v>
      </c>
      <c r="L682" t="s">
        <v>106</v>
      </c>
      <c r="M682">
        <v>7</v>
      </c>
      <c r="N682" t="s">
        <v>91</v>
      </c>
    </row>
    <row r="683" spans="1:14">
      <c r="A683" t="s">
        <v>1133</v>
      </c>
      <c r="B683" s="3">
        <v>45870</v>
      </c>
      <c r="C683" t="s">
        <v>225</v>
      </c>
      <c r="D683" t="s">
        <v>114</v>
      </c>
      <c r="E683" t="s">
        <v>227</v>
      </c>
      <c r="F683" t="s">
        <v>87</v>
      </c>
      <c r="G683" t="s">
        <v>88</v>
      </c>
      <c r="H683" t="s">
        <v>97</v>
      </c>
      <c r="I683">
        <v>1</v>
      </c>
      <c r="J683" s="2">
        <v>144.43</v>
      </c>
      <c r="K683" s="4">
        <v>0.15</v>
      </c>
      <c r="L683" t="s">
        <v>90</v>
      </c>
      <c r="M683">
        <v>4</v>
      </c>
      <c r="N683" t="s">
        <v>91</v>
      </c>
    </row>
    <row r="684" spans="1:14">
      <c r="A684" t="s">
        <v>1134</v>
      </c>
      <c r="B684" s="3">
        <v>45988</v>
      </c>
      <c r="C684" t="s">
        <v>203</v>
      </c>
      <c r="D684" t="s">
        <v>101</v>
      </c>
      <c r="E684" t="s">
        <v>573</v>
      </c>
      <c r="F684" t="s">
        <v>87</v>
      </c>
      <c r="G684" t="s">
        <v>130</v>
      </c>
      <c r="H684" t="s">
        <v>228</v>
      </c>
      <c r="I684">
        <v>3</v>
      </c>
      <c r="J684" s="2">
        <v>308.36</v>
      </c>
      <c r="K684" s="4">
        <v>0.1</v>
      </c>
      <c r="L684" t="s">
        <v>106</v>
      </c>
      <c r="M684">
        <v>8</v>
      </c>
      <c r="N684" t="s">
        <v>91</v>
      </c>
    </row>
    <row r="685" spans="1:14">
      <c r="A685" t="s">
        <v>1135</v>
      </c>
      <c r="B685" s="3">
        <v>45984</v>
      </c>
      <c r="C685" t="s">
        <v>248</v>
      </c>
      <c r="D685" t="s">
        <v>255</v>
      </c>
      <c r="E685" t="s">
        <v>250</v>
      </c>
      <c r="F685" t="s">
        <v>103</v>
      </c>
      <c r="G685" t="s">
        <v>183</v>
      </c>
      <c r="H685" t="s">
        <v>97</v>
      </c>
      <c r="I685">
        <v>1</v>
      </c>
      <c r="J685" s="2">
        <v>229.18</v>
      </c>
      <c r="K685" s="4">
        <v>0.25</v>
      </c>
      <c r="L685" t="s">
        <v>106</v>
      </c>
      <c r="M685">
        <v>0</v>
      </c>
      <c r="N685" t="s">
        <v>91</v>
      </c>
    </row>
    <row r="686" spans="1:14">
      <c r="A686" t="s">
        <v>1136</v>
      </c>
      <c r="B686" s="3">
        <v>45735</v>
      </c>
      <c r="C686" t="s">
        <v>322</v>
      </c>
      <c r="D686" t="s">
        <v>252</v>
      </c>
      <c r="E686" t="s">
        <v>470</v>
      </c>
      <c r="F686" t="s">
        <v>145</v>
      </c>
      <c r="G686" t="s">
        <v>183</v>
      </c>
      <c r="H686" t="s">
        <v>105</v>
      </c>
      <c r="I686">
        <v>1</v>
      </c>
      <c r="J686" s="2">
        <v>280.38</v>
      </c>
      <c r="K686" s="4">
        <v>0.25</v>
      </c>
      <c r="L686" t="s">
        <v>98</v>
      </c>
      <c r="M686">
        <v>2</v>
      </c>
      <c r="N686" t="s">
        <v>147</v>
      </c>
    </row>
    <row r="687" spans="1:14">
      <c r="A687" t="s">
        <v>1137</v>
      </c>
      <c r="B687" s="3">
        <v>45797</v>
      </c>
      <c r="C687" t="s">
        <v>239</v>
      </c>
      <c r="D687" t="s">
        <v>277</v>
      </c>
      <c r="E687" t="s">
        <v>240</v>
      </c>
      <c r="F687" t="s">
        <v>87</v>
      </c>
      <c r="G687" t="s">
        <v>88</v>
      </c>
      <c r="H687" t="s">
        <v>89</v>
      </c>
      <c r="I687">
        <v>2</v>
      </c>
      <c r="J687" s="2">
        <v>350.77</v>
      </c>
      <c r="K687" s="4">
        <v>0.1</v>
      </c>
      <c r="L687" t="s">
        <v>90</v>
      </c>
      <c r="M687">
        <v>9</v>
      </c>
      <c r="N687" t="s">
        <v>91</v>
      </c>
    </row>
    <row r="688" spans="1:14">
      <c r="A688" t="s">
        <v>1138</v>
      </c>
      <c r="B688" s="3">
        <v>45956</v>
      </c>
      <c r="C688" t="s">
        <v>516</v>
      </c>
      <c r="D688" t="s">
        <v>346</v>
      </c>
      <c r="E688" t="s">
        <v>517</v>
      </c>
      <c r="F688" t="s">
        <v>111</v>
      </c>
      <c r="G688" t="s">
        <v>122</v>
      </c>
      <c r="H688" t="s">
        <v>89</v>
      </c>
      <c r="I688">
        <v>1</v>
      </c>
      <c r="J688" s="2">
        <v>240.35</v>
      </c>
      <c r="K688" s="4">
        <v>0</v>
      </c>
      <c r="L688" t="s">
        <v>106</v>
      </c>
      <c r="M688">
        <v>8</v>
      </c>
      <c r="N688" t="s">
        <v>91</v>
      </c>
    </row>
    <row r="689" spans="1:14">
      <c r="A689" t="s">
        <v>1139</v>
      </c>
      <c r="B689" s="3">
        <v>45691</v>
      </c>
      <c r="C689" t="s">
        <v>512</v>
      </c>
      <c r="D689" t="s">
        <v>143</v>
      </c>
      <c r="E689" t="s">
        <v>513</v>
      </c>
      <c r="F689" t="s">
        <v>111</v>
      </c>
      <c r="G689" t="s">
        <v>117</v>
      </c>
      <c r="H689" t="s">
        <v>89</v>
      </c>
      <c r="I689">
        <v>2</v>
      </c>
      <c r="J689" s="2">
        <v>261.43</v>
      </c>
      <c r="K689" s="4">
        <v>0.15</v>
      </c>
      <c r="L689" t="s">
        <v>106</v>
      </c>
      <c r="M689">
        <v>2</v>
      </c>
      <c r="N689" t="s">
        <v>91</v>
      </c>
    </row>
    <row r="690" spans="1:14">
      <c r="A690" t="s">
        <v>1140</v>
      </c>
      <c r="B690" s="3">
        <v>45833</v>
      </c>
      <c r="C690" t="s">
        <v>399</v>
      </c>
      <c r="D690" t="s">
        <v>252</v>
      </c>
      <c r="E690" t="s">
        <v>400</v>
      </c>
      <c r="F690" t="s">
        <v>87</v>
      </c>
      <c r="G690" t="s">
        <v>104</v>
      </c>
      <c r="H690" t="s">
        <v>97</v>
      </c>
      <c r="I690">
        <v>2</v>
      </c>
      <c r="J690" s="2">
        <v>279.02999999999997</v>
      </c>
      <c r="K690" s="4">
        <v>0.05</v>
      </c>
      <c r="L690" t="s">
        <v>106</v>
      </c>
      <c r="M690">
        <v>4</v>
      </c>
      <c r="N690" t="s">
        <v>91</v>
      </c>
    </row>
    <row r="691" spans="1:14">
      <c r="A691" t="s">
        <v>1141</v>
      </c>
      <c r="B691" s="3">
        <v>45768</v>
      </c>
      <c r="C691" t="s">
        <v>699</v>
      </c>
      <c r="D691" t="s">
        <v>323</v>
      </c>
      <c r="E691" t="s">
        <v>700</v>
      </c>
      <c r="F691" t="s">
        <v>103</v>
      </c>
      <c r="G691" t="s">
        <v>130</v>
      </c>
      <c r="H691" t="s">
        <v>105</v>
      </c>
      <c r="I691">
        <v>1</v>
      </c>
      <c r="J691" s="2">
        <v>312.32</v>
      </c>
      <c r="K691" s="4">
        <v>0.05</v>
      </c>
      <c r="L691" t="s">
        <v>106</v>
      </c>
      <c r="M691">
        <v>7</v>
      </c>
      <c r="N691" t="s">
        <v>91</v>
      </c>
    </row>
    <row r="692" spans="1:14">
      <c r="A692" t="s">
        <v>1142</v>
      </c>
      <c r="B692" s="3">
        <v>45756</v>
      </c>
      <c r="C692" t="s">
        <v>414</v>
      </c>
      <c r="D692" t="s">
        <v>503</v>
      </c>
      <c r="E692" t="s">
        <v>415</v>
      </c>
      <c r="F692" t="s">
        <v>87</v>
      </c>
      <c r="G692" t="s">
        <v>183</v>
      </c>
      <c r="H692" t="s">
        <v>89</v>
      </c>
      <c r="I692">
        <v>2</v>
      </c>
      <c r="J692" s="2">
        <v>128.16</v>
      </c>
      <c r="K692" s="4">
        <v>0.15</v>
      </c>
      <c r="L692" t="s">
        <v>106</v>
      </c>
      <c r="M692">
        <v>1</v>
      </c>
      <c r="N692" t="s">
        <v>91</v>
      </c>
    </row>
    <row r="693" spans="1:14">
      <c r="A693" t="s">
        <v>1143</v>
      </c>
      <c r="B693" s="3">
        <v>45796</v>
      </c>
      <c r="C693" t="s">
        <v>257</v>
      </c>
      <c r="D693" t="s">
        <v>181</v>
      </c>
      <c r="E693" t="s">
        <v>258</v>
      </c>
      <c r="F693" t="s">
        <v>145</v>
      </c>
      <c r="G693" t="s">
        <v>130</v>
      </c>
      <c r="H693" t="s">
        <v>89</v>
      </c>
      <c r="I693">
        <v>3</v>
      </c>
      <c r="J693" s="2">
        <v>367.91</v>
      </c>
      <c r="K693" s="4">
        <v>0</v>
      </c>
      <c r="L693" t="s">
        <v>106</v>
      </c>
      <c r="M693">
        <v>8</v>
      </c>
      <c r="N693" t="s">
        <v>91</v>
      </c>
    </row>
    <row r="694" spans="1:14">
      <c r="A694" t="s">
        <v>1144</v>
      </c>
      <c r="B694" s="3">
        <v>45875</v>
      </c>
      <c r="C694" t="s">
        <v>600</v>
      </c>
      <c r="D694" t="s">
        <v>165</v>
      </c>
      <c r="E694" t="s">
        <v>601</v>
      </c>
      <c r="F694" t="s">
        <v>145</v>
      </c>
      <c r="G694" t="s">
        <v>88</v>
      </c>
      <c r="H694" t="s">
        <v>97</v>
      </c>
      <c r="I694">
        <v>3</v>
      </c>
      <c r="J694" s="2">
        <v>103.07</v>
      </c>
      <c r="K694" s="4">
        <v>0.1</v>
      </c>
      <c r="L694" t="s">
        <v>90</v>
      </c>
      <c r="M694">
        <v>4</v>
      </c>
      <c r="N694" t="s">
        <v>91</v>
      </c>
    </row>
    <row r="695" spans="1:14">
      <c r="A695" t="s">
        <v>1145</v>
      </c>
      <c r="B695" s="3">
        <v>45961</v>
      </c>
      <c r="C695" t="s">
        <v>675</v>
      </c>
      <c r="D695" t="s">
        <v>226</v>
      </c>
      <c r="E695" t="s">
        <v>676</v>
      </c>
      <c r="F695" t="s">
        <v>111</v>
      </c>
      <c r="G695" t="s">
        <v>96</v>
      </c>
      <c r="H695" t="s">
        <v>89</v>
      </c>
      <c r="I695">
        <v>4</v>
      </c>
      <c r="J695" s="2">
        <v>210.06</v>
      </c>
      <c r="K695" s="4">
        <v>0.05</v>
      </c>
      <c r="L695" t="s">
        <v>504</v>
      </c>
      <c r="M695">
        <v>1</v>
      </c>
      <c r="N695" t="s">
        <v>91</v>
      </c>
    </row>
    <row r="696" spans="1:14">
      <c r="A696" t="s">
        <v>1146</v>
      </c>
      <c r="B696" s="3">
        <v>45706</v>
      </c>
      <c r="C696" t="s">
        <v>142</v>
      </c>
      <c r="D696" t="s">
        <v>231</v>
      </c>
      <c r="E696" t="s">
        <v>144</v>
      </c>
      <c r="F696" t="s">
        <v>87</v>
      </c>
      <c r="G696" t="s">
        <v>130</v>
      </c>
      <c r="H696" t="s">
        <v>89</v>
      </c>
      <c r="I696">
        <v>2</v>
      </c>
      <c r="J696" s="2">
        <v>352.47</v>
      </c>
      <c r="K696" s="4">
        <v>0</v>
      </c>
      <c r="L696" t="s">
        <v>154</v>
      </c>
      <c r="M696">
        <v>9</v>
      </c>
      <c r="N696" t="s">
        <v>147</v>
      </c>
    </row>
    <row r="697" spans="1:14">
      <c r="A697" t="s">
        <v>1147</v>
      </c>
      <c r="B697" s="3">
        <v>45747</v>
      </c>
      <c r="C697" t="s">
        <v>84</v>
      </c>
      <c r="D697" t="s">
        <v>520</v>
      </c>
      <c r="E697" t="s">
        <v>86</v>
      </c>
      <c r="F697" t="s">
        <v>116</v>
      </c>
      <c r="G697" t="s">
        <v>96</v>
      </c>
      <c r="H697" t="s">
        <v>89</v>
      </c>
      <c r="I697">
        <v>3</v>
      </c>
      <c r="J697" s="2">
        <v>363.97</v>
      </c>
      <c r="K697" s="4">
        <v>0</v>
      </c>
      <c r="L697" t="s">
        <v>90</v>
      </c>
      <c r="M697">
        <v>1</v>
      </c>
      <c r="N697" t="s">
        <v>91</v>
      </c>
    </row>
    <row r="698" spans="1:14">
      <c r="A698" t="s">
        <v>1148</v>
      </c>
      <c r="B698" s="3">
        <v>45942</v>
      </c>
      <c r="C698" t="s">
        <v>322</v>
      </c>
      <c r="D698" t="s">
        <v>469</v>
      </c>
      <c r="E698" t="s">
        <v>470</v>
      </c>
      <c r="F698" t="s">
        <v>116</v>
      </c>
      <c r="G698" t="s">
        <v>130</v>
      </c>
      <c r="H698" t="s">
        <v>97</v>
      </c>
      <c r="I698">
        <v>1</v>
      </c>
      <c r="J698" s="2">
        <v>82.58</v>
      </c>
      <c r="K698" s="4">
        <v>0</v>
      </c>
      <c r="L698" t="s">
        <v>90</v>
      </c>
      <c r="M698">
        <v>4</v>
      </c>
      <c r="N698" t="s">
        <v>91</v>
      </c>
    </row>
    <row r="699" spans="1:14">
      <c r="A699" t="s">
        <v>1149</v>
      </c>
      <c r="B699" s="3">
        <v>45925</v>
      </c>
      <c r="C699" t="s">
        <v>516</v>
      </c>
      <c r="D699" t="s">
        <v>114</v>
      </c>
      <c r="E699" t="s">
        <v>517</v>
      </c>
      <c r="F699" t="s">
        <v>87</v>
      </c>
      <c r="G699" t="s">
        <v>183</v>
      </c>
      <c r="H699" t="s">
        <v>308</v>
      </c>
      <c r="I699">
        <v>1</v>
      </c>
      <c r="J699" s="2">
        <v>149.07</v>
      </c>
      <c r="K699" s="4">
        <v>0.1</v>
      </c>
      <c r="L699" t="s">
        <v>106</v>
      </c>
      <c r="M699">
        <v>8</v>
      </c>
      <c r="N699" t="s">
        <v>91</v>
      </c>
    </row>
    <row r="700" spans="1:14">
      <c r="A700" t="s">
        <v>1150</v>
      </c>
      <c r="B700" s="3">
        <v>45854</v>
      </c>
      <c r="C700" t="s">
        <v>335</v>
      </c>
      <c r="D700" t="s">
        <v>323</v>
      </c>
      <c r="E700" t="s">
        <v>336</v>
      </c>
      <c r="F700" t="s">
        <v>111</v>
      </c>
      <c r="G700" t="s">
        <v>96</v>
      </c>
      <c r="H700" t="s">
        <v>89</v>
      </c>
      <c r="I700">
        <v>3</v>
      </c>
      <c r="J700" s="2">
        <v>319.41000000000003</v>
      </c>
      <c r="K700" s="4">
        <v>0.15</v>
      </c>
      <c r="L700" t="s">
        <v>369</v>
      </c>
      <c r="M700">
        <v>2</v>
      </c>
      <c r="N700" t="s">
        <v>91</v>
      </c>
    </row>
    <row r="701" spans="1:14">
      <c r="A701" t="s">
        <v>1151</v>
      </c>
      <c r="B701" s="3">
        <v>45801</v>
      </c>
      <c r="C701" t="s">
        <v>706</v>
      </c>
      <c r="D701" t="s">
        <v>157</v>
      </c>
      <c r="E701" t="s">
        <v>707</v>
      </c>
      <c r="F701" t="s">
        <v>111</v>
      </c>
      <c r="G701" t="s">
        <v>104</v>
      </c>
      <c r="H701" t="s">
        <v>97</v>
      </c>
      <c r="I701">
        <v>1</v>
      </c>
      <c r="J701" s="2">
        <v>297.7</v>
      </c>
      <c r="K701" s="4">
        <v>0.15</v>
      </c>
      <c r="L701" t="s">
        <v>90</v>
      </c>
      <c r="M701">
        <v>0</v>
      </c>
      <c r="N701" t="s">
        <v>91</v>
      </c>
    </row>
    <row r="702" spans="1:14">
      <c r="A702" t="s">
        <v>1152</v>
      </c>
      <c r="B702" s="3">
        <v>45703</v>
      </c>
      <c r="C702" t="s">
        <v>379</v>
      </c>
      <c r="D702" t="s">
        <v>190</v>
      </c>
      <c r="E702" t="s">
        <v>380</v>
      </c>
      <c r="F702" t="s">
        <v>103</v>
      </c>
      <c r="G702" t="s">
        <v>122</v>
      </c>
      <c r="H702" t="s">
        <v>89</v>
      </c>
      <c r="I702">
        <v>2</v>
      </c>
      <c r="J702" s="2">
        <v>274.38</v>
      </c>
      <c r="K702" s="4">
        <v>0.15</v>
      </c>
      <c r="L702" t="s">
        <v>521</v>
      </c>
      <c r="M702">
        <v>4</v>
      </c>
      <c r="N702" t="s">
        <v>91</v>
      </c>
    </row>
    <row r="703" spans="1:14">
      <c r="A703" t="s">
        <v>1153</v>
      </c>
      <c r="B703" s="3">
        <v>45695</v>
      </c>
      <c r="C703" t="s">
        <v>220</v>
      </c>
      <c r="D703" t="s">
        <v>738</v>
      </c>
      <c r="E703" t="s">
        <v>222</v>
      </c>
      <c r="F703" t="s">
        <v>116</v>
      </c>
      <c r="G703" t="s">
        <v>130</v>
      </c>
      <c r="H703" t="s">
        <v>97</v>
      </c>
      <c r="I703">
        <v>2</v>
      </c>
      <c r="J703" s="2">
        <v>328.35</v>
      </c>
      <c r="K703" s="4">
        <v>0.05</v>
      </c>
      <c r="L703" t="s">
        <v>106</v>
      </c>
      <c r="M703">
        <v>3</v>
      </c>
      <c r="N703" t="s">
        <v>91</v>
      </c>
    </row>
    <row r="704" spans="1:14">
      <c r="A704" t="s">
        <v>1154</v>
      </c>
      <c r="B704" s="3">
        <v>46014</v>
      </c>
      <c r="C704" t="s">
        <v>290</v>
      </c>
      <c r="D704" t="s">
        <v>120</v>
      </c>
      <c r="E704" t="s">
        <v>732</v>
      </c>
      <c r="F704" t="s">
        <v>87</v>
      </c>
      <c r="G704" t="s">
        <v>117</v>
      </c>
      <c r="H704" t="s">
        <v>89</v>
      </c>
      <c r="I704">
        <v>2</v>
      </c>
      <c r="J704" s="2">
        <v>377.86</v>
      </c>
      <c r="K704" s="4">
        <v>0.25</v>
      </c>
      <c r="L704" t="s">
        <v>98</v>
      </c>
      <c r="M704">
        <v>6</v>
      </c>
      <c r="N704" t="s">
        <v>91</v>
      </c>
    </row>
    <row r="705" spans="1:14">
      <c r="A705" t="s">
        <v>1155</v>
      </c>
      <c r="B705" s="3">
        <v>45874</v>
      </c>
      <c r="C705" t="s">
        <v>670</v>
      </c>
      <c r="D705" t="s">
        <v>114</v>
      </c>
      <c r="E705" t="s">
        <v>671</v>
      </c>
      <c r="F705" t="s">
        <v>145</v>
      </c>
      <c r="G705" t="s">
        <v>130</v>
      </c>
      <c r="H705" t="s">
        <v>89</v>
      </c>
      <c r="I705">
        <v>4</v>
      </c>
      <c r="J705" s="2">
        <v>141.24</v>
      </c>
      <c r="K705" s="4">
        <v>0</v>
      </c>
      <c r="L705" t="s">
        <v>106</v>
      </c>
      <c r="M705">
        <v>4</v>
      </c>
      <c r="N705" t="s">
        <v>91</v>
      </c>
    </row>
    <row r="706" spans="1:14">
      <c r="A706" t="s">
        <v>1156</v>
      </c>
      <c r="B706" s="3">
        <v>45718</v>
      </c>
      <c r="C706" t="s">
        <v>243</v>
      </c>
      <c r="D706" t="s">
        <v>94</v>
      </c>
      <c r="E706" t="s">
        <v>245</v>
      </c>
      <c r="F706" t="s">
        <v>103</v>
      </c>
      <c r="G706" t="s">
        <v>96</v>
      </c>
      <c r="H706" t="s">
        <v>89</v>
      </c>
      <c r="I706">
        <v>3</v>
      </c>
      <c r="J706" s="2">
        <v>318.18</v>
      </c>
      <c r="K706" s="4">
        <v>0.1</v>
      </c>
      <c r="L706" t="s">
        <v>98</v>
      </c>
      <c r="M706">
        <v>7</v>
      </c>
      <c r="N706" t="s">
        <v>91</v>
      </c>
    </row>
    <row r="707" spans="1:14">
      <c r="A707" t="s">
        <v>1157</v>
      </c>
      <c r="B707" s="3">
        <v>45954</v>
      </c>
      <c r="C707" t="s">
        <v>512</v>
      </c>
      <c r="D707" t="s">
        <v>738</v>
      </c>
      <c r="E707" t="s">
        <v>513</v>
      </c>
      <c r="F707" t="s">
        <v>103</v>
      </c>
      <c r="G707" t="s">
        <v>96</v>
      </c>
      <c r="H707" t="s">
        <v>233</v>
      </c>
      <c r="I707">
        <v>4</v>
      </c>
      <c r="J707" s="2">
        <v>328.67</v>
      </c>
      <c r="K707" s="4">
        <v>0</v>
      </c>
      <c r="L707" t="s">
        <v>90</v>
      </c>
      <c r="M707">
        <v>1</v>
      </c>
      <c r="N707" t="s">
        <v>91</v>
      </c>
    </row>
    <row r="708" spans="1:14">
      <c r="A708" t="s">
        <v>1158</v>
      </c>
      <c r="B708" s="3">
        <v>45817</v>
      </c>
      <c r="C708" t="s">
        <v>758</v>
      </c>
      <c r="D708" t="s">
        <v>360</v>
      </c>
      <c r="E708" t="s">
        <v>759</v>
      </c>
      <c r="F708" t="s">
        <v>223</v>
      </c>
      <c r="G708" t="s">
        <v>130</v>
      </c>
      <c r="H708" t="s">
        <v>97</v>
      </c>
      <c r="I708">
        <v>5</v>
      </c>
      <c r="J708" s="2">
        <v>62.48</v>
      </c>
      <c r="K708" s="4">
        <v>0</v>
      </c>
      <c r="L708" t="s">
        <v>106</v>
      </c>
      <c r="M708">
        <v>0</v>
      </c>
      <c r="N708" t="s">
        <v>91</v>
      </c>
    </row>
    <row r="709" spans="1:14">
      <c r="A709" t="s">
        <v>1159</v>
      </c>
      <c r="B709" s="3">
        <v>46015</v>
      </c>
      <c r="C709" t="s">
        <v>438</v>
      </c>
      <c r="D709" t="s">
        <v>323</v>
      </c>
      <c r="E709" t="s">
        <v>439</v>
      </c>
      <c r="F709" t="s">
        <v>187</v>
      </c>
      <c r="G709" t="s">
        <v>104</v>
      </c>
      <c r="H709" t="s">
        <v>97</v>
      </c>
      <c r="I709">
        <v>2</v>
      </c>
      <c r="J709" s="2">
        <v>339.25</v>
      </c>
      <c r="K709" s="4">
        <v>0.05</v>
      </c>
      <c r="L709" t="s">
        <v>432</v>
      </c>
      <c r="M709">
        <v>0</v>
      </c>
      <c r="N709" t="s">
        <v>91</v>
      </c>
    </row>
    <row r="710" spans="1:14">
      <c r="A710" t="s">
        <v>1160</v>
      </c>
      <c r="B710" s="3">
        <v>45720</v>
      </c>
      <c r="C710" t="s">
        <v>326</v>
      </c>
      <c r="D710" t="s">
        <v>152</v>
      </c>
      <c r="E710" t="s">
        <v>327</v>
      </c>
      <c r="F710" t="s">
        <v>103</v>
      </c>
      <c r="G710" t="s">
        <v>130</v>
      </c>
      <c r="H710" t="s">
        <v>97</v>
      </c>
      <c r="I710">
        <v>1</v>
      </c>
      <c r="J710" s="2">
        <v>128.07</v>
      </c>
      <c r="K710" s="4">
        <v>0.1</v>
      </c>
      <c r="L710" t="s">
        <v>106</v>
      </c>
      <c r="M710">
        <v>0</v>
      </c>
      <c r="N710" t="s">
        <v>91</v>
      </c>
    </row>
    <row r="711" spans="1:14">
      <c r="A711" t="s">
        <v>1161</v>
      </c>
      <c r="B711" s="3">
        <v>45720</v>
      </c>
      <c r="C711" t="s">
        <v>516</v>
      </c>
      <c r="D711" t="s">
        <v>101</v>
      </c>
      <c r="E711" t="s">
        <v>1162</v>
      </c>
      <c r="F711" t="s">
        <v>103</v>
      </c>
      <c r="G711" t="s">
        <v>183</v>
      </c>
      <c r="H711" t="s">
        <v>89</v>
      </c>
      <c r="I711">
        <v>3</v>
      </c>
      <c r="J711" s="2">
        <v>301.69</v>
      </c>
      <c r="K711" s="4">
        <v>0.05</v>
      </c>
      <c r="L711" t="s">
        <v>106</v>
      </c>
      <c r="M711">
        <v>7</v>
      </c>
      <c r="N711" t="s">
        <v>91</v>
      </c>
    </row>
    <row r="712" spans="1:14">
      <c r="A712" t="s">
        <v>1163</v>
      </c>
      <c r="B712" s="3">
        <v>45750</v>
      </c>
      <c r="C712" t="s">
        <v>706</v>
      </c>
      <c r="D712" t="s">
        <v>136</v>
      </c>
      <c r="E712" t="s">
        <v>707</v>
      </c>
      <c r="F712" t="s">
        <v>111</v>
      </c>
      <c r="G712" t="s">
        <v>130</v>
      </c>
      <c r="H712" t="s">
        <v>89</v>
      </c>
      <c r="I712">
        <v>1</v>
      </c>
      <c r="J712" s="2">
        <v>153</v>
      </c>
      <c r="K712" s="4">
        <v>0</v>
      </c>
      <c r="L712" t="s">
        <v>90</v>
      </c>
      <c r="M712">
        <v>6</v>
      </c>
      <c r="N712" t="s">
        <v>91</v>
      </c>
    </row>
    <row r="713" spans="1:14">
      <c r="A713" t="s">
        <v>1164</v>
      </c>
      <c r="B713" s="3">
        <v>45855</v>
      </c>
      <c r="C713" t="s">
        <v>613</v>
      </c>
      <c r="D713" t="s">
        <v>346</v>
      </c>
      <c r="E713" t="s">
        <v>710</v>
      </c>
      <c r="F713" t="s">
        <v>103</v>
      </c>
      <c r="G713" t="s">
        <v>171</v>
      </c>
      <c r="H713" t="s">
        <v>97</v>
      </c>
      <c r="I713">
        <v>5</v>
      </c>
      <c r="J713" s="2">
        <v>247.33</v>
      </c>
      <c r="K713" s="4">
        <v>0.05</v>
      </c>
      <c r="L713" t="s">
        <v>98</v>
      </c>
      <c r="M713">
        <v>1</v>
      </c>
      <c r="N713" t="s">
        <v>91</v>
      </c>
    </row>
    <row r="714" spans="1:14">
      <c r="A714" t="s">
        <v>1165</v>
      </c>
      <c r="B714" s="3">
        <v>45757</v>
      </c>
      <c r="C714" t="s">
        <v>273</v>
      </c>
      <c r="D714" t="s">
        <v>143</v>
      </c>
      <c r="E714" t="s">
        <v>274</v>
      </c>
      <c r="F714" t="s">
        <v>145</v>
      </c>
      <c r="G714" t="s">
        <v>88</v>
      </c>
      <c r="H714" t="s">
        <v>233</v>
      </c>
      <c r="I714">
        <v>1</v>
      </c>
      <c r="J714" s="2">
        <v>255.13</v>
      </c>
      <c r="K714" s="4">
        <v>0.2</v>
      </c>
      <c r="L714" t="s">
        <v>106</v>
      </c>
      <c r="M714">
        <v>3</v>
      </c>
      <c r="N714" t="s">
        <v>91</v>
      </c>
    </row>
    <row r="715" spans="1:14">
      <c r="A715" t="s">
        <v>1166</v>
      </c>
      <c r="B715" s="3">
        <v>45879</v>
      </c>
      <c r="C715" t="s">
        <v>613</v>
      </c>
      <c r="D715" t="s">
        <v>101</v>
      </c>
      <c r="E715" t="s">
        <v>710</v>
      </c>
      <c r="F715" t="s">
        <v>103</v>
      </c>
      <c r="G715" t="s">
        <v>130</v>
      </c>
      <c r="H715" t="s">
        <v>105</v>
      </c>
      <c r="I715">
        <v>1</v>
      </c>
      <c r="J715" s="2">
        <v>291.2</v>
      </c>
      <c r="K715" s="4">
        <v>0.05</v>
      </c>
      <c r="L715" t="s">
        <v>106</v>
      </c>
      <c r="M715">
        <v>1</v>
      </c>
      <c r="N715" t="s">
        <v>91</v>
      </c>
    </row>
    <row r="716" spans="1:14">
      <c r="A716" t="s">
        <v>1167</v>
      </c>
      <c r="B716" s="3">
        <v>45855</v>
      </c>
      <c r="C716" t="s">
        <v>206</v>
      </c>
      <c r="D716" t="s">
        <v>252</v>
      </c>
      <c r="E716" t="s">
        <v>207</v>
      </c>
      <c r="F716" t="s">
        <v>145</v>
      </c>
      <c r="G716" t="s">
        <v>183</v>
      </c>
      <c r="H716" t="s">
        <v>97</v>
      </c>
      <c r="I716">
        <v>2</v>
      </c>
      <c r="J716" s="2">
        <v>282.41000000000003</v>
      </c>
      <c r="K716" s="4">
        <v>0.25</v>
      </c>
      <c r="L716" t="s">
        <v>106</v>
      </c>
      <c r="M716">
        <v>4</v>
      </c>
      <c r="N716" t="s">
        <v>91</v>
      </c>
    </row>
    <row r="717" spans="1:14">
      <c r="A717" t="s">
        <v>1168</v>
      </c>
      <c r="B717" s="3">
        <v>45918</v>
      </c>
      <c r="C717" t="s">
        <v>128</v>
      </c>
      <c r="D717" t="s">
        <v>503</v>
      </c>
      <c r="E717" t="s">
        <v>129</v>
      </c>
      <c r="F717" t="s">
        <v>145</v>
      </c>
      <c r="G717" t="s">
        <v>130</v>
      </c>
      <c r="H717" t="s">
        <v>97</v>
      </c>
      <c r="I717">
        <v>4</v>
      </c>
      <c r="J717" s="2">
        <v>123.21</v>
      </c>
      <c r="K717" s="4">
        <v>0</v>
      </c>
      <c r="L717" t="s">
        <v>353</v>
      </c>
      <c r="M717">
        <v>2</v>
      </c>
      <c r="N717" t="s">
        <v>91</v>
      </c>
    </row>
    <row r="718" spans="1:14">
      <c r="A718" t="s">
        <v>1169</v>
      </c>
      <c r="B718" s="3">
        <v>45919</v>
      </c>
      <c r="C718" t="s">
        <v>497</v>
      </c>
      <c r="D718" t="s">
        <v>360</v>
      </c>
      <c r="E718" t="s">
        <v>498</v>
      </c>
      <c r="F718" t="s">
        <v>87</v>
      </c>
      <c r="G718" t="s">
        <v>171</v>
      </c>
      <c r="H718" t="s">
        <v>89</v>
      </c>
      <c r="I718">
        <v>3</v>
      </c>
      <c r="J718" s="2">
        <v>69.22</v>
      </c>
      <c r="K718" s="4">
        <v>0.2</v>
      </c>
      <c r="L718" t="s">
        <v>98</v>
      </c>
      <c r="M718">
        <v>7</v>
      </c>
      <c r="N718" t="s">
        <v>147</v>
      </c>
    </row>
    <row r="719" spans="1:14">
      <c r="A719" t="s">
        <v>1170</v>
      </c>
      <c r="B719" s="3">
        <v>45743</v>
      </c>
      <c r="C719" t="s">
        <v>343</v>
      </c>
      <c r="D719" t="s">
        <v>190</v>
      </c>
      <c r="E719" t="s">
        <v>344</v>
      </c>
      <c r="F719" t="s">
        <v>145</v>
      </c>
      <c r="G719" t="s">
        <v>130</v>
      </c>
      <c r="H719" t="s">
        <v>97</v>
      </c>
      <c r="I719">
        <v>1</v>
      </c>
      <c r="J719" s="2">
        <v>299.10000000000002</v>
      </c>
      <c r="K719" s="4">
        <v>0</v>
      </c>
      <c r="L719" t="s">
        <v>106</v>
      </c>
      <c r="M719">
        <v>3</v>
      </c>
      <c r="N719" t="s">
        <v>91</v>
      </c>
    </row>
    <row r="720" spans="1:14">
      <c r="A720" t="s">
        <v>1171</v>
      </c>
      <c r="B720" s="3">
        <v>45708</v>
      </c>
      <c r="C720" t="s">
        <v>335</v>
      </c>
      <c r="D720" t="s">
        <v>94</v>
      </c>
      <c r="E720" t="s">
        <v>336</v>
      </c>
      <c r="F720" t="s">
        <v>116</v>
      </c>
      <c r="G720" t="s">
        <v>96</v>
      </c>
      <c r="H720" t="s">
        <v>97</v>
      </c>
      <c r="I720">
        <v>1</v>
      </c>
      <c r="J720" s="2">
        <v>308.49</v>
      </c>
      <c r="K720" s="4">
        <v>0</v>
      </c>
      <c r="L720" t="s">
        <v>106</v>
      </c>
      <c r="M720">
        <v>4</v>
      </c>
      <c r="N720" t="s">
        <v>91</v>
      </c>
    </row>
    <row r="721" spans="1:14">
      <c r="A721" t="s">
        <v>1172</v>
      </c>
      <c r="B721" s="3">
        <v>45684</v>
      </c>
      <c r="C721" t="s">
        <v>216</v>
      </c>
      <c r="D721" t="s">
        <v>114</v>
      </c>
      <c r="E721" t="s">
        <v>218</v>
      </c>
      <c r="F721" t="s">
        <v>145</v>
      </c>
      <c r="G721" t="s">
        <v>104</v>
      </c>
      <c r="H721" t="s">
        <v>308</v>
      </c>
      <c r="I721">
        <v>2</v>
      </c>
      <c r="J721" s="2">
        <v>137.54</v>
      </c>
      <c r="K721" s="4">
        <v>0.15</v>
      </c>
      <c r="L721" t="s">
        <v>106</v>
      </c>
      <c r="M721">
        <v>1</v>
      </c>
      <c r="N721" t="s">
        <v>91</v>
      </c>
    </row>
    <row r="722" spans="1:14">
      <c r="A722" t="s">
        <v>1089</v>
      </c>
      <c r="B722" s="3">
        <v>46005</v>
      </c>
      <c r="C722" t="s">
        <v>236</v>
      </c>
      <c r="D722" t="s">
        <v>277</v>
      </c>
      <c r="E722" t="s">
        <v>1090</v>
      </c>
      <c r="F722" t="s">
        <v>111</v>
      </c>
      <c r="G722" t="s">
        <v>104</v>
      </c>
      <c r="H722" t="s">
        <v>89</v>
      </c>
      <c r="I722">
        <v>1</v>
      </c>
      <c r="J722" s="2">
        <v>379.66</v>
      </c>
      <c r="K722" s="4">
        <v>0</v>
      </c>
      <c r="L722" t="s">
        <v>90</v>
      </c>
      <c r="M722">
        <v>5</v>
      </c>
      <c r="N722" t="s">
        <v>91</v>
      </c>
    </row>
    <row r="723" spans="1:14">
      <c r="A723" t="s">
        <v>990</v>
      </c>
      <c r="B723" s="3">
        <v>45684</v>
      </c>
      <c r="C723" t="s">
        <v>487</v>
      </c>
      <c r="D723" t="s">
        <v>244</v>
      </c>
      <c r="E723" t="s">
        <v>488</v>
      </c>
      <c r="F723" t="s">
        <v>87</v>
      </c>
      <c r="G723" t="s">
        <v>171</v>
      </c>
      <c r="H723" t="s">
        <v>105</v>
      </c>
      <c r="I723">
        <v>1</v>
      </c>
      <c r="J723" s="2">
        <v>250.61</v>
      </c>
      <c r="K723" s="4">
        <v>0</v>
      </c>
      <c r="L723" t="s">
        <v>98</v>
      </c>
      <c r="M723">
        <v>2</v>
      </c>
      <c r="N723" t="s">
        <v>91</v>
      </c>
    </row>
    <row r="724" spans="1:14">
      <c r="A724" t="s">
        <v>1163</v>
      </c>
      <c r="B724" s="3">
        <v>45750</v>
      </c>
      <c r="C724" t="s">
        <v>706</v>
      </c>
      <c r="D724" t="s">
        <v>136</v>
      </c>
      <c r="E724" t="s">
        <v>707</v>
      </c>
      <c r="F724" t="s">
        <v>111</v>
      </c>
      <c r="G724" t="s">
        <v>130</v>
      </c>
      <c r="H724" t="s">
        <v>89</v>
      </c>
      <c r="I724">
        <v>1</v>
      </c>
      <c r="J724" s="2">
        <v>153</v>
      </c>
      <c r="K724" s="4">
        <v>0</v>
      </c>
      <c r="L724" t="s">
        <v>90</v>
      </c>
      <c r="M724">
        <v>6</v>
      </c>
      <c r="N724" t="s">
        <v>91</v>
      </c>
    </row>
    <row r="725" spans="1:14">
      <c r="A725" t="s">
        <v>719</v>
      </c>
      <c r="B725" s="3">
        <v>45995</v>
      </c>
      <c r="C725" t="s">
        <v>197</v>
      </c>
      <c r="D725" t="s">
        <v>133</v>
      </c>
      <c r="E725" t="s">
        <v>198</v>
      </c>
      <c r="F725" t="s">
        <v>111</v>
      </c>
      <c r="G725" t="s">
        <v>117</v>
      </c>
      <c r="H725" t="s">
        <v>89</v>
      </c>
      <c r="I725">
        <v>1</v>
      </c>
      <c r="J725" s="2">
        <v>341.39</v>
      </c>
      <c r="K725" s="4">
        <v>0</v>
      </c>
      <c r="M725">
        <v>4</v>
      </c>
      <c r="N725" t="s">
        <v>91</v>
      </c>
    </row>
    <row r="726" spans="1:14">
      <c r="A726" t="s">
        <v>894</v>
      </c>
      <c r="B726" s="3">
        <v>45781</v>
      </c>
      <c r="C726" t="s">
        <v>338</v>
      </c>
      <c r="D726" t="s">
        <v>143</v>
      </c>
      <c r="E726" t="s">
        <v>339</v>
      </c>
      <c r="F726" t="s">
        <v>111</v>
      </c>
      <c r="G726" t="s">
        <v>122</v>
      </c>
      <c r="H726" t="s">
        <v>97</v>
      </c>
      <c r="I726">
        <v>1</v>
      </c>
      <c r="J726" s="2">
        <v>273.39</v>
      </c>
      <c r="K726" s="4">
        <v>0.1</v>
      </c>
      <c r="L726" t="s">
        <v>90</v>
      </c>
      <c r="M726">
        <v>3</v>
      </c>
      <c r="N726" t="s">
        <v>91</v>
      </c>
    </row>
    <row r="727" spans="1:14">
      <c r="A727" t="s">
        <v>434</v>
      </c>
      <c r="B727" s="3">
        <v>45661</v>
      </c>
      <c r="C727" t="s">
        <v>169</v>
      </c>
      <c r="D727" t="s">
        <v>174</v>
      </c>
      <c r="E727" t="s">
        <v>435</v>
      </c>
      <c r="F727" t="s">
        <v>103</v>
      </c>
      <c r="G727" t="s">
        <v>130</v>
      </c>
      <c r="H727" t="s">
        <v>97</v>
      </c>
      <c r="I727">
        <v>1</v>
      </c>
      <c r="J727" s="2">
        <v>38.4</v>
      </c>
      <c r="K727" s="4">
        <v>0.15</v>
      </c>
      <c r="L727" t="s">
        <v>106</v>
      </c>
      <c r="M727">
        <v>4</v>
      </c>
      <c r="N727" t="s">
        <v>91</v>
      </c>
    </row>
    <row r="728" spans="1:14">
      <c r="A728" t="s">
        <v>681</v>
      </c>
      <c r="B728" s="3">
        <v>45758</v>
      </c>
      <c r="C728" t="s">
        <v>177</v>
      </c>
      <c r="D728" t="s">
        <v>249</v>
      </c>
      <c r="E728" t="s">
        <v>682</v>
      </c>
      <c r="F728" t="s">
        <v>111</v>
      </c>
      <c r="G728" t="s">
        <v>88</v>
      </c>
      <c r="H728" t="s">
        <v>97</v>
      </c>
      <c r="I728">
        <v>2</v>
      </c>
      <c r="J728" s="2">
        <v>405.16</v>
      </c>
      <c r="K728" s="4">
        <v>0</v>
      </c>
      <c r="L728" t="s">
        <v>106</v>
      </c>
      <c r="M728">
        <v>1</v>
      </c>
      <c r="N728" t="s">
        <v>91</v>
      </c>
    </row>
    <row r="729" spans="1:14">
      <c r="A729" t="s">
        <v>514</v>
      </c>
      <c r="B729" s="3">
        <v>45913</v>
      </c>
      <c r="C729" t="s">
        <v>138</v>
      </c>
      <c r="D729" t="s">
        <v>157</v>
      </c>
      <c r="E729" t="s">
        <v>140</v>
      </c>
      <c r="F729" t="s">
        <v>103</v>
      </c>
      <c r="G729" t="s">
        <v>130</v>
      </c>
      <c r="H729" t="s">
        <v>97</v>
      </c>
      <c r="I729">
        <v>3</v>
      </c>
      <c r="J729" s="2">
        <v>305.98</v>
      </c>
      <c r="K729" s="4">
        <v>0.15</v>
      </c>
      <c r="L729" t="s">
        <v>106</v>
      </c>
      <c r="M729">
        <v>0</v>
      </c>
      <c r="N729" t="s">
        <v>91</v>
      </c>
    </row>
    <row r="730" spans="1:14">
      <c r="A730" t="s">
        <v>1011</v>
      </c>
      <c r="B730" s="3">
        <v>45746</v>
      </c>
      <c r="C730" t="s">
        <v>164</v>
      </c>
      <c r="D730" t="s">
        <v>101</v>
      </c>
      <c r="E730" t="s">
        <v>166</v>
      </c>
      <c r="F730" t="s">
        <v>87</v>
      </c>
      <c r="G730" t="s">
        <v>122</v>
      </c>
      <c r="H730" t="s">
        <v>89</v>
      </c>
      <c r="I730">
        <v>1</v>
      </c>
      <c r="J730" s="2">
        <v>298.7</v>
      </c>
      <c r="K730" s="4">
        <v>0</v>
      </c>
      <c r="L730" t="s">
        <v>504</v>
      </c>
      <c r="M730">
        <v>6</v>
      </c>
      <c r="N730" t="s">
        <v>91</v>
      </c>
    </row>
    <row r="731" spans="1:14">
      <c r="A731" t="s">
        <v>630</v>
      </c>
      <c r="B731" s="3">
        <v>45923</v>
      </c>
      <c r="C731" t="s">
        <v>257</v>
      </c>
      <c r="D731" t="s">
        <v>261</v>
      </c>
      <c r="E731" t="s">
        <v>258</v>
      </c>
      <c r="F731" t="s">
        <v>145</v>
      </c>
      <c r="G731" t="s">
        <v>96</v>
      </c>
      <c r="H731" t="s">
        <v>105</v>
      </c>
      <c r="I731">
        <v>3</v>
      </c>
      <c r="J731" s="2">
        <v>251.49</v>
      </c>
      <c r="K731" s="4">
        <v>0.15</v>
      </c>
      <c r="L731" t="s">
        <v>98</v>
      </c>
      <c r="M731">
        <v>6</v>
      </c>
      <c r="N731" t="s">
        <v>91</v>
      </c>
    </row>
    <row r="732" spans="1:14">
      <c r="A732" t="s">
        <v>971</v>
      </c>
      <c r="B732" s="3">
        <v>45669</v>
      </c>
      <c r="C732" t="s">
        <v>610</v>
      </c>
      <c r="D732" t="s">
        <v>231</v>
      </c>
      <c r="E732" t="s">
        <v>611</v>
      </c>
      <c r="F732" t="s">
        <v>103</v>
      </c>
      <c r="G732" t="s">
        <v>88</v>
      </c>
      <c r="H732" t="s">
        <v>89</v>
      </c>
      <c r="I732">
        <v>2</v>
      </c>
      <c r="J732" s="2">
        <v>370.98</v>
      </c>
      <c r="K732" s="4">
        <v>0.15</v>
      </c>
      <c r="L732" t="s">
        <v>106</v>
      </c>
      <c r="M732">
        <v>5</v>
      </c>
      <c r="N732" t="s">
        <v>91</v>
      </c>
    </row>
    <row r="733" spans="1:14">
      <c r="A733" t="s">
        <v>956</v>
      </c>
      <c r="B733" s="3">
        <v>45993</v>
      </c>
      <c r="C733" t="s">
        <v>500</v>
      </c>
      <c r="D733" t="s">
        <v>249</v>
      </c>
      <c r="E733" t="s">
        <v>501</v>
      </c>
      <c r="F733" t="s">
        <v>655</v>
      </c>
      <c r="G733" t="s">
        <v>117</v>
      </c>
      <c r="H733" t="s">
        <v>89</v>
      </c>
      <c r="I733">
        <v>2</v>
      </c>
      <c r="J733" s="2">
        <v>416.28</v>
      </c>
      <c r="K733" s="4">
        <v>0</v>
      </c>
      <c r="L733" t="s">
        <v>90</v>
      </c>
      <c r="M733">
        <v>9</v>
      </c>
      <c r="N733" t="s">
        <v>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C23" sqref="C23"/>
    </sheetView>
  </sheetViews>
  <sheetFormatPr baseColWidth="10" defaultColWidth="8.796875" defaultRowHeight="13.8"/>
  <cols>
    <col min="1" max="1" width="11.59765625" customWidth="1"/>
    <col min="2" max="4" width="22" customWidth="1"/>
    <col min="5" max="5" width="10.5" customWidth="1"/>
    <col min="6" max="6" width="10.19921875" customWidth="1"/>
    <col min="7" max="7" width="22" customWidth="1"/>
  </cols>
  <sheetData>
    <row r="1" spans="1:7">
      <c r="A1" s="1" t="s">
        <v>72</v>
      </c>
      <c r="B1" s="1" t="s">
        <v>1173</v>
      </c>
      <c r="C1" s="1" t="s">
        <v>1174</v>
      </c>
      <c r="D1" s="1" t="s">
        <v>1175</v>
      </c>
      <c r="E1" s="1" t="s">
        <v>1176</v>
      </c>
      <c r="F1" s="1" t="s">
        <v>1177</v>
      </c>
      <c r="G1" s="1" t="s">
        <v>1178</v>
      </c>
    </row>
    <row r="2" spans="1:7">
      <c r="A2" t="s">
        <v>277</v>
      </c>
      <c r="B2" t="s">
        <v>1179</v>
      </c>
      <c r="C2" t="s">
        <v>1180</v>
      </c>
      <c r="D2" t="s">
        <v>1179</v>
      </c>
      <c r="E2" s="2">
        <v>254.6</v>
      </c>
      <c r="F2" s="2">
        <v>371.99</v>
      </c>
      <c r="G2" t="s">
        <v>1181</v>
      </c>
    </row>
    <row r="3" spans="1:7">
      <c r="A3" t="s">
        <v>174</v>
      </c>
      <c r="B3" t="s">
        <v>1182</v>
      </c>
      <c r="C3" t="s">
        <v>1180</v>
      </c>
      <c r="D3" t="s">
        <v>1182</v>
      </c>
      <c r="E3" s="2">
        <v>23.5</v>
      </c>
      <c r="F3" s="2">
        <v>38.28</v>
      </c>
      <c r="G3" t="s">
        <v>1183</v>
      </c>
    </row>
    <row r="4" spans="1:7">
      <c r="A4" t="s">
        <v>136</v>
      </c>
      <c r="B4" t="s">
        <v>1184</v>
      </c>
      <c r="C4" t="s">
        <v>1180</v>
      </c>
      <c r="D4" t="s">
        <v>1184</v>
      </c>
      <c r="E4" s="2">
        <v>106.4</v>
      </c>
      <c r="F4" s="2">
        <v>159.54</v>
      </c>
      <c r="G4" t="s">
        <v>1185</v>
      </c>
    </row>
    <row r="5" spans="1:7">
      <c r="A5" t="s">
        <v>190</v>
      </c>
      <c r="B5" t="s">
        <v>1186</v>
      </c>
      <c r="C5" t="s">
        <v>1180</v>
      </c>
      <c r="D5" t="s">
        <v>1186</v>
      </c>
      <c r="E5" s="2">
        <v>154.72999999999999</v>
      </c>
      <c r="F5" s="2">
        <v>283.02999999999997</v>
      </c>
      <c r="G5" t="s">
        <v>1187</v>
      </c>
    </row>
    <row r="6" spans="1:7">
      <c r="A6" t="s">
        <v>244</v>
      </c>
      <c r="B6" t="s">
        <v>1188</v>
      </c>
      <c r="C6" t="s">
        <v>1180</v>
      </c>
      <c r="D6" t="s">
        <v>1188</v>
      </c>
      <c r="E6" s="2">
        <v>131.19</v>
      </c>
      <c r="F6" s="2">
        <v>238.63</v>
      </c>
      <c r="G6" t="s">
        <v>1187</v>
      </c>
    </row>
    <row r="7" spans="1:7">
      <c r="A7" t="s">
        <v>217</v>
      </c>
      <c r="B7" t="s">
        <v>1189</v>
      </c>
      <c r="C7" t="s">
        <v>1180</v>
      </c>
      <c r="D7" t="s">
        <v>1189</v>
      </c>
      <c r="E7" s="2">
        <v>72</v>
      </c>
      <c r="F7" s="2">
        <v>105.52</v>
      </c>
      <c r="G7" t="s">
        <v>1185</v>
      </c>
    </row>
    <row r="8" spans="1:7">
      <c r="A8" t="s">
        <v>181</v>
      </c>
      <c r="B8" t="s">
        <v>1190</v>
      </c>
      <c r="C8" t="s">
        <v>1180</v>
      </c>
      <c r="D8" t="s">
        <v>1190</v>
      </c>
      <c r="E8" s="2">
        <v>224.47</v>
      </c>
      <c r="F8" s="2">
        <v>356.28</v>
      </c>
      <c r="G8" t="s">
        <v>1181</v>
      </c>
    </row>
    <row r="9" spans="1:7">
      <c r="A9" t="s">
        <v>152</v>
      </c>
      <c r="B9" t="s">
        <v>1191</v>
      </c>
      <c r="C9" t="s">
        <v>1180</v>
      </c>
      <c r="D9" t="s">
        <v>1191</v>
      </c>
      <c r="E9" s="2">
        <v>69</v>
      </c>
      <c r="F9" s="2">
        <v>134.37</v>
      </c>
      <c r="G9" t="s">
        <v>1183</v>
      </c>
    </row>
    <row r="10" spans="1:7">
      <c r="A10" t="s">
        <v>157</v>
      </c>
      <c r="B10" t="s">
        <v>1192</v>
      </c>
      <c r="C10" t="s">
        <v>1193</v>
      </c>
      <c r="D10" t="s">
        <v>1192</v>
      </c>
      <c r="E10" s="2">
        <v>176.13</v>
      </c>
      <c r="F10" s="2">
        <v>293.49</v>
      </c>
      <c r="G10" t="s">
        <v>1181</v>
      </c>
    </row>
    <row r="11" spans="1:7">
      <c r="A11" t="s">
        <v>226</v>
      </c>
      <c r="B11" t="s">
        <v>1194</v>
      </c>
      <c r="C11" t="s">
        <v>1193</v>
      </c>
      <c r="D11" t="s">
        <v>1194</v>
      </c>
      <c r="E11" s="2">
        <v>127.21</v>
      </c>
      <c r="F11" s="2">
        <v>216.81</v>
      </c>
      <c r="G11" t="s">
        <v>1181</v>
      </c>
    </row>
    <row r="12" spans="1:7">
      <c r="A12" t="s">
        <v>149</v>
      </c>
      <c r="B12" t="s">
        <v>1195</v>
      </c>
      <c r="C12" t="s">
        <v>1193</v>
      </c>
      <c r="D12" t="s">
        <v>1195</v>
      </c>
      <c r="E12" s="2">
        <v>39.26</v>
      </c>
      <c r="F12" s="2">
        <v>80.98</v>
      </c>
      <c r="G12" t="s">
        <v>1181</v>
      </c>
    </row>
    <row r="13" spans="1:7">
      <c r="A13" t="s">
        <v>139</v>
      </c>
      <c r="B13" t="s">
        <v>1196</v>
      </c>
      <c r="C13" t="s">
        <v>1193</v>
      </c>
      <c r="D13" t="s">
        <v>1196</v>
      </c>
      <c r="E13" s="2">
        <v>45.17</v>
      </c>
      <c r="F13" s="2">
        <v>81.83</v>
      </c>
      <c r="G13" t="s">
        <v>1183</v>
      </c>
    </row>
    <row r="14" spans="1:7">
      <c r="A14" t="s">
        <v>503</v>
      </c>
      <c r="B14" t="s">
        <v>1197</v>
      </c>
      <c r="C14" t="s">
        <v>1193</v>
      </c>
      <c r="D14" t="s">
        <v>1197</v>
      </c>
      <c r="E14" s="2">
        <v>85.73</v>
      </c>
      <c r="F14" s="2">
        <v>123.12</v>
      </c>
      <c r="G14" t="s">
        <v>1181</v>
      </c>
    </row>
    <row r="15" spans="1:7">
      <c r="A15" t="s">
        <v>255</v>
      </c>
      <c r="B15" t="s">
        <v>1198</v>
      </c>
      <c r="C15" t="s">
        <v>1193</v>
      </c>
      <c r="D15" t="s">
        <v>1198</v>
      </c>
      <c r="E15" s="2">
        <v>117.65</v>
      </c>
      <c r="F15" s="2">
        <v>237.96</v>
      </c>
      <c r="G15" t="s">
        <v>1187</v>
      </c>
    </row>
    <row r="16" spans="1:7">
      <c r="A16" t="s">
        <v>120</v>
      </c>
      <c r="B16" t="s">
        <v>1199</v>
      </c>
      <c r="C16" t="s">
        <v>1193</v>
      </c>
      <c r="D16" t="s">
        <v>1199</v>
      </c>
      <c r="E16" s="2">
        <v>235.76</v>
      </c>
      <c r="F16" s="2">
        <v>381.14</v>
      </c>
      <c r="G16" t="s">
        <v>1200</v>
      </c>
    </row>
    <row r="17" spans="1:7">
      <c r="A17" t="s">
        <v>738</v>
      </c>
      <c r="B17" t="s">
        <v>1201</v>
      </c>
      <c r="C17" t="s">
        <v>1193</v>
      </c>
      <c r="D17" t="s">
        <v>1201</v>
      </c>
      <c r="E17" s="2">
        <v>156.75</v>
      </c>
      <c r="F17" s="2">
        <v>321.82</v>
      </c>
      <c r="G17" t="s">
        <v>1187</v>
      </c>
    </row>
    <row r="18" spans="1:7">
      <c r="A18" t="s">
        <v>520</v>
      </c>
      <c r="B18" t="s">
        <v>1202</v>
      </c>
      <c r="C18" t="s">
        <v>1203</v>
      </c>
      <c r="D18" t="s">
        <v>1202</v>
      </c>
      <c r="E18" s="2">
        <v>241.16</v>
      </c>
      <c r="F18" s="2">
        <v>369.21</v>
      </c>
      <c r="G18" t="s">
        <v>1187</v>
      </c>
    </row>
    <row r="19" spans="1:7">
      <c r="A19" t="s">
        <v>221</v>
      </c>
      <c r="B19" t="s">
        <v>1204</v>
      </c>
      <c r="C19" t="s">
        <v>1203</v>
      </c>
      <c r="D19" t="s">
        <v>1204</v>
      </c>
      <c r="E19" s="2">
        <v>14.58</v>
      </c>
      <c r="F19" s="2">
        <v>30.33</v>
      </c>
      <c r="G19" t="s">
        <v>1185</v>
      </c>
    </row>
    <row r="20" spans="1:7">
      <c r="A20" t="s">
        <v>252</v>
      </c>
      <c r="B20" t="s">
        <v>1205</v>
      </c>
      <c r="C20" t="s">
        <v>1203</v>
      </c>
      <c r="D20" t="s">
        <v>1205</v>
      </c>
      <c r="E20" s="2">
        <v>186.94</v>
      </c>
      <c r="F20" s="2">
        <v>269.35000000000002</v>
      </c>
      <c r="G20" t="s">
        <v>1200</v>
      </c>
    </row>
    <row r="21" spans="1:7">
      <c r="A21" t="s">
        <v>360</v>
      </c>
      <c r="B21" t="s">
        <v>1206</v>
      </c>
      <c r="C21" t="s">
        <v>1203</v>
      </c>
      <c r="D21" t="s">
        <v>1206</v>
      </c>
      <c r="E21" s="2">
        <v>37.46</v>
      </c>
      <c r="F21" s="2">
        <v>66</v>
      </c>
      <c r="G21" t="s">
        <v>1185</v>
      </c>
    </row>
    <row r="22" spans="1:7">
      <c r="A22" t="s">
        <v>101</v>
      </c>
      <c r="B22" t="s">
        <v>1207</v>
      </c>
      <c r="C22" t="s">
        <v>1203</v>
      </c>
      <c r="D22" t="s">
        <v>1207</v>
      </c>
      <c r="E22" s="2">
        <v>139.86000000000001</v>
      </c>
      <c r="F22" s="2">
        <v>303.60000000000002</v>
      </c>
      <c r="G22" t="s">
        <v>1183</v>
      </c>
    </row>
    <row r="23" spans="1:7">
      <c r="A23" t="s">
        <v>249</v>
      </c>
      <c r="B23" t="s">
        <v>1208</v>
      </c>
      <c r="C23" t="s">
        <v>1203</v>
      </c>
      <c r="D23" t="s">
        <v>1208</v>
      </c>
      <c r="E23" s="2">
        <v>239.67</v>
      </c>
      <c r="F23" s="2">
        <v>418.59</v>
      </c>
      <c r="G23" t="s">
        <v>1183</v>
      </c>
    </row>
    <row r="24" spans="1:7">
      <c r="A24" t="s">
        <v>323</v>
      </c>
      <c r="B24" t="s">
        <v>1209</v>
      </c>
      <c r="C24" t="s">
        <v>1203</v>
      </c>
      <c r="D24" t="s">
        <v>1209</v>
      </c>
      <c r="E24" s="2">
        <v>152.88</v>
      </c>
      <c r="F24" s="2">
        <v>332.07</v>
      </c>
      <c r="G24" t="s">
        <v>1185</v>
      </c>
    </row>
    <row r="25" spans="1:7">
      <c r="A25" t="s">
        <v>165</v>
      </c>
      <c r="B25" t="s">
        <v>1210</v>
      </c>
      <c r="C25" t="s">
        <v>1203</v>
      </c>
      <c r="D25" t="s">
        <v>1210</v>
      </c>
      <c r="E25" s="2">
        <v>46.07</v>
      </c>
      <c r="F25" s="2">
        <v>102.24</v>
      </c>
      <c r="G25" t="s">
        <v>1185</v>
      </c>
    </row>
    <row r="26" spans="1:7">
      <c r="A26" t="s">
        <v>85</v>
      </c>
      <c r="B26" t="s">
        <v>1211</v>
      </c>
      <c r="C26" t="s">
        <v>1212</v>
      </c>
      <c r="D26" t="s">
        <v>1211</v>
      </c>
      <c r="E26" s="2">
        <v>197.33</v>
      </c>
      <c r="F26" s="2">
        <v>309.06</v>
      </c>
      <c r="G26" t="s">
        <v>1185</v>
      </c>
    </row>
    <row r="27" spans="1:7">
      <c r="A27" t="s">
        <v>271</v>
      </c>
      <c r="B27" t="s">
        <v>1213</v>
      </c>
      <c r="C27" t="s">
        <v>1212</v>
      </c>
      <c r="D27" t="s">
        <v>1213</v>
      </c>
      <c r="E27" s="2">
        <v>139.19999999999999</v>
      </c>
      <c r="F27" s="2">
        <v>225.34</v>
      </c>
      <c r="G27" t="s">
        <v>1183</v>
      </c>
    </row>
    <row r="28" spans="1:7">
      <c r="A28" t="s">
        <v>125</v>
      </c>
      <c r="B28" t="s">
        <v>1214</v>
      </c>
      <c r="C28" t="s">
        <v>1212</v>
      </c>
      <c r="D28" t="s">
        <v>1214</v>
      </c>
      <c r="E28" s="2">
        <v>25.97</v>
      </c>
      <c r="F28" s="2">
        <v>57.41</v>
      </c>
      <c r="G28" t="s">
        <v>1183</v>
      </c>
    </row>
    <row r="29" spans="1:7">
      <c r="A29" t="s">
        <v>418</v>
      </c>
      <c r="B29" t="s">
        <v>1215</v>
      </c>
      <c r="C29" t="s">
        <v>1212</v>
      </c>
      <c r="D29" t="s">
        <v>1215</v>
      </c>
      <c r="E29" s="2">
        <v>212.02</v>
      </c>
      <c r="F29" s="2">
        <v>357.33</v>
      </c>
      <c r="G29" t="s">
        <v>1200</v>
      </c>
    </row>
    <row r="30" spans="1:7">
      <c r="A30" t="s">
        <v>194</v>
      </c>
      <c r="B30" t="s">
        <v>1216</v>
      </c>
      <c r="C30" t="s">
        <v>1212</v>
      </c>
      <c r="D30" t="s">
        <v>1216</v>
      </c>
      <c r="E30" s="2">
        <v>101</v>
      </c>
      <c r="F30" s="2">
        <v>201.7</v>
      </c>
      <c r="G30" t="s">
        <v>1183</v>
      </c>
    </row>
    <row r="31" spans="1:7">
      <c r="A31" t="s">
        <v>346</v>
      </c>
      <c r="B31" t="s">
        <v>1217</v>
      </c>
      <c r="C31" t="s">
        <v>1212</v>
      </c>
      <c r="D31" t="s">
        <v>1217</v>
      </c>
      <c r="E31" s="2">
        <v>125.4</v>
      </c>
      <c r="F31" s="2">
        <v>246.06</v>
      </c>
      <c r="G31" t="s">
        <v>1185</v>
      </c>
    </row>
    <row r="32" spans="1:7">
      <c r="A32" t="s">
        <v>261</v>
      </c>
      <c r="B32" t="s">
        <v>1218</v>
      </c>
      <c r="C32" t="s">
        <v>1212</v>
      </c>
      <c r="D32" t="s">
        <v>1218</v>
      </c>
      <c r="E32" s="2">
        <v>131.72999999999999</v>
      </c>
      <c r="F32" s="2">
        <v>251.57</v>
      </c>
      <c r="G32" t="s">
        <v>1200</v>
      </c>
    </row>
    <row r="33" spans="1:7">
      <c r="A33" t="s">
        <v>109</v>
      </c>
      <c r="B33" t="s">
        <v>1219</v>
      </c>
      <c r="C33" t="s">
        <v>1212</v>
      </c>
      <c r="D33" t="s">
        <v>1219</v>
      </c>
      <c r="E33" s="2">
        <v>132.72</v>
      </c>
      <c r="F33" s="2">
        <v>200.72</v>
      </c>
      <c r="G33" t="s">
        <v>1181</v>
      </c>
    </row>
    <row r="34" spans="1:7">
      <c r="A34" t="s">
        <v>94</v>
      </c>
      <c r="B34" t="s">
        <v>1220</v>
      </c>
      <c r="C34" t="s">
        <v>1221</v>
      </c>
      <c r="D34" t="s">
        <v>1220</v>
      </c>
      <c r="E34" s="2">
        <v>152.55000000000001</v>
      </c>
      <c r="F34" s="2">
        <v>306.23</v>
      </c>
      <c r="G34" t="s">
        <v>1185</v>
      </c>
    </row>
    <row r="35" spans="1:7">
      <c r="A35" t="s">
        <v>114</v>
      </c>
      <c r="B35" t="s">
        <v>1222</v>
      </c>
      <c r="C35" t="s">
        <v>1221</v>
      </c>
      <c r="D35" t="s">
        <v>1222</v>
      </c>
      <c r="E35" s="2">
        <v>78.95</v>
      </c>
      <c r="F35" s="2">
        <v>144.54</v>
      </c>
      <c r="G35" t="s">
        <v>1200</v>
      </c>
    </row>
    <row r="36" spans="1:7">
      <c r="A36" t="s">
        <v>469</v>
      </c>
      <c r="B36" t="s">
        <v>1223</v>
      </c>
      <c r="C36" t="s">
        <v>1221</v>
      </c>
      <c r="D36" t="s">
        <v>1223</v>
      </c>
      <c r="E36" s="2">
        <v>59.85</v>
      </c>
      <c r="F36" s="2">
        <v>85.31</v>
      </c>
      <c r="G36" t="s">
        <v>1185</v>
      </c>
    </row>
    <row r="37" spans="1:7">
      <c r="A37" t="s">
        <v>303</v>
      </c>
      <c r="B37" t="s">
        <v>1224</v>
      </c>
      <c r="C37" t="s">
        <v>1221</v>
      </c>
      <c r="D37" t="s">
        <v>1224</v>
      </c>
      <c r="E37" s="2">
        <v>76.97</v>
      </c>
      <c r="F37" s="2">
        <v>160.31</v>
      </c>
      <c r="G37" t="s">
        <v>1183</v>
      </c>
    </row>
    <row r="38" spans="1:7">
      <c r="A38" t="s">
        <v>231</v>
      </c>
      <c r="B38" t="s">
        <v>1225</v>
      </c>
      <c r="C38" t="s">
        <v>1221</v>
      </c>
      <c r="D38" t="s">
        <v>1225</v>
      </c>
      <c r="E38" s="2">
        <v>200.16</v>
      </c>
      <c r="F38" s="2">
        <v>351.38</v>
      </c>
      <c r="G38" t="s">
        <v>1183</v>
      </c>
    </row>
    <row r="39" spans="1:7">
      <c r="A39" t="s">
        <v>143</v>
      </c>
      <c r="B39" t="s">
        <v>1226</v>
      </c>
      <c r="C39" t="s">
        <v>1221</v>
      </c>
      <c r="D39" t="s">
        <v>1226</v>
      </c>
      <c r="E39" s="2">
        <v>119.16</v>
      </c>
      <c r="F39" s="2">
        <v>261.93</v>
      </c>
      <c r="G39" t="s">
        <v>1187</v>
      </c>
    </row>
    <row r="40" spans="1:7">
      <c r="A40" t="s">
        <v>133</v>
      </c>
      <c r="B40" t="s">
        <v>1227</v>
      </c>
      <c r="C40" t="s">
        <v>1221</v>
      </c>
      <c r="D40" t="s">
        <v>1227</v>
      </c>
      <c r="E40" s="2">
        <v>229.86</v>
      </c>
      <c r="F40" s="2">
        <v>343.22</v>
      </c>
      <c r="G40" t="s">
        <v>1187</v>
      </c>
    </row>
    <row r="41" spans="1:7">
      <c r="A41" t="s">
        <v>210</v>
      </c>
      <c r="B41" t="s">
        <v>1228</v>
      </c>
      <c r="C41" t="s">
        <v>1221</v>
      </c>
      <c r="D41" t="s">
        <v>1228</v>
      </c>
      <c r="E41" s="2">
        <v>177.57</v>
      </c>
      <c r="F41" s="2">
        <v>308.7</v>
      </c>
      <c r="G41" t="s">
        <v>1187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
  <sheetViews>
    <sheetView workbookViewId="0"/>
  </sheetViews>
  <sheetFormatPr baseColWidth="10" defaultColWidth="8.796875" defaultRowHeight="13.8"/>
  <cols>
    <col min="1" max="1" width="13" customWidth="1"/>
    <col min="2" max="2" width="22" customWidth="1"/>
    <col min="3" max="3" width="9.59765625" customWidth="1"/>
    <col min="4" max="4" width="12.69921875" customWidth="1"/>
    <col min="5" max="5" width="11.3984375" customWidth="1"/>
    <col min="6" max="6" width="12.59765625" customWidth="1"/>
  </cols>
  <sheetData>
    <row r="1" spans="1:6">
      <c r="A1" s="1" t="s">
        <v>71</v>
      </c>
      <c r="B1" s="1" t="s">
        <v>1229</v>
      </c>
      <c r="C1" s="1" t="s">
        <v>1230</v>
      </c>
      <c r="D1" s="1" t="s">
        <v>1231</v>
      </c>
      <c r="E1" s="1" t="s">
        <v>1232</v>
      </c>
      <c r="F1" s="1" t="s">
        <v>1233</v>
      </c>
    </row>
    <row r="2" spans="1:6">
      <c r="A2" t="s">
        <v>213</v>
      </c>
      <c r="B2" t="s">
        <v>1234</v>
      </c>
      <c r="C2" t="s">
        <v>1235</v>
      </c>
      <c r="D2" t="s">
        <v>1236</v>
      </c>
      <c r="E2" t="s">
        <v>1237</v>
      </c>
      <c r="F2" s="3">
        <v>45137</v>
      </c>
    </row>
    <row r="3" spans="1:6">
      <c r="A3" t="s">
        <v>142</v>
      </c>
      <c r="B3" t="s">
        <v>1238</v>
      </c>
      <c r="C3" t="s">
        <v>1239</v>
      </c>
      <c r="D3" t="s">
        <v>1240</v>
      </c>
      <c r="E3" t="s">
        <v>1241</v>
      </c>
      <c r="F3" s="3">
        <v>45495</v>
      </c>
    </row>
    <row r="4" spans="1:6">
      <c r="A4" t="s">
        <v>100</v>
      </c>
      <c r="B4" t="s">
        <v>1242</v>
      </c>
      <c r="C4" t="s">
        <v>1243</v>
      </c>
      <c r="D4" t="s">
        <v>1244</v>
      </c>
      <c r="E4" t="s">
        <v>1245</v>
      </c>
      <c r="F4" s="3">
        <v>45390</v>
      </c>
    </row>
    <row r="5" spans="1:6">
      <c r="A5" t="s">
        <v>597</v>
      </c>
      <c r="B5" t="s">
        <v>1246</v>
      </c>
      <c r="C5" t="s">
        <v>1247</v>
      </c>
      <c r="D5" t="s">
        <v>1240</v>
      </c>
      <c r="E5" t="s">
        <v>1237</v>
      </c>
      <c r="F5" s="3">
        <v>45188</v>
      </c>
    </row>
    <row r="6" spans="1:6">
      <c r="A6" t="s">
        <v>209</v>
      </c>
      <c r="B6" t="s">
        <v>1248</v>
      </c>
      <c r="C6" t="s">
        <v>1249</v>
      </c>
      <c r="D6" t="s">
        <v>1250</v>
      </c>
      <c r="E6" t="s">
        <v>1237</v>
      </c>
      <c r="F6" s="3">
        <v>45549</v>
      </c>
    </row>
    <row r="7" spans="1:6">
      <c r="A7" t="s">
        <v>706</v>
      </c>
      <c r="B7" t="s">
        <v>1251</v>
      </c>
      <c r="C7" t="s">
        <v>1247</v>
      </c>
      <c r="D7" t="s">
        <v>1240</v>
      </c>
      <c r="E7" t="s">
        <v>1237</v>
      </c>
      <c r="F7" s="3">
        <v>45458</v>
      </c>
    </row>
    <row r="8" spans="1:6">
      <c r="A8" t="s">
        <v>293</v>
      </c>
      <c r="B8" t="s">
        <v>1252</v>
      </c>
      <c r="C8" t="s">
        <v>1243</v>
      </c>
      <c r="D8" t="s">
        <v>1244</v>
      </c>
      <c r="E8" t="s">
        <v>1237</v>
      </c>
      <c r="F8" s="3">
        <v>45036</v>
      </c>
    </row>
    <row r="9" spans="1:6">
      <c r="A9" t="s">
        <v>356</v>
      </c>
      <c r="B9" t="s">
        <v>1253</v>
      </c>
      <c r="C9" t="s">
        <v>1249</v>
      </c>
      <c r="D9" t="s">
        <v>1250</v>
      </c>
      <c r="E9" t="s">
        <v>1237</v>
      </c>
      <c r="F9" s="3">
        <v>45606</v>
      </c>
    </row>
    <row r="10" spans="1:6">
      <c r="A10" t="s">
        <v>386</v>
      </c>
      <c r="B10" t="s">
        <v>1254</v>
      </c>
      <c r="C10" t="s">
        <v>1255</v>
      </c>
      <c r="D10" t="s">
        <v>1244</v>
      </c>
      <c r="E10" t="s">
        <v>1245</v>
      </c>
      <c r="F10" s="3">
        <v>45358</v>
      </c>
    </row>
    <row r="11" spans="1:6">
      <c r="A11" t="s">
        <v>402</v>
      </c>
      <c r="B11" t="s">
        <v>1256</v>
      </c>
      <c r="C11" t="s">
        <v>1257</v>
      </c>
      <c r="D11" t="s">
        <v>1258</v>
      </c>
      <c r="E11" t="s">
        <v>1245</v>
      </c>
      <c r="F11" s="3">
        <v>45569</v>
      </c>
    </row>
    <row r="12" spans="1:6">
      <c r="A12" t="s">
        <v>644</v>
      </c>
      <c r="B12" t="s">
        <v>1259</v>
      </c>
      <c r="C12" t="s">
        <v>1260</v>
      </c>
      <c r="D12" t="s">
        <v>1240</v>
      </c>
      <c r="E12" t="s">
        <v>1237</v>
      </c>
      <c r="F12" s="3">
        <v>44954</v>
      </c>
    </row>
    <row r="13" spans="1:6">
      <c r="A13" t="s">
        <v>248</v>
      </c>
      <c r="B13" t="s">
        <v>1261</v>
      </c>
      <c r="C13" t="s">
        <v>1257</v>
      </c>
      <c r="D13" t="s">
        <v>1258</v>
      </c>
      <c r="E13" t="s">
        <v>1245</v>
      </c>
      <c r="F13" s="3">
        <v>44961</v>
      </c>
    </row>
    <row r="14" spans="1:6">
      <c r="A14" t="s">
        <v>319</v>
      </c>
      <c r="B14" t="s">
        <v>1262</v>
      </c>
      <c r="C14" t="s">
        <v>1260</v>
      </c>
      <c r="D14" t="s">
        <v>1240</v>
      </c>
      <c r="E14" t="s">
        <v>1241</v>
      </c>
      <c r="F14" s="3">
        <v>45608</v>
      </c>
    </row>
    <row r="15" spans="1:6">
      <c r="A15" t="s">
        <v>151</v>
      </c>
      <c r="B15" t="s">
        <v>1263</v>
      </c>
      <c r="C15" t="s">
        <v>1239</v>
      </c>
      <c r="D15" t="s">
        <v>1240</v>
      </c>
      <c r="E15" t="s">
        <v>1241</v>
      </c>
      <c r="F15" s="3">
        <v>45084</v>
      </c>
    </row>
    <row r="16" spans="1:6">
      <c r="A16" t="s">
        <v>128</v>
      </c>
      <c r="B16" t="s">
        <v>1264</v>
      </c>
      <c r="C16" t="s">
        <v>1235</v>
      </c>
      <c r="D16" t="s">
        <v>1236</v>
      </c>
      <c r="E16" t="s">
        <v>1237</v>
      </c>
      <c r="F16" s="3">
        <v>45093</v>
      </c>
    </row>
    <row r="17" spans="1:6">
      <c r="A17" t="s">
        <v>300</v>
      </c>
      <c r="B17" t="s">
        <v>1265</v>
      </c>
      <c r="C17" t="s">
        <v>1249</v>
      </c>
      <c r="D17" t="s">
        <v>1250</v>
      </c>
      <c r="E17" t="s">
        <v>1237</v>
      </c>
      <c r="F17" s="3">
        <v>45472</v>
      </c>
    </row>
    <row r="18" spans="1:6">
      <c r="A18" t="s">
        <v>494</v>
      </c>
      <c r="B18" t="s">
        <v>1266</v>
      </c>
      <c r="C18" t="s">
        <v>1255</v>
      </c>
      <c r="D18" t="s">
        <v>1244</v>
      </c>
      <c r="E18" t="s">
        <v>1245</v>
      </c>
      <c r="F18" s="3">
        <v>45644</v>
      </c>
    </row>
    <row r="19" spans="1:6">
      <c r="A19" t="s">
        <v>472</v>
      </c>
      <c r="B19" t="s">
        <v>1267</v>
      </c>
      <c r="C19" t="s">
        <v>1247</v>
      </c>
      <c r="D19" t="s">
        <v>1240</v>
      </c>
      <c r="E19" t="s">
        <v>1241</v>
      </c>
      <c r="F19" s="3">
        <v>45283</v>
      </c>
    </row>
    <row r="20" spans="1:6">
      <c r="A20" t="s">
        <v>695</v>
      </c>
      <c r="B20" t="s">
        <v>1268</v>
      </c>
      <c r="C20" t="s">
        <v>1239</v>
      </c>
      <c r="D20" t="s">
        <v>1240</v>
      </c>
      <c r="E20" t="s">
        <v>1241</v>
      </c>
      <c r="F20" s="3">
        <v>45418</v>
      </c>
    </row>
    <row r="21" spans="1:6">
      <c r="A21" t="s">
        <v>265</v>
      </c>
      <c r="B21" t="s">
        <v>1269</v>
      </c>
      <c r="C21" t="s">
        <v>1255</v>
      </c>
      <c r="D21" t="s">
        <v>1244</v>
      </c>
      <c r="E21" t="s">
        <v>1237</v>
      </c>
      <c r="F21" s="3">
        <v>45189</v>
      </c>
    </row>
    <row r="22" spans="1:6">
      <c r="A22" t="s">
        <v>124</v>
      </c>
      <c r="B22" t="s">
        <v>1270</v>
      </c>
      <c r="C22" t="s">
        <v>1235</v>
      </c>
      <c r="D22" t="s">
        <v>1236</v>
      </c>
      <c r="E22" t="s">
        <v>1245</v>
      </c>
      <c r="F22" s="3">
        <v>45207</v>
      </c>
    </row>
    <row r="23" spans="1:6">
      <c r="A23" t="s">
        <v>497</v>
      </c>
      <c r="B23" t="s">
        <v>1271</v>
      </c>
      <c r="C23" t="s">
        <v>1257</v>
      </c>
      <c r="D23" t="s">
        <v>1258</v>
      </c>
      <c r="E23" t="s">
        <v>1237</v>
      </c>
      <c r="F23" s="3">
        <v>45404</v>
      </c>
    </row>
    <row r="24" spans="1:6">
      <c r="A24" t="s">
        <v>193</v>
      </c>
      <c r="B24" t="s">
        <v>1272</v>
      </c>
      <c r="C24" t="s">
        <v>1243</v>
      </c>
      <c r="D24" t="s">
        <v>1244</v>
      </c>
      <c r="E24" t="s">
        <v>1241</v>
      </c>
      <c r="F24" s="3">
        <v>45369</v>
      </c>
    </row>
    <row r="25" spans="1:6">
      <c r="A25" t="s">
        <v>637</v>
      </c>
      <c r="B25" t="s">
        <v>1273</v>
      </c>
      <c r="C25" t="s">
        <v>1255</v>
      </c>
      <c r="D25" t="s">
        <v>1244</v>
      </c>
      <c r="E25" t="s">
        <v>1237</v>
      </c>
      <c r="F25" s="3">
        <v>45455</v>
      </c>
    </row>
    <row r="26" spans="1:6">
      <c r="A26" t="s">
        <v>363</v>
      </c>
      <c r="B26" t="s">
        <v>1274</v>
      </c>
      <c r="C26" t="s">
        <v>1275</v>
      </c>
      <c r="D26" t="s">
        <v>1258</v>
      </c>
      <c r="E26" t="s">
        <v>1245</v>
      </c>
      <c r="F26" s="3">
        <v>45083</v>
      </c>
    </row>
    <row r="27" spans="1:6">
      <c r="A27" t="s">
        <v>851</v>
      </c>
      <c r="B27" t="s">
        <v>1276</v>
      </c>
      <c r="C27" t="s">
        <v>1275</v>
      </c>
      <c r="D27" t="s">
        <v>1258</v>
      </c>
      <c r="E27" t="s">
        <v>1245</v>
      </c>
      <c r="F27" s="3">
        <v>45174</v>
      </c>
    </row>
    <row r="28" spans="1:6">
      <c r="A28" t="s">
        <v>594</v>
      </c>
      <c r="B28" t="s">
        <v>1251</v>
      </c>
      <c r="C28" t="s">
        <v>1277</v>
      </c>
      <c r="D28" t="s">
        <v>1244</v>
      </c>
      <c r="E28" t="s">
        <v>1241</v>
      </c>
      <c r="F28" s="3">
        <v>45541</v>
      </c>
    </row>
    <row r="29" spans="1:6">
      <c r="A29" t="s">
        <v>438</v>
      </c>
      <c r="B29" t="s">
        <v>1278</v>
      </c>
      <c r="C29" t="s">
        <v>1257</v>
      </c>
      <c r="D29" t="s">
        <v>1258</v>
      </c>
      <c r="E29" t="s">
        <v>1237</v>
      </c>
      <c r="F29" s="3">
        <v>45428</v>
      </c>
    </row>
    <row r="30" spans="1:6">
      <c r="A30" t="s">
        <v>203</v>
      </c>
      <c r="B30" t="s">
        <v>1279</v>
      </c>
      <c r="C30" t="s">
        <v>1257</v>
      </c>
      <c r="D30" t="s">
        <v>1258</v>
      </c>
      <c r="E30" t="s">
        <v>1237</v>
      </c>
      <c r="F30" s="3">
        <v>45323</v>
      </c>
    </row>
    <row r="31" spans="1:6">
      <c r="A31" t="s">
        <v>463</v>
      </c>
      <c r="B31" t="s">
        <v>1280</v>
      </c>
      <c r="C31" t="s">
        <v>1249</v>
      </c>
      <c r="D31" t="s">
        <v>1250</v>
      </c>
      <c r="E31" t="s">
        <v>1245</v>
      </c>
      <c r="F31" s="3">
        <v>45602</v>
      </c>
    </row>
    <row r="32" spans="1:6">
      <c r="A32" t="s">
        <v>543</v>
      </c>
      <c r="B32" t="s">
        <v>1281</v>
      </c>
      <c r="C32" t="s">
        <v>1275</v>
      </c>
      <c r="D32" t="s">
        <v>1258</v>
      </c>
      <c r="E32" t="s">
        <v>1241</v>
      </c>
      <c r="F32" s="3">
        <v>45211</v>
      </c>
    </row>
    <row r="33" spans="1:6">
      <c r="A33" t="s">
        <v>164</v>
      </c>
      <c r="B33" t="s">
        <v>1282</v>
      </c>
      <c r="C33" t="s">
        <v>1275</v>
      </c>
      <c r="D33" t="s">
        <v>1258</v>
      </c>
      <c r="E33" t="s">
        <v>1237</v>
      </c>
      <c r="F33" s="3">
        <v>45286</v>
      </c>
    </row>
    <row r="34" spans="1:6">
      <c r="A34" t="s">
        <v>283</v>
      </c>
      <c r="B34" t="s">
        <v>1283</v>
      </c>
      <c r="C34" t="s">
        <v>1284</v>
      </c>
      <c r="D34" t="s">
        <v>1285</v>
      </c>
      <c r="E34" t="s">
        <v>1237</v>
      </c>
      <c r="F34" s="3">
        <v>45445</v>
      </c>
    </row>
    <row r="35" spans="1:6">
      <c r="A35" t="s">
        <v>758</v>
      </c>
      <c r="B35" t="s">
        <v>1286</v>
      </c>
      <c r="C35" t="s">
        <v>1277</v>
      </c>
      <c r="D35" t="s">
        <v>1244</v>
      </c>
      <c r="E35" t="s">
        <v>1245</v>
      </c>
      <c r="F35" s="3">
        <v>45428</v>
      </c>
    </row>
    <row r="36" spans="1:6">
      <c r="A36" t="s">
        <v>374</v>
      </c>
      <c r="B36" t="s">
        <v>1287</v>
      </c>
      <c r="C36" t="s">
        <v>1288</v>
      </c>
      <c r="D36" t="s">
        <v>1250</v>
      </c>
      <c r="E36" t="s">
        <v>1241</v>
      </c>
      <c r="F36" s="3">
        <v>45330</v>
      </c>
    </row>
    <row r="37" spans="1:6">
      <c r="A37" t="s">
        <v>185</v>
      </c>
      <c r="B37" t="s">
        <v>1289</v>
      </c>
      <c r="C37" t="s">
        <v>1239</v>
      </c>
      <c r="D37" t="s">
        <v>1240</v>
      </c>
      <c r="E37" t="s">
        <v>1245</v>
      </c>
      <c r="F37" s="3">
        <v>45158</v>
      </c>
    </row>
    <row r="38" spans="1:6">
      <c r="A38" t="s">
        <v>335</v>
      </c>
      <c r="B38" t="s">
        <v>1290</v>
      </c>
      <c r="C38" t="s">
        <v>1257</v>
      </c>
      <c r="D38" t="s">
        <v>1258</v>
      </c>
      <c r="E38" t="s">
        <v>1241</v>
      </c>
      <c r="F38" s="3">
        <v>45136</v>
      </c>
    </row>
    <row r="39" spans="1:6">
      <c r="A39" t="s">
        <v>406</v>
      </c>
      <c r="B39" t="s">
        <v>1291</v>
      </c>
      <c r="C39" t="s">
        <v>1239</v>
      </c>
      <c r="D39" t="s">
        <v>1240</v>
      </c>
      <c r="E39" t="s">
        <v>1237</v>
      </c>
      <c r="F39" s="3">
        <v>45147</v>
      </c>
    </row>
    <row r="40" spans="1:6">
      <c r="A40" t="s">
        <v>536</v>
      </c>
      <c r="B40" t="s">
        <v>1289</v>
      </c>
      <c r="C40" t="s">
        <v>1235</v>
      </c>
      <c r="D40" t="s">
        <v>1236</v>
      </c>
      <c r="E40" t="s">
        <v>1237</v>
      </c>
      <c r="F40" s="3">
        <v>45372</v>
      </c>
    </row>
    <row r="41" spans="1:6">
      <c r="A41" t="s">
        <v>296</v>
      </c>
      <c r="B41" t="s">
        <v>1292</v>
      </c>
      <c r="C41" t="s">
        <v>1275</v>
      </c>
      <c r="D41" t="s">
        <v>1258</v>
      </c>
      <c r="E41" t="s">
        <v>1237</v>
      </c>
      <c r="F41" s="3">
        <v>45357</v>
      </c>
    </row>
    <row r="42" spans="1:6">
      <c r="A42" t="s">
        <v>177</v>
      </c>
      <c r="B42" t="s">
        <v>1293</v>
      </c>
      <c r="C42" t="s">
        <v>1235</v>
      </c>
      <c r="D42" t="s">
        <v>1236</v>
      </c>
      <c r="E42" t="s">
        <v>1241</v>
      </c>
      <c r="F42" s="3">
        <v>45175</v>
      </c>
    </row>
    <row r="43" spans="1:6">
      <c r="A43" t="s">
        <v>531</v>
      </c>
      <c r="B43" t="s">
        <v>1294</v>
      </c>
      <c r="C43" t="s">
        <v>1260</v>
      </c>
      <c r="D43" t="s">
        <v>1240</v>
      </c>
      <c r="E43" t="s">
        <v>1237</v>
      </c>
      <c r="F43" s="3">
        <v>45031</v>
      </c>
    </row>
    <row r="44" spans="1:6">
      <c r="A44" t="s">
        <v>268</v>
      </c>
      <c r="B44" t="s">
        <v>1295</v>
      </c>
      <c r="C44" t="s">
        <v>1243</v>
      </c>
      <c r="D44" t="s">
        <v>1244</v>
      </c>
      <c r="E44" t="s">
        <v>1241</v>
      </c>
      <c r="F44" s="3">
        <v>45093</v>
      </c>
    </row>
    <row r="45" spans="1:6">
      <c r="A45" t="s">
        <v>359</v>
      </c>
      <c r="B45" t="s">
        <v>1296</v>
      </c>
      <c r="C45" t="s">
        <v>1297</v>
      </c>
      <c r="D45" t="s">
        <v>1258</v>
      </c>
      <c r="E45" t="s">
        <v>1245</v>
      </c>
      <c r="F45" s="3">
        <v>45083</v>
      </c>
    </row>
    <row r="46" spans="1:6">
      <c r="A46" t="s">
        <v>491</v>
      </c>
      <c r="B46" t="s">
        <v>1298</v>
      </c>
      <c r="C46" t="s">
        <v>1243</v>
      </c>
      <c r="D46" t="s">
        <v>1244</v>
      </c>
      <c r="E46" t="s">
        <v>1245</v>
      </c>
      <c r="F46" s="3">
        <v>45478</v>
      </c>
    </row>
    <row r="47" spans="1:6">
      <c r="A47" t="s">
        <v>809</v>
      </c>
      <c r="B47" t="s">
        <v>1299</v>
      </c>
      <c r="C47" t="s">
        <v>1247</v>
      </c>
      <c r="D47" t="s">
        <v>1240</v>
      </c>
      <c r="E47" t="s">
        <v>1237</v>
      </c>
      <c r="F47" s="3">
        <v>45614</v>
      </c>
    </row>
    <row r="48" spans="1:6">
      <c r="A48" t="s">
        <v>338</v>
      </c>
      <c r="B48" t="s">
        <v>1300</v>
      </c>
      <c r="C48" t="s">
        <v>1257</v>
      </c>
      <c r="D48" t="s">
        <v>1258</v>
      </c>
      <c r="E48" t="s">
        <v>1237</v>
      </c>
      <c r="F48" s="3">
        <v>45090</v>
      </c>
    </row>
    <row r="49" spans="1:6">
      <c r="A49" t="s">
        <v>243</v>
      </c>
      <c r="B49" t="s">
        <v>1301</v>
      </c>
      <c r="C49" t="s">
        <v>1260</v>
      </c>
      <c r="D49" t="s">
        <v>1240</v>
      </c>
      <c r="E49" t="s">
        <v>1245</v>
      </c>
      <c r="F49" s="3">
        <v>45375</v>
      </c>
    </row>
    <row r="50" spans="1:6">
      <c r="A50" t="s">
        <v>371</v>
      </c>
      <c r="B50" t="s">
        <v>1302</v>
      </c>
      <c r="C50" t="s">
        <v>1260</v>
      </c>
      <c r="D50" t="s">
        <v>1240</v>
      </c>
      <c r="E50" t="s">
        <v>1237</v>
      </c>
      <c r="F50" s="3">
        <v>45252</v>
      </c>
    </row>
    <row r="51" spans="1:6">
      <c r="A51" t="s">
        <v>647</v>
      </c>
      <c r="B51" t="s">
        <v>1303</v>
      </c>
      <c r="C51" t="s">
        <v>1255</v>
      </c>
      <c r="D51" t="s">
        <v>1244</v>
      </c>
      <c r="E51" t="s">
        <v>1237</v>
      </c>
      <c r="F51" s="3">
        <v>45143</v>
      </c>
    </row>
    <row r="52" spans="1:6">
      <c r="A52" t="s">
        <v>610</v>
      </c>
      <c r="B52" t="s">
        <v>1304</v>
      </c>
      <c r="C52" t="s">
        <v>1297</v>
      </c>
      <c r="D52" t="s">
        <v>1258</v>
      </c>
      <c r="E52" t="s">
        <v>1241</v>
      </c>
      <c r="F52" s="3">
        <v>45579</v>
      </c>
    </row>
    <row r="53" spans="1:6">
      <c r="A53" t="s">
        <v>414</v>
      </c>
      <c r="B53" t="s">
        <v>1305</v>
      </c>
      <c r="C53" t="s">
        <v>1288</v>
      </c>
      <c r="D53" t="s">
        <v>1250</v>
      </c>
      <c r="E53" t="s">
        <v>1245</v>
      </c>
      <c r="F53" s="3">
        <v>45320</v>
      </c>
    </row>
    <row r="54" spans="1:6">
      <c r="A54" t="s">
        <v>480</v>
      </c>
      <c r="B54" t="s">
        <v>1306</v>
      </c>
      <c r="C54" t="s">
        <v>1247</v>
      </c>
      <c r="D54" t="s">
        <v>1240</v>
      </c>
      <c r="E54" t="s">
        <v>1237</v>
      </c>
      <c r="F54" s="3">
        <v>45572</v>
      </c>
    </row>
    <row r="55" spans="1:6">
      <c r="A55" t="s">
        <v>189</v>
      </c>
      <c r="B55" t="s">
        <v>1283</v>
      </c>
      <c r="C55" t="s">
        <v>1275</v>
      </c>
      <c r="D55" t="s">
        <v>1258</v>
      </c>
      <c r="E55" t="s">
        <v>1241</v>
      </c>
      <c r="F55" s="3">
        <v>45125</v>
      </c>
    </row>
    <row r="56" spans="1:6">
      <c r="A56" t="s">
        <v>305</v>
      </c>
      <c r="B56" t="s">
        <v>1307</v>
      </c>
      <c r="C56" t="s">
        <v>1275</v>
      </c>
      <c r="D56" t="s">
        <v>1258</v>
      </c>
      <c r="E56" t="s">
        <v>1237</v>
      </c>
      <c r="F56" s="3">
        <v>45387</v>
      </c>
    </row>
    <row r="57" spans="1:6">
      <c r="A57" t="s">
        <v>430</v>
      </c>
      <c r="B57" t="s">
        <v>1289</v>
      </c>
      <c r="C57" t="s">
        <v>1235</v>
      </c>
      <c r="D57" t="s">
        <v>1236</v>
      </c>
      <c r="E57" t="s">
        <v>1237</v>
      </c>
      <c r="F57" s="3">
        <v>45304</v>
      </c>
    </row>
    <row r="58" spans="1:6">
      <c r="A58" t="s">
        <v>119</v>
      </c>
      <c r="B58" t="s">
        <v>1308</v>
      </c>
      <c r="C58" t="s">
        <v>1288</v>
      </c>
      <c r="D58" t="s">
        <v>1250</v>
      </c>
      <c r="E58" t="s">
        <v>1241</v>
      </c>
      <c r="F58" s="3">
        <v>45566</v>
      </c>
    </row>
    <row r="59" spans="1:6">
      <c r="A59" t="s">
        <v>396</v>
      </c>
      <c r="B59" t="s">
        <v>1309</v>
      </c>
      <c r="C59" t="s">
        <v>1247</v>
      </c>
      <c r="D59" t="s">
        <v>1240</v>
      </c>
      <c r="E59" t="s">
        <v>1237</v>
      </c>
      <c r="F59" s="3">
        <v>45090</v>
      </c>
    </row>
    <row r="60" spans="1:6">
      <c r="A60" t="s">
        <v>500</v>
      </c>
      <c r="B60" t="s">
        <v>1298</v>
      </c>
      <c r="C60" t="s">
        <v>1297</v>
      </c>
      <c r="D60" t="s">
        <v>1258</v>
      </c>
      <c r="E60" t="s">
        <v>1245</v>
      </c>
      <c r="F60" s="3">
        <v>45649</v>
      </c>
    </row>
    <row r="61" spans="1:6">
      <c r="A61" t="s">
        <v>613</v>
      </c>
      <c r="B61" t="s">
        <v>1289</v>
      </c>
      <c r="C61" t="s">
        <v>1260</v>
      </c>
      <c r="D61" t="s">
        <v>1240</v>
      </c>
      <c r="E61" t="s">
        <v>1245</v>
      </c>
      <c r="F61" s="3">
        <v>45443</v>
      </c>
    </row>
    <row r="62" spans="1:6">
      <c r="A62" t="s">
        <v>206</v>
      </c>
      <c r="B62" t="s">
        <v>1310</v>
      </c>
      <c r="C62" t="s">
        <v>1297</v>
      </c>
      <c r="D62" t="s">
        <v>1258</v>
      </c>
      <c r="E62" t="s">
        <v>1237</v>
      </c>
      <c r="F62" s="3">
        <v>45012</v>
      </c>
    </row>
    <row r="63" spans="1:6">
      <c r="A63" t="s">
        <v>427</v>
      </c>
      <c r="B63" t="s">
        <v>1311</v>
      </c>
      <c r="C63" t="s">
        <v>1277</v>
      </c>
      <c r="D63" t="s">
        <v>1244</v>
      </c>
      <c r="E63" t="s">
        <v>1237</v>
      </c>
      <c r="F63" s="3">
        <v>44995</v>
      </c>
    </row>
    <row r="64" spans="1:6">
      <c r="A64" t="s">
        <v>230</v>
      </c>
      <c r="B64" t="s">
        <v>1312</v>
      </c>
      <c r="C64" t="s">
        <v>1247</v>
      </c>
      <c r="D64" t="s">
        <v>1240</v>
      </c>
      <c r="E64" t="s">
        <v>1241</v>
      </c>
      <c r="F64" s="3">
        <v>45104</v>
      </c>
    </row>
    <row r="65" spans="1:6">
      <c r="A65" t="s">
        <v>169</v>
      </c>
      <c r="B65" t="s">
        <v>1313</v>
      </c>
      <c r="C65" t="s">
        <v>1288</v>
      </c>
      <c r="D65" t="s">
        <v>1250</v>
      </c>
      <c r="E65" t="s">
        <v>1237</v>
      </c>
      <c r="F65" s="3">
        <v>45640</v>
      </c>
    </row>
    <row r="66" spans="1:6">
      <c r="A66" t="s">
        <v>216</v>
      </c>
      <c r="B66" t="s">
        <v>1253</v>
      </c>
      <c r="C66" t="s">
        <v>1260</v>
      </c>
      <c r="D66" t="s">
        <v>1240</v>
      </c>
      <c r="E66" t="s">
        <v>1237</v>
      </c>
      <c r="F66" s="3">
        <v>45166</v>
      </c>
    </row>
    <row r="67" spans="1:6">
      <c r="A67" t="s">
        <v>273</v>
      </c>
      <c r="B67" t="s">
        <v>1314</v>
      </c>
      <c r="C67" t="s">
        <v>1247</v>
      </c>
      <c r="D67" t="s">
        <v>1240</v>
      </c>
      <c r="E67" t="s">
        <v>1237</v>
      </c>
      <c r="F67" s="3">
        <v>45416</v>
      </c>
    </row>
    <row r="68" spans="1:6">
      <c r="A68" t="s">
        <v>220</v>
      </c>
      <c r="B68" t="s">
        <v>1315</v>
      </c>
      <c r="C68" t="s">
        <v>1255</v>
      </c>
      <c r="D68" t="s">
        <v>1244</v>
      </c>
      <c r="E68" t="s">
        <v>1237</v>
      </c>
      <c r="F68" s="3">
        <v>45310</v>
      </c>
    </row>
    <row r="69" spans="1:6">
      <c r="A69" t="s">
        <v>257</v>
      </c>
      <c r="B69" t="s">
        <v>1316</v>
      </c>
      <c r="C69" t="s">
        <v>1249</v>
      </c>
      <c r="D69" t="s">
        <v>1250</v>
      </c>
      <c r="E69" t="s">
        <v>1237</v>
      </c>
      <c r="F69" s="3">
        <v>44937</v>
      </c>
    </row>
    <row r="70" spans="1:6">
      <c r="A70" t="s">
        <v>279</v>
      </c>
      <c r="B70" t="s">
        <v>1317</v>
      </c>
      <c r="C70" t="s">
        <v>1243</v>
      </c>
      <c r="D70" t="s">
        <v>1244</v>
      </c>
      <c r="E70" t="s">
        <v>1237</v>
      </c>
      <c r="F70" s="3">
        <v>44948</v>
      </c>
    </row>
    <row r="71" spans="1:6">
      <c r="A71" t="s">
        <v>453</v>
      </c>
      <c r="B71" t="s">
        <v>1318</v>
      </c>
      <c r="C71" t="s">
        <v>1235</v>
      </c>
      <c r="D71" t="s">
        <v>1236</v>
      </c>
      <c r="E71" t="s">
        <v>1245</v>
      </c>
      <c r="F71" s="3">
        <v>45335</v>
      </c>
    </row>
    <row r="72" spans="1:6">
      <c r="A72" t="s">
        <v>108</v>
      </c>
      <c r="B72" t="s">
        <v>1319</v>
      </c>
      <c r="C72" t="s">
        <v>1275</v>
      </c>
      <c r="D72" t="s">
        <v>1258</v>
      </c>
      <c r="E72" t="s">
        <v>1237</v>
      </c>
      <c r="F72" s="3">
        <v>45157</v>
      </c>
    </row>
    <row r="73" spans="1:6">
      <c r="A73" t="s">
        <v>379</v>
      </c>
      <c r="B73" t="s">
        <v>1320</v>
      </c>
      <c r="C73" t="s">
        <v>1239</v>
      </c>
      <c r="D73" t="s">
        <v>1240</v>
      </c>
      <c r="E73" t="s">
        <v>1245</v>
      </c>
      <c r="F73" s="3">
        <v>45066</v>
      </c>
    </row>
    <row r="74" spans="1:6">
      <c r="A74" t="s">
        <v>160</v>
      </c>
      <c r="B74" t="s">
        <v>1321</v>
      </c>
      <c r="C74" t="s">
        <v>1255</v>
      </c>
      <c r="D74" t="s">
        <v>1244</v>
      </c>
      <c r="E74" t="s">
        <v>1237</v>
      </c>
      <c r="F74" s="3">
        <v>45299</v>
      </c>
    </row>
    <row r="75" spans="1:6">
      <c r="A75" t="s">
        <v>448</v>
      </c>
      <c r="B75" t="s">
        <v>1322</v>
      </c>
      <c r="C75" t="s">
        <v>1297</v>
      </c>
      <c r="D75" t="s">
        <v>1258</v>
      </c>
      <c r="E75" t="s">
        <v>1245</v>
      </c>
      <c r="F75" s="3">
        <v>45044</v>
      </c>
    </row>
    <row r="76" spans="1:6">
      <c r="A76" t="s">
        <v>316</v>
      </c>
      <c r="B76" t="s">
        <v>1323</v>
      </c>
      <c r="C76" t="s">
        <v>1297</v>
      </c>
      <c r="D76" t="s">
        <v>1258</v>
      </c>
      <c r="E76" t="s">
        <v>1237</v>
      </c>
      <c r="F76" s="3">
        <v>45031</v>
      </c>
    </row>
    <row r="77" spans="1:6">
      <c r="A77" t="s">
        <v>260</v>
      </c>
      <c r="B77" t="s">
        <v>1324</v>
      </c>
      <c r="C77" t="s">
        <v>1325</v>
      </c>
      <c r="D77" t="s">
        <v>1326</v>
      </c>
      <c r="E77" t="s">
        <v>1245</v>
      </c>
      <c r="F77" s="3">
        <v>45069</v>
      </c>
    </row>
    <row r="78" spans="1:6">
      <c r="A78" t="s">
        <v>173</v>
      </c>
      <c r="B78" t="s">
        <v>1327</v>
      </c>
      <c r="C78" t="s">
        <v>1275</v>
      </c>
      <c r="D78" t="s">
        <v>1258</v>
      </c>
      <c r="E78" t="s">
        <v>1241</v>
      </c>
      <c r="F78" s="3">
        <v>45323</v>
      </c>
    </row>
    <row r="79" spans="1:6">
      <c r="A79" t="s">
        <v>507</v>
      </c>
      <c r="B79" t="s">
        <v>1328</v>
      </c>
      <c r="C79" t="s">
        <v>1288</v>
      </c>
      <c r="D79" t="s">
        <v>1250</v>
      </c>
      <c r="E79" t="s">
        <v>1245</v>
      </c>
      <c r="F79" s="3">
        <v>45397</v>
      </c>
    </row>
    <row r="80" spans="1:6">
      <c r="A80" t="s">
        <v>417</v>
      </c>
      <c r="B80" t="s">
        <v>1329</v>
      </c>
      <c r="C80" t="s">
        <v>1243</v>
      </c>
      <c r="D80" t="s">
        <v>1244</v>
      </c>
      <c r="E80" t="s">
        <v>1237</v>
      </c>
      <c r="F80" s="3">
        <v>44987</v>
      </c>
    </row>
    <row r="81" spans="1:6">
      <c r="A81" t="s">
        <v>313</v>
      </c>
      <c r="B81" t="s">
        <v>1328</v>
      </c>
      <c r="C81" t="s">
        <v>1255</v>
      </c>
      <c r="D81" t="s">
        <v>1244</v>
      </c>
      <c r="E81" t="s">
        <v>1245</v>
      </c>
      <c r="F81" s="3">
        <v>45508</v>
      </c>
    </row>
    <row r="82" spans="1:6">
      <c r="A82" t="s">
        <v>933</v>
      </c>
      <c r="B82" t="s">
        <v>1330</v>
      </c>
      <c r="C82" t="s">
        <v>1325</v>
      </c>
      <c r="D82" t="s">
        <v>1326</v>
      </c>
      <c r="E82" t="s">
        <v>1241</v>
      </c>
      <c r="F82" s="3">
        <v>45355</v>
      </c>
    </row>
    <row r="83" spans="1:6">
      <c r="A83" t="s">
        <v>512</v>
      </c>
      <c r="B83" t="s">
        <v>1273</v>
      </c>
      <c r="C83" t="s">
        <v>1284</v>
      </c>
      <c r="D83" t="s">
        <v>1285</v>
      </c>
      <c r="E83" t="s">
        <v>1241</v>
      </c>
      <c r="F83" s="3">
        <v>45428</v>
      </c>
    </row>
    <row r="84" spans="1:6">
      <c r="A84" t="s">
        <v>113</v>
      </c>
      <c r="B84" t="s">
        <v>1300</v>
      </c>
      <c r="C84" t="s">
        <v>1288</v>
      </c>
      <c r="D84" t="s">
        <v>1250</v>
      </c>
      <c r="E84" t="s">
        <v>1237</v>
      </c>
      <c r="F84" s="3">
        <v>45496</v>
      </c>
    </row>
    <row r="85" spans="1:6">
      <c r="A85" t="s">
        <v>93</v>
      </c>
      <c r="B85" t="s">
        <v>1331</v>
      </c>
      <c r="C85" t="s">
        <v>1239</v>
      </c>
      <c r="D85" t="s">
        <v>1240</v>
      </c>
      <c r="E85" t="s">
        <v>1245</v>
      </c>
      <c r="F85" s="3">
        <v>45322</v>
      </c>
    </row>
    <row r="86" spans="1:6">
      <c r="A86" t="s">
        <v>180</v>
      </c>
      <c r="B86" t="s">
        <v>1332</v>
      </c>
      <c r="C86" t="s">
        <v>1249</v>
      </c>
      <c r="D86" t="s">
        <v>1250</v>
      </c>
      <c r="E86" t="s">
        <v>1237</v>
      </c>
      <c r="F86" s="3">
        <v>45198</v>
      </c>
    </row>
    <row r="87" spans="1:6">
      <c r="A87" t="s">
        <v>538</v>
      </c>
      <c r="B87" t="s">
        <v>1333</v>
      </c>
      <c r="C87" t="s">
        <v>1284</v>
      </c>
      <c r="D87" t="s">
        <v>1285</v>
      </c>
      <c r="E87" t="s">
        <v>1237</v>
      </c>
      <c r="F87" s="3">
        <v>45576</v>
      </c>
    </row>
    <row r="88" spans="1:6">
      <c r="A88" t="s">
        <v>569</v>
      </c>
      <c r="B88" t="s">
        <v>1334</v>
      </c>
      <c r="C88" t="s">
        <v>1235</v>
      </c>
      <c r="D88" t="s">
        <v>1236</v>
      </c>
      <c r="E88" t="s">
        <v>1237</v>
      </c>
      <c r="F88" s="3">
        <v>45385</v>
      </c>
    </row>
    <row r="89" spans="1:6">
      <c r="A89" t="s">
        <v>349</v>
      </c>
      <c r="B89" t="s">
        <v>1335</v>
      </c>
      <c r="C89" t="s">
        <v>1297</v>
      </c>
      <c r="D89" t="s">
        <v>1258</v>
      </c>
      <c r="E89" t="s">
        <v>1241</v>
      </c>
      <c r="F89" s="3">
        <v>45321</v>
      </c>
    </row>
    <row r="90" spans="1:6">
      <c r="A90" t="s">
        <v>239</v>
      </c>
      <c r="B90" t="s">
        <v>1336</v>
      </c>
      <c r="C90" t="s">
        <v>1297</v>
      </c>
      <c r="D90" t="s">
        <v>1258</v>
      </c>
      <c r="E90" t="s">
        <v>1237</v>
      </c>
      <c r="F90" s="3">
        <v>45055</v>
      </c>
    </row>
    <row r="91" spans="1:6">
      <c r="A91" t="s">
        <v>399</v>
      </c>
      <c r="B91" t="s">
        <v>1296</v>
      </c>
      <c r="C91" t="s">
        <v>1239</v>
      </c>
      <c r="D91" t="s">
        <v>1240</v>
      </c>
      <c r="E91" t="s">
        <v>1241</v>
      </c>
      <c r="F91" s="3">
        <v>45214</v>
      </c>
    </row>
    <row r="92" spans="1:6">
      <c r="A92" t="s">
        <v>197</v>
      </c>
      <c r="B92" t="s">
        <v>1337</v>
      </c>
      <c r="C92" t="s">
        <v>1257</v>
      </c>
      <c r="D92" t="s">
        <v>1258</v>
      </c>
      <c r="E92" t="s">
        <v>1241</v>
      </c>
      <c r="F92" s="3">
        <v>45112</v>
      </c>
    </row>
    <row r="93" spans="1:6">
      <c r="A93" t="s">
        <v>326</v>
      </c>
      <c r="B93" t="s">
        <v>1338</v>
      </c>
      <c r="C93" t="s">
        <v>1325</v>
      </c>
      <c r="D93" t="s">
        <v>1326</v>
      </c>
      <c r="E93" t="s">
        <v>1237</v>
      </c>
      <c r="F93" s="3">
        <v>45017</v>
      </c>
    </row>
    <row r="94" spans="1:6">
      <c r="A94" t="s">
        <v>410</v>
      </c>
      <c r="B94" t="s">
        <v>1234</v>
      </c>
      <c r="C94" t="s">
        <v>1284</v>
      </c>
      <c r="D94" t="s">
        <v>1285</v>
      </c>
      <c r="E94" t="s">
        <v>1237</v>
      </c>
      <c r="F94" s="3">
        <v>44958</v>
      </c>
    </row>
    <row r="95" spans="1:6">
      <c r="A95" t="s">
        <v>551</v>
      </c>
      <c r="B95" t="s">
        <v>1309</v>
      </c>
      <c r="C95" t="s">
        <v>1260</v>
      </c>
      <c r="D95" t="s">
        <v>1240</v>
      </c>
      <c r="E95" t="s">
        <v>1237</v>
      </c>
      <c r="F95" s="3">
        <v>45337</v>
      </c>
    </row>
    <row r="96" spans="1:6">
      <c r="A96" t="s">
        <v>564</v>
      </c>
      <c r="B96" t="s">
        <v>1339</v>
      </c>
      <c r="C96" t="s">
        <v>1260</v>
      </c>
      <c r="D96" t="s">
        <v>1240</v>
      </c>
      <c r="E96" t="s">
        <v>1245</v>
      </c>
      <c r="F96" s="3">
        <v>45615</v>
      </c>
    </row>
    <row r="97" spans="1:6">
      <c r="A97" t="s">
        <v>466</v>
      </c>
      <c r="B97" t="s">
        <v>1340</v>
      </c>
      <c r="C97" t="s">
        <v>1247</v>
      </c>
      <c r="D97" t="s">
        <v>1240</v>
      </c>
      <c r="E97" t="s">
        <v>1245</v>
      </c>
      <c r="F97" s="3">
        <v>45103</v>
      </c>
    </row>
    <row r="98" spans="1:6">
      <c r="A98" t="s">
        <v>699</v>
      </c>
      <c r="B98" t="s">
        <v>1341</v>
      </c>
      <c r="C98" t="s">
        <v>1239</v>
      </c>
      <c r="D98" t="s">
        <v>1240</v>
      </c>
      <c r="E98" t="s">
        <v>1237</v>
      </c>
      <c r="F98" s="3">
        <v>45488</v>
      </c>
    </row>
    <row r="99" spans="1:6">
      <c r="A99" t="s">
        <v>286</v>
      </c>
      <c r="B99" t="s">
        <v>1296</v>
      </c>
      <c r="C99" t="s">
        <v>1284</v>
      </c>
      <c r="D99" t="s">
        <v>1285</v>
      </c>
      <c r="E99" t="s">
        <v>1237</v>
      </c>
      <c r="F99" s="3">
        <v>45355</v>
      </c>
    </row>
    <row r="100" spans="1:6">
      <c r="A100" t="s">
        <v>548</v>
      </c>
      <c r="B100" t="s">
        <v>1342</v>
      </c>
      <c r="C100" t="s">
        <v>1247</v>
      </c>
      <c r="D100" t="s">
        <v>1240</v>
      </c>
      <c r="E100" t="s">
        <v>1241</v>
      </c>
      <c r="F100" s="3">
        <v>45482</v>
      </c>
    </row>
    <row r="101" spans="1:6">
      <c r="A101" t="s">
        <v>653</v>
      </c>
      <c r="B101" t="s">
        <v>1343</v>
      </c>
      <c r="C101" t="s">
        <v>1255</v>
      </c>
      <c r="D101" t="s">
        <v>1244</v>
      </c>
      <c r="E101" t="s">
        <v>1237</v>
      </c>
      <c r="F101" s="3">
        <v>45144</v>
      </c>
    </row>
    <row r="102" spans="1:6">
      <c r="A102" t="s">
        <v>675</v>
      </c>
      <c r="B102" t="s">
        <v>1344</v>
      </c>
      <c r="C102" t="s">
        <v>1325</v>
      </c>
      <c r="D102" t="s">
        <v>1326</v>
      </c>
      <c r="E102" t="s">
        <v>1241</v>
      </c>
      <c r="F102" s="3">
        <v>45262</v>
      </c>
    </row>
    <row r="103" spans="1:6">
      <c r="A103" t="s">
        <v>236</v>
      </c>
      <c r="B103" t="s">
        <v>1345</v>
      </c>
      <c r="C103" t="s">
        <v>1288</v>
      </c>
      <c r="D103" t="s">
        <v>1250</v>
      </c>
      <c r="E103" t="s">
        <v>1245</v>
      </c>
      <c r="F103" s="3">
        <v>45298</v>
      </c>
    </row>
    <row r="104" spans="1:6">
      <c r="A104" t="s">
        <v>389</v>
      </c>
      <c r="B104" t="s">
        <v>1264</v>
      </c>
      <c r="C104" t="s">
        <v>1325</v>
      </c>
      <c r="D104" t="s">
        <v>1326</v>
      </c>
      <c r="E104" t="s">
        <v>1245</v>
      </c>
      <c r="F104" s="3">
        <v>45620</v>
      </c>
    </row>
    <row r="105" spans="1:6">
      <c r="A105" t="s">
        <v>132</v>
      </c>
      <c r="B105" t="s">
        <v>1346</v>
      </c>
      <c r="C105" t="s">
        <v>1288</v>
      </c>
      <c r="D105" t="s">
        <v>1250</v>
      </c>
      <c r="E105" t="s">
        <v>1245</v>
      </c>
      <c r="F105" s="3">
        <v>45527</v>
      </c>
    </row>
    <row r="106" spans="1:6">
      <c r="A106" t="s">
        <v>487</v>
      </c>
      <c r="B106" t="s">
        <v>1347</v>
      </c>
      <c r="C106" t="s">
        <v>1249</v>
      </c>
      <c r="D106" t="s">
        <v>1250</v>
      </c>
      <c r="E106" t="s">
        <v>1237</v>
      </c>
      <c r="F106" s="3">
        <v>44974</v>
      </c>
    </row>
    <row r="107" spans="1:6">
      <c r="A107" t="s">
        <v>138</v>
      </c>
      <c r="B107" t="s">
        <v>1348</v>
      </c>
      <c r="C107" t="s">
        <v>1243</v>
      </c>
      <c r="D107" t="s">
        <v>1244</v>
      </c>
      <c r="E107" t="s">
        <v>1241</v>
      </c>
      <c r="F107" s="3">
        <v>44949</v>
      </c>
    </row>
    <row r="108" spans="1:6">
      <c r="A108" t="s">
        <v>670</v>
      </c>
      <c r="B108" t="s">
        <v>1349</v>
      </c>
      <c r="C108" t="s">
        <v>1249</v>
      </c>
      <c r="D108" t="s">
        <v>1250</v>
      </c>
      <c r="E108" t="s">
        <v>1241</v>
      </c>
      <c r="F108" s="3">
        <v>45268</v>
      </c>
    </row>
    <row r="109" spans="1:6">
      <c r="A109" t="s">
        <v>330</v>
      </c>
      <c r="B109" t="s">
        <v>1350</v>
      </c>
      <c r="C109" t="s">
        <v>1275</v>
      </c>
      <c r="D109" t="s">
        <v>1258</v>
      </c>
      <c r="E109" t="s">
        <v>1237</v>
      </c>
      <c r="F109" s="3">
        <v>44962</v>
      </c>
    </row>
    <row r="110" spans="1:6">
      <c r="A110" t="s">
        <v>600</v>
      </c>
      <c r="B110" t="s">
        <v>1351</v>
      </c>
      <c r="C110" t="s">
        <v>1257</v>
      </c>
      <c r="D110" t="s">
        <v>1258</v>
      </c>
      <c r="E110" t="s">
        <v>1237</v>
      </c>
      <c r="F110" s="3">
        <v>45590</v>
      </c>
    </row>
    <row r="111" spans="1:6">
      <c r="A111" t="s">
        <v>225</v>
      </c>
      <c r="B111" t="s">
        <v>1328</v>
      </c>
      <c r="C111" t="s">
        <v>1247</v>
      </c>
      <c r="D111" t="s">
        <v>1240</v>
      </c>
      <c r="E111" t="s">
        <v>1237</v>
      </c>
      <c r="F111" s="3">
        <v>45456</v>
      </c>
    </row>
    <row r="112" spans="1:6">
      <c r="A112" t="s">
        <v>661</v>
      </c>
      <c r="B112" t="s">
        <v>1352</v>
      </c>
      <c r="C112" t="s">
        <v>1235</v>
      </c>
      <c r="D112" t="s">
        <v>1236</v>
      </c>
      <c r="E112" t="s">
        <v>1237</v>
      </c>
      <c r="F112" s="3">
        <v>45029</v>
      </c>
    </row>
    <row r="113" spans="1:6">
      <c r="A113" t="s">
        <v>156</v>
      </c>
      <c r="B113" t="s">
        <v>1353</v>
      </c>
      <c r="C113" t="s">
        <v>1235</v>
      </c>
      <c r="D113" t="s">
        <v>1236</v>
      </c>
      <c r="E113" t="s">
        <v>1237</v>
      </c>
      <c r="F113" s="3">
        <v>45397</v>
      </c>
    </row>
    <row r="114" spans="1:6">
      <c r="A114" t="s">
        <v>84</v>
      </c>
      <c r="B114" t="s">
        <v>1354</v>
      </c>
      <c r="C114" t="s">
        <v>1275</v>
      </c>
      <c r="D114" t="s">
        <v>1258</v>
      </c>
      <c r="E114" t="s">
        <v>1237</v>
      </c>
      <c r="F114" s="3">
        <v>45068</v>
      </c>
    </row>
    <row r="115" spans="1:6">
      <c r="A115" t="s">
        <v>343</v>
      </c>
      <c r="B115" t="s">
        <v>1354</v>
      </c>
      <c r="C115" t="s">
        <v>1243</v>
      </c>
      <c r="D115" t="s">
        <v>1244</v>
      </c>
      <c r="E115" t="s">
        <v>1237</v>
      </c>
      <c r="F115" s="3">
        <v>44938</v>
      </c>
    </row>
    <row r="116" spans="1:6">
      <c r="A116" t="s">
        <v>523</v>
      </c>
      <c r="B116" t="s">
        <v>1355</v>
      </c>
      <c r="C116" t="s">
        <v>1249</v>
      </c>
      <c r="D116" t="s">
        <v>1250</v>
      </c>
      <c r="E116" t="s">
        <v>1237</v>
      </c>
      <c r="F116" s="3">
        <v>45225</v>
      </c>
    </row>
    <row r="117" spans="1:6">
      <c r="A117" t="s">
        <v>290</v>
      </c>
      <c r="B117" t="s">
        <v>1356</v>
      </c>
      <c r="C117" t="s">
        <v>1255</v>
      </c>
      <c r="D117" t="s">
        <v>1244</v>
      </c>
      <c r="E117" t="s">
        <v>1245</v>
      </c>
      <c r="F117" s="3">
        <v>45185</v>
      </c>
    </row>
    <row r="118" spans="1:6">
      <c r="A118" t="s">
        <v>366</v>
      </c>
      <c r="B118" t="s">
        <v>1259</v>
      </c>
      <c r="C118" t="s">
        <v>1297</v>
      </c>
      <c r="D118" t="s">
        <v>1258</v>
      </c>
      <c r="E118" t="s">
        <v>1237</v>
      </c>
      <c r="F118" s="3">
        <v>45558</v>
      </c>
    </row>
    <row r="119" spans="1:6">
      <c r="A119" t="s">
        <v>200</v>
      </c>
      <c r="B119" t="s">
        <v>1357</v>
      </c>
      <c r="C119" t="s">
        <v>1257</v>
      </c>
      <c r="D119" t="s">
        <v>1258</v>
      </c>
      <c r="E119" t="s">
        <v>1241</v>
      </c>
      <c r="F119" s="3">
        <v>45317</v>
      </c>
    </row>
    <row r="120" spans="1:6">
      <c r="A120" t="s">
        <v>322</v>
      </c>
      <c r="B120" t="s">
        <v>1358</v>
      </c>
      <c r="C120" t="s">
        <v>1284</v>
      </c>
      <c r="D120" t="s">
        <v>1285</v>
      </c>
      <c r="E120" t="s">
        <v>1237</v>
      </c>
      <c r="F120" s="3">
        <v>45347</v>
      </c>
    </row>
    <row r="121" spans="1:6">
      <c r="A121" t="s">
        <v>516</v>
      </c>
      <c r="B121" t="s">
        <v>1359</v>
      </c>
      <c r="C121" t="s">
        <v>1255</v>
      </c>
      <c r="D121" t="s">
        <v>1244</v>
      </c>
      <c r="E121" t="s">
        <v>1241</v>
      </c>
      <c r="F121" s="3">
        <v>45236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J4" sqref="J4"/>
    </sheetView>
  </sheetViews>
  <sheetFormatPr baseColWidth="10" defaultColWidth="8.796875" defaultRowHeight="13.8"/>
  <cols>
    <col min="1" max="1" width="9.3984375" bestFit="1" customWidth="1"/>
    <col min="2" max="2" width="12.5" customWidth="1"/>
    <col min="3" max="3" width="12.8984375" customWidth="1"/>
    <col min="4" max="4" width="13.69921875" customWidth="1"/>
  </cols>
  <sheetData>
    <row r="1" spans="1:4">
      <c r="A1" s="1" t="s">
        <v>1360</v>
      </c>
      <c r="B1" s="1" t="s">
        <v>1361</v>
      </c>
      <c r="C1" s="1" t="s">
        <v>1362</v>
      </c>
      <c r="D1" s="1" t="s">
        <v>1363</v>
      </c>
    </row>
    <row r="2" spans="1:4">
      <c r="A2" s="5">
        <v>45658</v>
      </c>
      <c r="B2" s="6">
        <v>54900</v>
      </c>
      <c r="C2" s="6">
        <v>13600</v>
      </c>
      <c r="D2">
        <v>62</v>
      </c>
    </row>
    <row r="3" spans="1:4">
      <c r="A3" s="5">
        <v>45689</v>
      </c>
      <c r="B3" s="6">
        <v>52400</v>
      </c>
      <c r="C3" s="6">
        <v>14700</v>
      </c>
      <c r="D3">
        <v>59</v>
      </c>
    </row>
    <row r="4" spans="1:4">
      <c r="A4" s="5">
        <v>45717</v>
      </c>
      <c r="B4" s="6">
        <v>51000</v>
      </c>
      <c r="C4" s="6">
        <v>12900</v>
      </c>
      <c r="D4">
        <v>58</v>
      </c>
    </row>
    <row r="5" spans="1:4">
      <c r="A5" s="5">
        <v>45748</v>
      </c>
      <c r="B5" s="6">
        <v>50800</v>
      </c>
      <c r="C5" s="6">
        <v>11700</v>
      </c>
      <c r="D5">
        <v>55</v>
      </c>
    </row>
    <row r="6" spans="1:4">
      <c r="A6" s="5">
        <v>45778</v>
      </c>
      <c r="B6" s="6">
        <v>54400</v>
      </c>
      <c r="C6" s="6">
        <v>14900</v>
      </c>
      <c r="D6">
        <v>60</v>
      </c>
    </row>
    <row r="7" spans="1:4">
      <c r="A7" s="5">
        <v>45809</v>
      </c>
      <c r="B7" s="6">
        <v>55700</v>
      </c>
      <c r="C7" s="6">
        <v>15500</v>
      </c>
      <c r="D7">
        <v>63</v>
      </c>
    </row>
    <row r="8" spans="1:4">
      <c r="A8" s="5">
        <v>45839</v>
      </c>
      <c r="B8" s="6">
        <v>58200</v>
      </c>
      <c r="C8" s="6">
        <v>15300</v>
      </c>
      <c r="D8">
        <v>61</v>
      </c>
    </row>
    <row r="9" spans="1:4">
      <c r="A9" s="5">
        <v>45870</v>
      </c>
      <c r="B9" s="6">
        <v>57000</v>
      </c>
      <c r="C9" s="6">
        <v>14000</v>
      </c>
      <c r="D9">
        <v>62</v>
      </c>
    </row>
    <row r="10" spans="1:4">
      <c r="A10" s="5">
        <v>45901</v>
      </c>
      <c r="B10" s="6">
        <v>52100</v>
      </c>
      <c r="C10" s="6">
        <v>12500</v>
      </c>
      <c r="D10">
        <v>60</v>
      </c>
    </row>
    <row r="11" spans="1:4">
      <c r="A11" s="5">
        <v>45931</v>
      </c>
      <c r="B11" s="6">
        <v>50200</v>
      </c>
      <c r="C11" s="6">
        <v>12300</v>
      </c>
      <c r="D11">
        <v>63</v>
      </c>
    </row>
    <row r="12" spans="1:4">
      <c r="A12" s="5">
        <v>45962</v>
      </c>
      <c r="B12" s="6">
        <v>60400</v>
      </c>
      <c r="C12" s="6">
        <v>13400</v>
      </c>
      <c r="D12">
        <v>64</v>
      </c>
    </row>
    <row r="13" spans="1:4">
      <c r="A13" s="5">
        <v>45992</v>
      </c>
      <c r="B13" s="6">
        <v>58800</v>
      </c>
      <c r="C13" s="6">
        <v>16100</v>
      </c>
      <c r="D13">
        <v>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heetViews>
  <sheetFormatPr baseColWidth="10" defaultColWidth="8.796875" defaultRowHeight="13.8"/>
  <cols>
    <col min="1" max="1" width="20" customWidth="1"/>
    <col min="2" max="2" width="24" customWidth="1"/>
    <col min="3" max="3" width="70" customWidth="1"/>
  </cols>
  <sheetData>
    <row r="1" spans="1:3">
      <c r="A1" s="1" t="s">
        <v>1364</v>
      </c>
      <c r="B1" s="1" t="s">
        <v>1365</v>
      </c>
      <c r="C1" s="1" t="s">
        <v>1366</v>
      </c>
    </row>
    <row r="2" spans="1:3">
      <c r="A2" s="7" t="s">
        <v>1367</v>
      </c>
      <c r="B2" s="7" t="s">
        <v>69</v>
      </c>
      <c r="C2" s="7" t="s">
        <v>1368</v>
      </c>
    </row>
    <row r="3" spans="1:3">
      <c r="A3" s="7" t="s">
        <v>1367</v>
      </c>
      <c r="B3" s="7" t="s">
        <v>70</v>
      </c>
      <c r="C3" s="7" t="s">
        <v>1369</v>
      </c>
    </row>
    <row r="4" spans="1:3">
      <c r="A4" s="7" t="s">
        <v>1367</v>
      </c>
      <c r="B4" s="7" t="s">
        <v>71</v>
      </c>
      <c r="C4" s="7" t="s">
        <v>1370</v>
      </c>
    </row>
    <row r="5" spans="1:3">
      <c r="A5" s="7" t="s">
        <v>1367</v>
      </c>
      <c r="B5" s="7" t="s">
        <v>72</v>
      </c>
      <c r="C5" s="7" t="s">
        <v>1371</v>
      </c>
    </row>
    <row r="6" spans="1:3">
      <c r="A6" s="7" t="s">
        <v>1367</v>
      </c>
      <c r="B6" s="7" t="s">
        <v>73</v>
      </c>
      <c r="C6" s="7" t="s">
        <v>1372</v>
      </c>
    </row>
    <row r="7" spans="1:3">
      <c r="A7" s="7" t="s">
        <v>1367</v>
      </c>
      <c r="B7" s="7" t="s">
        <v>74</v>
      </c>
      <c r="C7" s="7" t="s">
        <v>1373</v>
      </c>
    </row>
    <row r="8" spans="1:3">
      <c r="A8" s="7" t="s">
        <v>1367</v>
      </c>
      <c r="B8" s="7" t="s">
        <v>76</v>
      </c>
      <c r="C8" s="7" t="s">
        <v>1374</v>
      </c>
    </row>
    <row r="9" spans="1:3">
      <c r="A9" s="7" t="s">
        <v>1367</v>
      </c>
      <c r="B9" s="7" t="s">
        <v>77</v>
      </c>
      <c r="C9" s="7" t="s">
        <v>1375</v>
      </c>
    </row>
    <row r="10" spans="1:3">
      <c r="A10" s="7" t="s">
        <v>1367</v>
      </c>
      <c r="B10" s="7" t="s">
        <v>78</v>
      </c>
      <c r="C10" s="7" t="s">
        <v>1376</v>
      </c>
    </row>
    <row r="11" spans="1:3">
      <c r="A11" s="7" t="s">
        <v>1367</v>
      </c>
      <c r="B11" s="7" t="s">
        <v>79</v>
      </c>
      <c r="C11" s="7" t="s">
        <v>1377</v>
      </c>
    </row>
    <row r="12" spans="1:3">
      <c r="A12" s="7" t="s">
        <v>1367</v>
      </c>
      <c r="B12" s="7" t="s">
        <v>80</v>
      </c>
      <c r="C12" s="7" t="s">
        <v>1378</v>
      </c>
    </row>
    <row r="13" spans="1:3">
      <c r="A13" s="7" t="s">
        <v>1367</v>
      </c>
      <c r="B13" s="7" t="s">
        <v>81</v>
      </c>
      <c r="C13" s="7" t="s">
        <v>1379</v>
      </c>
    </row>
    <row r="14" spans="1:3">
      <c r="A14" s="7" t="s">
        <v>1367</v>
      </c>
      <c r="B14" s="7" t="s">
        <v>82</v>
      </c>
      <c r="C14" s="7" t="s">
        <v>1380</v>
      </c>
    </row>
    <row r="15" spans="1:3">
      <c r="A15" s="7" t="s">
        <v>1381</v>
      </c>
      <c r="B15" s="7" t="s">
        <v>1176</v>
      </c>
      <c r="C15" s="7" t="s">
        <v>1382</v>
      </c>
    </row>
    <row r="16" spans="1:3">
      <c r="A16" s="7" t="s">
        <v>1383</v>
      </c>
      <c r="B16" s="7" t="s">
        <v>1384</v>
      </c>
      <c r="C16" s="7" t="s">
        <v>1385</v>
      </c>
    </row>
    <row r="17" spans="1:3">
      <c r="A17" s="7" t="s">
        <v>1386</v>
      </c>
      <c r="B17" s="7" t="s">
        <v>1387</v>
      </c>
      <c r="C17" s="7" t="s">
        <v>1388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2"/>
  <sheetViews>
    <sheetView workbookViewId="0">
      <selection sqref="A1:X102"/>
    </sheetView>
  </sheetViews>
  <sheetFormatPr baseColWidth="10" defaultRowHeight="13.8"/>
  <cols>
    <col min="1" max="1" width="15.796875" customWidth="1"/>
    <col min="2" max="2" width="18.19921875" customWidth="1"/>
    <col min="3" max="3" width="20" customWidth="1"/>
    <col min="4" max="4" width="13.296875" customWidth="1"/>
    <col min="5" max="5" width="23.8984375" customWidth="1"/>
    <col min="6" max="6" width="16.59765625" customWidth="1"/>
    <col min="7" max="7" width="26.69921875" customWidth="1"/>
    <col min="8" max="8" width="15.5" customWidth="1"/>
    <col min="9" max="9" width="19.8984375" customWidth="1"/>
    <col min="10" max="10" width="15.5" customWidth="1"/>
    <col min="13" max="13" width="13.59765625" customWidth="1"/>
    <col min="14" max="14" width="18.19921875" customWidth="1"/>
    <col min="15" max="15" width="11.3984375" customWidth="1"/>
    <col min="16" max="16" width="11.8984375" customWidth="1"/>
    <col min="18" max="18" width="14.19921875" customWidth="1"/>
    <col min="20" max="20" width="16" customWidth="1"/>
    <col min="21" max="21" width="14.09765625" customWidth="1"/>
    <col min="24" max="24" width="13.19921875" customWidth="1"/>
  </cols>
  <sheetData>
    <row r="1" spans="1:24">
      <c r="A1" t="s">
        <v>1389</v>
      </c>
      <c r="B1" t="s">
        <v>1390</v>
      </c>
      <c r="C1" t="s">
        <v>1391</v>
      </c>
      <c r="D1" t="s">
        <v>1392</v>
      </c>
      <c r="E1" t="s">
        <v>1393</v>
      </c>
      <c r="F1" t="s">
        <v>1394</v>
      </c>
      <c r="G1" t="s">
        <v>1395</v>
      </c>
      <c r="H1" t="s">
        <v>1396</v>
      </c>
      <c r="I1" t="s">
        <v>1397</v>
      </c>
      <c r="J1" t="s">
        <v>1173</v>
      </c>
      <c r="K1" t="s">
        <v>1174</v>
      </c>
      <c r="L1" t="s">
        <v>1176</v>
      </c>
      <c r="M1" t="s">
        <v>1398</v>
      </c>
      <c r="N1" t="s">
        <v>1399</v>
      </c>
      <c r="O1" t="s">
        <v>1400</v>
      </c>
      <c r="P1" t="s">
        <v>1401</v>
      </c>
      <c r="Q1" t="s">
        <v>1402</v>
      </c>
      <c r="R1" t="s">
        <v>1403</v>
      </c>
      <c r="S1" t="s">
        <v>1404</v>
      </c>
      <c r="T1" t="s">
        <v>1405</v>
      </c>
      <c r="U1" t="s">
        <v>1406</v>
      </c>
      <c r="V1" t="s">
        <v>1407</v>
      </c>
      <c r="W1" t="s">
        <v>1231</v>
      </c>
      <c r="X1" t="s">
        <v>1408</v>
      </c>
    </row>
    <row r="2" spans="1:24">
      <c r="A2" t="s">
        <v>89</v>
      </c>
      <c r="B2" t="s">
        <v>114</v>
      </c>
      <c r="C2" t="s">
        <v>670</v>
      </c>
      <c r="D2" t="s">
        <v>145</v>
      </c>
      <c r="E2" t="s">
        <v>106</v>
      </c>
      <c r="F2">
        <v>1</v>
      </c>
      <c r="G2" t="s">
        <v>1349</v>
      </c>
      <c r="H2" t="s">
        <v>1249</v>
      </c>
      <c r="I2" t="s">
        <v>1241</v>
      </c>
      <c r="J2" t="s">
        <v>1222</v>
      </c>
      <c r="K2" t="s">
        <v>1221</v>
      </c>
      <c r="L2">
        <v>78.95</v>
      </c>
      <c r="M2">
        <v>564.96</v>
      </c>
      <c r="N2">
        <v>0</v>
      </c>
      <c r="O2">
        <v>564.96</v>
      </c>
      <c r="P2">
        <v>315.8</v>
      </c>
      <c r="Q2">
        <v>249.16000000000003</v>
      </c>
      <c r="R2">
        <v>0.44102237326536392</v>
      </c>
      <c r="S2">
        <v>2025</v>
      </c>
      <c r="T2">
        <v>8</v>
      </c>
      <c r="U2" t="s">
        <v>1417</v>
      </c>
      <c r="V2" t="s">
        <v>1418</v>
      </c>
      <c r="W2" t="s">
        <v>1250</v>
      </c>
      <c r="X2">
        <v>0</v>
      </c>
    </row>
    <row r="3" spans="1:24">
      <c r="A3" t="s">
        <v>89</v>
      </c>
      <c r="B3" t="s">
        <v>181</v>
      </c>
      <c r="C3" t="s">
        <v>257</v>
      </c>
      <c r="D3" t="s">
        <v>145</v>
      </c>
      <c r="E3" t="s">
        <v>106</v>
      </c>
      <c r="F3">
        <v>1</v>
      </c>
      <c r="G3" t="s">
        <v>1316</v>
      </c>
      <c r="H3" t="s">
        <v>1249</v>
      </c>
      <c r="I3" t="s">
        <v>1237</v>
      </c>
      <c r="J3" t="s">
        <v>1190</v>
      </c>
      <c r="K3" t="s">
        <v>1180</v>
      </c>
      <c r="L3">
        <v>224.47</v>
      </c>
      <c r="M3">
        <v>1103.73</v>
      </c>
      <c r="N3">
        <v>0</v>
      </c>
      <c r="O3">
        <v>1103.73</v>
      </c>
      <c r="P3">
        <v>673.41</v>
      </c>
      <c r="Q3">
        <v>430.32000000000005</v>
      </c>
      <c r="R3">
        <v>0.38987795928352048</v>
      </c>
      <c r="S3">
        <v>2025</v>
      </c>
      <c r="T3">
        <v>5</v>
      </c>
      <c r="U3" t="s">
        <v>1419</v>
      </c>
      <c r="V3" t="s">
        <v>1420</v>
      </c>
      <c r="W3" t="s">
        <v>1250</v>
      </c>
      <c r="X3">
        <v>0</v>
      </c>
    </row>
    <row r="4" spans="1:24">
      <c r="A4" t="s">
        <v>89</v>
      </c>
      <c r="B4" t="s">
        <v>503</v>
      </c>
      <c r="C4" t="s">
        <v>414</v>
      </c>
      <c r="D4" t="s">
        <v>87</v>
      </c>
      <c r="E4" t="s">
        <v>106</v>
      </c>
      <c r="F4">
        <v>1</v>
      </c>
      <c r="G4" t="s">
        <v>1305</v>
      </c>
      <c r="H4" t="s">
        <v>1288</v>
      </c>
      <c r="I4" t="s">
        <v>1245</v>
      </c>
      <c r="J4" t="s">
        <v>1197</v>
      </c>
      <c r="K4" t="s">
        <v>1193</v>
      </c>
      <c r="L4">
        <v>85.73</v>
      </c>
      <c r="M4">
        <v>256.32</v>
      </c>
      <c r="N4">
        <v>38.448</v>
      </c>
      <c r="O4">
        <v>217.87199999999999</v>
      </c>
      <c r="P4">
        <v>171.46</v>
      </c>
      <c r="Q4">
        <v>46.411999999999978</v>
      </c>
      <c r="R4">
        <v>0.21302416097525143</v>
      </c>
      <c r="S4">
        <v>2025</v>
      </c>
      <c r="T4">
        <v>4</v>
      </c>
      <c r="U4" t="s">
        <v>1421</v>
      </c>
      <c r="V4" t="s">
        <v>1420</v>
      </c>
      <c r="W4" t="s">
        <v>1250</v>
      </c>
      <c r="X4">
        <v>0</v>
      </c>
    </row>
    <row r="5" spans="1:24">
      <c r="A5" t="s">
        <v>89</v>
      </c>
      <c r="B5" t="s">
        <v>120</v>
      </c>
      <c r="C5" t="s">
        <v>414</v>
      </c>
      <c r="D5" t="s">
        <v>87</v>
      </c>
      <c r="E5" t="s">
        <v>106</v>
      </c>
      <c r="F5">
        <v>1</v>
      </c>
      <c r="G5" t="s">
        <v>1305</v>
      </c>
      <c r="H5" t="s">
        <v>1288</v>
      </c>
      <c r="I5" t="s">
        <v>1245</v>
      </c>
      <c r="J5" t="s">
        <v>1199</v>
      </c>
      <c r="K5" t="s">
        <v>1193</v>
      </c>
      <c r="L5">
        <v>235.76</v>
      </c>
      <c r="M5">
        <v>798.12</v>
      </c>
      <c r="N5">
        <v>0</v>
      </c>
      <c r="O5">
        <v>798.12</v>
      </c>
      <c r="P5">
        <v>471.52</v>
      </c>
      <c r="Q5">
        <v>326.60000000000002</v>
      </c>
      <c r="R5">
        <v>0.40921164737132265</v>
      </c>
      <c r="S5">
        <v>2025</v>
      </c>
      <c r="T5">
        <v>7</v>
      </c>
      <c r="U5" t="s">
        <v>1422</v>
      </c>
      <c r="V5" t="s">
        <v>1418</v>
      </c>
      <c r="W5" t="s">
        <v>1250</v>
      </c>
      <c r="X5">
        <v>0</v>
      </c>
    </row>
    <row r="6" spans="1:24">
      <c r="A6" t="s">
        <v>89</v>
      </c>
      <c r="B6" t="s">
        <v>114</v>
      </c>
      <c r="C6" t="s">
        <v>113</v>
      </c>
      <c r="D6" t="s">
        <v>116</v>
      </c>
      <c r="E6" t="s">
        <v>106</v>
      </c>
      <c r="F6">
        <v>1</v>
      </c>
      <c r="G6" t="s">
        <v>1300</v>
      </c>
      <c r="H6" t="s">
        <v>1288</v>
      </c>
      <c r="I6" t="s">
        <v>1237</v>
      </c>
      <c r="J6" t="s">
        <v>1222</v>
      </c>
      <c r="K6" t="s">
        <v>1221</v>
      </c>
      <c r="L6">
        <v>78.95</v>
      </c>
      <c r="M6">
        <v>151.79</v>
      </c>
      <c r="N6">
        <v>0</v>
      </c>
      <c r="O6">
        <v>151.79</v>
      </c>
      <c r="P6">
        <v>78.95</v>
      </c>
      <c r="Q6">
        <v>72.839999999999989</v>
      </c>
      <c r="R6">
        <v>0.47987350945385066</v>
      </c>
      <c r="S6">
        <v>2025</v>
      </c>
      <c r="T6">
        <v>3</v>
      </c>
      <c r="U6" t="s">
        <v>1423</v>
      </c>
      <c r="V6" t="s">
        <v>1424</v>
      </c>
      <c r="W6" t="s">
        <v>1250</v>
      </c>
      <c r="X6">
        <v>0</v>
      </c>
    </row>
    <row r="7" spans="1:24">
      <c r="A7" t="s">
        <v>97</v>
      </c>
      <c r="B7" t="s">
        <v>120</v>
      </c>
      <c r="C7" t="s">
        <v>119</v>
      </c>
      <c r="D7" t="s">
        <v>116</v>
      </c>
      <c r="E7" t="s">
        <v>106</v>
      </c>
      <c r="F7">
        <v>1</v>
      </c>
      <c r="G7" t="s">
        <v>1308</v>
      </c>
      <c r="H7" t="s">
        <v>1288</v>
      </c>
      <c r="I7" t="s">
        <v>1241</v>
      </c>
      <c r="J7" t="s">
        <v>1199</v>
      </c>
      <c r="K7" t="s">
        <v>1193</v>
      </c>
      <c r="L7">
        <v>235.76</v>
      </c>
      <c r="M7">
        <v>751.5</v>
      </c>
      <c r="N7">
        <v>0</v>
      </c>
      <c r="O7">
        <v>751.5</v>
      </c>
      <c r="P7">
        <v>471.52</v>
      </c>
      <c r="Q7">
        <v>279.98</v>
      </c>
      <c r="R7">
        <v>0.37256154357950766</v>
      </c>
      <c r="S7">
        <v>2025</v>
      </c>
      <c r="T7">
        <v>1</v>
      </c>
      <c r="U7" t="s">
        <v>1425</v>
      </c>
      <c r="V7" t="s">
        <v>1424</v>
      </c>
      <c r="W7" t="s">
        <v>1250</v>
      </c>
      <c r="X7">
        <v>0</v>
      </c>
    </row>
    <row r="8" spans="1:24">
      <c r="A8" t="s">
        <v>89</v>
      </c>
      <c r="B8" t="s">
        <v>244</v>
      </c>
      <c r="C8" t="s">
        <v>180</v>
      </c>
      <c r="D8" t="s">
        <v>145</v>
      </c>
      <c r="E8" t="s">
        <v>369</v>
      </c>
      <c r="F8">
        <v>1</v>
      </c>
      <c r="G8" t="s">
        <v>1332</v>
      </c>
      <c r="H8" t="s">
        <v>1249</v>
      </c>
      <c r="I8" t="s">
        <v>1237</v>
      </c>
      <c r="J8" t="s">
        <v>1188</v>
      </c>
      <c r="K8" t="s">
        <v>1180</v>
      </c>
      <c r="L8">
        <v>131.19</v>
      </c>
      <c r="M8">
        <v>464.66</v>
      </c>
      <c r="N8">
        <v>69.698999999999998</v>
      </c>
      <c r="O8">
        <v>394.96100000000001</v>
      </c>
      <c r="P8">
        <v>262.38</v>
      </c>
      <c r="Q8">
        <v>132.58100000000002</v>
      </c>
      <c r="R8">
        <v>0.33568124447730285</v>
      </c>
      <c r="S8">
        <v>2025</v>
      </c>
      <c r="T8">
        <v>1</v>
      </c>
      <c r="U8" t="s">
        <v>1425</v>
      </c>
      <c r="V8" t="s">
        <v>1424</v>
      </c>
      <c r="W8" t="s">
        <v>1250</v>
      </c>
      <c r="X8">
        <v>0</v>
      </c>
    </row>
    <row r="9" spans="1:24">
      <c r="A9" t="s">
        <v>89</v>
      </c>
      <c r="B9" t="s">
        <v>226</v>
      </c>
      <c r="C9" t="s">
        <v>463</v>
      </c>
      <c r="D9" t="s">
        <v>87</v>
      </c>
      <c r="E9" t="s">
        <v>1413</v>
      </c>
      <c r="F9">
        <v>1</v>
      </c>
      <c r="G9" t="s">
        <v>1280</v>
      </c>
      <c r="H9" t="s">
        <v>1249</v>
      </c>
      <c r="I9" t="s">
        <v>1245</v>
      </c>
      <c r="J9" t="s">
        <v>1194</v>
      </c>
      <c r="K9" t="s">
        <v>1193</v>
      </c>
      <c r="L9">
        <v>127.21</v>
      </c>
      <c r="M9">
        <v>634.20000000000005</v>
      </c>
      <c r="N9">
        <v>95.13000000000001</v>
      </c>
      <c r="O9">
        <v>539.07000000000005</v>
      </c>
      <c r="P9">
        <v>381.63</v>
      </c>
      <c r="Q9">
        <v>157.44000000000005</v>
      </c>
      <c r="R9">
        <v>0.29205854527241365</v>
      </c>
      <c r="S9">
        <v>2025</v>
      </c>
      <c r="T9">
        <v>11</v>
      </c>
      <c r="U9" t="s">
        <v>1426</v>
      </c>
      <c r="V9" t="s">
        <v>1427</v>
      </c>
      <c r="W9" t="s">
        <v>1250</v>
      </c>
      <c r="X9">
        <v>0</v>
      </c>
    </row>
    <row r="10" spans="1:24">
      <c r="A10" t="s">
        <v>97</v>
      </c>
      <c r="B10" t="s">
        <v>133</v>
      </c>
      <c r="C10" t="s">
        <v>132</v>
      </c>
      <c r="D10" t="s">
        <v>111</v>
      </c>
      <c r="E10" t="s">
        <v>369</v>
      </c>
      <c r="F10">
        <v>1</v>
      </c>
      <c r="G10" t="s">
        <v>1346</v>
      </c>
      <c r="H10" t="s">
        <v>1288</v>
      </c>
      <c r="I10" t="s">
        <v>1245</v>
      </c>
      <c r="J10" t="s">
        <v>1227</v>
      </c>
      <c r="K10" t="s">
        <v>1221</v>
      </c>
      <c r="L10">
        <v>229.86</v>
      </c>
      <c r="M10">
        <v>333.75</v>
      </c>
      <c r="N10">
        <v>16.6875</v>
      </c>
      <c r="O10">
        <v>317.0625</v>
      </c>
      <c r="P10">
        <v>229.86</v>
      </c>
      <c r="Q10">
        <v>87.202499999999986</v>
      </c>
      <c r="R10">
        <v>0.27503252513305732</v>
      </c>
      <c r="S10">
        <v>2025</v>
      </c>
      <c r="T10">
        <v>12</v>
      </c>
      <c r="U10" t="s">
        <v>1428</v>
      </c>
      <c r="V10" t="s">
        <v>1427</v>
      </c>
      <c r="W10" t="s">
        <v>1250</v>
      </c>
      <c r="X10">
        <v>0</v>
      </c>
    </row>
    <row r="11" spans="1:24">
      <c r="A11" t="s">
        <v>89</v>
      </c>
      <c r="B11" t="s">
        <v>136</v>
      </c>
      <c r="C11" t="s">
        <v>132</v>
      </c>
      <c r="D11" t="s">
        <v>103</v>
      </c>
      <c r="E11" t="s">
        <v>106</v>
      </c>
      <c r="F11">
        <v>1</v>
      </c>
      <c r="G11" t="s">
        <v>1346</v>
      </c>
      <c r="H11" t="s">
        <v>1288</v>
      </c>
      <c r="I11" t="s">
        <v>1245</v>
      </c>
      <c r="J11" t="s">
        <v>1184</v>
      </c>
      <c r="K11" t="s">
        <v>1180</v>
      </c>
      <c r="L11">
        <v>106.4</v>
      </c>
      <c r="M11">
        <v>163.56</v>
      </c>
      <c r="N11">
        <v>8.1780000000000008</v>
      </c>
      <c r="O11">
        <v>155.38200000000001</v>
      </c>
      <c r="P11">
        <v>106.4</v>
      </c>
      <c r="Q11">
        <v>48.981999999999999</v>
      </c>
      <c r="R11">
        <v>0.31523599902176569</v>
      </c>
      <c r="S11">
        <v>2025</v>
      </c>
      <c r="T11">
        <v>6</v>
      </c>
      <c r="U11" t="s">
        <v>1429</v>
      </c>
      <c r="V11" t="s">
        <v>1420</v>
      </c>
      <c r="W11" t="s">
        <v>1250</v>
      </c>
      <c r="X11">
        <v>0</v>
      </c>
    </row>
    <row r="12" spans="1:24">
      <c r="A12" t="s">
        <v>89</v>
      </c>
      <c r="B12" t="s">
        <v>261</v>
      </c>
      <c r="C12" t="s">
        <v>463</v>
      </c>
      <c r="D12" t="s">
        <v>116</v>
      </c>
      <c r="E12" t="s">
        <v>106</v>
      </c>
      <c r="F12">
        <v>1</v>
      </c>
      <c r="G12" t="s">
        <v>1280</v>
      </c>
      <c r="H12" t="s">
        <v>1249</v>
      </c>
      <c r="I12" t="s">
        <v>1245</v>
      </c>
      <c r="J12" t="s">
        <v>1218</v>
      </c>
      <c r="K12" t="s">
        <v>1212</v>
      </c>
      <c r="L12">
        <v>131.72999999999999</v>
      </c>
      <c r="M12">
        <v>526.26</v>
      </c>
      <c r="N12">
        <v>0</v>
      </c>
      <c r="O12">
        <v>526.26</v>
      </c>
      <c r="P12">
        <v>263.45999999999998</v>
      </c>
      <c r="Q12">
        <v>262.8</v>
      </c>
      <c r="R12">
        <v>0.4993729335309543</v>
      </c>
      <c r="S12">
        <v>2025</v>
      </c>
      <c r="T12">
        <v>12</v>
      </c>
      <c r="U12" t="s">
        <v>1428</v>
      </c>
      <c r="V12" t="s">
        <v>1427</v>
      </c>
      <c r="W12" t="s">
        <v>1250</v>
      </c>
      <c r="X12">
        <v>0</v>
      </c>
    </row>
    <row r="13" spans="1:24">
      <c r="A13" t="s">
        <v>89</v>
      </c>
      <c r="B13" t="s">
        <v>277</v>
      </c>
      <c r="C13" t="s">
        <v>236</v>
      </c>
      <c r="D13" t="s">
        <v>111</v>
      </c>
      <c r="E13" t="s">
        <v>369</v>
      </c>
      <c r="F13">
        <v>1</v>
      </c>
      <c r="G13" t="s">
        <v>1345</v>
      </c>
      <c r="H13" t="s">
        <v>1288</v>
      </c>
      <c r="I13" t="s">
        <v>1245</v>
      </c>
      <c r="J13" t="s">
        <v>1179</v>
      </c>
      <c r="K13" t="s">
        <v>1180</v>
      </c>
      <c r="L13">
        <v>254.6</v>
      </c>
      <c r="M13">
        <v>379.66</v>
      </c>
      <c r="N13">
        <v>0</v>
      </c>
      <c r="O13">
        <v>379.66</v>
      </c>
      <c r="P13">
        <v>254.6</v>
      </c>
      <c r="Q13">
        <v>125.06000000000003</v>
      </c>
      <c r="R13">
        <v>0.32939998946425753</v>
      </c>
      <c r="S13">
        <v>2025</v>
      </c>
      <c r="T13">
        <v>12</v>
      </c>
      <c r="U13" t="s">
        <v>1428</v>
      </c>
      <c r="V13" t="s">
        <v>1427</v>
      </c>
      <c r="W13" t="s">
        <v>1250</v>
      </c>
      <c r="X13">
        <v>0</v>
      </c>
    </row>
    <row r="14" spans="1:24">
      <c r="A14" t="s">
        <v>97</v>
      </c>
      <c r="B14" t="s">
        <v>503</v>
      </c>
      <c r="C14" t="s">
        <v>487</v>
      </c>
      <c r="D14" t="s">
        <v>116</v>
      </c>
      <c r="E14" t="s">
        <v>106</v>
      </c>
      <c r="F14">
        <v>1</v>
      </c>
      <c r="G14" t="s">
        <v>1347</v>
      </c>
      <c r="H14" t="s">
        <v>1249</v>
      </c>
      <c r="I14" t="s">
        <v>1237</v>
      </c>
      <c r="J14" t="s">
        <v>1197</v>
      </c>
      <c r="K14" t="s">
        <v>1193</v>
      </c>
      <c r="L14">
        <v>85.73</v>
      </c>
      <c r="M14">
        <v>122.63</v>
      </c>
      <c r="N14">
        <v>0</v>
      </c>
      <c r="O14">
        <v>122.63</v>
      </c>
      <c r="P14">
        <v>85.73</v>
      </c>
      <c r="Q14">
        <v>36.899999999999991</v>
      </c>
      <c r="R14">
        <v>0.30090516186903687</v>
      </c>
      <c r="S14">
        <v>2025</v>
      </c>
      <c r="T14">
        <v>2</v>
      </c>
      <c r="U14" t="s">
        <v>1430</v>
      </c>
      <c r="V14" t="s">
        <v>1424</v>
      </c>
      <c r="W14" t="s">
        <v>1250</v>
      </c>
      <c r="X14">
        <v>0</v>
      </c>
    </row>
    <row r="15" spans="1:24">
      <c r="A15" t="s">
        <v>89</v>
      </c>
      <c r="B15" t="s">
        <v>194</v>
      </c>
      <c r="C15" t="s">
        <v>132</v>
      </c>
      <c r="D15" t="s">
        <v>116</v>
      </c>
      <c r="E15" t="s">
        <v>106</v>
      </c>
      <c r="F15">
        <v>1</v>
      </c>
      <c r="G15" t="s">
        <v>1346</v>
      </c>
      <c r="H15" t="s">
        <v>1288</v>
      </c>
      <c r="I15" t="s">
        <v>1245</v>
      </c>
      <c r="J15" t="s">
        <v>1216</v>
      </c>
      <c r="K15" t="s">
        <v>1212</v>
      </c>
      <c r="L15">
        <v>101</v>
      </c>
      <c r="M15">
        <v>636.45000000000005</v>
      </c>
      <c r="N15">
        <v>31.822500000000005</v>
      </c>
      <c r="O15">
        <v>604.62750000000005</v>
      </c>
      <c r="P15">
        <v>303</v>
      </c>
      <c r="Q15">
        <v>301.62750000000005</v>
      </c>
      <c r="R15">
        <v>0.49886500365927788</v>
      </c>
      <c r="S15">
        <v>2025</v>
      </c>
      <c r="T15">
        <v>8</v>
      </c>
      <c r="U15" t="s">
        <v>1417</v>
      </c>
      <c r="V15" t="s">
        <v>1418</v>
      </c>
      <c r="W15" t="s">
        <v>1250</v>
      </c>
      <c r="X15">
        <v>0</v>
      </c>
    </row>
    <row r="16" spans="1:24">
      <c r="A16" t="s">
        <v>89</v>
      </c>
      <c r="B16" t="s">
        <v>157</v>
      </c>
      <c r="C16" t="s">
        <v>113</v>
      </c>
      <c r="D16" t="s">
        <v>145</v>
      </c>
      <c r="E16" t="s">
        <v>369</v>
      </c>
      <c r="F16">
        <v>1</v>
      </c>
      <c r="G16" t="s">
        <v>1300</v>
      </c>
      <c r="H16" t="s">
        <v>1288</v>
      </c>
      <c r="I16" t="s">
        <v>1237</v>
      </c>
      <c r="J16" t="s">
        <v>1192</v>
      </c>
      <c r="K16" t="s">
        <v>1193</v>
      </c>
      <c r="L16">
        <v>176.13</v>
      </c>
      <c r="M16">
        <v>618.62</v>
      </c>
      <c r="N16">
        <v>123.724</v>
      </c>
      <c r="O16">
        <v>494.89600000000002</v>
      </c>
      <c r="P16">
        <v>352.26</v>
      </c>
      <c r="Q16">
        <v>142.63600000000002</v>
      </c>
      <c r="R16">
        <v>0.28821408942484888</v>
      </c>
      <c r="S16">
        <v>2025</v>
      </c>
      <c r="T16">
        <v>4</v>
      </c>
      <c r="U16" t="s">
        <v>1421</v>
      </c>
      <c r="V16" t="s">
        <v>1420</v>
      </c>
      <c r="W16" t="s">
        <v>1250</v>
      </c>
      <c r="X16">
        <v>0</v>
      </c>
    </row>
    <row r="17" spans="1:24">
      <c r="A17" t="s">
        <v>105</v>
      </c>
      <c r="B17" t="s">
        <v>418</v>
      </c>
      <c r="C17" t="s">
        <v>414</v>
      </c>
      <c r="D17" t="s">
        <v>103</v>
      </c>
      <c r="E17" t="s">
        <v>106</v>
      </c>
      <c r="F17">
        <v>1</v>
      </c>
      <c r="G17" t="s">
        <v>1305</v>
      </c>
      <c r="H17" t="s">
        <v>1288</v>
      </c>
      <c r="I17" t="s">
        <v>1245</v>
      </c>
      <c r="J17" t="s">
        <v>1215</v>
      </c>
      <c r="K17" t="s">
        <v>1212</v>
      </c>
      <c r="L17">
        <v>212.02</v>
      </c>
      <c r="M17">
        <v>342.07</v>
      </c>
      <c r="N17">
        <v>17.1035</v>
      </c>
      <c r="O17">
        <v>324.9665</v>
      </c>
      <c r="P17">
        <v>212.02</v>
      </c>
      <c r="Q17">
        <v>112.94649999999999</v>
      </c>
      <c r="R17">
        <v>0.34756351808571034</v>
      </c>
      <c r="S17">
        <v>2025</v>
      </c>
      <c r="T17">
        <v>4</v>
      </c>
      <c r="U17" t="s">
        <v>1421</v>
      </c>
      <c r="V17" t="s">
        <v>1420</v>
      </c>
      <c r="W17" t="s">
        <v>1250</v>
      </c>
      <c r="X17">
        <v>0</v>
      </c>
    </row>
    <row r="18" spans="1:24">
      <c r="A18" t="s">
        <v>97</v>
      </c>
      <c r="B18" t="s">
        <v>217</v>
      </c>
      <c r="C18" t="s">
        <v>209</v>
      </c>
      <c r="D18" t="s">
        <v>116</v>
      </c>
      <c r="E18" t="s">
        <v>98</v>
      </c>
      <c r="F18">
        <v>1</v>
      </c>
      <c r="G18" t="s">
        <v>1248</v>
      </c>
      <c r="H18" t="s">
        <v>1249</v>
      </c>
      <c r="I18" t="s">
        <v>1237</v>
      </c>
      <c r="J18" t="s">
        <v>1189</v>
      </c>
      <c r="K18" t="s">
        <v>1180</v>
      </c>
      <c r="L18">
        <v>72</v>
      </c>
      <c r="M18">
        <v>400.92</v>
      </c>
      <c r="N18">
        <v>20.046000000000003</v>
      </c>
      <c r="O18">
        <v>380.87400000000002</v>
      </c>
      <c r="P18">
        <v>288</v>
      </c>
      <c r="Q18">
        <v>92.874000000000024</v>
      </c>
      <c r="R18">
        <v>0.24384442098961867</v>
      </c>
      <c r="S18">
        <v>2025</v>
      </c>
      <c r="T18">
        <v>10</v>
      </c>
      <c r="U18" t="s">
        <v>1431</v>
      </c>
      <c r="V18" t="s">
        <v>1427</v>
      </c>
      <c r="W18" t="s">
        <v>1250</v>
      </c>
      <c r="X18">
        <v>0</v>
      </c>
    </row>
    <row r="19" spans="1:24">
      <c r="A19" t="s">
        <v>97</v>
      </c>
      <c r="B19" t="s">
        <v>346</v>
      </c>
      <c r="C19" t="s">
        <v>257</v>
      </c>
      <c r="D19" t="s">
        <v>116</v>
      </c>
      <c r="E19" t="s">
        <v>106</v>
      </c>
      <c r="F19">
        <v>1</v>
      </c>
      <c r="G19" t="s">
        <v>1316</v>
      </c>
      <c r="H19" t="s">
        <v>1249</v>
      </c>
      <c r="I19" t="s">
        <v>1237</v>
      </c>
      <c r="J19" t="s">
        <v>1217</v>
      </c>
      <c r="K19" t="s">
        <v>1212</v>
      </c>
      <c r="L19">
        <v>125.4</v>
      </c>
      <c r="M19">
        <v>241.92</v>
      </c>
      <c r="N19">
        <v>24.192</v>
      </c>
      <c r="O19">
        <v>217.72799999999998</v>
      </c>
      <c r="P19">
        <v>125.4</v>
      </c>
      <c r="Q19">
        <v>92.327999999999975</v>
      </c>
      <c r="R19">
        <v>0.42405202821869481</v>
      </c>
      <c r="S19">
        <v>2025</v>
      </c>
      <c r="T19">
        <v>7</v>
      </c>
      <c r="U19" t="s">
        <v>1422</v>
      </c>
      <c r="V19" t="s">
        <v>1418</v>
      </c>
      <c r="W19" t="s">
        <v>1250</v>
      </c>
      <c r="X19">
        <v>0</v>
      </c>
    </row>
    <row r="20" spans="1:24">
      <c r="A20" t="s">
        <v>89</v>
      </c>
      <c r="B20" t="s">
        <v>133</v>
      </c>
      <c r="C20" t="s">
        <v>169</v>
      </c>
      <c r="D20" t="s">
        <v>111</v>
      </c>
      <c r="E20" t="s">
        <v>106</v>
      </c>
      <c r="F20">
        <v>1</v>
      </c>
      <c r="G20" t="s">
        <v>1313</v>
      </c>
      <c r="H20" t="s">
        <v>1288</v>
      </c>
      <c r="I20" t="s">
        <v>1237</v>
      </c>
      <c r="J20" t="s">
        <v>1227</v>
      </c>
      <c r="K20" t="s">
        <v>1221</v>
      </c>
      <c r="L20">
        <v>229.86</v>
      </c>
      <c r="M20">
        <v>1429.48</v>
      </c>
      <c r="N20">
        <v>357.37</v>
      </c>
      <c r="O20">
        <v>1072.1100000000001</v>
      </c>
      <c r="P20">
        <v>919.44</v>
      </c>
      <c r="Q20">
        <v>152.67000000000007</v>
      </c>
      <c r="R20">
        <v>0.14240143268880998</v>
      </c>
      <c r="S20">
        <v>2025</v>
      </c>
      <c r="T20">
        <v>8</v>
      </c>
      <c r="U20" t="s">
        <v>1417</v>
      </c>
      <c r="V20" t="s">
        <v>1418</v>
      </c>
      <c r="W20" t="s">
        <v>1250</v>
      </c>
      <c r="X20">
        <v>0</v>
      </c>
    </row>
    <row r="21" spans="1:24">
      <c r="A21" t="s">
        <v>89</v>
      </c>
      <c r="B21" t="s">
        <v>165</v>
      </c>
      <c r="C21" t="s">
        <v>463</v>
      </c>
      <c r="D21" t="s">
        <v>111</v>
      </c>
      <c r="E21" t="s">
        <v>106</v>
      </c>
      <c r="F21">
        <v>1</v>
      </c>
      <c r="G21" t="s">
        <v>1280</v>
      </c>
      <c r="H21" t="s">
        <v>1249</v>
      </c>
      <c r="I21" t="s">
        <v>1245</v>
      </c>
      <c r="J21" t="s">
        <v>1210</v>
      </c>
      <c r="K21" t="s">
        <v>1203</v>
      </c>
      <c r="L21">
        <v>46.07</v>
      </c>
      <c r="M21">
        <v>106.45</v>
      </c>
      <c r="N21">
        <v>10.645000000000001</v>
      </c>
      <c r="O21">
        <v>95.805000000000007</v>
      </c>
      <c r="P21">
        <v>46.07</v>
      </c>
      <c r="Q21">
        <v>49.735000000000007</v>
      </c>
      <c r="R21">
        <v>0.5191273941861072</v>
      </c>
      <c r="S21">
        <v>2025</v>
      </c>
      <c r="T21">
        <v>9</v>
      </c>
      <c r="U21" t="s">
        <v>1432</v>
      </c>
      <c r="V21" t="s">
        <v>1418</v>
      </c>
      <c r="W21" t="s">
        <v>1250</v>
      </c>
      <c r="X21">
        <v>0</v>
      </c>
    </row>
    <row r="22" spans="1:24">
      <c r="A22" t="s">
        <v>89</v>
      </c>
      <c r="B22" t="s">
        <v>255</v>
      </c>
      <c r="C22" t="s">
        <v>523</v>
      </c>
      <c r="D22" t="s">
        <v>116</v>
      </c>
      <c r="E22" t="s">
        <v>98</v>
      </c>
      <c r="F22">
        <v>1</v>
      </c>
      <c r="G22" t="s">
        <v>1355</v>
      </c>
      <c r="H22" t="s">
        <v>1249</v>
      </c>
      <c r="I22" t="s">
        <v>1237</v>
      </c>
      <c r="J22" t="s">
        <v>1198</v>
      </c>
      <c r="K22" t="s">
        <v>1193</v>
      </c>
      <c r="L22">
        <v>117.65</v>
      </c>
      <c r="M22">
        <v>228.4</v>
      </c>
      <c r="N22">
        <v>11.420000000000002</v>
      </c>
      <c r="O22">
        <v>216.98000000000002</v>
      </c>
      <c r="P22">
        <v>117.65</v>
      </c>
      <c r="Q22">
        <v>99.330000000000013</v>
      </c>
      <c r="R22">
        <v>0.45778412756936127</v>
      </c>
      <c r="S22">
        <v>2025</v>
      </c>
      <c r="T22">
        <v>10</v>
      </c>
      <c r="U22" t="s">
        <v>1431</v>
      </c>
      <c r="V22" t="s">
        <v>1427</v>
      </c>
      <c r="W22" t="s">
        <v>1250</v>
      </c>
      <c r="X22">
        <v>0</v>
      </c>
    </row>
    <row r="23" spans="1:24">
      <c r="A23" t="s">
        <v>89</v>
      </c>
      <c r="B23" t="s">
        <v>181</v>
      </c>
      <c r="C23" t="s">
        <v>180</v>
      </c>
      <c r="D23" t="s">
        <v>116</v>
      </c>
      <c r="E23" t="s">
        <v>106</v>
      </c>
      <c r="F23">
        <v>1</v>
      </c>
      <c r="G23" t="s">
        <v>1332</v>
      </c>
      <c r="H23" t="s">
        <v>1249</v>
      </c>
      <c r="I23" t="s">
        <v>1237</v>
      </c>
      <c r="J23" t="s">
        <v>1190</v>
      </c>
      <c r="K23" t="s">
        <v>1180</v>
      </c>
      <c r="L23">
        <v>224.47</v>
      </c>
      <c r="M23">
        <v>339.65</v>
      </c>
      <c r="N23">
        <v>0</v>
      </c>
      <c r="O23">
        <v>339.65</v>
      </c>
      <c r="P23">
        <v>224.47</v>
      </c>
      <c r="Q23">
        <v>115.17999999999998</v>
      </c>
      <c r="R23">
        <v>0.33911379361107019</v>
      </c>
      <c r="S23">
        <v>2025</v>
      </c>
      <c r="T23">
        <v>4</v>
      </c>
      <c r="U23" t="s">
        <v>1421</v>
      </c>
      <c r="V23" t="s">
        <v>1420</v>
      </c>
      <c r="W23" t="s">
        <v>1250</v>
      </c>
      <c r="X23">
        <v>0</v>
      </c>
    </row>
    <row r="24" spans="1:24">
      <c r="A24" t="s">
        <v>89</v>
      </c>
      <c r="B24" t="s">
        <v>194</v>
      </c>
      <c r="C24" t="s">
        <v>523</v>
      </c>
      <c r="D24" t="s">
        <v>87</v>
      </c>
      <c r="E24" t="s">
        <v>106</v>
      </c>
      <c r="F24">
        <v>1</v>
      </c>
      <c r="G24" t="s">
        <v>1355</v>
      </c>
      <c r="H24" t="s">
        <v>1249</v>
      </c>
      <c r="I24" t="s">
        <v>1237</v>
      </c>
      <c r="J24" t="s">
        <v>1216</v>
      </c>
      <c r="K24" t="s">
        <v>1212</v>
      </c>
      <c r="L24">
        <v>101</v>
      </c>
      <c r="M24">
        <v>424.1</v>
      </c>
      <c r="N24">
        <v>0</v>
      </c>
      <c r="O24">
        <v>424.1</v>
      </c>
      <c r="P24">
        <v>202</v>
      </c>
      <c r="Q24">
        <v>222.10000000000002</v>
      </c>
      <c r="R24">
        <v>0.52369724121669425</v>
      </c>
      <c r="S24">
        <v>2025</v>
      </c>
      <c r="T24">
        <v>7</v>
      </c>
      <c r="U24" t="s">
        <v>1422</v>
      </c>
      <c r="V24" t="s">
        <v>1418</v>
      </c>
      <c r="W24" t="s">
        <v>1250</v>
      </c>
      <c r="X24">
        <v>0</v>
      </c>
    </row>
    <row r="25" spans="1:24">
      <c r="A25" t="s">
        <v>97</v>
      </c>
      <c r="B25" t="s">
        <v>261</v>
      </c>
      <c r="C25" t="s">
        <v>180</v>
      </c>
      <c r="D25" t="s">
        <v>111</v>
      </c>
      <c r="E25" t="s">
        <v>154</v>
      </c>
      <c r="F25">
        <v>1</v>
      </c>
      <c r="G25" t="s">
        <v>1332</v>
      </c>
      <c r="H25" t="s">
        <v>1249</v>
      </c>
      <c r="I25" t="s">
        <v>1237</v>
      </c>
      <c r="J25" t="s">
        <v>1218</v>
      </c>
      <c r="K25" t="s">
        <v>1212</v>
      </c>
      <c r="L25">
        <v>131.72999999999999</v>
      </c>
      <c r="M25">
        <v>242.19</v>
      </c>
      <c r="N25">
        <v>0</v>
      </c>
      <c r="O25">
        <v>242.19</v>
      </c>
      <c r="P25">
        <v>131.72999999999999</v>
      </c>
      <c r="Q25">
        <v>110.46000000000001</v>
      </c>
      <c r="R25">
        <v>0.45608819521863003</v>
      </c>
      <c r="S25">
        <v>2025</v>
      </c>
      <c r="T25">
        <v>11</v>
      </c>
      <c r="U25" t="s">
        <v>1426</v>
      </c>
      <c r="V25" t="s">
        <v>1427</v>
      </c>
      <c r="W25" t="s">
        <v>1250</v>
      </c>
      <c r="X25">
        <v>0</v>
      </c>
    </row>
    <row r="26" spans="1:24">
      <c r="A26" t="s">
        <v>89</v>
      </c>
      <c r="B26" t="s">
        <v>174</v>
      </c>
      <c r="C26" t="s">
        <v>414</v>
      </c>
      <c r="D26" t="s">
        <v>145</v>
      </c>
      <c r="E26" t="s">
        <v>369</v>
      </c>
      <c r="F26">
        <v>1</v>
      </c>
      <c r="G26" t="s">
        <v>1305</v>
      </c>
      <c r="H26" t="s">
        <v>1288</v>
      </c>
      <c r="I26" t="s">
        <v>1245</v>
      </c>
      <c r="J26" t="s">
        <v>1182</v>
      </c>
      <c r="K26" t="s">
        <v>1180</v>
      </c>
      <c r="L26">
        <v>23.5</v>
      </c>
      <c r="M26">
        <v>36.51</v>
      </c>
      <c r="N26">
        <v>0</v>
      </c>
      <c r="O26">
        <v>36.51</v>
      </c>
      <c r="P26">
        <v>23.5</v>
      </c>
      <c r="Q26">
        <v>13.009999999999998</v>
      </c>
      <c r="R26">
        <v>0.3563407285675157</v>
      </c>
      <c r="S26">
        <v>2025</v>
      </c>
      <c r="T26">
        <v>3</v>
      </c>
      <c r="U26" t="s">
        <v>1423</v>
      </c>
      <c r="V26" t="s">
        <v>1424</v>
      </c>
      <c r="W26" t="s">
        <v>1250</v>
      </c>
      <c r="X26">
        <v>0</v>
      </c>
    </row>
    <row r="27" spans="1:24">
      <c r="A27" t="s">
        <v>97</v>
      </c>
      <c r="B27" t="s">
        <v>210</v>
      </c>
      <c r="C27" t="s">
        <v>169</v>
      </c>
      <c r="D27" t="s">
        <v>103</v>
      </c>
      <c r="E27" t="s">
        <v>98</v>
      </c>
      <c r="F27">
        <v>1</v>
      </c>
      <c r="G27" t="s">
        <v>1313</v>
      </c>
      <c r="H27" t="s">
        <v>1288</v>
      </c>
      <c r="I27" t="s">
        <v>1237</v>
      </c>
      <c r="J27" t="s">
        <v>1228</v>
      </c>
      <c r="K27" t="s">
        <v>1221</v>
      </c>
      <c r="L27">
        <v>177.57</v>
      </c>
      <c r="M27">
        <v>878.79</v>
      </c>
      <c r="N27">
        <v>43.939500000000002</v>
      </c>
      <c r="O27">
        <v>834.85050000000001</v>
      </c>
      <c r="P27">
        <v>532.71</v>
      </c>
      <c r="Q27">
        <v>302.14049999999997</v>
      </c>
      <c r="R27">
        <v>0.36190970718709514</v>
      </c>
      <c r="S27">
        <v>2025</v>
      </c>
      <c r="T27">
        <v>11</v>
      </c>
      <c r="U27" t="s">
        <v>1426</v>
      </c>
      <c r="V27" t="s">
        <v>1427</v>
      </c>
      <c r="W27" t="s">
        <v>1250</v>
      </c>
      <c r="X27">
        <v>0</v>
      </c>
    </row>
    <row r="28" spans="1:24">
      <c r="A28" t="s">
        <v>89</v>
      </c>
      <c r="B28" t="s">
        <v>418</v>
      </c>
      <c r="C28" t="s">
        <v>374</v>
      </c>
      <c r="D28" t="s">
        <v>103</v>
      </c>
      <c r="E28" t="s">
        <v>98</v>
      </c>
      <c r="F28">
        <v>1</v>
      </c>
      <c r="G28" t="s">
        <v>1287</v>
      </c>
      <c r="H28" t="s">
        <v>1288</v>
      </c>
      <c r="I28" t="s">
        <v>1241</v>
      </c>
      <c r="J28" t="s">
        <v>1215</v>
      </c>
      <c r="K28" t="s">
        <v>1212</v>
      </c>
      <c r="L28">
        <v>212.02</v>
      </c>
      <c r="M28">
        <v>377.22</v>
      </c>
      <c r="N28">
        <v>18.861000000000001</v>
      </c>
      <c r="O28">
        <v>358.35900000000004</v>
      </c>
      <c r="P28">
        <v>212.02</v>
      </c>
      <c r="Q28">
        <v>146.33900000000003</v>
      </c>
      <c r="R28">
        <v>0.40835865710084024</v>
      </c>
      <c r="S28">
        <v>2025</v>
      </c>
      <c r="T28">
        <v>5</v>
      </c>
      <c r="U28" t="s">
        <v>1419</v>
      </c>
      <c r="V28" t="s">
        <v>1420</v>
      </c>
      <c r="W28" t="s">
        <v>1250</v>
      </c>
      <c r="X28">
        <v>0</v>
      </c>
    </row>
    <row r="29" spans="1:24">
      <c r="A29" t="s">
        <v>105</v>
      </c>
      <c r="B29" t="s">
        <v>249</v>
      </c>
      <c r="C29" t="s">
        <v>374</v>
      </c>
      <c r="D29" t="s">
        <v>111</v>
      </c>
      <c r="E29" t="s">
        <v>106</v>
      </c>
      <c r="F29">
        <v>1</v>
      </c>
      <c r="G29" t="s">
        <v>1287</v>
      </c>
      <c r="H29" t="s">
        <v>1288</v>
      </c>
      <c r="I29" t="s">
        <v>1241</v>
      </c>
      <c r="J29" t="s">
        <v>1208</v>
      </c>
      <c r="K29" t="s">
        <v>1203</v>
      </c>
      <c r="L29">
        <v>239.67</v>
      </c>
      <c r="M29">
        <v>829.26</v>
      </c>
      <c r="N29">
        <v>124.389</v>
      </c>
      <c r="O29">
        <v>704.87099999999998</v>
      </c>
      <c r="P29">
        <v>479.34</v>
      </c>
      <c r="Q29">
        <v>225.53100000000001</v>
      </c>
      <c r="R29">
        <v>0.31996067365517949</v>
      </c>
      <c r="S29">
        <v>2025</v>
      </c>
      <c r="T29">
        <v>1</v>
      </c>
      <c r="U29" t="s">
        <v>1425</v>
      </c>
      <c r="V29" t="s">
        <v>1424</v>
      </c>
      <c r="W29" t="s">
        <v>1250</v>
      </c>
      <c r="X29">
        <v>0</v>
      </c>
    </row>
    <row r="30" spans="1:24">
      <c r="A30" t="s">
        <v>89</v>
      </c>
      <c r="B30" t="s">
        <v>469</v>
      </c>
      <c r="C30" t="s">
        <v>670</v>
      </c>
      <c r="D30" t="s">
        <v>116</v>
      </c>
      <c r="E30" t="s">
        <v>106</v>
      </c>
      <c r="F30">
        <v>1</v>
      </c>
      <c r="G30" t="s">
        <v>1349</v>
      </c>
      <c r="H30" t="s">
        <v>1249</v>
      </c>
      <c r="I30" t="s">
        <v>1241</v>
      </c>
      <c r="J30" t="s">
        <v>1223</v>
      </c>
      <c r="K30" t="s">
        <v>1221</v>
      </c>
      <c r="L30">
        <v>59.85</v>
      </c>
      <c r="M30">
        <v>80.66</v>
      </c>
      <c r="N30">
        <v>8.0660000000000007</v>
      </c>
      <c r="O30">
        <v>72.593999999999994</v>
      </c>
      <c r="P30">
        <v>59.85</v>
      </c>
      <c r="Q30">
        <v>12.743999999999993</v>
      </c>
      <c r="R30">
        <v>0.17555169848747823</v>
      </c>
      <c r="S30">
        <v>2025</v>
      </c>
      <c r="T30">
        <v>12</v>
      </c>
      <c r="U30" t="s">
        <v>1428</v>
      </c>
      <c r="V30" t="s">
        <v>1427</v>
      </c>
      <c r="W30" t="s">
        <v>1250</v>
      </c>
      <c r="X30">
        <v>0</v>
      </c>
    </row>
    <row r="31" spans="1:24">
      <c r="A31" t="s">
        <v>89</v>
      </c>
      <c r="B31" t="s">
        <v>210</v>
      </c>
      <c r="C31" t="s">
        <v>209</v>
      </c>
      <c r="D31" t="s">
        <v>116</v>
      </c>
      <c r="E31" t="s">
        <v>106</v>
      </c>
      <c r="F31">
        <v>1</v>
      </c>
      <c r="G31" t="s">
        <v>1248</v>
      </c>
      <c r="H31" t="s">
        <v>1249</v>
      </c>
      <c r="I31" t="s">
        <v>1237</v>
      </c>
      <c r="J31" t="s">
        <v>1228</v>
      </c>
      <c r="K31" t="s">
        <v>1221</v>
      </c>
      <c r="L31">
        <v>177.57</v>
      </c>
      <c r="M31">
        <v>322.58</v>
      </c>
      <c r="N31">
        <v>16.129000000000001</v>
      </c>
      <c r="O31">
        <v>306.45099999999996</v>
      </c>
      <c r="P31">
        <v>177.57</v>
      </c>
      <c r="Q31">
        <v>128.88099999999997</v>
      </c>
      <c r="R31">
        <v>0.42055989375136643</v>
      </c>
      <c r="S31">
        <v>2025</v>
      </c>
      <c r="T31">
        <v>10</v>
      </c>
      <c r="U31" t="s">
        <v>1431</v>
      </c>
      <c r="V31" t="s">
        <v>1427</v>
      </c>
      <c r="W31" t="s">
        <v>1250</v>
      </c>
      <c r="X31">
        <v>0</v>
      </c>
    </row>
    <row r="32" spans="1:24">
      <c r="A32" t="s">
        <v>89</v>
      </c>
      <c r="B32" t="s">
        <v>249</v>
      </c>
      <c r="C32" t="s">
        <v>180</v>
      </c>
      <c r="D32" t="s">
        <v>116</v>
      </c>
      <c r="E32" t="s">
        <v>106</v>
      </c>
      <c r="F32">
        <v>1</v>
      </c>
      <c r="G32" t="s">
        <v>1332</v>
      </c>
      <c r="H32" t="s">
        <v>1249</v>
      </c>
      <c r="I32" t="s">
        <v>1237</v>
      </c>
      <c r="J32" t="s">
        <v>1208</v>
      </c>
      <c r="K32" t="s">
        <v>1203</v>
      </c>
      <c r="L32">
        <v>239.67</v>
      </c>
      <c r="M32">
        <v>428.94</v>
      </c>
      <c r="N32">
        <v>0</v>
      </c>
      <c r="O32">
        <v>428.94</v>
      </c>
      <c r="P32">
        <v>239.67</v>
      </c>
      <c r="Q32">
        <v>189.27</v>
      </c>
      <c r="R32">
        <v>0.44125052454888797</v>
      </c>
      <c r="S32">
        <v>2025</v>
      </c>
      <c r="T32">
        <v>12</v>
      </c>
      <c r="U32" t="s">
        <v>1428</v>
      </c>
      <c r="V32" t="s">
        <v>1427</v>
      </c>
      <c r="W32" t="s">
        <v>1250</v>
      </c>
      <c r="X32">
        <v>0</v>
      </c>
    </row>
    <row r="33" spans="1:24">
      <c r="A33" t="s">
        <v>97</v>
      </c>
      <c r="B33" t="s">
        <v>94</v>
      </c>
      <c r="C33" t="s">
        <v>507</v>
      </c>
      <c r="D33" t="s">
        <v>116</v>
      </c>
      <c r="E33" t="s">
        <v>98</v>
      </c>
      <c r="F33">
        <v>1</v>
      </c>
      <c r="G33" t="s">
        <v>1328</v>
      </c>
      <c r="H33" t="s">
        <v>1288</v>
      </c>
      <c r="I33" t="s">
        <v>1245</v>
      </c>
      <c r="J33" t="s">
        <v>1220</v>
      </c>
      <c r="K33" t="s">
        <v>1221</v>
      </c>
      <c r="L33">
        <v>152.55000000000001</v>
      </c>
      <c r="M33">
        <v>636.41999999999996</v>
      </c>
      <c r="N33">
        <v>0</v>
      </c>
      <c r="O33">
        <v>636.41999999999996</v>
      </c>
      <c r="P33">
        <v>305.10000000000002</v>
      </c>
      <c r="Q33">
        <v>331.31999999999994</v>
      </c>
      <c r="R33">
        <v>0.52059960403507111</v>
      </c>
      <c r="S33">
        <v>2025</v>
      </c>
      <c r="T33">
        <v>8</v>
      </c>
      <c r="U33" t="s">
        <v>1417</v>
      </c>
      <c r="V33" t="s">
        <v>1418</v>
      </c>
      <c r="W33" t="s">
        <v>1250</v>
      </c>
      <c r="X33">
        <v>0</v>
      </c>
    </row>
    <row r="34" spans="1:24">
      <c r="A34" t="s">
        <v>105</v>
      </c>
      <c r="B34" t="s">
        <v>244</v>
      </c>
      <c r="C34" t="s">
        <v>487</v>
      </c>
      <c r="D34" t="s">
        <v>87</v>
      </c>
      <c r="E34" t="s">
        <v>98</v>
      </c>
      <c r="F34">
        <v>1</v>
      </c>
      <c r="G34" t="s">
        <v>1347</v>
      </c>
      <c r="H34" t="s">
        <v>1249</v>
      </c>
      <c r="I34" t="s">
        <v>1237</v>
      </c>
      <c r="J34" t="s">
        <v>1188</v>
      </c>
      <c r="K34" t="s">
        <v>1180</v>
      </c>
      <c r="L34">
        <v>131.19</v>
      </c>
      <c r="M34">
        <v>250.61</v>
      </c>
      <c r="N34">
        <v>0</v>
      </c>
      <c r="O34">
        <v>250.61</v>
      </c>
      <c r="P34">
        <v>131.19</v>
      </c>
      <c r="Q34">
        <v>119.42000000000002</v>
      </c>
      <c r="R34">
        <v>0.4765172977933842</v>
      </c>
      <c r="S34">
        <v>2025</v>
      </c>
      <c r="T34">
        <v>1</v>
      </c>
      <c r="U34" t="s">
        <v>1425</v>
      </c>
      <c r="V34" t="s">
        <v>1424</v>
      </c>
      <c r="W34" t="s">
        <v>1250</v>
      </c>
      <c r="X34">
        <v>0</v>
      </c>
    </row>
    <row r="35" spans="1:24">
      <c r="A35" t="s">
        <v>89</v>
      </c>
      <c r="B35" t="s">
        <v>210</v>
      </c>
      <c r="C35" t="s">
        <v>670</v>
      </c>
      <c r="D35" t="s">
        <v>87</v>
      </c>
      <c r="E35" t="s">
        <v>98</v>
      </c>
      <c r="F35">
        <v>1</v>
      </c>
      <c r="G35" t="s">
        <v>1349</v>
      </c>
      <c r="H35" t="s">
        <v>1249</v>
      </c>
      <c r="I35" t="s">
        <v>1241</v>
      </c>
      <c r="J35" t="s">
        <v>1228</v>
      </c>
      <c r="K35" t="s">
        <v>1221</v>
      </c>
      <c r="L35">
        <v>177.57</v>
      </c>
      <c r="M35">
        <v>873.12000000000012</v>
      </c>
      <c r="N35">
        <v>87.312000000000012</v>
      </c>
      <c r="O35">
        <v>785.80800000000011</v>
      </c>
      <c r="P35">
        <v>532.71</v>
      </c>
      <c r="Q35">
        <v>253.09800000000007</v>
      </c>
      <c r="R35">
        <v>0.32208631115997804</v>
      </c>
      <c r="S35">
        <v>2025</v>
      </c>
      <c r="T35">
        <v>9</v>
      </c>
      <c r="U35" t="s">
        <v>1432</v>
      </c>
      <c r="V35" t="s">
        <v>1418</v>
      </c>
      <c r="W35" t="s">
        <v>1250</v>
      </c>
      <c r="X35">
        <v>0</v>
      </c>
    </row>
    <row r="36" spans="1:24">
      <c r="A36" t="s">
        <v>89</v>
      </c>
      <c r="B36" t="s">
        <v>139</v>
      </c>
      <c r="C36" t="s">
        <v>119</v>
      </c>
      <c r="D36" t="s">
        <v>103</v>
      </c>
      <c r="E36" t="s">
        <v>369</v>
      </c>
      <c r="F36">
        <v>1</v>
      </c>
      <c r="G36" t="s">
        <v>1308</v>
      </c>
      <c r="H36" t="s">
        <v>1288</v>
      </c>
      <c r="I36" t="s">
        <v>1241</v>
      </c>
      <c r="J36" t="s">
        <v>1196</v>
      </c>
      <c r="K36" t="s">
        <v>1193</v>
      </c>
      <c r="L36">
        <v>45.17</v>
      </c>
      <c r="M36">
        <v>82.59</v>
      </c>
      <c r="N36">
        <v>16.518000000000001</v>
      </c>
      <c r="O36">
        <v>66.072000000000003</v>
      </c>
      <c r="P36">
        <v>45.17</v>
      </c>
      <c r="Q36">
        <v>20.902000000000001</v>
      </c>
      <c r="R36">
        <v>0.31635185857852038</v>
      </c>
      <c r="S36">
        <v>2025</v>
      </c>
      <c r="T36">
        <v>3</v>
      </c>
      <c r="U36" t="s">
        <v>1423</v>
      </c>
      <c r="V36" t="s">
        <v>1424</v>
      </c>
      <c r="W36" t="s">
        <v>1250</v>
      </c>
      <c r="X36">
        <v>0</v>
      </c>
    </row>
    <row r="37" spans="1:24">
      <c r="A37" t="s">
        <v>97</v>
      </c>
      <c r="B37" t="s">
        <v>139</v>
      </c>
      <c r="C37" t="s">
        <v>119</v>
      </c>
      <c r="D37" t="s">
        <v>103</v>
      </c>
      <c r="E37" t="s">
        <v>106</v>
      </c>
      <c r="F37">
        <v>1</v>
      </c>
      <c r="G37" t="s">
        <v>1308</v>
      </c>
      <c r="H37" t="s">
        <v>1288</v>
      </c>
      <c r="I37" t="s">
        <v>1241</v>
      </c>
      <c r="J37" t="s">
        <v>1196</v>
      </c>
      <c r="K37" t="s">
        <v>1193</v>
      </c>
      <c r="L37">
        <v>45.17</v>
      </c>
      <c r="M37">
        <v>414.25</v>
      </c>
      <c r="N37">
        <v>41.425000000000004</v>
      </c>
      <c r="O37">
        <v>372.82499999999999</v>
      </c>
      <c r="P37">
        <v>225.85000000000002</v>
      </c>
      <c r="Q37">
        <v>146.97499999999997</v>
      </c>
      <c r="R37">
        <v>0.39421980822101516</v>
      </c>
      <c r="S37">
        <v>2025</v>
      </c>
      <c r="T37">
        <v>7</v>
      </c>
      <c r="U37" t="s">
        <v>1422</v>
      </c>
      <c r="V37" t="s">
        <v>1418</v>
      </c>
      <c r="W37" t="s">
        <v>1250</v>
      </c>
      <c r="X37">
        <v>0</v>
      </c>
    </row>
    <row r="38" spans="1:24">
      <c r="A38" t="s">
        <v>97</v>
      </c>
      <c r="B38" t="s">
        <v>136</v>
      </c>
      <c r="C38" t="s">
        <v>236</v>
      </c>
      <c r="D38" t="s">
        <v>87</v>
      </c>
      <c r="E38" t="s">
        <v>98</v>
      </c>
      <c r="F38">
        <v>1</v>
      </c>
      <c r="G38" t="s">
        <v>1345</v>
      </c>
      <c r="H38" t="s">
        <v>1288</v>
      </c>
      <c r="I38" t="s">
        <v>1245</v>
      </c>
      <c r="J38" t="s">
        <v>1184</v>
      </c>
      <c r="K38" t="s">
        <v>1180</v>
      </c>
      <c r="L38">
        <v>106.4</v>
      </c>
      <c r="M38">
        <v>165.76</v>
      </c>
      <c r="N38">
        <v>33.152000000000001</v>
      </c>
      <c r="O38">
        <v>132.608</v>
      </c>
      <c r="P38">
        <v>106.4</v>
      </c>
      <c r="Q38">
        <v>26.207999999999998</v>
      </c>
      <c r="R38">
        <v>0.19763513513513511</v>
      </c>
      <c r="S38">
        <v>2025</v>
      </c>
      <c r="T38">
        <v>2</v>
      </c>
      <c r="U38" t="s">
        <v>1430</v>
      </c>
      <c r="V38" t="s">
        <v>1424</v>
      </c>
      <c r="W38" t="s">
        <v>1250</v>
      </c>
      <c r="X38">
        <v>0</v>
      </c>
    </row>
    <row r="39" spans="1:24">
      <c r="A39" t="s">
        <v>89</v>
      </c>
      <c r="B39" t="s">
        <v>174</v>
      </c>
      <c r="C39" t="s">
        <v>113</v>
      </c>
      <c r="D39" t="s">
        <v>145</v>
      </c>
      <c r="E39" t="s">
        <v>98</v>
      </c>
      <c r="F39">
        <v>1</v>
      </c>
      <c r="G39" t="s">
        <v>1300</v>
      </c>
      <c r="H39" t="s">
        <v>1288</v>
      </c>
      <c r="I39" t="s">
        <v>1237</v>
      </c>
      <c r="J39" t="s">
        <v>1182</v>
      </c>
      <c r="K39" t="s">
        <v>1180</v>
      </c>
      <c r="L39">
        <v>23.5</v>
      </c>
      <c r="M39">
        <v>118.14000000000001</v>
      </c>
      <c r="N39">
        <v>17.721</v>
      </c>
      <c r="O39">
        <v>100.41900000000001</v>
      </c>
      <c r="P39">
        <v>70.5</v>
      </c>
      <c r="Q39">
        <v>29.919000000000011</v>
      </c>
      <c r="R39">
        <v>0.29794162459295559</v>
      </c>
      <c r="S39">
        <v>2025</v>
      </c>
      <c r="T39">
        <v>6</v>
      </c>
      <c r="U39" t="s">
        <v>1429</v>
      </c>
      <c r="V39" t="s">
        <v>1420</v>
      </c>
      <c r="W39" t="s">
        <v>1250</v>
      </c>
      <c r="X39">
        <v>0</v>
      </c>
    </row>
    <row r="40" spans="1:24">
      <c r="A40" t="s">
        <v>89</v>
      </c>
      <c r="B40" t="s">
        <v>174</v>
      </c>
      <c r="C40" t="s">
        <v>169</v>
      </c>
      <c r="D40" t="s">
        <v>111</v>
      </c>
      <c r="E40" t="s">
        <v>98</v>
      </c>
      <c r="F40">
        <v>1</v>
      </c>
      <c r="G40" t="s">
        <v>1313</v>
      </c>
      <c r="H40" t="s">
        <v>1288</v>
      </c>
      <c r="I40" t="s">
        <v>1237</v>
      </c>
      <c r="J40" t="s">
        <v>1182</v>
      </c>
      <c r="K40" t="s">
        <v>1180</v>
      </c>
      <c r="L40">
        <v>23.5</v>
      </c>
      <c r="M40">
        <v>117.18</v>
      </c>
      <c r="N40">
        <v>0</v>
      </c>
      <c r="O40">
        <v>117.18</v>
      </c>
      <c r="P40">
        <v>70.5</v>
      </c>
      <c r="Q40">
        <v>46.680000000000007</v>
      </c>
      <c r="R40">
        <v>0.39836149513568869</v>
      </c>
      <c r="S40">
        <v>2025</v>
      </c>
      <c r="T40">
        <v>12</v>
      </c>
      <c r="U40" t="s">
        <v>1428</v>
      </c>
      <c r="V40" t="s">
        <v>1427</v>
      </c>
      <c r="W40" t="s">
        <v>1250</v>
      </c>
      <c r="X40">
        <v>1</v>
      </c>
    </row>
    <row r="41" spans="1:24">
      <c r="A41" t="s">
        <v>97</v>
      </c>
      <c r="B41" t="s">
        <v>114</v>
      </c>
      <c r="C41" t="s">
        <v>209</v>
      </c>
      <c r="D41" t="s">
        <v>116</v>
      </c>
      <c r="E41" t="s">
        <v>98</v>
      </c>
      <c r="F41">
        <v>1</v>
      </c>
      <c r="G41" t="s">
        <v>1248</v>
      </c>
      <c r="H41" t="s">
        <v>1249</v>
      </c>
      <c r="I41" t="s">
        <v>1237</v>
      </c>
      <c r="J41" t="s">
        <v>1222</v>
      </c>
      <c r="K41" t="s">
        <v>1221</v>
      </c>
      <c r="L41">
        <v>78.95</v>
      </c>
      <c r="M41">
        <v>420.81000000000006</v>
      </c>
      <c r="N41">
        <v>63.121500000000005</v>
      </c>
      <c r="O41">
        <v>357.68850000000003</v>
      </c>
      <c r="P41">
        <v>236.85000000000002</v>
      </c>
      <c r="Q41">
        <v>120.83850000000001</v>
      </c>
      <c r="R41">
        <v>0.33783166078864713</v>
      </c>
      <c r="S41">
        <v>2025</v>
      </c>
      <c r="T41">
        <v>10</v>
      </c>
      <c r="U41" t="s">
        <v>1431</v>
      </c>
      <c r="V41" t="s">
        <v>1427</v>
      </c>
      <c r="W41" t="s">
        <v>1250</v>
      </c>
      <c r="X41">
        <v>0</v>
      </c>
    </row>
    <row r="42" spans="1:24">
      <c r="A42" t="s">
        <v>97</v>
      </c>
      <c r="B42" t="s">
        <v>226</v>
      </c>
      <c r="C42" t="s">
        <v>257</v>
      </c>
      <c r="D42" t="s">
        <v>145</v>
      </c>
      <c r="E42" t="s">
        <v>106</v>
      </c>
      <c r="F42">
        <v>1</v>
      </c>
      <c r="G42" t="s">
        <v>1316</v>
      </c>
      <c r="H42" t="s">
        <v>1249</v>
      </c>
      <c r="I42" t="s">
        <v>1237</v>
      </c>
      <c r="J42" t="s">
        <v>1194</v>
      </c>
      <c r="K42" t="s">
        <v>1193</v>
      </c>
      <c r="L42">
        <v>127.21</v>
      </c>
      <c r="M42">
        <v>226.49</v>
      </c>
      <c r="N42">
        <v>22.649000000000001</v>
      </c>
      <c r="O42">
        <v>203.84100000000001</v>
      </c>
      <c r="P42">
        <v>127.21</v>
      </c>
      <c r="Q42">
        <v>76.631000000000014</v>
      </c>
      <c r="R42">
        <v>0.37593516515323222</v>
      </c>
      <c r="S42">
        <v>2025</v>
      </c>
      <c r="T42">
        <v>1</v>
      </c>
      <c r="U42" t="s">
        <v>1425</v>
      </c>
      <c r="V42" t="s">
        <v>1424</v>
      </c>
      <c r="W42" t="s">
        <v>1250</v>
      </c>
      <c r="X42">
        <v>0</v>
      </c>
    </row>
    <row r="43" spans="1:24">
      <c r="A43" t="s">
        <v>89</v>
      </c>
      <c r="B43" t="s">
        <v>194</v>
      </c>
      <c r="C43" t="s">
        <v>300</v>
      </c>
      <c r="D43" t="s">
        <v>111</v>
      </c>
      <c r="E43" t="s">
        <v>369</v>
      </c>
      <c r="F43">
        <v>1</v>
      </c>
      <c r="G43" t="s">
        <v>1265</v>
      </c>
      <c r="H43" t="s">
        <v>1249</v>
      </c>
      <c r="I43" t="s">
        <v>1237</v>
      </c>
      <c r="J43" t="s">
        <v>1216</v>
      </c>
      <c r="K43" t="s">
        <v>1212</v>
      </c>
      <c r="L43">
        <v>101</v>
      </c>
      <c r="M43">
        <v>399.24</v>
      </c>
      <c r="N43">
        <v>59.885999999999996</v>
      </c>
      <c r="O43">
        <v>339.35400000000004</v>
      </c>
      <c r="P43">
        <v>202</v>
      </c>
      <c r="Q43">
        <v>137.35400000000004</v>
      </c>
      <c r="R43">
        <v>0.40475138056424864</v>
      </c>
      <c r="S43">
        <v>2025</v>
      </c>
      <c r="T43">
        <v>11</v>
      </c>
      <c r="U43" t="s">
        <v>1426</v>
      </c>
      <c r="V43" t="s">
        <v>1427</v>
      </c>
      <c r="W43" t="s">
        <v>1250</v>
      </c>
      <c r="X43">
        <v>0</v>
      </c>
    </row>
    <row r="44" spans="1:24">
      <c r="A44" t="s">
        <v>89</v>
      </c>
      <c r="B44" t="s">
        <v>271</v>
      </c>
      <c r="C44" t="s">
        <v>374</v>
      </c>
      <c r="D44" t="s">
        <v>116</v>
      </c>
      <c r="E44" t="s">
        <v>106</v>
      </c>
      <c r="F44">
        <v>1</v>
      </c>
      <c r="G44" t="s">
        <v>1287</v>
      </c>
      <c r="H44" t="s">
        <v>1288</v>
      </c>
      <c r="I44" t="s">
        <v>1241</v>
      </c>
      <c r="J44" t="s">
        <v>1213</v>
      </c>
      <c r="K44" t="s">
        <v>1212</v>
      </c>
      <c r="L44">
        <v>139.19999999999999</v>
      </c>
      <c r="M44">
        <v>460.58</v>
      </c>
      <c r="N44">
        <v>115.145</v>
      </c>
      <c r="O44">
        <v>345.435</v>
      </c>
      <c r="P44">
        <v>278.39999999999998</v>
      </c>
      <c r="Q44">
        <v>67.035000000000025</v>
      </c>
      <c r="R44">
        <v>0.19405966390203663</v>
      </c>
      <c r="S44">
        <v>2025</v>
      </c>
      <c r="T44">
        <v>8</v>
      </c>
      <c r="U44" t="s">
        <v>1417</v>
      </c>
      <c r="V44" t="s">
        <v>1418</v>
      </c>
      <c r="W44" t="s">
        <v>1250</v>
      </c>
      <c r="X44">
        <v>0</v>
      </c>
    </row>
    <row r="45" spans="1:24">
      <c r="A45" t="s">
        <v>89</v>
      </c>
      <c r="B45" t="s">
        <v>139</v>
      </c>
      <c r="C45" t="s">
        <v>257</v>
      </c>
      <c r="D45" t="s">
        <v>103</v>
      </c>
      <c r="E45" t="s">
        <v>98</v>
      </c>
      <c r="F45">
        <v>1</v>
      </c>
      <c r="G45" t="s">
        <v>1316</v>
      </c>
      <c r="H45" t="s">
        <v>1249</v>
      </c>
      <c r="I45" t="s">
        <v>1237</v>
      </c>
      <c r="J45" t="s">
        <v>1196</v>
      </c>
      <c r="K45" t="s">
        <v>1193</v>
      </c>
      <c r="L45">
        <v>45.17</v>
      </c>
      <c r="M45">
        <v>83.33</v>
      </c>
      <c r="N45">
        <v>0</v>
      </c>
      <c r="O45">
        <v>83.33</v>
      </c>
      <c r="P45">
        <v>45.17</v>
      </c>
      <c r="Q45">
        <v>38.159999999999997</v>
      </c>
      <c r="R45">
        <v>0.45793831753270126</v>
      </c>
      <c r="S45">
        <v>2025</v>
      </c>
      <c r="T45">
        <v>3</v>
      </c>
      <c r="U45" t="s">
        <v>1423</v>
      </c>
      <c r="V45" t="s">
        <v>1424</v>
      </c>
      <c r="W45" t="s">
        <v>1250</v>
      </c>
      <c r="X45">
        <v>1</v>
      </c>
    </row>
    <row r="46" spans="1:24">
      <c r="A46" t="s">
        <v>97</v>
      </c>
      <c r="B46" t="s">
        <v>109</v>
      </c>
      <c r="C46" t="s">
        <v>169</v>
      </c>
      <c r="D46" t="s">
        <v>116</v>
      </c>
      <c r="E46" t="s">
        <v>106</v>
      </c>
      <c r="F46">
        <v>1</v>
      </c>
      <c r="G46" t="s">
        <v>1313</v>
      </c>
      <c r="H46" t="s">
        <v>1288</v>
      </c>
      <c r="I46" t="s">
        <v>1237</v>
      </c>
      <c r="J46" t="s">
        <v>1219</v>
      </c>
      <c r="K46" t="s">
        <v>1212</v>
      </c>
      <c r="L46">
        <v>132.72</v>
      </c>
      <c r="M46">
        <v>404.18</v>
      </c>
      <c r="N46">
        <v>20.209000000000003</v>
      </c>
      <c r="O46">
        <v>383.971</v>
      </c>
      <c r="P46">
        <v>265.44</v>
      </c>
      <c r="Q46">
        <v>118.53100000000001</v>
      </c>
      <c r="R46">
        <v>0.30869779228118793</v>
      </c>
      <c r="S46">
        <v>2025</v>
      </c>
      <c r="T46">
        <v>9</v>
      </c>
      <c r="U46" t="s">
        <v>1432</v>
      </c>
      <c r="V46" t="s">
        <v>1418</v>
      </c>
      <c r="W46" t="s">
        <v>1250</v>
      </c>
      <c r="X46">
        <v>0</v>
      </c>
    </row>
    <row r="47" spans="1:24">
      <c r="A47" t="s">
        <v>97</v>
      </c>
      <c r="B47" t="s">
        <v>181</v>
      </c>
      <c r="C47" t="s">
        <v>463</v>
      </c>
      <c r="D47" t="s">
        <v>116</v>
      </c>
      <c r="E47" t="s">
        <v>106</v>
      </c>
      <c r="F47">
        <v>1</v>
      </c>
      <c r="G47" t="s">
        <v>1280</v>
      </c>
      <c r="H47" t="s">
        <v>1249</v>
      </c>
      <c r="I47" t="s">
        <v>1245</v>
      </c>
      <c r="J47" t="s">
        <v>1190</v>
      </c>
      <c r="K47" t="s">
        <v>1180</v>
      </c>
      <c r="L47">
        <v>224.47</v>
      </c>
      <c r="M47">
        <v>360.8</v>
      </c>
      <c r="N47">
        <v>0</v>
      </c>
      <c r="O47">
        <v>360.8</v>
      </c>
      <c r="P47">
        <v>224.47</v>
      </c>
      <c r="Q47">
        <v>136.33000000000001</v>
      </c>
      <c r="R47">
        <v>0.37785476718403549</v>
      </c>
      <c r="S47">
        <v>2025</v>
      </c>
      <c r="T47">
        <v>2</v>
      </c>
      <c r="U47" t="s">
        <v>1430</v>
      </c>
      <c r="V47" t="s">
        <v>1424</v>
      </c>
      <c r="W47" t="s">
        <v>1250</v>
      </c>
      <c r="X47">
        <v>0</v>
      </c>
    </row>
    <row r="48" spans="1:24">
      <c r="A48" t="s">
        <v>105</v>
      </c>
      <c r="B48" t="s">
        <v>255</v>
      </c>
      <c r="C48" t="s">
        <v>169</v>
      </c>
      <c r="D48" t="s">
        <v>145</v>
      </c>
      <c r="E48" t="s">
        <v>154</v>
      </c>
      <c r="F48">
        <v>1</v>
      </c>
      <c r="G48" t="s">
        <v>1313</v>
      </c>
      <c r="H48" t="s">
        <v>1288</v>
      </c>
      <c r="I48" t="s">
        <v>1237</v>
      </c>
      <c r="J48" t="s">
        <v>1198</v>
      </c>
      <c r="K48" t="s">
        <v>1193</v>
      </c>
      <c r="L48">
        <v>117.65</v>
      </c>
      <c r="M48">
        <v>229.48</v>
      </c>
      <c r="N48">
        <v>22.948</v>
      </c>
      <c r="O48">
        <v>206.53199999999998</v>
      </c>
      <c r="P48">
        <v>117.65</v>
      </c>
      <c r="Q48">
        <v>88.881999999999977</v>
      </c>
      <c r="R48">
        <v>0.43035461817054976</v>
      </c>
      <c r="S48">
        <v>2025</v>
      </c>
      <c r="T48">
        <v>5</v>
      </c>
      <c r="U48" t="s">
        <v>1419</v>
      </c>
      <c r="V48" t="s">
        <v>1420</v>
      </c>
      <c r="W48" t="s">
        <v>1250</v>
      </c>
      <c r="X48">
        <v>0</v>
      </c>
    </row>
    <row r="49" spans="1:24">
      <c r="A49" t="s">
        <v>105</v>
      </c>
      <c r="B49" t="s">
        <v>85</v>
      </c>
      <c r="C49" t="s">
        <v>169</v>
      </c>
      <c r="D49" t="s">
        <v>116</v>
      </c>
      <c r="E49" t="s">
        <v>106</v>
      </c>
      <c r="F49">
        <v>1</v>
      </c>
      <c r="G49" t="s">
        <v>1313</v>
      </c>
      <c r="H49" t="s">
        <v>1288</v>
      </c>
      <c r="I49" t="s">
        <v>1237</v>
      </c>
      <c r="J49" t="s">
        <v>1211</v>
      </c>
      <c r="K49" t="s">
        <v>1212</v>
      </c>
      <c r="L49">
        <v>197.33</v>
      </c>
      <c r="M49">
        <v>294.06</v>
      </c>
      <c r="N49">
        <v>44.109000000000002</v>
      </c>
      <c r="O49">
        <v>249.95099999999999</v>
      </c>
      <c r="P49">
        <v>197.33</v>
      </c>
      <c r="Q49">
        <v>52.620999999999981</v>
      </c>
      <c r="R49">
        <v>0.21052526295153842</v>
      </c>
      <c r="S49">
        <v>2025</v>
      </c>
      <c r="T49">
        <v>6</v>
      </c>
      <c r="U49" t="s">
        <v>1429</v>
      </c>
      <c r="V49" t="s">
        <v>1420</v>
      </c>
      <c r="W49" t="s">
        <v>1250</v>
      </c>
      <c r="X49">
        <v>0</v>
      </c>
    </row>
    <row r="50" spans="1:24">
      <c r="A50" t="s">
        <v>97</v>
      </c>
      <c r="B50" t="s">
        <v>136</v>
      </c>
      <c r="C50" t="s">
        <v>523</v>
      </c>
      <c r="D50" t="s">
        <v>145</v>
      </c>
      <c r="E50" t="s">
        <v>369</v>
      </c>
      <c r="F50">
        <v>1</v>
      </c>
      <c r="G50" t="s">
        <v>1355</v>
      </c>
      <c r="H50" t="s">
        <v>1249</v>
      </c>
      <c r="I50" t="s">
        <v>1237</v>
      </c>
      <c r="J50" t="s">
        <v>1184</v>
      </c>
      <c r="K50" t="s">
        <v>1180</v>
      </c>
      <c r="L50">
        <v>106.4</v>
      </c>
      <c r="M50">
        <v>161.27000000000001</v>
      </c>
      <c r="N50">
        <v>0</v>
      </c>
      <c r="O50">
        <v>161.27000000000001</v>
      </c>
      <c r="P50">
        <v>106.4</v>
      </c>
      <c r="Q50">
        <v>54.870000000000005</v>
      </c>
      <c r="R50">
        <v>0.34023686984560053</v>
      </c>
      <c r="S50">
        <v>2025</v>
      </c>
      <c r="T50">
        <v>1</v>
      </c>
      <c r="U50" t="s">
        <v>1425</v>
      </c>
      <c r="V50" t="s">
        <v>1424</v>
      </c>
      <c r="W50" t="s">
        <v>1250</v>
      </c>
      <c r="X50">
        <v>0</v>
      </c>
    </row>
    <row r="51" spans="1:24">
      <c r="A51" t="s">
        <v>89</v>
      </c>
      <c r="B51" t="s">
        <v>149</v>
      </c>
      <c r="C51" t="s">
        <v>507</v>
      </c>
      <c r="D51" t="s">
        <v>116</v>
      </c>
      <c r="E51" t="s">
        <v>98</v>
      </c>
      <c r="F51">
        <v>1</v>
      </c>
      <c r="G51" t="s">
        <v>1328</v>
      </c>
      <c r="H51" t="s">
        <v>1288</v>
      </c>
      <c r="I51" t="s">
        <v>1245</v>
      </c>
      <c r="J51" t="s">
        <v>1195</v>
      </c>
      <c r="K51" t="s">
        <v>1193</v>
      </c>
      <c r="L51">
        <v>39.26</v>
      </c>
      <c r="M51">
        <v>80.47</v>
      </c>
      <c r="N51">
        <v>20.1175</v>
      </c>
      <c r="O51">
        <v>60.352499999999999</v>
      </c>
      <c r="P51">
        <v>39.26</v>
      </c>
      <c r="Q51">
        <v>21.092500000000001</v>
      </c>
      <c r="R51">
        <v>0.34948842218632203</v>
      </c>
      <c r="S51">
        <v>2025</v>
      </c>
      <c r="T51">
        <v>6</v>
      </c>
      <c r="U51" t="s">
        <v>1429</v>
      </c>
      <c r="V51" t="s">
        <v>1420</v>
      </c>
      <c r="W51" t="s">
        <v>1250</v>
      </c>
      <c r="X51">
        <v>0</v>
      </c>
    </row>
    <row r="52" spans="1:24">
      <c r="A52" t="s">
        <v>97</v>
      </c>
      <c r="B52" t="s">
        <v>520</v>
      </c>
      <c r="C52" t="s">
        <v>209</v>
      </c>
      <c r="D52" t="s">
        <v>87</v>
      </c>
      <c r="E52" t="s">
        <v>98</v>
      </c>
      <c r="F52">
        <v>1</v>
      </c>
      <c r="G52" t="s">
        <v>1248</v>
      </c>
      <c r="H52" t="s">
        <v>1249</v>
      </c>
      <c r="I52" t="s">
        <v>1237</v>
      </c>
      <c r="J52" t="s">
        <v>1202</v>
      </c>
      <c r="K52" t="s">
        <v>1203</v>
      </c>
      <c r="L52">
        <v>241.16</v>
      </c>
      <c r="M52">
        <v>1141.29</v>
      </c>
      <c r="N52">
        <v>0</v>
      </c>
      <c r="O52">
        <v>1141.29</v>
      </c>
      <c r="P52">
        <v>723.48</v>
      </c>
      <c r="Q52">
        <v>417.80999999999995</v>
      </c>
      <c r="R52">
        <v>0.36608574507793806</v>
      </c>
      <c r="S52">
        <v>2025</v>
      </c>
      <c r="T52">
        <v>8</v>
      </c>
      <c r="U52" t="s">
        <v>1417</v>
      </c>
      <c r="V52" t="s">
        <v>1418</v>
      </c>
      <c r="W52" t="s">
        <v>1250</v>
      </c>
      <c r="X52">
        <v>1</v>
      </c>
    </row>
    <row r="53" spans="1:24">
      <c r="A53" t="s">
        <v>105</v>
      </c>
      <c r="B53" t="s">
        <v>303</v>
      </c>
      <c r="C53" t="s">
        <v>209</v>
      </c>
      <c r="D53" t="s">
        <v>103</v>
      </c>
      <c r="E53" t="s">
        <v>98</v>
      </c>
      <c r="F53">
        <v>1</v>
      </c>
      <c r="G53" t="s">
        <v>1248</v>
      </c>
      <c r="H53" t="s">
        <v>1249</v>
      </c>
      <c r="I53" t="s">
        <v>1237</v>
      </c>
      <c r="J53" t="s">
        <v>1224</v>
      </c>
      <c r="K53" t="s">
        <v>1221</v>
      </c>
      <c r="L53">
        <v>76.97</v>
      </c>
      <c r="M53">
        <v>165.6</v>
      </c>
      <c r="N53">
        <v>33.119999999999997</v>
      </c>
      <c r="O53">
        <v>132.47999999999999</v>
      </c>
      <c r="P53">
        <v>76.97</v>
      </c>
      <c r="Q53">
        <v>55.509999999999991</v>
      </c>
      <c r="R53">
        <v>0.41900664251207725</v>
      </c>
      <c r="S53">
        <v>2025</v>
      </c>
      <c r="T53">
        <v>5</v>
      </c>
      <c r="U53" t="s">
        <v>1419</v>
      </c>
      <c r="V53" t="s">
        <v>1420</v>
      </c>
      <c r="W53" t="s">
        <v>1250</v>
      </c>
      <c r="X53">
        <v>0</v>
      </c>
    </row>
    <row r="54" spans="1:24">
      <c r="A54" t="s">
        <v>89</v>
      </c>
      <c r="B54" t="s">
        <v>85</v>
      </c>
      <c r="C54" t="s">
        <v>180</v>
      </c>
      <c r="D54" t="s">
        <v>145</v>
      </c>
      <c r="E54" t="s">
        <v>106</v>
      </c>
      <c r="F54">
        <v>1</v>
      </c>
      <c r="G54" t="s">
        <v>1332</v>
      </c>
      <c r="H54" t="s">
        <v>1249</v>
      </c>
      <c r="I54" t="s">
        <v>1237</v>
      </c>
      <c r="J54" t="s">
        <v>1211</v>
      </c>
      <c r="K54" t="s">
        <v>1212</v>
      </c>
      <c r="L54">
        <v>197.33</v>
      </c>
      <c r="M54">
        <v>310.61</v>
      </c>
      <c r="N54">
        <v>77.652500000000003</v>
      </c>
      <c r="O54">
        <v>232.95750000000001</v>
      </c>
      <c r="P54">
        <v>197.33</v>
      </c>
      <c r="Q54">
        <v>35.627499999999998</v>
      </c>
      <c r="R54">
        <v>0.15293562130431515</v>
      </c>
      <c r="S54">
        <v>2025</v>
      </c>
      <c r="T54">
        <v>9</v>
      </c>
      <c r="U54" t="s">
        <v>1432</v>
      </c>
      <c r="V54" t="s">
        <v>1418</v>
      </c>
      <c r="W54" t="s">
        <v>1250</v>
      </c>
      <c r="X54">
        <v>0</v>
      </c>
    </row>
    <row r="55" spans="1:24">
      <c r="A55" t="s">
        <v>105</v>
      </c>
      <c r="B55" t="s">
        <v>249</v>
      </c>
      <c r="C55" t="s">
        <v>374</v>
      </c>
      <c r="D55" t="s">
        <v>111</v>
      </c>
      <c r="E55" t="s">
        <v>369</v>
      </c>
      <c r="F55">
        <v>1</v>
      </c>
      <c r="G55" t="s">
        <v>1287</v>
      </c>
      <c r="H55" t="s">
        <v>1288</v>
      </c>
      <c r="I55" t="s">
        <v>1241</v>
      </c>
      <c r="J55" t="s">
        <v>1208</v>
      </c>
      <c r="K55" t="s">
        <v>1203</v>
      </c>
      <c r="L55">
        <v>239.67</v>
      </c>
      <c r="M55">
        <v>411.6</v>
      </c>
      <c r="N55">
        <v>0</v>
      </c>
      <c r="O55">
        <v>411.6</v>
      </c>
      <c r="P55">
        <v>239.67</v>
      </c>
      <c r="Q55">
        <v>171.93000000000004</v>
      </c>
      <c r="R55">
        <v>0.41771137026239075</v>
      </c>
      <c r="S55">
        <v>2025</v>
      </c>
      <c r="T55">
        <v>2</v>
      </c>
      <c r="U55" t="s">
        <v>1430</v>
      </c>
      <c r="V55" t="s">
        <v>1424</v>
      </c>
      <c r="W55" t="s">
        <v>1250</v>
      </c>
      <c r="X55">
        <v>0</v>
      </c>
    </row>
    <row r="56" spans="1:24">
      <c r="A56" t="s">
        <v>105</v>
      </c>
      <c r="B56" t="s">
        <v>249</v>
      </c>
      <c r="C56" t="s">
        <v>487</v>
      </c>
      <c r="D56" t="s">
        <v>103</v>
      </c>
      <c r="E56" t="s">
        <v>98</v>
      </c>
      <c r="F56">
        <v>1</v>
      </c>
      <c r="G56" t="s">
        <v>1347</v>
      </c>
      <c r="H56" t="s">
        <v>1249</v>
      </c>
      <c r="I56" t="s">
        <v>1237</v>
      </c>
      <c r="J56" t="s">
        <v>1208</v>
      </c>
      <c r="K56" t="s">
        <v>1203</v>
      </c>
      <c r="L56">
        <v>239.67</v>
      </c>
      <c r="M56">
        <v>1318.8600000000001</v>
      </c>
      <c r="N56">
        <v>0</v>
      </c>
      <c r="O56">
        <v>1318.8600000000001</v>
      </c>
      <c r="P56">
        <v>719.01</v>
      </c>
      <c r="Q56">
        <v>599.85000000000014</v>
      </c>
      <c r="R56">
        <v>0.45482462126381878</v>
      </c>
      <c r="S56">
        <v>2025</v>
      </c>
      <c r="T56">
        <v>8</v>
      </c>
      <c r="U56" t="s">
        <v>1417</v>
      </c>
      <c r="V56" t="s">
        <v>1418</v>
      </c>
      <c r="W56" t="s">
        <v>1250</v>
      </c>
      <c r="X56">
        <v>0</v>
      </c>
    </row>
    <row r="57" spans="1:24">
      <c r="A57" t="s">
        <v>97</v>
      </c>
      <c r="B57" t="s">
        <v>277</v>
      </c>
      <c r="C57" t="s">
        <v>487</v>
      </c>
      <c r="D57" t="s">
        <v>103</v>
      </c>
      <c r="E57" t="s">
        <v>369</v>
      </c>
      <c r="F57">
        <v>1</v>
      </c>
      <c r="G57" t="s">
        <v>1347</v>
      </c>
      <c r="H57" t="s">
        <v>1249</v>
      </c>
      <c r="I57" t="s">
        <v>1237</v>
      </c>
      <c r="J57" t="s">
        <v>1179</v>
      </c>
      <c r="K57" t="s">
        <v>1180</v>
      </c>
      <c r="L57">
        <v>254.6</v>
      </c>
      <c r="M57">
        <v>1568.48</v>
      </c>
      <c r="N57">
        <v>313.69600000000003</v>
      </c>
      <c r="O57">
        <v>1254.7840000000001</v>
      </c>
      <c r="P57">
        <v>1018.4</v>
      </c>
      <c r="Q57">
        <v>236.38400000000013</v>
      </c>
      <c r="R57">
        <v>0.18838620830358063</v>
      </c>
      <c r="S57">
        <v>2025</v>
      </c>
      <c r="T57">
        <v>5</v>
      </c>
      <c r="U57" t="s">
        <v>1419</v>
      </c>
      <c r="V57" t="s">
        <v>1420</v>
      </c>
      <c r="W57" t="s">
        <v>1250</v>
      </c>
      <c r="X57">
        <v>0</v>
      </c>
    </row>
    <row r="58" spans="1:24">
      <c r="A58" t="s">
        <v>89</v>
      </c>
      <c r="B58" t="s">
        <v>271</v>
      </c>
      <c r="C58" t="s">
        <v>487</v>
      </c>
      <c r="D58" t="s">
        <v>103</v>
      </c>
      <c r="E58" t="s">
        <v>106</v>
      </c>
      <c r="F58">
        <v>1</v>
      </c>
      <c r="G58" t="s">
        <v>1347</v>
      </c>
      <c r="H58" t="s">
        <v>1249</v>
      </c>
      <c r="I58" t="s">
        <v>1237</v>
      </c>
      <c r="J58" t="s">
        <v>1213</v>
      </c>
      <c r="K58" t="s">
        <v>1212</v>
      </c>
      <c r="L58">
        <v>139.19999999999999</v>
      </c>
      <c r="M58">
        <v>223.94</v>
      </c>
      <c r="N58">
        <v>0</v>
      </c>
      <c r="O58">
        <v>223.94</v>
      </c>
      <c r="P58">
        <v>139.19999999999999</v>
      </c>
      <c r="Q58">
        <v>84.740000000000009</v>
      </c>
      <c r="R58">
        <v>0.37840492989193536</v>
      </c>
      <c r="S58">
        <v>2025</v>
      </c>
      <c r="T58">
        <v>12</v>
      </c>
      <c r="U58" t="s">
        <v>1428</v>
      </c>
      <c r="V58" t="s">
        <v>1427</v>
      </c>
      <c r="W58" t="s">
        <v>1250</v>
      </c>
      <c r="X58">
        <v>1</v>
      </c>
    </row>
    <row r="59" spans="1:24">
      <c r="A59" t="s">
        <v>89</v>
      </c>
      <c r="B59" t="s">
        <v>114</v>
      </c>
      <c r="C59" t="s">
        <v>374</v>
      </c>
      <c r="D59" t="s">
        <v>145</v>
      </c>
      <c r="E59" t="s">
        <v>98</v>
      </c>
      <c r="F59">
        <v>1</v>
      </c>
      <c r="G59" t="s">
        <v>1287</v>
      </c>
      <c r="H59" t="s">
        <v>1288</v>
      </c>
      <c r="I59" t="s">
        <v>1241</v>
      </c>
      <c r="J59" t="s">
        <v>1222</v>
      </c>
      <c r="K59" t="s">
        <v>1221</v>
      </c>
      <c r="L59">
        <v>78.95</v>
      </c>
      <c r="M59">
        <v>151.30000000000001</v>
      </c>
      <c r="N59">
        <v>0</v>
      </c>
      <c r="O59">
        <v>151.30000000000001</v>
      </c>
      <c r="P59">
        <v>78.95</v>
      </c>
      <c r="Q59">
        <v>72.350000000000009</v>
      </c>
      <c r="R59">
        <v>0.47818902842035693</v>
      </c>
      <c r="S59">
        <v>2025</v>
      </c>
      <c r="T59">
        <v>5</v>
      </c>
      <c r="U59" t="s">
        <v>1419</v>
      </c>
      <c r="V59" t="s">
        <v>1420</v>
      </c>
      <c r="W59" t="s">
        <v>1250</v>
      </c>
      <c r="X59">
        <v>0</v>
      </c>
    </row>
    <row r="60" spans="1:24">
      <c r="A60" t="s">
        <v>89</v>
      </c>
      <c r="B60" t="s">
        <v>271</v>
      </c>
      <c r="C60" t="s">
        <v>132</v>
      </c>
      <c r="D60" t="s">
        <v>116</v>
      </c>
      <c r="E60" t="s">
        <v>106</v>
      </c>
      <c r="F60">
        <v>1</v>
      </c>
      <c r="G60" t="s">
        <v>1346</v>
      </c>
      <c r="H60" t="s">
        <v>1288</v>
      </c>
      <c r="I60" t="s">
        <v>1245</v>
      </c>
      <c r="J60" t="s">
        <v>1213</v>
      </c>
      <c r="K60" t="s">
        <v>1212</v>
      </c>
      <c r="L60">
        <v>139.19999999999999</v>
      </c>
      <c r="M60">
        <v>224.42</v>
      </c>
      <c r="N60">
        <v>11.221</v>
      </c>
      <c r="O60">
        <v>213.19899999999998</v>
      </c>
      <c r="P60">
        <v>139.19999999999999</v>
      </c>
      <c r="Q60">
        <v>73.998999999999995</v>
      </c>
      <c r="R60">
        <v>0.3470888700228425</v>
      </c>
      <c r="S60">
        <v>2025</v>
      </c>
      <c r="T60">
        <v>6</v>
      </c>
      <c r="U60" t="s">
        <v>1429</v>
      </c>
      <c r="V60" t="s">
        <v>1420</v>
      </c>
      <c r="W60" t="s">
        <v>1250</v>
      </c>
      <c r="X60">
        <v>0</v>
      </c>
    </row>
    <row r="61" spans="1:24">
      <c r="A61" t="s">
        <v>89</v>
      </c>
      <c r="B61" t="s">
        <v>181</v>
      </c>
      <c r="C61" t="s">
        <v>356</v>
      </c>
      <c r="D61" t="s">
        <v>116</v>
      </c>
      <c r="E61" t="s">
        <v>1413</v>
      </c>
      <c r="F61">
        <v>1</v>
      </c>
      <c r="G61" t="s">
        <v>1253</v>
      </c>
      <c r="H61" t="s">
        <v>1249</v>
      </c>
      <c r="I61" t="s">
        <v>1237</v>
      </c>
      <c r="J61" t="s">
        <v>1190</v>
      </c>
      <c r="K61" t="s">
        <v>1180</v>
      </c>
      <c r="L61">
        <v>224.47</v>
      </c>
      <c r="M61">
        <v>729.14</v>
      </c>
      <c r="N61">
        <v>109.371</v>
      </c>
      <c r="O61">
        <v>619.76900000000001</v>
      </c>
      <c r="P61">
        <v>448.94</v>
      </c>
      <c r="Q61">
        <v>170.82900000000001</v>
      </c>
      <c r="R61">
        <v>0.27563334080923702</v>
      </c>
      <c r="S61">
        <v>2025</v>
      </c>
      <c r="T61">
        <v>6</v>
      </c>
      <c r="U61" t="s">
        <v>1429</v>
      </c>
      <c r="V61" t="s">
        <v>1420</v>
      </c>
      <c r="W61" t="s">
        <v>1250</v>
      </c>
      <c r="X61">
        <v>0</v>
      </c>
    </row>
    <row r="62" spans="1:24">
      <c r="A62" t="s">
        <v>89</v>
      </c>
      <c r="B62" t="s">
        <v>125</v>
      </c>
      <c r="C62" t="s">
        <v>414</v>
      </c>
      <c r="D62" t="s">
        <v>103</v>
      </c>
      <c r="E62" t="s">
        <v>106</v>
      </c>
      <c r="F62">
        <v>1</v>
      </c>
      <c r="G62" t="s">
        <v>1305</v>
      </c>
      <c r="H62" t="s">
        <v>1288</v>
      </c>
      <c r="I62" t="s">
        <v>1245</v>
      </c>
      <c r="J62" t="s">
        <v>1214</v>
      </c>
      <c r="K62" t="s">
        <v>1212</v>
      </c>
      <c r="L62">
        <v>25.97</v>
      </c>
      <c r="M62">
        <v>59.27</v>
      </c>
      <c r="N62">
        <v>5.9270000000000005</v>
      </c>
      <c r="O62">
        <v>53.343000000000004</v>
      </c>
      <c r="P62">
        <v>25.97</v>
      </c>
      <c r="Q62">
        <v>27.373000000000005</v>
      </c>
      <c r="R62">
        <v>0.51315074142811623</v>
      </c>
      <c r="S62">
        <v>2025</v>
      </c>
      <c r="T62">
        <v>6</v>
      </c>
      <c r="U62" t="s">
        <v>1429</v>
      </c>
      <c r="V62" t="s">
        <v>1420</v>
      </c>
      <c r="W62" t="s">
        <v>1250</v>
      </c>
      <c r="X62">
        <v>0</v>
      </c>
    </row>
    <row r="63" spans="1:24">
      <c r="A63" t="s">
        <v>97</v>
      </c>
      <c r="B63" t="s">
        <v>101</v>
      </c>
      <c r="C63" t="s">
        <v>300</v>
      </c>
      <c r="D63" t="s">
        <v>87</v>
      </c>
      <c r="E63" t="s">
        <v>98</v>
      </c>
      <c r="F63">
        <v>1</v>
      </c>
      <c r="G63" t="s">
        <v>1265</v>
      </c>
      <c r="H63" t="s">
        <v>1249</v>
      </c>
      <c r="I63" t="s">
        <v>1237</v>
      </c>
      <c r="J63" t="s">
        <v>1207</v>
      </c>
      <c r="K63" t="s">
        <v>1203</v>
      </c>
      <c r="L63">
        <v>139.86000000000001</v>
      </c>
      <c r="M63">
        <v>628.58000000000004</v>
      </c>
      <c r="N63">
        <v>62.858000000000004</v>
      </c>
      <c r="O63">
        <v>565.72199999999998</v>
      </c>
      <c r="P63">
        <v>279.72000000000003</v>
      </c>
      <c r="Q63">
        <v>286.00199999999995</v>
      </c>
      <c r="R63">
        <v>0.50555219701549514</v>
      </c>
      <c r="S63">
        <v>2025</v>
      </c>
      <c r="T63">
        <v>3</v>
      </c>
      <c r="U63" t="s">
        <v>1423</v>
      </c>
      <c r="V63" t="s">
        <v>1424</v>
      </c>
      <c r="W63" t="s">
        <v>1250</v>
      </c>
      <c r="X63">
        <v>0</v>
      </c>
    </row>
    <row r="64" spans="1:24">
      <c r="A64" t="s">
        <v>89</v>
      </c>
      <c r="B64" t="s">
        <v>346</v>
      </c>
      <c r="C64" t="s">
        <v>300</v>
      </c>
      <c r="D64" t="s">
        <v>103</v>
      </c>
      <c r="E64" t="s">
        <v>98</v>
      </c>
      <c r="F64">
        <v>1</v>
      </c>
      <c r="G64" t="s">
        <v>1265</v>
      </c>
      <c r="H64" t="s">
        <v>1249</v>
      </c>
      <c r="I64" t="s">
        <v>1237</v>
      </c>
      <c r="J64" t="s">
        <v>1217</v>
      </c>
      <c r="K64" t="s">
        <v>1212</v>
      </c>
      <c r="L64">
        <v>125.4</v>
      </c>
      <c r="M64">
        <v>236.69</v>
      </c>
      <c r="N64">
        <v>11.8345</v>
      </c>
      <c r="O64">
        <v>224.85550000000001</v>
      </c>
      <c r="P64">
        <v>125.4</v>
      </c>
      <c r="Q64">
        <v>99.455500000000001</v>
      </c>
      <c r="R64">
        <v>0.44230850479530187</v>
      </c>
      <c r="S64">
        <v>2025</v>
      </c>
      <c r="T64">
        <v>10</v>
      </c>
      <c r="U64" t="s">
        <v>1431</v>
      </c>
      <c r="V64" t="s">
        <v>1427</v>
      </c>
      <c r="W64" t="s">
        <v>1250</v>
      </c>
      <c r="X64">
        <v>0</v>
      </c>
    </row>
    <row r="65" spans="1:24">
      <c r="A65" t="s">
        <v>105</v>
      </c>
      <c r="B65" t="s">
        <v>133</v>
      </c>
      <c r="C65" t="s">
        <v>132</v>
      </c>
      <c r="D65" t="s">
        <v>145</v>
      </c>
      <c r="E65" t="s">
        <v>369</v>
      </c>
      <c r="F65">
        <v>1</v>
      </c>
      <c r="G65" t="s">
        <v>1346</v>
      </c>
      <c r="H65" t="s">
        <v>1288</v>
      </c>
      <c r="I65" t="s">
        <v>1245</v>
      </c>
      <c r="J65" t="s">
        <v>1227</v>
      </c>
      <c r="K65" t="s">
        <v>1221</v>
      </c>
      <c r="L65">
        <v>229.86</v>
      </c>
      <c r="M65">
        <v>1379.36</v>
      </c>
      <c r="N65">
        <v>0</v>
      </c>
      <c r="O65">
        <v>1379.36</v>
      </c>
      <c r="P65">
        <v>919.44</v>
      </c>
      <c r="Q65">
        <v>459.91999999999985</v>
      </c>
      <c r="R65">
        <v>0.33342999652012517</v>
      </c>
      <c r="S65">
        <v>2025</v>
      </c>
      <c r="T65">
        <v>1</v>
      </c>
      <c r="U65" t="s">
        <v>1425</v>
      </c>
      <c r="V65" t="s">
        <v>1424</v>
      </c>
      <c r="W65" t="s">
        <v>1250</v>
      </c>
      <c r="X65">
        <v>0</v>
      </c>
    </row>
    <row r="66" spans="1:24">
      <c r="A66" t="s">
        <v>89</v>
      </c>
      <c r="B66" t="s">
        <v>469</v>
      </c>
      <c r="C66" t="s">
        <v>670</v>
      </c>
      <c r="D66" t="s">
        <v>111</v>
      </c>
      <c r="E66" t="s">
        <v>369</v>
      </c>
      <c r="F66">
        <v>1</v>
      </c>
      <c r="G66" t="s">
        <v>1349</v>
      </c>
      <c r="H66" t="s">
        <v>1249</v>
      </c>
      <c r="I66" t="s">
        <v>1241</v>
      </c>
      <c r="J66" t="s">
        <v>1223</v>
      </c>
      <c r="K66" t="s">
        <v>1221</v>
      </c>
      <c r="L66">
        <v>59.85</v>
      </c>
      <c r="M66">
        <v>165.1</v>
      </c>
      <c r="N66">
        <v>8.2550000000000008</v>
      </c>
      <c r="O66">
        <v>156.845</v>
      </c>
      <c r="P66">
        <v>119.7</v>
      </c>
      <c r="Q66">
        <v>37.144999999999996</v>
      </c>
      <c r="R66">
        <v>0.2368261659600242</v>
      </c>
      <c r="S66">
        <v>2025</v>
      </c>
      <c r="T66">
        <v>5</v>
      </c>
      <c r="U66" t="s">
        <v>1419</v>
      </c>
      <c r="V66" t="s">
        <v>1420</v>
      </c>
      <c r="W66" t="s">
        <v>1250</v>
      </c>
      <c r="X66">
        <v>0</v>
      </c>
    </row>
    <row r="67" spans="1:24">
      <c r="A67" t="s">
        <v>89</v>
      </c>
      <c r="B67" t="s">
        <v>94</v>
      </c>
      <c r="C67" t="s">
        <v>236</v>
      </c>
      <c r="D67" t="s">
        <v>116</v>
      </c>
      <c r="E67" t="s">
        <v>106</v>
      </c>
      <c r="F67">
        <v>1</v>
      </c>
      <c r="G67" t="s">
        <v>1345</v>
      </c>
      <c r="H67" t="s">
        <v>1288</v>
      </c>
      <c r="I67" t="s">
        <v>1245</v>
      </c>
      <c r="J67" t="s">
        <v>1220</v>
      </c>
      <c r="K67" t="s">
        <v>1221</v>
      </c>
      <c r="L67">
        <v>152.55000000000001</v>
      </c>
      <c r="M67">
        <v>907.89</v>
      </c>
      <c r="N67">
        <v>0</v>
      </c>
      <c r="O67">
        <v>907.89</v>
      </c>
      <c r="P67">
        <v>457.65000000000003</v>
      </c>
      <c r="Q67">
        <v>450.23999999999995</v>
      </c>
      <c r="R67">
        <v>0.49591910914317811</v>
      </c>
      <c r="S67">
        <v>2025</v>
      </c>
      <c r="T67">
        <v>2</v>
      </c>
      <c r="U67" t="s">
        <v>1430</v>
      </c>
      <c r="V67" t="s">
        <v>1424</v>
      </c>
      <c r="W67" t="s">
        <v>1250</v>
      </c>
      <c r="X67">
        <v>0</v>
      </c>
    </row>
    <row r="68" spans="1:24">
      <c r="A68" t="s">
        <v>97</v>
      </c>
      <c r="B68" t="s">
        <v>149</v>
      </c>
      <c r="C68" t="s">
        <v>507</v>
      </c>
      <c r="D68" t="s">
        <v>103</v>
      </c>
      <c r="E68" t="s">
        <v>106</v>
      </c>
      <c r="F68">
        <v>1</v>
      </c>
      <c r="G68" t="s">
        <v>1328</v>
      </c>
      <c r="H68" t="s">
        <v>1288</v>
      </c>
      <c r="I68" t="s">
        <v>1245</v>
      </c>
      <c r="J68" t="s">
        <v>1195</v>
      </c>
      <c r="K68" t="s">
        <v>1193</v>
      </c>
      <c r="L68">
        <v>39.26</v>
      </c>
      <c r="M68">
        <v>79.12</v>
      </c>
      <c r="N68">
        <v>0</v>
      </c>
      <c r="O68">
        <v>79.12</v>
      </c>
      <c r="P68">
        <v>39.26</v>
      </c>
      <c r="Q68">
        <v>39.860000000000007</v>
      </c>
      <c r="R68">
        <v>0.50379170879676449</v>
      </c>
      <c r="S68">
        <v>2025</v>
      </c>
      <c r="T68">
        <v>11</v>
      </c>
      <c r="U68" t="s">
        <v>1426</v>
      </c>
      <c r="V68" t="s">
        <v>1427</v>
      </c>
      <c r="W68" t="s">
        <v>1250</v>
      </c>
      <c r="X68">
        <v>0</v>
      </c>
    </row>
    <row r="69" spans="1:24">
      <c r="A69" t="s">
        <v>89</v>
      </c>
      <c r="B69" t="s">
        <v>174</v>
      </c>
      <c r="C69" t="s">
        <v>300</v>
      </c>
      <c r="D69" t="s">
        <v>111</v>
      </c>
      <c r="E69" t="s">
        <v>369</v>
      </c>
      <c r="F69">
        <v>1</v>
      </c>
      <c r="G69" t="s">
        <v>1265</v>
      </c>
      <c r="H69" t="s">
        <v>1249</v>
      </c>
      <c r="I69" t="s">
        <v>1237</v>
      </c>
      <c r="J69" t="s">
        <v>1182</v>
      </c>
      <c r="K69" t="s">
        <v>1180</v>
      </c>
      <c r="L69">
        <v>23.5</v>
      </c>
      <c r="M69">
        <v>120.75</v>
      </c>
      <c r="N69">
        <v>0</v>
      </c>
      <c r="O69">
        <v>120.75</v>
      </c>
      <c r="P69">
        <v>70.5</v>
      </c>
      <c r="Q69">
        <v>50.25</v>
      </c>
      <c r="R69">
        <v>0.41614906832298137</v>
      </c>
      <c r="S69">
        <v>2025</v>
      </c>
      <c r="T69">
        <v>4</v>
      </c>
      <c r="U69" t="s">
        <v>1421</v>
      </c>
      <c r="V69" t="s">
        <v>1420</v>
      </c>
      <c r="W69" t="s">
        <v>1250</v>
      </c>
      <c r="X69">
        <v>0</v>
      </c>
    </row>
    <row r="70" spans="1:24">
      <c r="A70" t="s">
        <v>89</v>
      </c>
      <c r="B70" t="s">
        <v>226</v>
      </c>
      <c r="C70" t="s">
        <v>414</v>
      </c>
      <c r="D70" t="s">
        <v>145</v>
      </c>
      <c r="E70" t="s">
        <v>106</v>
      </c>
      <c r="F70">
        <v>1</v>
      </c>
      <c r="G70" t="s">
        <v>1305</v>
      </c>
      <c r="H70" t="s">
        <v>1288</v>
      </c>
      <c r="I70" t="s">
        <v>1245</v>
      </c>
      <c r="J70" t="s">
        <v>1194</v>
      </c>
      <c r="K70" t="s">
        <v>1193</v>
      </c>
      <c r="L70">
        <v>127.21</v>
      </c>
      <c r="M70">
        <v>218.34</v>
      </c>
      <c r="N70">
        <v>32.750999999999998</v>
      </c>
      <c r="O70">
        <v>185.589</v>
      </c>
      <c r="P70">
        <v>127.21</v>
      </c>
      <c r="Q70">
        <v>58.379000000000005</v>
      </c>
      <c r="R70">
        <v>0.31456066900516738</v>
      </c>
      <c r="S70">
        <v>2025</v>
      </c>
      <c r="T70">
        <v>2</v>
      </c>
      <c r="U70" t="s">
        <v>1430</v>
      </c>
      <c r="V70" t="s">
        <v>1424</v>
      </c>
      <c r="W70" t="s">
        <v>1250</v>
      </c>
      <c r="X70">
        <v>0</v>
      </c>
    </row>
    <row r="71" spans="1:24">
      <c r="A71" t="s">
        <v>89</v>
      </c>
      <c r="B71" t="s">
        <v>149</v>
      </c>
      <c r="C71" t="s">
        <v>414</v>
      </c>
      <c r="D71" t="s">
        <v>116</v>
      </c>
      <c r="E71" t="s">
        <v>369</v>
      </c>
      <c r="F71">
        <v>1</v>
      </c>
      <c r="G71" t="s">
        <v>1305</v>
      </c>
      <c r="H71" t="s">
        <v>1288</v>
      </c>
      <c r="I71" t="s">
        <v>1245</v>
      </c>
      <c r="J71" t="s">
        <v>1195</v>
      </c>
      <c r="K71" t="s">
        <v>1193</v>
      </c>
      <c r="L71">
        <v>39.26</v>
      </c>
      <c r="M71">
        <v>76.13</v>
      </c>
      <c r="N71">
        <v>11.419499999999999</v>
      </c>
      <c r="O71">
        <v>64.710499999999996</v>
      </c>
      <c r="P71">
        <v>39.26</v>
      </c>
      <c r="Q71">
        <v>25.450499999999998</v>
      </c>
      <c r="R71">
        <v>0.39329784192673523</v>
      </c>
      <c r="S71">
        <v>2025</v>
      </c>
      <c r="T71">
        <v>7</v>
      </c>
      <c r="U71" t="s">
        <v>1422</v>
      </c>
      <c r="V71" t="s">
        <v>1418</v>
      </c>
      <c r="W71" t="s">
        <v>1250</v>
      </c>
      <c r="X71">
        <v>0</v>
      </c>
    </row>
    <row r="72" spans="1:24">
      <c r="A72" t="s">
        <v>89</v>
      </c>
      <c r="B72" t="s">
        <v>360</v>
      </c>
      <c r="C72" t="s">
        <v>209</v>
      </c>
      <c r="D72" t="s">
        <v>103</v>
      </c>
      <c r="E72" t="s">
        <v>106</v>
      </c>
      <c r="F72">
        <v>1</v>
      </c>
      <c r="G72" t="s">
        <v>1248</v>
      </c>
      <c r="H72" t="s">
        <v>1249</v>
      </c>
      <c r="I72" t="s">
        <v>1237</v>
      </c>
      <c r="J72" t="s">
        <v>1206</v>
      </c>
      <c r="K72" t="s">
        <v>1203</v>
      </c>
      <c r="L72">
        <v>37.46</v>
      </c>
      <c r="M72">
        <v>64.86</v>
      </c>
      <c r="N72">
        <v>6.4860000000000007</v>
      </c>
      <c r="O72">
        <v>58.373999999999995</v>
      </c>
      <c r="P72">
        <v>37.46</v>
      </c>
      <c r="Q72">
        <v>20.913999999999994</v>
      </c>
      <c r="R72">
        <v>0.35827594476993174</v>
      </c>
      <c r="S72">
        <v>2025</v>
      </c>
      <c r="T72">
        <v>6</v>
      </c>
      <c r="U72" t="s">
        <v>1429</v>
      </c>
      <c r="V72" t="s">
        <v>1420</v>
      </c>
      <c r="W72" t="s">
        <v>1250</v>
      </c>
      <c r="X72">
        <v>0</v>
      </c>
    </row>
    <row r="73" spans="1:24">
      <c r="A73" t="s">
        <v>89</v>
      </c>
      <c r="B73" t="s">
        <v>157</v>
      </c>
      <c r="C73" t="s">
        <v>169</v>
      </c>
      <c r="D73" t="s">
        <v>145</v>
      </c>
      <c r="E73" t="s">
        <v>106</v>
      </c>
      <c r="F73">
        <v>1</v>
      </c>
      <c r="G73" t="s">
        <v>1313</v>
      </c>
      <c r="H73" t="s">
        <v>1288</v>
      </c>
      <c r="I73" t="s">
        <v>1237</v>
      </c>
      <c r="J73" t="s">
        <v>1192</v>
      </c>
      <c r="K73" t="s">
        <v>1193</v>
      </c>
      <c r="L73">
        <v>176.13</v>
      </c>
      <c r="M73">
        <v>293.91000000000003</v>
      </c>
      <c r="N73">
        <v>44.086500000000001</v>
      </c>
      <c r="O73">
        <v>249.82350000000002</v>
      </c>
      <c r="P73">
        <v>176.13</v>
      </c>
      <c r="Q73">
        <v>73.693500000000029</v>
      </c>
      <c r="R73">
        <v>0.2949822574737766</v>
      </c>
      <c r="S73">
        <v>2025</v>
      </c>
      <c r="T73">
        <v>9</v>
      </c>
      <c r="U73" t="s">
        <v>1432</v>
      </c>
      <c r="V73" t="s">
        <v>1418</v>
      </c>
      <c r="W73" t="s">
        <v>1250</v>
      </c>
      <c r="X73">
        <v>0</v>
      </c>
    </row>
    <row r="74" spans="1:24">
      <c r="A74" t="s">
        <v>89</v>
      </c>
      <c r="B74" t="s">
        <v>194</v>
      </c>
      <c r="C74" t="s">
        <v>356</v>
      </c>
      <c r="D74" t="s">
        <v>145</v>
      </c>
      <c r="E74" t="s">
        <v>106</v>
      </c>
      <c r="F74">
        <v>1</v>
      </c>
      <c r="G74" t="s">
        <v>1253</v>
      </c>
      <c r="H74" t="s">
        <v>1249</v>
      </c>
      <c r="I74" t="s">
        <v>1237</v>
      </c>
      <c r="J74" t="s">
        <v>1216</v>
      </c>
      <c r="K74" t="s">
        <v>1212</v>
      </c>
      <c r="L74">
        <v>101</v>
      </c>
      <c r="M74">
        <v>584.49</v>
      </c>
      <c r="N74">
        <v>0</v>
      </c>
      <c r="O74">
        <v>584.49</v>
      </c>
      <c r="P74">
        <v>303</v>
      </c>
      <c r="Q74">
        <v>281.49</v>
      </c>
      <c r="R74">
        <v>0.4815993430169892</v>
      </c>
      <c r="S74">
        <v>2025</v>
      </c>
      <c r="T74">
        <v>11</v>
      </c>
      <c r="U74" t="s">
        <v>1426</v>
      </c>
      <c r="V74" t="s">
        <v>1427</v>
      </c>
      <c r="W74" t="s">
        <v>1250</v>
      </c>
      <c r="X74">
        <v>0</v>
      </c>
    </row>
    <row r="75" spans="1:24">
      <c r="A75" t="s">
        <v>105</v>
      </c>
      <c r="B75" t="s">
        <v>181</v>
      </c>
      <c r="C75" t="s">
        <v>463</v>
      </c>
      <c r="D75" t="s">
        <v>145</v>
      </c>
      <c r="E75" t="s">
        <v>106</v>
      </c>
      <c r="F75">
        <v>1</v>
      </c>
      <c r="G75" t="s">
        <v>1280</v>
      </c>
      <c r="H75" t="s">
        <v>1249</v>
      </c>
      <c r="I75" t="s">
        <v>1245</v>
      </c>
      <c r="J75" t="s">
        <v>1190</v>
      </c>
      <c r="K75" t="s">
        <v>1180</v>
      </c>
      <c r="L75">
        <v>224.47</v>
      </c>
      <c r="M75">
        <v>1078.0500000000002</v>
      </c>
      <c r="N75">
        <v>215.61000000000004</v>
      </c>
      <c r="O75">
        <v>862.44000000000017</v>
      </c>
      <c r="P75">
        <v>673.41</v>
      </c>
      <c r="Q75">
        <v>189.0300000000002</v>
      </c>
      <c r="R75">
        <v>0.21918046472798128</v>
      </c>
      <c r="S75">
        <v>2025</v>
      </c>
      <c r="T75">
        <v>8</v>
      </c>
      <c r="U75" t="s">
        <v>1417</v>
      </c>
      <c r="V75" t="s">
        <v>1418</v>
      </c>
      <c r="W75" t="s">
        <v>1250</v>
      </c>
      <c r="X75">
        <v>0</v>
      </c>
    </row>
    <row r="76" spans="1:24">
      <c r="A76" t="s">
        <v>89</v>
      </c>
      <c r="B76" t="s">
        <v>323</v>
      </c>
      <c r="C76" t="s">
        <v>374</v>
      </c>
      <c r="D76" t="s">
        <v>145</v>
      </c>
      <c r="E76" t="s">
        <v>98</v>
      </c>
      <c r="F76">
        <v>1</v>
      </c>
      <c r="G76" t="s">
        <v>1287</v>
      </c>
      <c r="H76" t="s">
        <v>1288</v>
      </c>
      <c r="I76" t="s">
        <v>1241</v>
      </c>
      <c r="J76" t="s">
        <v>1209</v>
      </c>
      <c r="K76" t="s">
        <v>1203</v>
      </c>
      <c r="L76">
        <v>152.88</v>
      </c>
      <c r="M76">
        <v>337.81</v>
      </c>
      <c r="N76">
        <v>33.780999999999999</v>
      </c>
      <c r="O76">
        <v>304.029</v>
      </c>
      <c r="P76">
        <v>152.88</v>
      </c>
      <c r="Q76">
        <v>151.149</v>
      </c>
      <c r="R76">
        <v>0.49715323209299112</v>
      </c>
      <c r="S76">
        <v>2025</v>
      </c>
      <c r="T76">
        <v>1</v>
      </c>
      <c r="U76" t="s">
        <v>1425</v>
      </c>
      <c r="V76" t="s">
        <v>1424</v>
      </c>
      <c r="W76" t="s">
        <v>1250</v>
      </c>
      <c r="X76">
        <v>1</v>
      </c>
    </row>
    <row r="77" spans="1:24">
      <c r="A77" t="s">
        <v>89</v>
      </c>
      <c r="B77" t="s">
        <v>125</v>
      </c>
      <c r="C77" t="s">
        <v>180</v>
      </c>
      <c r="D77" t="s">
        <v>145</v>
      </c>
      <c r="E77" t="s">
        <v>106</v>
      </c>
      <c r="F77">
        <v>1</v>
      </c>
      <c r="G77" t="s">
        <v>1332</v>
      </c>
      <c r="H77" t="s">
        <v>1249</v>
      </c>
      <c r="I77" t="s">
        <v>1237</v>
      </c>
      <c r="J77" t="s">
        <v>1214</v>
      </c>
      <c r="K77" t="s">
        <v>1212</v>
      </c>
      <c r="L77">
        <v>25.97</v>
      </c>
      <c r="M77">
        <v>58.78</v>
      </c>
      <c r="N77">
        <v>2.9390000000000001</v>
      </c>
      <c r="O77">
        <v>55.841000000000001</v>
      </c>
      <c r="P77">
        <v>25.97</v>
      </c>
      <c r="Q77">
        <v>29.871000000000002</v>
      </c>
      <c r="R77">
        <v>0.53492953206425387</v>
      </c>
      <c r="S77">
        <v>2025</v>
      </c>
      <c r="T77">
        <v>11</v>
      </c>
      <c r="U77" t="s">
        <v>1426</v>
      </c>
      <c r="V77" t="s">
        <v>1427</v>
      </c>
      <c r="W77" t="s">
        <v>1250</v>
      </c>
      <c r="X77">
        <v>1</v>
      </c>
    </row>
    <row r="78" spans="1:24">
      <c r="A78" t="s">
        <v>97</v>
      </c>
      <c r="B78" t="s">
        <v>152</v>
      </c>
      <c r="C78" t="s">
        <v>209</v>
      </c>
      <c r="D78" t="s">
        <v>87</v>
      </c>
      <c r="E78" t="s">
        <v>106</v>
      </c>
      <c r="F78">
        <v>1</v>
      </c>
      <c r="G78" t="s">
        <v>1248</v>
      </c>
      <c r="H78" t="s">
        <v>1249</v>
      </c>
      <c r="I78" t="s">
        <v>1237</v>
      </c>
      <c r="J78" t="s">
        <v>1191</v>
      </c>
      <c r="K78" t="s">
        <v>1180</v>
      </c>
      <c r="L78">
        <v>69</v>
      </c>
      <c r="M78">
        <v>139.33000000000001</v>
      </c>
      <c r="N78">
        <v>6.9665000000000008</v>
      </c>
      <c r="O78">
        <v>132.36350000000002</v>
      </c>
      <c r="P78">
        <v>69</v>
      </c>
      <c r="Q78">
        <v>63.363500000000016</v>
      </c>
      <c r="R78">
        <v>0.47870825416372342</v>
      </c>
      <c r="S78">
        <v>2025</v>
      </c>
      <c r="T78">
        <v>1</v>
      </c>
      <c r="U78" t="s">
        <v>1425</v>
      </c>
      <c r="V78" t="s">
        <v>1424</v>
      </c>
      <c r="W78" t="s">
        <v>1250</v>
      </c>
      <c r="X78">
        <v>0</v>
      </c>
    </row>
    <row r="79" spans="1:24">
      <c r="A79" t="s">
        <v>89</v>
      </c>
      <c r="B79" t="s">
        <v>157</v>
      </c>
      <c r="C79" t="s">
        <v>670</v>
      </c>
      <c r="D79" t="s">
        <v>87</v>
      </c>
      <c r="E79" t="s">
        <v>106</v>
      </c>
      <c r="F79">
        <v>1</v>
      </c>
      <c r="G79" t="s">
        <v>1349</v>
      </c>
      <c r="H79" t="s">
        <v>1249</v>
      </c>
      <c r="I79" t="s">
        <v>1241</v>
      </c>
      <c r="J79" t="s">
        <v>1192</v>
      </c>
      <c r="K79" t="s">
        <v>1193</v>
      </c>
      <c r="L79">
        <v>176.13</v>
      </c>
      <c r="M79">
        <v>570.94000000000005</v>
      </c>
      <c r="N79">
        <v>0</v>
      </c>
      <c r="O79">
        <v>570.94000000000005</v>
      </c>
      <c r="P79">
        <v>352.26</v>
      </c>
      <c r="Q79">
        <v>218.68000000000006</v>
      </c>
      <c r="R79">
        <v>0.38301747994535335</v>
      </c>
      <c r="S79">
        <v>2025</v>
      </c>
      <c r="T79">
        <v>4</v>
      </c>
      <c r="U79" t="s">
        <v>1421</v>
      </c>
      <c r="V79" t="s">
        <v>1420</v>
      </c>
      <c r="W79" t="s">
        <v>1250</v>
      </c>
      <c r="X79">
        <v>0</v>
      </c>
    </row>
    <row r="80" spans="1:24">
      <c r="A80" t="s">
        <v>89</v>
      </c>
      <c r="B80" t="s">
        <v>101</v>
      </c>
      <c r="C80" t="s">
        <v>113</v>
      </c>
      <c r="D80" t="s">
        <v>87</v>
      </c>
      <c r="E80" t="s">
        <v>106</v>
      </c>
      <c r="F80">
        <v>1</v>
      </c>
      <c r="G80" t="s">
        <v>1300</v>
      </c>
      <c r="H80" t="s">
        <v>1288</v>
      </c>
      <c r="I80" t="s">
        <v>1237</v>
      </c>
      <c r="J80" t="s">
        <v>1207</v>
      </c>
      <c r="K80" t="s">
        <v>1203</v>
      </c>
      <c r="L80">
        <v>139.86000000000001</v>
      </c>
      <c r="M80">
        <v>296.18</v>
      </c>
      <c r="N80">
        <v>0</v>
      </c>
      <c r="O80">
        <v>296.18</v>
      </c>
      <c r="P80">
        <v>139.86000000000001</v>
      </c>
      <c r="Q80">
        <v>156.32</v>
      </c>
      <c r="R80">
        <v>0.52778715645891006</v>
      </c>
      <c r="S80">
        <v>2025</v>
      </c>
      <c r="T80">
        <v>8</v>
      </c>
      <c r="U80" t="s">
        <v>1417</v>
      </c>
      <c r="V80" t="s">
        <v>1418</v>
      </c>
      <c r="W80" t="s">
        <v>1250</v>
      </c>
      <c r="X80">
        <v>0</v>
      </c>
    </row>
    <row r="81" spans="1:24">
      <c r="A81" t="s">
        <v>105</v>
      </c>
      <c r="B81" t="s">
        <v>120</v>
      </c>
      <c r="C81" t="s">
        <v>132</v>
      </c>
      <c r="D81" t="s">
        <v>116</v>
      </c>
      <c r="E81" t="s">
        <v>106</v>
      </c>
      <c r="F81">
        <v>1</v>
      </c>
      <c r="G81" t="s">
        <v>1346</v>
      </c>
      <c r="H81" t="s">
        <v>1288</v>
      </c>
      <c r="I81" t="s">
        <v>1245</v>
      </c>
      <c r="J81" t="s">
        <v>1199</v>
      </c>
      <c r="K81" t="s">
        <v>1193</v>
      </c>
      <c r="L81">
        <v>235.76</v>
      </c>
      <c r="M81">
        <v>385.1</v>
      </c>
      <c r="N81">
        <v>38.510000000000005</v>
      </c>
      <c r="O81">
        <v>346.59000000000003</v>
      </c>
      <c r="P81">
        <v>235.76</v>
      </c>
      <c r="Q81">
        <v>110.83000000000004</v>
      </c>
      <c r="R81">
        <v>0.31977264202660211</v>
      </c>
      <c r="S81">
        <v>2025</v>
      </c>
      <c r="T81">
        <v>7</v>
      </c>
      <c r="U81" t="s">
        <v>1422</v>
      </c>
      <c r="V81" t="s">
        <v>1418</v>
      </c>
      <c r="W81" t="s">
        <v>1250</v>
      </c>
      <c r="X81">
        <v>0</v>
      </c>
    </row>
    <row r="82" spans="1:24">
      <c r="A82" t="s">
        <v>97</v>
      </c>
      <c r="B82" t="s">
        <v>249</v>
      </c>
      <c r="C82" t="s">
        <v>113</v>
      </c>
      <c r="D82" t="s">
        <v>111</v>
      </c>
      <c r="E82" t="s">
        <v>106</v>
      </c>
      <c r="F82">
        <v>1</v>
      </c>
      <c r="G82" t="s">
        <v>1300</v>
      </c>
      <c r="H82" t="s">
        <v>1288</v>
      </c>
      <c r="I82" t="s">
        <v>1237</v>
      </c>
      <c r="J82" t="s">
        <v>1208</v>
      </c>
      <c r="K82" t="s">
        <v>1203</v>
      </c>
      <c r="L82">
        <v>239.67</v>
      </c>
      <c r="M82">
        <v>832.76</v>
      </c>
      <c r="N82">
        <v>83.27600000000001</v>
      </c>
      <c r="O82">
        <v>749.48399999999992</v>
      </c>
      <c r="P82">
        <v>479.34</v>
      </c>
      <c r="Q82">
        <v>270.14399999999995</v>
      </c>
      <c r="R82">
        <v>0.36043998270810312</v>
      </c>
      <c r="S82">
        <v>2025</v>
      </c>
      <c r="T82">
        <v>3</v>
      </c>
      <c r="U82" t="s">
        <v>1423</v>
      </c>
      <c r="V82" t="s">
        <v>1424</v>
      </c>
      <c r="W82" t="s">
        <v>1250</v>
      </c>
      <c r="X82">
        <v>0</v>
      </c>
    </row>
    <row r="83" spans="1:24">
      <c r="A83" t="s">
        <v>105</v>
      </c>
      <c r="B83" t="s">
        <v>261</v>
      </c>
      <c r="C83" t="s">
        <v>257</v>
      </c>
      <c r="D83" t="s">
        <v>145</v>
      </c>
      <c r="E83" t="s">
        <v>98</v>
      </c>
      <c r="F83">
        <v>1</v>
      </c>
      <c r="G83" t="s">
        <v>1316</v>
      </c>
      <c r="H83" t="s">
        <v>1249</v>
      </c>
      <c r="I83" t="s">
        <v>1237</v>
      </c>
      <c r="J83" t="s">
        <v>1218</v>
      </c>
      <c r="K83" t="s">
        <v>1212</v>
      </c>
      <c r="L83">
        <v>131.72999999999999</v>
      </c>
      <c r="M83">
        <v>754.47</v>
      </c>
      <c r="N83">
        <v>113.1705</v>
      </c>
      <c r="O83">
        <v>641.29950000000008</v>
      </c>
      <c r="P83">
        <v>395.18999999999994</v>
      </c>
      <c r="Q83">
        <v>246.10950000000014</v>
      </c>
      <c r="R83">
        <v>0.38376686711902958</v>
      </c>
      <c r="S83">
        <v>2025</v>
      </c>
      <c r="T83">
        <v>9</v>
      </c>
      <c r="U83" t="s">
        <v>1432</v>
      </c>
      <c r="V83" t="s">
        <v>1418</v>
      </c>
      <c r="W83" t="s">
        <v>1250</v>
      </c>
      <c r="X83">
        <v>0</v>
      </c>
    </row>
    <row r="84" spans="1:24">
      <c r="A84" t="s">
        <v>89</v>
      </c>
      <c r="B84" t="s">
        <v>85</v>
      </c>
      <c r="C84" t="s">
        <v>113</v>
      </c>
      <c r="D84" t="s">
        <v>116</v>
      </c>
      <c r="E84" t="s">
        <v>106</v>
      </c>
      <c r="F84">
        <v>1</v>
      </c>
      <c r="G84" t="s">
        <v>1300</v>
      </c>
      <c r="H84" t="s">
        <v>1288</v>
      </c>
      <c r="I84" t="s">
        <v>1237</v>
      </c>
      <c r="J84" t="s">
        <v>1211</v>
      </c>
      <c r="K84" t="s">
        <v>1212</v>
      </c>
      <c r="L84">
        <v>197.33</v>
      </c>
      <c r="M84">
        <v>609.78</v>
      </c>
      <c r="N84">
        <v>0</v>
      </c>
      <c r="O84">
        <v>609.78</v>
      </c>
      <c r="P84">
        <v>394.66</v>
      </c>
      <c r="Q84">
        <v>215.11999999999995</v>
      </c>
      <c r="R84">
        <v>0.35278297090754035</v>
      </c>
      <c r="S84">
        <v>2025</v>
      </c>
      <c r="T84">
        <v>8</v>
      </c>
      <c r="U84" t="s">
        <v>1417</v>
      </c>
      <c r="V84" t="s">
        <v>1418</v>
      </c>
      <c r="W84" t="s">
        <v>1250</v>
      </c>
      <c r="X84">
        <v>0</v>
      </c>
    </row>
    <row r="85" spans="1:24">
      <c r="A85" t="s">
        <v>89</v>
      </c>
      <c r="B85" t="s">
        <v>346</v>
      </c>
      <c r="C85" t="s">
        <v>300</v>
      </c>
      <c r="D85" t="s">
        <v>111</v>
      </c>
      <c r="E85" t="s">
        <v>106</v>
      </c>
      <c r="F85">
        <v>1</v>
      </c>
      <c r="G85" t="s">
        <v>1265</v>
      </c>
      <c r="H85" t="s">
        <v>1249</v>
      </c>
      <c r="I85" t="s">
        <v>1237</v>
      </c>
      <c r="J85" t="s">
        <v>1217</v>
      </c>
      <c r="K85" t="s">
        <v>1212</v>
      </c>
      <c r="L85">
        <v>125.4</v>
      </c>
      <c r="M85">
        <v>694.34999999999991</v>
      </c>
      <c r="N85">
        <v>0</v>
      </c>
      <c r="O85">
        <v>694.34999999999991</v>
      </c>
      <c r="P85">
        <v>376.20000000000005</v>
      </c>
      <c r="Q85">
        <v>318.14999999999986</v>
      </c>
      <c r="R85">
        <v>0.45819831497083591</v>
      </c>
      <c r="S85">
        <v>2025</v>
      </c>
      <c r="T85">
        <v>6</v>
      </c>
      <c r="U85" t="s">
        <v>1429</v>
      </c>
      <c r="V85" t="s">
        <v>1420</v>
      </c>
      <c r="W85" t="s">
        <v>1250</v>
      </c>
      <c r="X85">
        <v>0</v>
      </c>
    </row>
    <row r="86" spans="1:24">
      <c r="A86" t="s">
        <v>97</v>
      </c>
      <c r="B86" t="s">
        <v>221</v>
      </c>
      <c r="C86" t="s">
        <v>414</v>
      </c>
      <c r="D86" t="s">
        <v>103</v>
      </c>
      <c r="E86" t="s">
        <v>98</v>
      </c>
      <c r="F86">
        <v>1</v>
      </c>
      <c r="G86" t="s">
        <v>1305</v>
      </c>
      <c r="H86" t="s">
        <v>1288</v>
      </c>
      <c r="I86" t="s">
        <v>1245</v>
      </c>
      <c r="J86" t="s">
        <v>1204</v>
      </c>
      <c r="K86" t="s">
        <v>1203</v>
      </c>
      <c r="L86">
        <v>14.58</v>
      </c>
      <c r="M86">
        <v>59.72</v>
      </c>
      <c r="N86">
        <v>5.9720000000000004</v>
      </c>
      <c r="O86">
        <v>53.747999999999998</v>
      </c>
      <c r="P86">
        <v>29.16</v>
      </c>
      <c r="Q86">
        <v>24.587999999999997</v>
      </c>
      <c r="R86">
        <v>0.45746818486269253</v>
      </c>
      <c r="S86">
        <v>2025</v>
      </c>
      <c r="T86">
        <v>1</v>
      </c>
      <c r="U86" t="s">
        <v>1425</v>
      </c>
      <c r="V86" t="s">
        <v>1424</v>
      </c>
      <c r="W86" t="s">
        <v>1250</v>
      </c>
      <c r="X86">
        <v>0</v>
      </c>
    </row>
    <row r="87" spans="1:24">
      <c r="A87" t="s">
        <v>89</v>
      </c>
      <c r="B87" t="s">
        <v>277</v>
      </c>
      <c r="C87" t="s">
        <v>374</v>
      </c>
      <c r="D87" t="s">
        <v>111</v>
      </c>
      <c r="E87" t="s">
        <v>106</v>
      </c>
      <c r="F87">
        <v>1</v>
      </c>
      <c r="G87" t="s">
        <v>1287</v>
      </c>
      <c r="H87" t="s">
        <v>1288</v>
      </c>
      <c r="I87" t="s">
        <v>1241</v>
      </c>
      <c r="J87" t="s">
        <v>1179</v>
      </c>
      <c r="K87" t="s">
        <v>1180</v>
      </c>
      <c r="L87">
        <v>254.6</v>
      </c>
      <c r="M87">
        <v>376.44</v>
      </c>
      <c r="N87">
        <v>0</v>
      </c>
      <c r="O87">
        <v>376.44</v>
      </c>
      <c r="P87">
        <v>254.6</v>
      </c>
      <c r="Q87">
        <v>121.84</v>
      </c>
      <c r="R87">
        <v>0.32366379768356179</v>
      </c>
      <c r="S87">
        <v>2025</v>
      </c>
      <c r="T87">
        <v>8</v>
      </c>
      <c r="U87" t="s">
        <v>1417</v>
      </c>
      <c r="V87" t="s">
        <v>1418</v>
      </c>
      <c r="W87" t="s">
        <v>1250</v>
      </c>
      <c r="X87">
        <v>0</v>
      </c>
    </row>
    <row r="88" spans="1:24">
      <c r="A88" t="s">
        <v>89</v>
      </c>
      <c r="B88" t="s">
        <v>165</v>
      </c>
      <c r="C88" t="s">
        <v>119</v>
      </c>
      <c r="D88" t="s">
        <v>103</v>
      </c>
      <c r="E88" t="s">
        <v>106</v>
      </c>
      <c r="F88">
        <v>1</v>
      </c>
      <c r="G88" t="s">
        <v>1308</v>
      </c>
      <c r="H88" t="s">
        <v>1288</v>
      </c>
      <c r="I88" t="s">
        <v>1241</v>
      </c>
      <c r="J88" t="s">
        <v>1210</v>
      </c>
      <c r="K88" t="s">
        <v>1203</v>
      </c>
      <c r="L88">
        <v>46.07</v>
      </c>
      <c r="M88">
        <v>105.22</v>
      </c>
      <c r="N88">
        <v>15.782999999999999</v>
      </c>
      <c r="O88">
        <v>89.436999999999998</v>
      </c>
      <c r="P88">
        <v>46.07</v>
      </c>
      <c r="Q88">
        <v>43.366999999999997</v>
      </c>
      <c r="R88">
        <v>0.48488880440980803</v>
      </c>
      <c r="S88">
        <v>2025</v>
      </c>
      <c r="T88">
        <v>2</v>
      </c>
      <c r="U88" t="s">
        <v>1430</v>
      </c>
      <c r="V88" t="s">
        <v>1424</v>
      </c>
      <c r="W88" t="s">
        <v>1250</v>
      </c>
      <c r="X88">
        <v>0</v>
      </c>
    </row>
    <row r="89" spans="1:24">
      <c r="A89" t="s">
        <v>97</v>
      </c>
      <c r="B89" t="s">
        <v>165</v>
      </c>
      <c r="C89" t="s">
        <v>356</v>
      </c>
      <c r="D89" t="s">
        <v>116</v>
      </c>
      <c r="E89" t="s">
        <v>106</v>
      </c>
      <c r="F89">
        <v>1</v>
      </c>
      <c r="G89" t="s">
        <v>1253</v>
      </c>
      <c r="H89" t="s">
        <v>1249</v>
      </c>
      <c r="I89" t="s">
        <v>1237</v>
      </c>
      <c r="J89" t="s">
        <v>1210</v>
      </c>
      <c r="K89" t="s">
        <v>1203</v>
      </c>
      <c r="L89">
        <v>46.07</v>
      </c>
      <c r="M89">
        <v>105.21</v>
      </c>
      <c r="N89">
        <v>15.781499999999998</v>
      </c>
      <c r="O89">
        <v>89.4285</v>
      </c>
      <c r="P89">
        <v>46.07</v>
      </c>
      <c r="Q89">
        <v>43.358499999999999</v>
      </c>
      <c r="R89">
        <v>0.48483984412128123</v>
      </c>
      <c r="S89">
        <v>2025</v>
      </c>
      <c r="T89">
        <v>12</v>
      </c>
      <c r="U89" t="s">
        <v>1428</v>
      </c>
      <c r="V89" t="s">
        <v>1427</v>
      </c>
      <c r="W89" t="s">
        <v>1250</v>
      </c>
      <c r="X89">
        <v>0</v>
      </c>
    </row>
    <row r="90" spans="1:24">
      <c r="A90" t="s">
        <v>105</v>
      </c>
      <c r="B90" t="s">
        <v>120</v>
      </c>
      <c r="C90" t="s">
        <v>236</v>
      </c>
      <c r="D90" t="s">
        <v>116</v>
      </c>
      <c r="E90" t="s">
        <v>369</v>
      </c>
      <c r="F90">
        <v>1</v>
      </c>
      <c r="G90" t="s">
        <v>1345</v>
      </c>
      <c r="H90" t="s">
        <v>1288</v>
      </c>
      <c r="I90" t="s">
        <v>1245</v>
      </c>
      <c r="J90" t="s">
        <v>1199</v>
      </c>
      <c r="K90" t="s">
        <v>1193</v>
      </c>
      <c r="L90">
        <v>235.76</v>
      </c>
      <c r="M90">
        <v>389.99</v>
      </c>
      <c r="N90">
        <v>0</v>
      </c>
      <c r="O90">
        <v>389.99</v>
      </c>
      <c r="P90">
        <v>235.76</v>
      </c>
      <c r="Q90">
        <v>154.23000000000002</v>
      </c>
      <c r="R90">
        <v>0.39547167876099393</v>
      </c>
      <c r="S90">
        <v>2025</v>
      </c>
      <c r="T90">
        <v>12</v>
      </c>
      <c r="U90" t="s">
        <v>1428</v>
      </c>
      <c r="V90" t="s">
        <v>1427</v>
      </c>
      <c r="W90" t="s">
        <v>1250</v>
      </c>
      <c r="X90">
        <v>0</v>
      </c>
    </row>
    <row r="91" spans="1:24">
      <c r="A91" t="s">
        <v>89</v>
      </c>
      <c r="B91" t="s">
        <v>85</v>
      </c>
      <c r="C91" t="s">
        <v>523</v>
      </c>
      <c r="D91" t="s">
        <v>103</v>
      </c>
      <c r="E91" t="s">
        <v>369</v>
      </c>
      <c r="F91">
        <v>1</v>
      </c>
      <c r="G91" t="s">
        <v>1355</v>
      </c>
      <c r="H91" t="s">
        <v>1249</v>
      </c>
      <c r="I91" t="s">
        <v>1237</v>
      </c>
      <c r="J91" t="s">
        <v>1211</v>
      </c>
      <c r="K91" t="s">
        <v>1212</v>
      </c>
      <c r="L91">
        <v>197.33</v>
      </c>
      <c r="M91">
        <v>621.28</v>
      </c>
      <c r="N91">
        <v>31.064</v>
      </c>
      <c r="O91">
        <v>590.21600000000001</v>
      </c>
      <c r="P91">
        <v>394.66</v>
      </c>
      <c r="Q91">
        <v>195.55599999999998</v>
      </c>
      <c r="R91">
        <v>0.33132954714884039</v>
      </c>
      <c r="S91">
        <v>2025</v>
      </c>
      <c r="T91">
        <v>10</v>
      </c>
      <c r="U91" t="s">
        <v>1431</v>
      </c>
      <c r="V91" t="s">
        <v>1427</v>
      </c>
      <c r="W91" t="s">
        <v>1250</v>
      </c>
      <c r="X91">
        <v>0</v>
      </c>
    </row>
    <row r="92" spans="1:24">
      <c r="A92" t="s">
        <v>97</v>
      </c>
      <c r="B92" t="s">
        <v>133</v>
      </c>
      <c r="C92" t="s">
        <v>507</v>
      </c>
      <c r="D92" t="s">
        <v>145</v>
      </c>
      <c r="E92" t="s">
        <v>106</v>
      </c>
      <c r="F92">
        <v>1</v>
      </c>
      <c r="G92" t="s">
        <v>1328</v>
      </c>
      <c r="H92" t="s">
        <v>1288</v>
      </c>
      <c r="I92" t="s">
        <v>1245</v>
      </c>
      <c r="J92" t="s">
        <v>1227</v>
      </c>
      <c r="K92" t="s">
        <v>1221</v>
      </c>
      <c r="L92">
        <v>229.86</v>
      </c>
      <c r="M92">
        <v>324.77999999999997</v>
      </c>
      <c r="N92">
        <v>0</v>
      </c>
      <c r="O92">
        <v>324.77999999999997</v>
      </c>
      <c r="P92">
        <v>229.86</v>
      </c>
      <c r="Q92">
        <v>94.919999999999959</v>
      </c>
      <c r="R92">
        <v>0.2922593755773138</v>
      </c>
      <c r="S92">
        <v>2025</v>
      </c>
      <c r="T92">
        <v>4</v>
      </c>
      <c r="U92" t="s">
        <v>1421</v>
      </c>
      <c r="V92" t="s">
        <v>1420</v>
      </c>
      <c r="W92" t="s">
        <v>1250</v>
      </c>
      <c r="X92">
        <v>0</v>
      </c>
    </row>
    <row r="93" spans="1:24">
      <c r="A93" t="s">
        <v>89</v>
      </c>
      <c r="B93" t="s">
        <v>133</v>
      </c>
      <c r="C93" t="s">
        <v>487</v>
      </c>
      <c r="D93" t="s">
        <v>145</v>
      </c>
      <c r="E93" t="s">
        <v>98</v>
      </c>
      <c r="F93">
        <v>1</v>
      </c>
      <c r="G93" t="s">
        <v>1347</v>
      </c>
      <c r="H93" t="s">
        <v>1249</v>
      </c>
      <c r="I93" t="s">
        <v>1237</v>
      </c>
      <c r="J93" t="s">
        <v>1227</v>
      </c>
      <c r="K93" t="s">
        <v>1221</v>
      </c>
      <c r="L93">
        <v>229.86</v>
      </c>
      <c r="M93">
        <v>1024.53</v>
      </c>
      <c r="N93">
        <v>256.13249999999999</v>
      </c>
      <c r="O93">
        <v>768.39750000000004</v>
      </c>
      <c r="P93">
        <v>689.58</v>
      </c>
      <c r="Q93">
        <v>78.817499999999995</v>
      </c>
      <c r="R93">
        <v>0.10257386313724341</v>
      </c>
      <c r="S93">
        <v>2025</v>
      </c>
      <c r="T93">
        <v>1</v>
      </c>
      <c r="U93" t="s">
        <v>1425</v>
      </c>
      <c r="V93" t="s">
        <v>1424</v>
      </c>
      <c r="W93" t="s">
        <v>1250</v>
      </c>
      <c r="X93">
        <v>0</v>
      </c>
    </row>
    <row r="94" spans="1:24">
      <c r="A94" t="s">
        <v>89</v>
      </c>
      <c r="B94" t="s">
        <v>181</v>
      </c>
      <c r="C94" t="s">
        <v>463</v>
      </c>
      <c r="D94" t="s">
        <v>87</v>
      </c>
      <c r="E94" t="s">
        <v>369</v>
      </c>
      <c r="F94">
        <v>1</v>
      </c>
      <c r="G94" t="s">
        <v>1280</v>
      </c>
      <c r="H94" t="s">
        <v>1249</v>
      </c>
      <c r="I94" t="s">
        <v>1245</v>
      </c>
      <c r="J94" t="s">
        <v>1190</v>
      </c>
      <c r="K94" t="s">
        <v>1180</v>
      </c>
      <c r="L94">
        <v>224.47</v>
      </c>
      <c r="M94">
        <v>670.74</v>
      </c>
      <c r="N94">
        <v>0</v>
      </c>
      <c r="O94">
        <v>670.74</v>
      </c>
      <c r="P94">
        <v>448.94</v>
      </c>
      <c r="Q94">
        <v>221.8</v>
      </c>
      <c r="R94">
        <v>0.33067954796195248</v>
      </c>
      <c r="S94">
        <v>2025</v>
      </c>
      <c r="T94">
        <v>7</v>
      </c>
      <c r="U94" t="s">
        <v>1422</v>
      </c>
      <c r="V94" t="s">
        <v>1418</v>
      </c>
      <c r="W94" t="s">
        <v>1250</v>
      </c>
      <c r="X94">
        <v>0</v>
      </c>
    </row>
    <row r="95" spans="1:24">
      <c r="A95" t="s">
        <v>89</v>
      </c>
      <c r="B95" t="s">
        <v>114</v>
      </c>
      <c r="C95" t="s">
        <v>374</v>
      </c>
      <c r="D95" t="s">
        <v>87</v>
      </c>
      <c r="E95" t="s">
        <v>98</v>
      </c>
      <c r="F95">
        <v>1</v>
      </c>
      <c r="G95" t="s">
        <v>1287</v>
      </c>
      <c r="H95" t="s">
        <v>1288</v>
      </c>
      <c r="I95" t="s">
        <v>1241</v>
      </c>
      <c r="J95" t="s">
        <v>1222</v>
      </c>
      <c r="K95" t="s">
        <v>1221</v>
      </c>
      <c r="L95">
        <v>78.95</v>
      </c>
      <c r="M95">
        <v>416.28</v>
      </c>
      <c r="N95">
        <v>83.256</v>
      </c>
      <c r="O95">
        <v>333.024</v>
      </c>
      <c r="P95">
        <v>236.85000000000002</v>
      </c>
      <c r="Q95">
        <v>96.173999999999978</v>
      </c>
      <c r="R95">
        <v>0.28878999711732484</v>
      </c>
      <c r="S95">
        <v>2025</v>
      </c>
      <c r="T95">
        <v>3</v>
      </c>
      <c r="U95" t="s">
        <v>1423</v>
      </c>
      <c r="V95" t="s">
        <v>1424</v>
      </c>
      <c r="W95" t="s">
        <v>1250</v>
      </c>
      <c r="X95">
        <v>0</v>
      </c>
    </row>
    <row r="96" spans="1:24">
      <c r="A96" t="s">
        <v>89</v>
      </c>
      <c r="B96" t="s">
        <v>165</v>
      </c>
      <c r="C96" t="s">
        <v>374</v>
      </c>
      <c r="D96" t="s">
        <v>87</v>
      </c>
      <c r="E96" t="s">
        <v>106</v>
      </c>
      <c r="F96">
        <v>1</v>
      </c>
      <c r="G96" t="s">
        <v>1287</v>
      </c>
      <c r="H96" t="s">
        <v>1288</v>
      </c>
      <c r="I96" t="s">
        <v>1241</v>
      </c>
      <c r="J96" t="s">
        <v>1210</v>
      </c>
      <c r="K96" t="s">
        <v>1203</v>
      </c>
      <c r="L96">
        <v>46.07</v>
      </c>
      <c r="M96">
        <v>106.24</v>
      </c>
      <c r="N96">
        <v>0</v>
      </c>
      <c r="O96">
        <v>106.24</v>
      </c>
      <c r="P96">
        <v>46.07</v>
      </c>
      <c r="Q96">
        <v>60.169999999999995</v>
      </c>
      <c r="R96">
        <v>0.56635918674698793</v>
      </c>
      <c r="S96">
        <v>2025</v>
      </c>
      <c r="T96">
        <v>1</v>
      </c>
      <c r="U96" t="s">
        <v>1425</v>
      </c>
      <c r="V96" t="s">
        <v>1424</v>
      </c>
      <c r="W96" t="s">
        <v>1250</v>
      </c>
      <c r="X96">
        <v>0</v>
      </c>
    </row>
    <row r="97" spans="1:24">
      <c r="A97" t="s">
        <v>97</v>
      </c>
      <c r="B97" t="s">
        <v>174</v>
      </c>
      <c r="C97" t="s">
        <v>169</v>
      </c>
      <c r="D97" t="s">
        <v>103</v>
      </c>
      <c r="E97" t="s">
        <v>106</v>
      </c>
      <c r="F97">
        <v>1</v>
      </c>
      <c r="G97" t="s">
        <v>1313</v>
      </c>
      <c r="H97" t="s">
        <v>1288</v>
      </c>
      <c r="I97" t="s">
        <v>1237</v>
      </c>
      <c r="J97" t="s">
        <v>1182</v>
      </c>
      <c r="K97" t="s">
        <v>1180</v>
      </c>
      <c r="L97">
        <v>23.5</v>
      </c>
      <c r="M97">
        <v>38.4</v>
      </c>
      <c r="N97">
        <v>5.76</v>
      </c>
      <c r="O97">
        <v>32.64</v>
      </c>
      <c r="P97">
        <v>23.5</v>
      </c>
      <c r="Q97">
        <v>9.14</v>
      </c>
      <c r="R97">
        <v>0.28002450980392157</v>
      </c>
      <c r="S97">
        <v>2025</v>
      </c>
      <c r="T97">
        <v>1</v>
      </c>
      <c r="U97" t="s">
        <v>1425</v>
      </c>
      <c r="V97" t="s">
        <v>1424</v>
      </c>
      <c r="W97" t="s">
        <v>1250</v>
      </c>
      <c r="X97">
        <v>0</v>
      </c>
    </row>
    <row r="98" spans="1:24">
      <c r="A98" t="s">
        <v>97</v>
      </c>
      <c r="B98" t="s">
        <v>221</v>
      </c>
      <c r="C98" t="s">
        <v>356</v>
      </c>
      <c r="D98" t="s">
        <v>87</v>
      </c>
      <c r="E98" t="s">
        <v>154</v>
      </c>
      <c r="F98">
        <v>1</v>
      </c>
      <c r="G98" t="s">
        <v>1253</v>
      </c>
      <c r="H98" t="s">
        <v>1249</v>
      </c>
      <c r="I98" t="s">
        <v>1237</v>
      </c>
      <c r="J98" t="s">
        <v>1204</v>
      </c>
      <c r="K98" t="s">
        <v>1203</v>
      </c>
      <c r="L98">
        <v>14.58</v>
      </c>
      <c r="M98">
        <v>29.65</v>
      </c>
      <c r="N98">
        <v>4.4474999999999998</v>
      </c>
      <c r="O98">
        <v>25.202500000000001</v>
      </c>
      <c r="P98">
        <v>14.58</v>
      </c>
      <c r="Q98">
        <v>10.6225</v>
      </c>
      <c r="R98">
        <v>0.42148596369407798</v>
      </c>
      <c r="S98">
        <v>2025</v>
      </c>
      <c r="T98">
        <v>12</v>
      </c>
      <c r="U98" t="s">
        <v>1428</v>
      </c>
      <c r="V98" t="s">
        <v>1427</v>
      </c>
      <c r="W98" t="s">
        <v>1250</v>
      </c>
      <c r="X98">
        <v>0</v>
      </c>
    </row>
    <row r="99" spans="1:24">
      <c r="A99" t="s">
        <v>89</v>
      </c>
      <c r="B99" t="s">
        <v>190</v>
      </c>
      <c r="C99" t="s">
        <v>209</v>
      </c>
      <c r="D99" t="s">
        <v>111</v>
      </c>
      <c r="E99" t="s">
        <v>106</v>
      </c>
      <c r="F99">
        <v>1</v>
      </c>
      <c r="G99" t="s">
        <v>1248</v>
      </c>
      <c r="H99" t="s">
        <v>1249</v>
      </c>
      <c r="I99" t="s">
        <v>1237</v>
      </c>
      <c r="J99" t="s">
        <v>1186</v>
      </c>
      <c r="K99" t="s">
        <v>1180</v>
      </c>
      <c r="L99">
        <v>154.72999999999999</v>
      </c>
      <c r="M99">
        <v>570.44000000000005</v>
      </c>
      <c r="N99">
        <v>0</v>
      </c>
      <c r="O99">
        <v>570.44000000000005</v>
      </c>
      <c r="P99">
        <v>309.45999999999998</v>
      </c>
      <c r="Q99">
        <v>260.98000000000008</v>
      </c>
      <c r="R99">
        <v>0.45750648622116269</v>
      </c>
      <c r="S99">
        <v>2025</v>
      </c>
      <c r="T99">
        <v>9</v>
      </c>
      <c r="U99" t="s">
        <v>1432</v>
      </c>
      <c r="V99" t="s">
        <v>1418</v>
      </c>
      <c r="W99" t="s">
        <v>1250</v>
      </c>
      <c r="X99">
        <v>0</v>
      </c>
    </row>
    <row r="100" spans="1:24">
      <c r="A100" t="s">
        <v>97</v>
      </c>
      <c r="B100" t="s">
        <v>165</v>
      </c>
      <c r="C100" t="s">
        <v>209</v>
      </c>
      <c r="D100" t="s">
        <v>116</v>
      </c>
      <c r="E100" t="s">
        <v>106</v>
      </c>
      <c r="F100">
        <v>1</v>
      </c>
      <c r="G100" t="s">
        <v>1248</v>
      </c>
      <c r="H100" t="s">
        <v>1249</v>
      </c>
      <c r="I100" t="s">
        <v>1237</v>
      </c>
      <c r="J100" t="s">
        <v>1210</v>
      </c>
      <c r="K100" t="s">
        <v>1203</v>
      </c>
      <c r="L100">
        <v>46.07</v>
      </c>
      <c r="M100">
        <v>107.22</v>
      </c>
      <c r="N100">
        <v>10.722000000000001</v>
      </c>
      <c r="O100">
        <v>96.49799999999999</v>
      </c>
      <c r="P100">
        <v>46.07</v>
      </c>
      <c r="Q100">
        <v>50.42799999999999</v>
      </c>
      <c r="R100">
        <v>0.5225807788762461</v>
      </c>
      <c r="S100">
        <v>2025</v>
      </c>
      <c r="T100">
        <v>3</v>
      </c>
      <c r="U100" t="s">
        <v>1423</v>
      </c>
      <c r="V100" t="s">
        <v>1424</v>
      </c>
      <c r="W100" t="s">
        <v>1250</v>
      </c>
      <c r="X100">
        <v>0</v>
      </c>
    </row>
    <row r="101" spans="1:24">
      <c r="A101" t="s">
        <v>97</v>
      </c>
      <c r="B101" t="s">
        <v>249</v>
      </c>
      <c r="C101" t="s">
        <v>414</v>
      </c>
      <c r="D101" t="s">
        <v>145</v>
      </c>
      <c r="E101" t="s">
        <v>369</v>
      </c>
      <c r="F101">
        <v>1</v>
      </c>
      <c r="G101" t="s">
        <v>1305</v>
      </c>
      <c r="H101" t="s">
        <v>1288</v>
      </c>
      <c r="I101" t="s">
        <v>1245</v>
      </c>
      <c r="J101" t="s">
        <v>1208</v>
      </c>
      <c r="K101" t="s">
        <v>1203</v>
      </c>
      <c r="L101">
        <v>239.67</v>
      </c>
      <c r="M101">
        <v>789.14</v>
      </c>
      <c r="N101">
        <v>39.457000000000001</v>
      </c>
      <c r="O101">
        <v>749.68299999999999</v>
      </c>
      <c r="P101">
        <v>479.34</v>
      </c>
      <c r="Q101">
        <v>270.34300000000002</v>
      </c>
      <c r="R101">
        <v>0.36060975105477916</v>
      </c>
      <c r="S101">
        <v>2025</v>
      </c>
      <c r="T101">
        <v>2</v>
      </c>
      <c r="U101" t="s">
        <v>1430</v>
      </c>
      <c r="V101" t="s">
        <v>1424</v>
      </c>
      <c r="W101" t="s">
        <v>1250</v>
      </c>
      <c r="X101">
        <v>0</v>
      </c>
    </row>
    <row r="102" spans="1:24">
      <c r="A102" t="s">
        <v>89</v>
      </c>
      <c r="B102" t="s">
        <v>101</v>
      </c>
      <c r="C102" t="s">
        <v>132</v>
      </c>
      <c r="D102" t="s">
        <v>87</v>
      </c>
      <c r="E102" t="s">
        <v>106</v>
      </c>
      <c r="F102">
        <v>1</v>
      </c>
      <c r="G102" t="s">
        <v>1346</v>
      </c>
      <c r="H102" t="s">
        <v>1288</v>
      </c>
      <c r="I102" t="s">
        <v>1245</v>
      </c>
      <c r="J102" t="s">
        <v>1207</v>
      </c>
      <c r="K102" t="s">
        <v>1203</v>
      </c>
      <c r="L102">
        <v>139.86000000000001</v>
      </c>
      <c r="M102">
        <v>300.5</v>
      </c>
      <c r="N102">
        <v>15.025</v>
      </c>
      <c r="O102">
        <v>285.47500000000002</v>
      </c>
      <c r="P102">
        <v>139.86000000000001</v>
      </c>
      <c r="Q102">
        <v>145.61500000000001</v>
      </c>
      <c r="R102">
        <v>0.51007969174183376</v>
      </c>
      <c r="S102">
        <v>2025</v>
      </c>
      <c r="T102">
        <v>5</v>
      </c>
      <c r="U102" t="s">
        <v>1419</v>
      </c>
      <c r="V102" t="s">
        <v>1420</v>
      </c>
      <c r="W102" t="s">
        <v>1250</v>
      </c>
      <c r="X102">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21"/>
  <sheetViews>
    <sheetView workbookViewId="0">
      <selection sqref="A1:AL721"/>
    </sheetView>
  </sheetViews>
  <sheetFormatPr baseColWidth="10" defaultRowHeight="13.8"/>
  <cols>
    <col min="2" max="2" width="12.59765625" customWidth="1"/>
    <col min="3" max="3" width="14" customWidth="1"/>
    <col min="4" max="4" width="12.19921875" customWidth="1"/>
    <col min="5" max="5" width="15.5" customWidth="1"/>
    <col min="6" max="6" width="12.09765625" customWidth="1"/>
    <col min="7" max="7" width="13.5" customWidth="1"/>
    <col min="8" max="8" width="14.59765625" customWidth="1"/>
    <col min="10" max="10" width="11.59765625" customWidth="1"/>
    <col min="11" max="11" width="14.09765625" customWidth="1"/>
    <col min="12" max="12" width="22.69921875" customWidth="1"/>
    <col min="13" max="13" width="15.3984375" customWidth="1"/>
    <col min="14" max="14" width="15" customWidth="1"/>
    <col min="15" max="15" width="15.796875" customWidth="1"/>
    <col min="16" max="16" width="18.19921875" customWidth="1"/>
    <col min="17" max="17" width="20" customWidth="1"/>
    <col min="18" max="18" width="13.296875" customWidth="1"/>
    <col min="19" max="19" width="23.8984375" customWidth="1"/>
    <col min="20" max="20" width="16.59765625" customWidth="1"/>
    <col min="21" max="21" width="26.69921875" customWidth="1"/>
    <col min="22" max="22" width="15.5" customWidth="1"/>
    <col min="23" max="23" width="19.8984375" customWidth="1"/>
    <col min="24" max="24" width="15.5" customWidth="1"/>
    <col min="27" max="27" width="13.59765625" customWidth="1"/>
    <col min="28" max="28" width="18.19921875" customWidth="1"/>
    <col min="29" max="29" width="11.3984375" customWidth="1"/>
    <col min="30" max="30" width="11.8984375" customWidth="1"/>
    <col min="32" max="32" width="14.19921875" customWidth="1"/>
    <col min="34" max="34" width="16" customWidth="1"/>
    <col min="35" max="35" width="14.09765625" customWidth="1"/>
    <col min="38" max="38" width="13.19921875" customWidth="1"/>
  </cols>
  <sheetData>
    <row r="1" spans="1:38">
      <c r="A1" t="s">
        <v>69</v>
      </c>
      <c r="B1" t="s">
        <v>70</v>
      </c>
      <c r="C1" t="s">
        <v>71</v>
      </c>
      <c r="D1" t="s">
        <v>72</v>
      </c>
      <c r="E1" t="s">
        <v>73</v>
      </c>
      <c r="F1" t="s">
        <v>74</v>
      </c>
      <c r="G1" t="s">
        <v>75</v>
      </c>
      <c r="H1" t="s">
        <v>76</v>
      </c>
      <c r="I1" t="s">
        <v>77</v>
      </c>
      <c r="J1" t="s">
        <v>78</v>
      </c>
      <c r="K1" t="s">
        <v>79</v>
      </c>
      <c r="L1" t="s">
        <v>80</v>
      </c>
      <c r="M1" t="s">
        <v>81</v>
      </c>
      <c r="N1" t="s">
        <v>82</v>
      </c>
      <c r="O1" t="s">
        <v>1389</v>
      </c>
      <c r="P1" t="s">
        <v>1390</v>
      </c>
      <c r="Q1" t="s">
        <v>1391</v>
      </c>
      <c r="R1" t="s">
        <v>1392</v>
      </c>
      <c r="S1" t="s">
        <v>1393</v>
      </c>
      <c r="T1" t="s">
        <v>1394</v>
      </c>
      <c r="U1" t="s">
        <v>1395</v>
      </c>
      <c r="V1" t="s">
        <v>1396</v>
      </c>
      <c r="W1" t="s">
        <v>1397</v>
      </c>
      <c r="X1" t="s">
        <v>1173</v>
      </c>
      <c r="Y1" t="s">
        <v>1174</v>
      </c>
      <c r="Z1" t="s">
        <v>1176</v>
      </c>
      <c r="AA1" t="s">
        <v>1398</v>
      </c>
      <c r="AB1" t="s">
        <v>1399</v>
      </c>
      <c r="AC1" t="s">
        <v>1400</v>
      </c>
      <c r="AD1" t="s">
        <v>1401</v>
      </c>
      <c r="AE1" t="s">
        <v>1402</v>
      </c>
      <c r="AF1" t="s">
        <v>1403</v>
      </c>
      <c r="AG1" t="s">
        <v>1404</v>
      </c>
      <c r="AH1" t="s">
        <v>1405</v>
      </c>
      <c r="AI1" t="s">
        <v>1406</v>
      </c>
      <c r="AJ1" t="s">
        <v>1407</v>
      </c>
      <c r="AK1" t="s">
        <v>1231</v>
      </c>
      <c r="AL1" t="s">
        <v>1408</v>
      </c>
    </row>
    <row r="2" spans="1:38">
      <c r="A2" t="s">
        <v>92</v>
      </c>
      <c r="B2" s="13">
        <v>45801</v>
      </c>
      <c r="C2" t="s">
        <v>93</v>
      </c>
      <c r="D2" t="s">
        <v>94</v>
      </c>
      <c r="E2" t="s">
        <v>95</v>
      </c>
      <c r="F2" t="s">
        <v>87</v>
      </c>
      <c r="G2" t="s">
        <v>96</v>
      </c>
      <c r="H2" t="s">
        <v>97</v>
      </c>
      <c r="I2">
        <v>4</v>
      </c>
      <c r="J2">
        <v>316.17</v>
      </c>
      <c r="K2">
        <v>0.15</v>
      </c>
      <c r="L2" t="s">
        <v>98</v>
      </c>
      <c r="M2">
        <v>3</v>
      </c>
      <c r="N2" t="s">
        <v>91</v>
      </c>
      <c r="O2" t="s">
        <v>97</v>
      </c>
      <c r="P2" t="s">
        <v>94</v>
      </c>
      <c r="Q2" t="s">
        <v>93</v>
      </c>
      <c r="R2" t="s">
        <v>87</v>
      </c>
      <c r="S2" t="s">
        <v>98</v>
      </c>
      <c r="T2">
        <v>1</v>
      </c>
      <c r="U2" t="s">
        <v>1331</v>
      </c>
      <c r="V2" t="s">
        <v>1239</v>
      </c>
      <c r="W2" t="s">
        <v>1245</v>
      </c>
      <c r="X2" t="s">
        <v>1220</v>
      </c>
      <c r="Y2" t="s">
        <v>1221</v>
      </c>
      <c r="Z2">
        <v>152.55000000000001</v>
      </c>
      <c r="AA2">
        <v>1264.68</v>
      </c>
      <c r="AB2">
        <v>189.702</v>
      </c>
      <c r="AC2">
        <v>1074.9780000000001</v>
      </c>
      <c r="AD2">
        <v>610.20000000000005</v>
      </c>
      <c r="AE2">
        <v>464.77800000000002</v>
      </c>
      <c r="AF2">
        <v>0.43236047621439694</v>
      </c>
      <c r="AG2">
        <v>2025</v>
      </c>
      <c r="AH2">
        <v>5</v>
      </c>
      <c r="AI2" t="s">
        <v>1419</v>
      </c>
      <c r="AJ2" t="s">
        <v>1420</v>
      </c>
      <c r="AK2" t="s">
        <v>1240</v>
      </c>
      <c r="AL2">
        <v>0</v>
      </c>
    </row>
    <row r="3" spans="1:38">
      <c r="A3" t="s">
        <v>112</v>
      </c>
      <c r="B3" s="13">
        <v>45732</v>
      </c>
      <c r="C3" t="s">
        <v>113</v>
      </c>
      <c r="D3" t="s">
        <v>114</v>
      </c>
      <c r="E3" t="s">
        <v>115</v>
      </c>
      <c r="F3" t="s">
        <v>116</v>
      </c>
      <c r="G3" t="s">
        <v>117</v>
      </c>
      <c r="H3" t="s">
        <v>89</v>
      </c>
      <c r="I3">
        <v>1</v>
      </c>
      <c r="J3">
        <v>151.79</v>
      </c>
      <c r="K3">
        <v>0</v>
      </c>
      <c r="L3" t="s">
        <v>106</v>
      </c>
      <c r="M3">
        <v>2</v>
      </c>
      <c r="N3" t="s">
        <v>91</v>
      </c>
      <c r="O3" t="s">
        <v>89</v>
      </c>
      <c r="P3" t="s">
        <v>114</v>
      </c>
      <c r="Q3" t="s">
        <v>113</v>
      </c>
      <c r="R3" t="s">
        <v>116</v>
      </c>
      <c r="S3" t="s">
        <v>106</v>
      </c>
      <c r="T3">
        <v>1</v>
      </c>
      <c r="U3" t="s">
        <v>1300</v>
      </c>
      <c r="V3" t="s">
        <v>1288</v>
      </c>
      <c r="W3" t="s">
        <v>1237</v>
      </c>
      <c r="X3" t="s">
        <v>1222</v>
      </c>
      <c r="Y3" t="s">
        <v>1221</v>
      </c>
      <c r="Z3">
        <v>78.95</v>
      </c>
      <c r="AA3">
        <v>151.79</v>
      </c>
      <c r="AB3">
        <v>0</v>
      </c>
      <c r="AC3">
        <v>151.79</v>
      </c>
      <c r="AD3">
        <v>78.95</v>
      </c>
      <c r="AE3">
        <v>72.839999999999989</v>
      </c>
      <c r="AF3">
        <v>0.47987350945385066</v>
      </c>
      <c r="AG3">
        <v>2025</v>
      </c>
      <c r="AH3">
        <v>3</v>
      </c>
      <c r="AI3" t="s">
        <v>1423</v>
      </c>
      <c r="AJ3" t="s">
        <v>1424</v>
      </c>
      <c r="AK3" t="s">
        <v>1250</v>
      </c>
      <c r="AL3">
        <v>0</v>
      </c>
    </row>
    <row r="4" spans="1:38">
      <c r="A4" t="s">
        <v>127</v>
      </c>
      <c r="B4" s="13">
        <v>45711</v>
      </c>
      <c r="C4" t="s">
        <v>128</v>
      </c>
      <c r="D4" t="s">
        <v>94</v>
      </c>
      <c r="E4" t="s">
        <v>129</v>
      </c>
      <c r="F4" t="s">
        <v>116</v>
      </c>
      <c r="G4" t="s">
        <v>130</v>
      </c>
      <c r="H4" t="s">
        <v>89</v>
      </c>
      <c r="I4">
        <v>2</v>
      </c>
      <c r="J4">
        <v>304.06</v>
      </c>
      <c r="K4">
        <v>0</v>
      </c>
      <c r="L4" t="s">
        <v>90</v>
      </c>
      <c r="M4">
        <v>3</v>
      </c>
      <c r="N4" t="s">
        <v>91</v>
      </c>
      <c r="O4" t="s">
        <v>89</v>
      </c>
      <c r="P4" t="s">
        <v>94</v>
      </c>
      <c r="Q4" t="s">
        <v>128</v>
      </c>
      <c r="R4" t="s">
        <v>116</v>
      </c>
      <c r="S4" t="s">
        <v>369</v>
      </c>
      <c r="T4">
        <v>1</v>
      </c>
      <c r="U4" t="s">
        <v>1264</v>
      </c>
      <c r="V4" t="s">
        <v>1235</v>
      </c>
      <c r="W4" t="s">
        <v>1237</v>
      </c>
      <c r="X4" t="s">
        <v>1220</v>
      </c>
      <c r="Y4" t="s">
        <v>1221</v>
      </c>
      <c r="Z4">
        <v>152.55000000000001</v>
      </c>
      <c r="AA4">
        <v>608.12</v>
      </c>
      <c r="AB4">
        <v>0</v>
      </c>
      <c r="AC4">
        <v>608.12</v>
      </c>
      <c r="AD4">
        <v>305.10000000000002</v>
      </c>
      <c r="AE4">
        <v>303.02</v>
      </c>
      <c r="AF4">
        <v>0.49828981122146943</v>
      </c>
      <c r="AG4">
        <v>2025</v>
      </c>
      <c r="AH4">
        <v>2</v>
      </c>
      <c r="AI4" t="s">
        <v>1430</v>
      </c>
      <c r="AJ4" t="s">
        <v>1424</v>
      </c>
      <c r="AK4" t="s">
        <v>1236</v>
      </c>
      <c r="AL4">
        <v>0</v>
      </c>
    </row>
    <row r="5" spans="1:38">
      <c r="A5" t="s">
        <v>131</v>
      </c>
      <c r="B5" s="13">
        <v>46014</v>
      </c>
      <c r="C5" t="s">
        <v>132</v>
      </c>
      <c r="D5" t="s">
        <v>133</v>
      </c>
      <c r="E5" t="s">
        <v>134</v>
      </c>
      <c r="F5" t="s">
        <v>111</v>
      </c>
      <c r="G5" t="s">
        <v>117</v>
      </c>
      <c r="H5" t="s">
        <v>97</v>
      </c>
      <c r="I5">
        <v>1</v>
      </c>
      <c r="J5">
        <v>333.75</v>
      </c>
      <c r="K5">
        <v>0.05</v>
      </c>
      <c r="L5" t="s">
        <v>90</v>
      </c>
      <c r="M5">
        <v>3</v>
      </c>
      <c r="N5" t="s">
        <v>91</v>
      </c>
      <c r="O5" t="s">
        <v>97</v>
      </c>
      <c r="P5" t="s">
        <v>133</v>
      </c>
      <c r="Q5" t="s">
        <v>132</v>
      </c>
      <c r="R5" t="s">
        <v>111</v>
      </c>
      <c r="S5" t="s">
        <v>369</v>
      </c>
      <c r="T5">
        <v>1</v>
      </c>
      <c r="U5" t="s">
        <v>1346</v>
      </c>
      <c r="V5" t="s">
        <v>1288</v>
      </c>
      <c r="W5" t="s">
        <v>1245</v>
      </c>
      <c r="X5" t="s">
        <v>1227</v>
      </c>
      <c r="Y5" t="s">
        <v>1221</v>
      </c>
      <c r="Z5">
        <v>229.86</v>
      </c>
      <c r="AA5">
        <v>333.75</v>
      </c>
      <c r="AB5">
        <v>16.6875</v>
      </c>
      <c r="AC5">
        <v>317.0625</v>
      </c>
      <c r="AD5">
        <v>229.86</v>
      </c>
      <c r="AE5">
        <v>87.202499999999986</v>
      </c>
      <c r="AF5">
        <v>0.27503252513305732</v>
      </c>
      <c r="AG5">
        <v>2025</v>
      </c>
      <c r="AH5">
        <v>12</v>
      </c>
      <c r="AI5" t="s">
        <v>1428</v>
      </c>
      <c r="AJ5" t="s">
        <v>1427</v>
      </c>
      <c r="AK5" t="s">
        <v>1250</v>
      </c>
      <c r="AL5">
        <v>0</v>
      </c>
    </row>
    <row r="6" spans="1:38">
      <c r="A6" t="s">
        <v>141</v>
      </c>
      <c r="B6" s="13">
        <v>45816</v>
      </c>
      <c r="C6" t="s">
        <v>142</v>
      </c>
      <c r="D6" t="s">
        <v>143</v>
      </c>
      <c r="E6" t="s">
        <v>144</v>
      </c>
      <c r="F6" t="s">
        <v>145</v>
      </c>
      <c r="G6" t="s">
        <v>96</v>
      </c>
      <c r="H6" t="s">
        <v>89</v>
      </c>
      <c r="I6">
        <v>1</v>
      </c>
      <c r="J6">
        <v>265.64</v>
      </c>
      <c r="K6">
        <v>0.1</v>
      </c>
      <c r="L6" t="s">
        <v>146</v>
      </c>
      <c r="M6">
        <v>9</v>
      </c>
      <c r="N6" t="s">
        <v>147</v>
      </c>
      <c r="O6" t="s">
        <v>89</v>
      </c>
      <c r="P6" t="s">
        <v>143</v>
      </c>
      <c r="Q6" t="s">
        <v>142</v>
      </c>
      <c r="R6" t="s">
        <v>145</v>
      </c>
      <c r="S6" t="s">
        <v>154</v>
      </c>
      <c r="T6">
        <v>1</v>
      </c>
      <c r="U6" t="s">
        <v>1238</v>
      </c>
      <c r="V6" t="s">
        <v>1239</v>
      </c>
      <c r="W6" t="s">
        <v>1241</v>
      </c>
      <c r="X6" t="s">
        <v>1226</v>
      </c>
      <c r="Y6" t="s">
        <v>1221</v>
      </c>
      <c r="Z6">
        <v>119.16</v>
      </c>
      <c r="AA6">
        <v>265.64</v>
      </c>
      <c r="AB6">
        <v>26.564</v>
      </c>
      <c r="AC6">
        <v>239.07599999999999</v>
      </c>
      <c r="AD6">
        <v>119.16</v>
      </c>
      <c r="AE6">
        <v>119.916</v>
      </c>
      <c r="AF6">
        <v>0.50158108718566485</v>
      </c>
      <c r="AG6">
        <v>2025</v>
      </c>
      <c r="AH6">
        <v>6</v>
      </c>
      <c r="AI6" t="s">
        <v>1429</v>
      </c>
      <c r="AJ6" t="s">
        <v>1420</v>
      </c>
      <c r="AK6" t="s">
        <v>1240</v>
      </c>
      <c r="AL6">
        <v>1</v>
      </c>
    </row>
    <row r="7" spans="1:38">
      <c r="A7" t="s">
        <v>168</v>
      </c>
      <c r="B7" s="13">
        <v>45878</v>
      </c>
      <c r="C7" t="s">
        <v>169</v>
      </c>
      <c r="D7" t="s">
        <v>133</v>
      </c>
      <c r="E7" t="s">
        <v>170</v>
      </c>
      <c r="F7" t="s">
        <v>111</v>
      </c>
      <c r="G7" t="s">
        <v>171</v>
      </c>
      <c r="H7" t="s">
        <v>89</v>
      </c>
      <c r="I7">
        <v>4</v>
      </c>
      <c r="J7">
        <v>357.37</v>
      </c>
      <c r="K7">
        <v>0.25</v>
      </c>
      <c r="L7" t="s">
        <v>106</v>
      </c>
      <c r="M7">
        <v>9</v>
      </c>
      <c r="N7" t="s">
        <v>91</v>
      </c>
      <c r="O7" t="s">
        <v>89</v>
      </c>
      <c r="P7" t="s">
        <v>133</v>
      </c>
      <c r="Q7" t="s">
        <v>169</v>
      </c>
      <c r="R7" t="s">
        <v>111</v>
      </c>
      <c r="S7" t="s">
        <v>106</v>
      </c>
      <c r="T7">
        <v>1</v>
      </c>
      <c r="U7" t="s">
        <v>1313</v>
      </c>
      <c r="V7" t="s">
        <v>1288</v>
      </c>
      <c r="W7" t="s">
        <v>1237</v>
      </c>
      <c r="X7" t="s">
        <v>1227</v>
      </c>
      <c r="Y7" t="s">
        <v>1221</v>
      </c>
      <c r="Z7">
        <v>229.86</v>
      </c>
      <c r="AA7">
        <v>1429.48</v>
      </c>
      <c r="AB7">
        <v>357.37</v>
      </c>
      <c r="AC7">
        <v>1072.1100000000001</v>
      </c>
      <c r="AD7">
        <v>919.44</v>
      </c>
      <c r="AE7">
        <v>152.67000000000007</v>
      </c>
      <c r="AF7">
        <v>0.14240143268880998</v>
      </c>
      <c r="AG7">
        <v>2025</v>
      </c>
      <c r="AH7">
        <v>8</v>
      </c>
      <c r="AI7" t="s">
        <v>1417</v>
      </c>
      <c r="AJ7" t="s">
        <v>1418</v>
      </c>
      <c r="AK7" t="s">
        <v>1250</v>
      </c>
      <c r="AL7">
        <v>0</v>
      </c>
    </row>
    <row r="8" spans="1:38">
      <c r="A8" t="s">
        <v>208</v>
      </c>
      <c r="B8" s="13">
        <v>45940</v>
      </c>
      <c r="C8" t="s">
        <v>209</v>
      </c>
      <c r="D8" t="s">
        <v>210</v>
      </c>
      <c r="E8" t="s">
        <v>211</v>
      </c>
      <c r="F8" t="s">
        <v>116</v>
      </c>
      <c r="G8" t="s">
        <v>171</v>
      </c>
      <c r="H8" t="s">
        <v>89</v>
      </c>
      <c r="I8">
        <v>1</v>
      </c>
      <c r="J8">
        <v>322.58</v>
      </c>
      <c r="K8">
        <v>0.05</v>
      </c>
      <c r="L8" t="s">
        <v>106</v>
      </c>
      <c r="M8">
        <v>6</v>
      </c>
      <c r="N8" t="s">
        <v>91</v>
      </c>
      <c r="O8" t="s">
        <v>89</v>
      </c>
      <c r="P8" t="s">
        <v>210</v>
      </c>
      <c r="Q8" t="s">
        <v>209</v>
      </c>
      <c r="R8" t="s">
        <v>116</v>
      </c>
      <c r="S8" t="s">
        <v>106</v>
      </c>
      <c r="T8">
        <v>1</v>
      </c>
      <c r="U8" t="s">
        <v>1248</v>
      </c>
      <c r="V8" t="s">
        <v>1249</v>
      </c>
      <c r="W8" t="s">
        <v>1237</v>
      </c>
      <c r="X8" t="s">
        <v>1228</v>
      </c>
      <c r="Y8" t="s">
        <v>1221</v>
      </c>
      <c r="Z8">
        <v>177.57</v>
      </c>
      <c r="AA8">
        <v>322.58</v>
      </c>
      <c r="AB8">
        <v>16.129000000000001</v>
      </c>
      <c r="AC8">
        <v>306.45099999999996</v>
      </c>
      <c r="AD8">
        <v>177.57</v>
      </c>
      <c r="AE8">
        <v>128.88099999999997</v>
      </c>
      <c r="AF8">
        <v>0.42055989375136643</v>
      </c>
      <c r="AG8">
        <v>2025</v>
      </c>
      <c r="AH8">
        <v>10</v>
      </c>
      <c r="AI8" t="s">
        <v>1431</v>
      </c>
      <c r="AJ8" t="s">
        <v>1427</v>
      </c>
      <c r="AK8" t="s">
        <v>1250</v>
      </c>
      <c r="AL8">
        <v>0</v>
      </c>
    </row>
    <row r="9" spans="1:38">
      <c r="A9" t="s">
        <v>212</v>
      </c>
      <c r="B9" s="13">
        <v>45730</v>
      </c>
      <c r="C9" t="s">
        <v>213</v>
      </c>
      <c r="D9" t="s">
        <v>133</v>
      </c>
      <c r="E9" t="s">
        <v>214</v>
      </c>
      <c r="F9" t="s">
        <v>187</v>
      </c>
      <c r="G9" t="s">
        <v>117</v>
      </c>
      <c r="H9" t="s">
        <v>89</v>
      </c>
      <c r="I9">
        <v>1</v>
      </c>
      <c r="J9">
        <v>359.52</v>
      </c>
      <c r="K9">
        <v>0.15</v>
      </c>
      <c r="L9" t="s">
        <v>154</v>
      </c>
      <c r="M9">
        <v>9</v>
      </c>
      <c r="N9" t="s">
        <v>91</v>
      </c>
      <c r="O9" t="s">
        <v>89</v>
      </c>
      <c r="P9" t="s">
        <v>133</v>
      </c>
      <c r="Q9" t="s">
        <v>213</v>
      </c>
      <c r="R9" t="s">
        <v>103</v>
      </c>
      <c r="S9" t="s">
        <v>154</v>
      </c>
      <c r="T9">
        <v>1</v>
      </c>
      <c r="U9" t="s">
        <v>1234</v>
      </c>
      <c r="V9" t="s">
        <v>1235</v>
      </c>
      <c r="W9" t="s">
        <v>1237</v>
      </c>
      <c r="X9" t="s">
        <v>1227</v>
      </c>
      <c r="Y9" t="s">
        <v>1221</v>
      </c>
      <c r="Z9">
        <v>229.86</v>
      </c>
      <c r="AA9">
        <v>359.52</v>
      </c>
      <c r="AB9">
        <v>53.927999999999997</v>
      </c>
      <c r="AC9">
        <v>305.59199999999998</v>
      </c>
      <c r="AD9">
        <v>229.86</v>
      </c>
      <c r="AE9">
        <v>75.731999999999971</v>
      </c>
      <c r="AF9">
        <v>0.24782062357653334</v>
      </c>
      <c r="AG9">
        <v>2025</v>
      </c>
      <c r="AH9">
        <v>3</v>
      </c>
      <c r="AI9" t="s">
        <v>1423</v>
      </c>
      <c r="AJ9" t="s">
        <v>1424</v>
      </c>
      <c r="AK9" t="s">
        <v>1236</v>
      </c>
      <c r="AL9">
        <v>0</v>
      </c>
    </row>
    <row r="10" spans="1:38">
      <c r="A10" t="s">
        <v>229</v>
      </c>
      <c r="B10" s="13">
        <v>45961</v>
      </c>
      <c r="C10" t="s">
        <v>230</v>
      </c>
      <c r="D10" t="s">
        <v>231</v>
      </c>
      <c r="E10" t="s">
        <v>232</v>
      </c>
      <c r="F10" t="s">
        <v>116</v>
      </c>
      <c r="G10" t="s">
        <v>171</v>
      </c>
      <c r="H10" t="s">
        <v>233</v>
      </c>
      <c r="I10">
        <v>3</v>
      </c>
      <c r="J10">
        <v>370.4</v>
      </c>
      <c r="K10">
        <v>0.05</v>
      </c>
      <c r="L10" t="s">
        <v>106</v>
      </c>
      <c r="M10">
        <v>0</v>
      </c>
      <c r="N10" t="s">
        <v>91</v>
      </c>
      <c r="O10" t="s">
        <v>97</v>
      </c>
      <c r="P10" t="s">
        <v>231</v>
      </c>
      <c r="Q10" t="s">
        <v>230</v>
      </c>
      <c r="R10" t="s">
        <v>116</v>
      </c>
      <c r="S10" t="s">
        <v>106</v>
      </c>
      <c r="T10">
        <v>1</v>
      </c>
      <c r="U10" t="s">
        <v>1312</v>
      </c>
      <c r="V10" t="s">
        <v>1247</v>
      </c>
      <c r="W10" t="s">
        <v>1241</v>
      </c>
      <c r="X10" t="s">
        <v>1225</v>
      </c>
      <c r="Y10" t="s">
        <v>1221</v>
      </c>
      <c r="Z10">
        <v>200.16</v>
      </c>
      <c r="AA10">
        <v>1111.1999999999998</v>
      </c>
      <c r="AB10">
        <v>55.559999999999995</v>
      </c>
      <c r="AC10">
        <v>1055.6399999999999</v>
      </c>
      <c r="AD10">
        <v>600.48</v>
      </c>
      <c r="AE10">
        <v>455.15999999999985</v>
      </c>
      <c r="AF10">
        <v>0.43116971694895978</v>
      </c>
      <c r="AG10">
        <v>2025</v>
      </c>
      <c r="AH10">
        <v>10</v>
      </c>
      <c r="AI10" t="s">
        <v>1431</v>
      </c>
      <c r="AJ10" t="s">
        <v>1427</v>
      </c>
      <c r="AK10" t="s">
        <v>1240</v>
      </c>
      <c r="AL10">
        <v>0</v>
      </c>
    </row>
    <row r="11" spans="1:38">
      <c r="A11" t="s">
        <v>282</v>
      </c>
      <c r="B11" s="13">
        <v>45947</v>
      </c>
      <c r="C11" t="s">
        <v>283</v>
      </c>
      <c r="D11" t="s">
        <v>94</v>
      </c>
      <c r="E11" t="s">
        <v>284</v>
      </c>
      <c r="F11" t="s">
        <v>145</v>
      </c>
      <c r="G11" t="s">
        <v>130</v>
      </c>
      <c r="H11" t="s">
        <v>89</v>
      </c>
      <c r="I11">
        <v>1</v>
      </c>
      <c r="J11">
        <v>318.31</v>
      </c>
      <c r="K11">
        <v>0.1</v>
      </c>
      <c r="L11" t="s">
        <v>90</v>
      </c>
      <c r="M11">
        <v>6</v>
      </c>
      <c r="N11" t="s">
        <v>91</v>
      </c>
      <c r="O11" t="s">
        <v>89</v>
      </c>
      <c r="P11" t="s">
        <v>94</v>
      </c>
      <c r="Q11" t="s">
        <v>283</v>
      </c>
      <c r="R11" t="s">
        <v>145</v>
      </c>
      <c r="S11" t="s">
        <v>369</v>
      </c>
      <c r="T11">
        <v>1</v>
      </c>
      <c r="U11" t="s">
        <v>1283</v>
      </c>
      <c r="V11" t="s">
        <v>1284</v>
      </c>
      <c r="W11" t="s">
        <v>1237</v>
      </c>
      <c r="X11" t="s">
        <v>1220</v>
      </c>
      <c r="Y11" t="s">
        <v>1221</v>
      </c>
      <c r="Z11">
        <v>152.55000000000001</v>
      </c>
      <c r="AA11">
        <v>318.31</v>
      </c>
      <c r="AB11">
        <v>31.831000000000003</v>
      </c>
      <c r="AC11">
        <v>286.47899999999998</v>
      </c>
      <c r="AD11">
        <v>152.55000000000001</v>
      </c>
      <c r="AE11">
        <v>133.92899999999997</v>
      </c>
      <c r="AF11">
        <v>0.46750023561936471</v>
      </c>
      <c r="AG11">
        <v>2025</v>
      </c>
      <c r="AH11">
        <v>10</v>
      </c>
      <c r="AI11" t="s">
        <v>1431</v>
      </c>
      <c r="AJ11" t="s">
        <v>1427</v>
      </c>
      <c r="AK11" t="s">
        <v>1285</v>
      </c>
      <c r="AL11">
        <v>0</v>
      </c>
    </row>
    <row r="12" spans="1:38">
      <c r="A12" t="s">
        <v>302</v>
      </c>
      <c r="B12" s="13">
        <v>46014</v>
      </c>
      <c r="C12" t="s">
        <v>84</v>
      </c>
      <c r="D12" t="s">
        <v>303</v>
      </c>
      <c r="E12" t="s">
        <v>86</v>
      </c>
      <c r="F12" t="s">
        <v>145</v>
      </c>
      <c r="G12" t="s">
        <v>88</v>
      </c>
      <c r="H12" t="s">
        <v>97</v>
      </c>
      <c r="I12">
        <v>2</v>
      </c>
      <c r="J12">
        <v>153.13</v>
      </c>
      <c r="K12">
        <v>0</v>
      </c>
      <c r="L12" t="s">
        <v>98</v>
      </c>
      <c r="M12">
        <v>0</v>
      </c>
      <c r="N12" t="s">
        <v>91</v>
      </c>
      <c r="O12" t="s">
        <v>97</v>
      </c>
      <c r="P12" t="s">
        <v>303</v>
      </c>
      <c r="Q12" t="s">
        <v>84</v>
      </c>
      <c r="R12" t="s">
        <v>145</v>
      </c>
      <c r="S12" t="s">
        <v>98</v>
      </c>
      <c r="T12">
        <v>1</v>
      </c>
      <c r="U12" t="s">
        <v>1354</v>
      </c>
      <c r="V12" t="s">
        <v>1275</v>
      </c>
      <c r="W12" t="s">
        <v>1237</v>
      </c>
      <c r="X12" t="s">
        <v>1224</v>
      </c>
      <c r="Y12" t="s">
        <v>1221</v>
      </c>
      <c r="Z12">
        <v>76.97</v>
      </c>
      <c r="AA12">
        <v>306.26</v>
      </c>
      <c r="AB12">
        <v>0</v>
      </c>
      <c r="AC12">
        <v>306.26</v>
      </c>
      <c r="AD12">
        <v>153.94</v>
      </c>
      <c r="AE12">
        <v>152.32</v>
      </c>
      <c r="AF12">
        <v>0.49735518840201137</v>
      </c>
      <c r="AG12">
        <v>2025</v>
      </c>
      <c r="AH12">
        <v>12</v>
      </c>
      <c r="AI12" t="s">
        <v>1428</v>
      </c>
      <c r="AJ12" t="s">
        <v>1427</v>
      </c>
      <c r="AK12" t="s">
        <v>1258</v>
      </c>
      <c r="AL12">
        <v>0</v>
      </c>
    </row>
    <row r="13" spans="1:38">
      <c r="A13" t="s">
        <v>309</v>
      </c>
      <c r="B13" s="13">
        <v>45706</v>
      </c>
      <c r="C13" t="s">
        <v>236</v>
      </c>
      <c r="D13" t="s">
        <v>94</v>
      </c>
      <c r="E13" t="s">
        <v>237</v>
      </c>
      <c r="F13" t="s">
        <v>310</v>
      </c>
      <c r="G13" t="s">
        <v>88</v>
      </c>
      <c r="H13" t="s">
        <v>89</v>
      </c>
      <c r="I13">
        <v>3</v>
      </c>
      <c r="J13">
        <v>302.63</v>
      </c>
      <c r="K13">
        <v>0</v>
      </c>
      <c r="L13" t="s">
        <v>253</v>
      </c>
      <c r="M13">
        <v>5</v>
      </c>
      <c r="N13" t="s">
        <v>91</v>
      </c>
      <c r="O13" t="s">
        <v>89</v>
      </c>
      <c r="P13" t="s">
        <v>94</v>
      </c>
      <c r="Q13" t="s">
        <v>236</v>
      </c>
      <c r="R13" t="s">
        <v>116</v>
      </c>
      <c r="S13" t="s">
        <v>106</v>
      </c>
      <c r="T13">
        <v>1</v>
      </c>
      <c r="U13" t="s">
        <v>1345</v>
      </c>
      <c r="V13" t="s">
        <v>1288</v>
      </c>
      <c r="W13" t="s">
        <v>1245</v>
      </c>
      <c r="X13" t="s">
        <v>1220</v>
      </c>
      <c r="Y13" t="s">
        <v>1221</v>
      </c>
      <c r="Z13">
        <v>152.55000000000001</v>
      </c>
      <c r="AA13">
        <v>907.89</v>
      </c>
      <c r="AB13">
        <v>0</v>
      </c>
      <c r="AC13">
        <v>907.89</v>
      </c>
      <c r="AD13">
        <v>457.65000000000003</v>
      </c>
      <c r="AE13">
        <v>450.23999999999995</v>
      </c>
      <c r="AF13">
        <v>0.49591910914317811</v>
      </c>
      <c r="AG13">
        <v>2025</v>
      </c>
      <c r="AH13">
        <v>2</v>
      </c>
      <c r="AI13" t="s">
        <v>1430</v>
      </c>
      <c r="AJ13" t="s">
        <v>1424</v>
      </c>
      <c r="AK13" t="s">
        <v>1250</v>
      </c>
      <c r="AL13">
        <v>0</v>
      </c>
    </row>
    <row r="14" spans="1:38">
      <c r="A14" t="s">
        <v>311</v>
      </c>
      <c r="B14" s="13">
        <v>46005</v>
      </c>
      <c r="C14" t="s">
        <v>225</v>
      </c>
      <c r="D14" t="s">
        <v>143</v>
      </c>
      <c r="E14" t="s">
        <v>227</v>
      </c>
      <c r="F14" t="s">
        <v>116</v>
      </c>
      <c r="G14" t="s">
        <v>171</v>
      </c>
      <c r="H14" t="s">
        <v>97</v>
      </c>
      <c r="I14">
        <v>1</v>
      </c>
      <c r="J14">
        <v>254.95</v>
      </c>
      <c r="K14">
        <v>0.2</v>
      </c>
      <c r="L14" t="s">
        <v>106</v>
      </c>
      <c r="M14">
        <v>2</v>
      </c>
      <c r="N14" t="s">
        <v>91</v>
      </c>
      <c r="O14" t="s">
        <v>97</v>
      </c>
      <c r="P14" t="s">
        <v>143</v>
      </c>
      <c r="Q14" t="s">
        <v>225</v>
      </c>
      <c r="R14" t="s">
        <v>116</v>
      </c>
      <c r="S14" t="s">
        <v>106</v>
      </c>
      <c r="T14">
        <v>1</v>
      </c>
      <c r="U14" t="s">
        <v>1328</v>
      </c>
      <c r="V14" t="s">
        <v>1247</v>
      </c>
      <c r="W14" t="s">
        <v>1237</v>
      </c>
      <c r="X14" t="s">
        <v>1226</v>
      </c>
      <c r="Y14" t="s">
        <v>1221</v>
      </c>
      <c r="Z14">
        <v>119.16</v>
      </c>
      <c r="AA14">
        <v>254.95</v>
      </c>
      <c r="AB14">
        <v>50.99</v>
      </c>
      <c r="AC14">
        <v>203.95999999999998</v>
      </c>
      <c r="AD14">
        <v>119.16</v>
      </c>
      <c r="AE14">
        <v>84.799999999999983</v>
      </c>
      <c r="AF14">
        <v>0.41576779760737398</v>
      </c>
      <c r="AG14">
        <v>2025</v>
      </c>
      <c r="AH14">
        <v>12</v>
      </c>
      <c r="AI14" t="s">
        <v>1428</v>
      </c>
      <c r="AJ14" t="s">
        <v>1427</v>
      </c>
      <c r="AK14" t="s">
        <v>1240</v>
      </c>
      <c r="AL14">
        <v>0</v>
      </c>
    </row>
    <row r="15" spans="1:38">
      <c r="A15" t="s">
        <v>329</v>
      </c>
      <c r="B15" s="13">
        <v>45692</v>
      </c>
      <c r="C15" t="s">
        <v>330</v>
      </c>
      <c r="D15" t="s">
        <v>231</v>
      </c>
      <c r="E15" t="s">
        <v>331</v>
      </c>
      <c r="F15" t="s">
        <v>187</v>
      </c>
      <c r="G15" t="s">
        <v>104</v>
      </c>
      <c r="H15" t="s">
        <v>97</v>
      </c>
      <c r="I15">
        <v>2</v>
      </c>
      <c r="J15">
        <v>367.26</v>
      </c>
      <c r="K15">
        <v>0.2</v>
      </c>
      <c r="L15" t="s">
        <v>106</v>
      </c>
      <c r="M15">
        <v>0</v>
      </c>
      <c r="N15" t="s">
        <v>91</v>
      </c>
      <c r="O15" t="s">
        <v>97</v>
      </c>
      <c r="P15" t="s">
        <v>231</v>
      </c>
      <c r="Q15" t="s">
        <v>330</v>
      </c>
      <c r="R15" t="s">
        <v>103</v>
      </c>
      <c r="S15" t="s">
        <v>106</v>
      </c>
      <c r="T15">
        <v>1</v>
      </c>
      <c r="U15" t="s">
        <v>1350</v>
      </c>
      <c r="V15" t="s">
        <v>1275</v>
      </c>
      <c r="W15" t="s">
        <v>1237</v>
      </c>
      <c r="X15" t="s">
        <v>1225</v>
      </c>
      <c r="Y15" t="s">
        <v>1221</v>
      </c>
      <c r="Z15">
        <v>200.16</v>
      </c>
      <c r="AA15">
        <v>734.52</v>
      </c>
      <c r="AB15">
        <v>146.904</v>
      </c>
      <c r="AC15">
        <v>587.61599999999999</v>
      </c>
      <c r="AD15">
        <v>400.32</v>
      </c>
      <c r="AE15">
        <v>187.29599999999999</v>
      </c>
      <c r="AF15">
        <v>0.3187387681751348</v>
      </c>
      <c r="AG15">
        <v>2025</v>
      </c>
      <c r="AH15">
        <v>2</v>
      </c>
      <c r="AI15" t="s">
        <v>1430</v>
      </c>
      <c r="AJ15" t="s">
        <v>1424</v>
      </c>
      <c r="AK15" t="s">
        <v>1258</v>
      </c>
      <c r="AL15">
        <v>0</v>
      </c>
    </row>
    <row r="16" spans="1:38">
      <c r="A16" t="s">
        <v>334</v>
      </c>
      <c r="B16" s="13">
        <v>45671</v>
      </c>
      <c r="C16" t="s">
        <v>335</v>
      </c>
      <c r="D16" t="s">
        <v>94</v>
      </c>
      <c r="E16" t="s">
        <v>336</v>
      </c>
      <c r="F16" t="s">
        <v>111</v>
      </c>
      <c r="G16" t="s">
        <v>96</v>
      </c>
      <c r="H16" t="s">
        <v>89</v>
      </c>
      <c r="I16">
        <v>2</v>
      </c>
      <c r="J16">
        <v>297</v>
      </c>
      <c r="K16">
        <v>0.05</v>
      </c>
      <c r="L16" t="s">
        <v>90</v>
      </c>
      <c r="M16">
        <v>3</v>
      </c>
      <c r="N16" t="s">
        <v>91</v>
      </c>
      <c r="O16" t="s">
        <v>89</v>
      </c>
      <c r="P16" t="s">
        <v>94</v>
      </c>
      <c r="Q16" t="s">
        <v>335</v>
      </c>
      <c r="R16" t="s">
        <v>111</v>
      </c>
      <c r="S16" t="s">
        <v>369</v>
      </c>
      <c r="T16">
        <v>1</v>
      </c>
      <c r="U16" t="s">
        <v>1290</v>
      </c>
      <c r="V16" t="s">
        <v>1257</v>
      </c>
      <c r="W16" t="s">
        <v>1241</v>
      </c>
      <c r="X16" t="s">
        <v>1220</v>
      </c>
      <c r="Y16" t="s">
        <v>1221</v>
      </c>
      <c r="Z16">
        <v>152.55000000000001</v>
      </c>
      <c r="AA16">
        <v>594</v>
      </c>
      <c r="AB16">
        <v>29.700000000000003</v>
      </c>
      <c r="AC16">
        <v>564.29999999999995</v>
      </c>
      <c r="AD16">
        <v>305.10000000000002</v>
      </c>
      <c r="AE16">
        <v>259.19999999999993</v>
      </c>
      <c r="AF16">
        <v>0.45933014354066976</v>
      </c>
      <c r="AG16">
        <v>2025</v>
      </c>
      <c r="AH16">
        <v>1</v>
      </c>
      <c r="AI16" t="s">
        <v>1425</v>
      </c>
      <c r="AJ16" t="s">
        <v>1424</v>
      </c>
      <c r="AK16" t="s">
        <v>1258</v>
      </c>
      <c r="AL16">
        <v>0</v>
      </c>
    </row>
    <row r="17" spans="1:38">
      <c r="A17" t="s">
        <v>342</v>
      </c>
      <c r="B17" s="13">
        <v>45867</v>
      </c>
      <c r="C17" t="s">
        <v>343</v>
      </c>
      <c r="D17" t="s">
        <v>303</v>
      </c>
      <c r="E17" t="s">
        <v>344</v>
      </c>
      <c r="F17" t="s">
        <v>145</v>
      </c>
      <c r="G17" t="s">
        <v>88</v>
      </c>
      <c r="H17" t="s">
        <v>97</v>
      </c>
      <c r="I17">
        <v>1</v>
      </c>
      <c r="J17">
        <v>160.72</v>
      </c>
      <c r="K17">
        <v>0.2</v>
      </c>
      <c r="L17" t="s">
        <v>98</v>
      </c>
      <c r="M17">
        <v>4</v>
      </c>
      <c r="N17" t="s">
        <v>91</v>
      </c>
      <c r="O17" t="s">
        <v>97</v>
      </c>
      <c r="P17" t="s">
        <v>303</v>
      </c>
      <c r="Q17" t="s">
        <v>343</v>
      </c>
      <c r="R17" t="s">
        <v>145</v>
      </c>
      <c r="S17" t="s">
        <v>98</v>
      </c>
      <c r="T17">
        <v>1</v>
      </c>
      <c r="U17" t="s">
        <v>1354</v>
      </c>
      <c r="V17" t="s">
        <v>1243</v>
      </c>
      <c r="W17" t="s">
        <v>1237</v>
      </c>
      <c r="X17" t="s">
        <v>1224</v>
      </c>
      <c r="Y17" t="s">
        <v>1221</v>
      </c>
      <c r="Z17">
        <v>76.97</v>
      </c>
      <c r="AA17">
        <v>160.72</v>
      </c>
      <c r="AB17">
        <v>32.143999999999998</v>
      </c>
      <c r="AC17">
        <v>128.57599999999999</v>
      </c>
      <c r="AD17">
        <v>76.97</v>
      </c>
      <c r="AE17">
        <v>51.605999999999995</v>
      </c>
      <c r="AF17">
        <v>0.40136572921851665</v>
      </c>
      <c r="AG17">
        <v>2025</v>
      </c>
      <c r="AH17">
        <v>7</v>
      </c>
      <c r="AI17" t="s">
        <v>1422</v>
      </c>
      <c r="AJ17" t="s">
        <v>1418</v>
      </c>
      <c r="AK17" t="s">
        <v>1244</v>
      </c>
      <c r="AL17">
        <v>0</v>
      </c>
    </row>
    <row r="18" spans="1:38">
      <c r="A18" t="s">
        <v>362</v>
      </c>
      <c r="B18" s="13">
        <v>45821</v>
      </c>
      <c r="C18" t="s">
        <v>363</v>
      </c>
      <c r="D18" t="s">
        <v>133</v>
      </c>
      <c r="E18" t="s">
        <v>364</v>
      </c>
      <c r="F18" t="s">
        <v>145</v>
      </c>
      <c r="G18" t="s">
        <v>88</v>
      </c>
      <c r="H18" t="s">
        <v>89</v>
      </c>
      <c r="I18">
        <v>1</v>
      </c>
      <c r="J18">
        <v>349.84</v>
      </c>
      <c r="K18">
        <v>0.15</v>
      </c>
      <c r="L18" t="s">
        <v>106</v>
      </c>
      <c r="M18">
        <v>9</v>
      </c>
      <c r="N18" t="s">
        <v>91</v>
      </c>
      <c r="O18" t="s">
        <v>89</v>
      </c>
      <c r="P18" t="s">
        <v>133</v>
      </c>
      <c r="Q18" t="s">
        <v>363</v>
      </c>
      <c r="R18" t="s">
        <v>145</v>
      </c>
      <c r="S18" t="s">
        <v>106</v>
      </c>
      <c r="T18">
        <v>1</v>
      </c>
      <c r="U18" t="s">
        <v>1274</v>
      </c>
      <c r="V18" t="s">
        <v>1275</v>
      </c>
      <c r="W18" t="s">
        <v>1245</v>
      </c>
      <c r="X18" t="s">
        <v>1227</v>
      </c>
      <c r="Y18" t="s">
        <v>1221</v>
      </c>
      <c r="Z18">
        <v>229.86</v>
      </c>
      <c r="AA18">
        <v>349.84</v>
      </c>
      <c r="AB18">
        <v>52.475999999999992</v>
      </c>
      <c r="AC18">
        <v>297.36399999999998</v>
      </c>
      <c r="AD18">
        <v>229.86</v>
      </c>
      <c r="AE18">
        <v>67.503999999999962</v>
      </c>
      <c r="AF18">
        <v>0.22700797675576051</v>
      </c>
      <c r="AG18">
        <v>2025</v>
      </c>
      <c r="AH18">
        <v>6</v>
      </c>
      <c r="AI18" t="s">
        <v>1429</v>
      </c>
      <c r="AJ18" t="s">
        <v>1420</v>
      </c>
      <c r="AK18" t="s">
        <v>1258</v>
      </c>
      <c r="AL18">
        <v>0</v>
      </c>
    </row>
    <row r="19" spans="1:38">
      <c r="A19" t="s">
        <v>370</v>
      </c>
      <c r="B19" s="13">
        <v>45917</v>
      </c>
      <c r="C19" t="s">
        <v>371</v>
      </c>
      <c r="D19" t="s">
        <v>143</v>
      </c>
      <c r="E19" t="s">
        <v>372</v>
      </c>
      <c r="F19" t="s">
        <v>103</v>
      </c>
      <c r="G19" t="s">
        <v>104</v>
      </c>
      <c r="H19" t="s">
        <v>89</v>
      </c>
      <c r="I19">
        <v>1</v>
      </c>
      <c r="J19">
        <v>266.14999999999998</v>
      </c>
      <c r="K19">
        <v>0.05</v>
      </c>
      <c r="L19" t="s">
        <v>106</v>
      </c>
      <c r="M19">
        <v>4</v>
      </c>
      <c r="N19" t="s">
        <v>91</v>
      </c>
      <c r="O19" t="s">
        <v>89</v>
      </c>
      <c r="P19" t="s">
        <v>143</v>
      </c>
      <c r="Q19" t="s">
        <v>371</v>
      </c>
      <c r="R19" t="s">
        <v>103</v>
      </c>
      <c r="S19" t="s">
        <v>106</v>
      </c>
      <c r="T19">
        <v>1</v>
      </c>
      <c r="U19" t="s">
        <v>1302</v>
      </c>
      <c r="V19" t="s">
        <v>1260</v>
      </c>
      <c r="W19" t="s">
        <v>1237</v>
      </c>
      <c r="X19" t="s">
        <v>1226</v>
      </c>
      <c r="Y19" t="s">
        <v>1221</v>
      </c>
      <c r="Z19">
        <v>119.16</v>
      </c>
      <c r="AA19">
        <v>266.14999999999998</v>
      </c>
      <c r="AB19">
        <v>13.307499999999999</v>
      </c>
      <c r="AC19">
        <v>252.84249999999997</v>
      </c>
      <c r="AD19">
        <v>119.16</v>
      </c>
      <c r="AE19">
        <v>133.68249999999998</v>
      </c>
      <c r="AF19">
        <v>0.52871847098490166</v>
      </c>
      <c r="AG19">
        <v>2025</v>
      </c>
      <c r="AH19">
        <v>9</v>
      </c>
      <c r="AI19" t="s">
        <v>1432</v>
      </c>
      <c r="AJ19" t="s">
        <v>1418</v>
      </c>
      <c r="AK19" t="s">
        <v>1240</v>
      </c>
      <c r="AL19">
        <v>0</v>
      </c>
    </row>
    <row r="20" spans="1:38">
      <c r="A20" t="s">
        <v>373</v>
      </c>
      <c r="B20" s="13">
        <v>45720</v>
      </c>
      <c r="C20" t="s">
        <v>374</v>
      </c>
      <c r="D20" t="s">
        <v>114</v>
      </c>
      <c r="E20" t="s">
        <v>375</v>
      </c>
      <c r="F20" t="s">
        <v>87</v>
      </c>
      <c r="G20" t="s">
        <v>183</v>
      </c>
      <c r="H20" t="s">
        <v>89</v>
      </c>
      <c r="I20">
        <v>3</v>
      </c>
      <c r="J20">
        <v>138.76</v>
      </c>
      <c r="K20">
        <v>0.2</v>
      </c>
      <c r="L20" t="s">
        <v>98</v>
      </c>
      <c r="M20">
        <v>1</v>
      </c>
      <c r="N20" t="s">
        <v>91</v>
      </c>
      <c r="O20" t="s">
        <v>89</v>
      </c>
      <c r="P20" t="s">
        <v>114</v>
      </c>
      <c r="Q20" t="s">
        <v>374</v>
      </c>
      <c r="R20" t="s">
        <v>87</v>
      </c>
      <c r="S20" t="s">
        <v>98</v>
      </c>
      <c r="T20">
        <v>1</v>
      </c>
      <c r="U20" t="s">
        <v>1287</v>
      </c>
      <c r="V20" t="s">
        <v>1288</v>
      </c>
      <c r="W20" t="s">
        <v>1241</v>
      </c>
      <c r="X20" t="s">
        <v>1222</v>
      </c>
      <c r="Y20" t="s">
        <v>1221</v>
      </c>
      <c r="Z20">
        <v>78.95</v>
      </c>
      <c r="AA20">
        <v>416.28</v>
      </c>
      <c r="AB20">
        <v>83.256</v>
      </c>
      <c r="AC20">
        <v>333.024</v>
      </c>
      <c r="AD20">
        <v>236.85000000000002</v>
      </c>
      <c r="AE20">
        <v>96.173999999999978</v>
      </c>
      <c r="AF20">
        <v>0.28878999711732484</v>
      </c>
      <c r="AG20">
        <v>2025</v>
      </c>
      <c r="AH20">
        <v>3</v>
      </c>
      <c r="AI20" t="s">
        <v>1423</v>
      </c>
      <c r="AJ20" t="s">
        <v>1424</v>
      </c>
      <c r="AK20" t="s">
        <v>1250</v>
      </c>
      <c r="AL20">
        <v>0</v>
      </c>
    </row>
    <row r="21" spans="1:38">
      <c r="A21" t="s">
        <v>395</v>
      </c>
      <c r="B21" s="13">
        <v>45761</v>
      </c>
      <c r="C21" t="s">
        <v>396</v>
      </c>
      <c r="D21" t="s">
        <v>94</v>
      </c>
      <c r="E21" t="s">
        <v>397</v>
      </c>
      <c r="F21" t="s">
        <v>111</v>
      </c>
      <c r="G21" t="s">
        <v>104</v>
      </c>
      <c r="H21" t="s">
        <v>97</v>
      </c>
      <c r="I21">
        <v>1</v>
      </c>
      <c r="J21">
        <v>312.99</v>
      </c>
      <c r="K21">
        <v>0</v>
      </c>
      <c r="L21" t="s">
        <v>106</v>
      </c>
      <c r="M21">
        <v>4</v>
      </c>
      <c r="N21" t="s">
        <v>91</v>
      </c>
      <c r="O21" t="s">
        <v>97</v>
      </c>
      <c r="P21" t="s">
        <v>94</v>
      </c>
      <c r="Q21" t="s">
        <v>396</v>
      </c>
      <c r="R21" t="s">
        <v>111</v>
      </c>
      <c r="S21" t="s">
        <v>106</v>
      </c>
      <c r="T21">
        <v>1</v>
      </c>
      <c r="U21" t="s">
        <v>1309</v>
      </c>
      <c r="V21" t="s">
        <v>1247</v>
      </c>
      <c r="W21" t="s">
        <v>1237</v>
      </c>
      <c r="X21" t="s">
        <v>1220</v>
      </c>
      <c r="Y21" t="s">
        <v>1221</v>
      </c>
      <c r="Z21">
        <v>152.55000000000001</v>
      </c>
      <c r="AA21">
        <v>312.99</v>
      </c>
      <c r="AB21">
        <v>0</v>
      </c>
      <c r="AC21">
        <v>312.99</v>
      </c>
      <c r="AD21">
        <v>152.55000000000001</v>
      </c>
      <c r="AE21">
        <v>160.44</v>
      </c>
      <c r="AF21">
        <v>0.51260423655707843</v>
      </c>
      <c r="AG21">
        <v>2025</v>
      </c>
      <c r="AH21">
        <v>4</v>
      </c>
      <c r="AI21" t="s">
        <v>1421</v>
      </c>
      <c r="AJ21" t="s">
        <v>1420</v>
      </c>
      <c r="AK21" t="s">
        <v>1240</v>
      </c>
      <c r="AL21">
        <v>0</v>
      </c>
    </row>
    <row r="22" spans="1:38">
      <c r="A22" t="s">
        <v>423</v>
      </c>
      <c r="B22" s="13">
        <v>45671</v>
      </c>
      <c r="C22" t="s">
        <v>330</v>
      </c>
      <c r="D22" t="s">
        <v>133</v>
      </c>
      <c r="E22" t="s">
        <v>424</v>
      </c>
      <c r="F22" t="s">
        <v>103</v>
      </c>
      <c r="G22" t="s">
        <v>117</v>
      </c>
      <c r="H22" t="s">
        <v>97</v>
      </c>
      <c r="I22">
        <v>1</v>
      </c>
      <c r="J22">
        <v>343.13</v>
      </c>
      <c r="K22">
        <v>0.05</v>
      </c>
      <c r="L22" t="s">
        <v>90</v>
      </c>
      <c r="M22">
        <v>2</v>
      </c>
      <c r="N22" t="s">
        <v>91</v>
      </c>
      <c r="O22" t="s">
        <v>97</v>
      </c>
      <c r="P22" t="s">
        <v>133</v>
      </c>
      <c r="Q22" t="s">
        <v>330</v>
      </c>
      <c r="R22" t="s">
        <v>103</v>
      </c>
      <c r="S22" t="s">
        <v>369</v>
      </c>
      <c r="T22">
        <v>1</v>
      </c>
      <c r="U22" t="s">
        <v>1350</v>
      </c>
      <c r="V22" t="s">
        <v>1275</v>
      </c>
      <c r="W22" t="s">
        <v>1237</v>
      </c>
      <c r="X22" t="s">
        <v>1227</v>
      </c>
      <c r="Y22" t="s">
        <v>1221</v>
      </c>
      <c r="Z22">
        <v>229.86</v>
      </c>
      <c r="AA22">
        <v>343.13</v>
      </c>
      <c r="AB22">
        <v>17.156500000000001</v>
      </c>
      <c r="AC22">
        <v>325.9735</v>
      </c>
      <c r="AD22">
        <v>229.86</v>
      </c>
      <c r="AE22">
        <v>96.113499999999988</v>
      </c>
      <c r="AF22">
        <v>0.29485065503790947</v>
      </c>
      <c r="AG22">
        <v>2025</v>
      </c>
      <c r="AH22">
        <v>1</v>
      </c>
      <c r="AI22" t="s">
        <v>1425</v>
      </c>
      <c r="AJ22" t="s">
        <v>1424</v>
      </c>
      <c r="AK22" t="s">
        <v>1258</v>
      </c>
      <c r="AL22">
        <v>0</v>
      </c>
    </row>
    <row r="23" spans="1:38">
      <c r="A23" t="s">
        <v>437</v>
      </c>
      <c r="B23" s="13">
        <v>45930</v>
      </c>
      <c r="C23" t="s">
        <v>438</v>
      </c>
      <c r="D23" t="s">
        <v>303</v>
      </c>
      <c r="E23" t="s">
        <v>439</v>
      </c>
      <c r="F23" t="s">
        <v>145</v>
      </c>
      <c r="G23" t="s">
        <v>183</v>
      </c>
      <c r="H23" t="s">
        <v>89</v>
      </c>
      <c r="I23">
        <v>5</v>
      </c>
      <c r="J23">
        <v>150.93</v>
      </c>
      <c r="K23">
        <v>0</v>
      </c>
      <c r="L23" t="s">
        <v>98</v>
      </c>
      <c r="M23">
        <v>5</v>
      </c>
      <c r="N23" t="s">
        <v>91</v>
      </c>
      <c r="O23" t="s">
        <v>89</v>
      </c>
      <c r="P23" t="s">
        <v>303</v>
      </c>
      <c r="Q23" t="s">
        <v>438</v>
      </c>
      <c r="R23" t="s">
        <v>145</v>
      </c>
      <c r="S23" t="s">
        <v>98</v>
      </c>
      <c r="T23">
        <v>1</v>
      </c>
      <c r="U23" t="s">
        <v>1278</v>
      </c>
      <c r="V23" t="s">
        <v>1257</v>
      </c>
      <c r="W23" t="s">
        <v>1237</v>
      </c>
      <c r="X23" t="s">
        <v>1224</v>
      </c>
      <c r="Y23" t="s">
        <v>1221</v>
      </c>
      <c r="Z23">
        <v>76.97</v>
      </c>
      <c r="AA23">
        <v>754.65000000000009</v>
      </c>
      <c r="AB23">
        <v>0</v>
      </c>
      <c r="AC23">
        <v>754.65000000000009</v>
      </c>
      <c r="AD23">
        <v>384.85</v>
      </c>
      <c r="AE23">
        <v>369.80000000000007</v>
      </c>
      <c r="AF23">
        <v>0.49002849002849008</v>
      </c>
      <c r="AG23">
        <v>2025</v>
      </c>
      <c r="AH23">
        <v>9</v>
      </c>
      <c r="AI23" t="s">
        <v>1432</v>
      </c>
      <c r="AJ23" t="s">
        <v>1418</v>
      </c>
      <c r="AK23" t="s">
        <v>1258</v>
      </c>
      <c r="AL23">
        <v>0</v>
      </c>
    </row>
    <row r="24" spans="1:38">
      <c r="A24" t="s">
        <v>445</v>
      </c>
      <c r="B24" s="13">
        <v>45702</v>
      </c>
      <c r="C24" t="s">
        <v>108</v>
      </c>
      <c r="D24" t="s">
        <v>231</v>
      </c>
      <c r="E24" t="s">
        <v>110</v>
      </c>
      <c r="F24" t="s">
        <v>145</v>
      </c>
      <c r="G24" t="s">
        <v>130</v>
      </c>
      <c r="H24" t="s">
        <v>89</v>
      </c>
      <c r="I24">
        <v>3</v>
      </c>
      <c r="J24">
        <v>372.12</v>
      </c>
      <c r="K24">
        <v>0.05</v>
      </c>
      <c r="L24" t="s">
        <v>98</v>
      </c>
      <c r="M24">
        <v>2</v>
      </c>
      <c r="N24" t="s">
        <v>91</v>
      </c>
      <c r="O24" t="s">
        <v>89</v>
      </c>
      <c r="P24" t="s">
        <v>231</v>
      </c>
      <c r="Q24" t="s">
        <v>108</v>
      </c>
      <c r="R24" t="s">
        <v>145</v>
      </c>
      <c r="S24" t="s">
        <v>98</v>
      </c>
      <c r="T24">
        <v>1</v>
      </c>
      <c r="U24" t="s">
        <v>1319</v>
      </c>
      <c r="V24" t="s">
        <v>1275</v>
      </c>
      <c r="W24" t="s">
        <v>1237</v>
      </c>
      <c r="X24" t="s">
        <v>1225</v>
      </c>
      <c r="Y24" t="s">
        <v>1221</v>
      </c>
      <c r="Z24">
        <v>200.16</v>
      </c>
      <c r="AA24">
        <v>1116.3600000000001</v>
      </c>
      <c r="AB24">
        <v>55.818000000000012</v>
      </c>
      <c r="AC24">
        <v>1060.5420000000001</v>
      </c>
      <c r="AD24">
        <v>600.48</v>
      </c>
      <c r="AE24">
        <v>460.06200000000013</v>
      </c>
      <c r="AF24">
        <v>0.43379894431337945</v>
      </c>
      <c r="AG24">
        <v>2025</v>
      </c>
      <c r="AH24">
        <v>2</v>
      </c>
      <c r="AI24" t="s">
        <v>1430</v>
      </c>
      <c r="AJ24" t="s">
        <v>1424</v>
      </c>
      <c r="AK24" t="s">
        <v>1258</v>
      </c>
      <c r="AL24">
        <v>0</v>
      </c>
    </row>
    <row r="25" spans="1:38">
      <c r="A25" t="s">
        <v>452</v>
      </c>
      <c r="B25" s="13">
        <v>45680</v>
      </c>
      <c r="C25" t="s">
        <v>453</v>
      </c>
      <c r="D25" t="s">
        <v>114</v>
      </c>
      <c r="E25" t="s">
        <v>454</v>
      </c>
      <c r="F25" t="s">
        <v>145</v>
      </c>
      <c r="G25" t="s">
        <v>117</v>
      </c>
      <c r="H25" t="s">
        <v>97</v>
      </c>
      <c r="I25">
        <v>1</v>
      </c>
      <c r="J25">
        <v>143.79</v>
      </c>
      <c r="K25">
        <v>0.05</v>
      </c>
      <c r="L25" t="s">
        <v>98</v>
      </c>
      <c r="M25">
        <v>3</v>
      </c>
      <c r="N25" t="s">
        <v>91</v>
      </c>
      <c r="O25" t="s">
        <v>97</v>
      </c>
      <c r="P25" t="s">
        <v>114</v>
      </c>
      <c r="Q25" t="s">
        <v>453</v>
      </c>
      <c r="R25" t="s">
        <v>145</v>
      </c>
      <c r="S25" t="s">
        <v>98</v>
      </c>
      <c r="T25">
        <v>1</v>
      </c>
      <c r="U25" t="s">
        <v>1318</v>
      </c>
      <c r="V25" t="s">
        <v>1235</v>
      </c>
      <c r="W25" t="s">
        <v>1245</v>
      </c>
      <c r="X25" t="s">
        <v>1222</v>
      </c>
      <c r="Y25" t="s">
        <v>1221</v>
      </c>
      <c r="Z25">
        <v>78.95</v>
      </c>
      <c r="AA25">
        <v>143.79</v>
      </c>
      <c r="AB25">
        <v>7.1894999999999998</v>
      </c>
      <c r="AC25">
        <v>136.60049999999998</v>
      </c>
      <c r="AD25">
        <v>78.95</v>
      </c>
      <c r="AE25">
        <v>57.65049999999998</v>
      </c>
      <c r="AF25">
        <v>0.42203725462205471</v>
      </c>
      <c r="AG25">
        <v>2025</v>
      </c>
      <c r="AH25">
        <v>1</v>
      </c>
      <c r="AI25" t="s">
        <v>1425</v>
      </c>
      <c r="AJ25" t="s">
        <v>1424</v>
      </c>
      <c r="AK25" t="s">
        <v>1236</v>
      </c>
      <c r="AL25">
        <v>0</v>
      </c>
    </row>
    <row r="26" spans="1:38">
      <c r="A26" t="s">
        <v>455</v>
      </c>
      <c r="B26" s="13">
        <v>45777</v>
      </c>
      <c r="C26" t="s">
        <v>151</v>
      </c>
      <c r="D26" t="s">
        <v>114</v>
      </c>
      <c r="E26" t="s">
        <v>153</v>
      </c>
      <c r="F26" t="s">
        <v>145</v>
      </c>
      <c r="G26" t="s">
        <v>122</v>
      </c>
      <c r="H26" t="s">
        <v>97</v>
      </c>
      <c r="I26">
        <v>1</v>
      </c>
      <c r="J26">
        <v>149.97</v>
      </c>
      <c r="K26">
        <v>0.1</v>
      </c>
      <c r="L26" t="s">
        <v>106</v>
      </c>
      <c r="M26">
        <v>0</v>
      </c>
      <c r="N26" t="s">
        <v>91</v>
      </c>
      <c r="O26" t="s">
        <v>97</v>
      </c>
      <c r="P26" t="s">
        <v>114</v>
      </c>
      <c r="Q26" t="s">
        <v>151</v>
      </c>
      <c r="R26" t="s">
        <v>145</v>
      </c>
      <c r="S26" t="s">
        <v>106</v>
      </c>
      <c r="T26">
        <v>1</v>
      </c>
      <c r="U26" t="s">
        <v>1263</v>
      </c>
      <c r="V26" t="s">
        <v>1239</v>
      </c>
      <c r="W26" t="s">
        <v>1241</v>
      </c>
      <c r="X26" t="s">
        <v>1222</v>
      </c>
      <c r="Y26" t="s">
        <v>1221</v>
      </c>
      <c r="Z26">
        <v>78.95</v>
      </c>
      <c r="AA26">
        <v>149.97</v>
      </c>
      <c r="AB26">
        <v>14.997</v>
      </c>
      <c r="AC26">
        <v>134.97300000000001</v>
      </c>
      <c r="AD26">
        <v>78.95</v>
      </c>
      <c r="AE26">
        <v>56.02300000000001</v>
      </c>
      <c r="AF26">
        <v>0.41506819882495022</v>
      </c>
      <c r="AG26">
        <v>2025</v>
      </c>
      <c r="AH26">
        <v>4</v>
      </c>
      <c r="AI26" t="s">
        <v>1421</v>
      </c>
      <c r="AJ26" t="s">
        <v>1420</v>
      </c>
      <c r="AK26" t="s">
        <v>1240</v>
      </c>
      <c r="AL26">
        <v>0</v>
      </c>
    </row>
    <row r="27" spans="1:38">
      <c r="A27" t="s">
        <v>460</v>
      </c>
      <c r="B27" s="13">
        <v>45661</v>
      </c>
      <c r="C27" t="s">
        <v>293</v>
      </c>
      <c r="D27" t="s">
        <v>303</v>
      </c>
      <c r="E27" t="s">
        <v>394</v>
      </c>
      <c r="F27" t="s">
        <v>87</v>
      </c>
      <c r="G27" t="s">
        <v>183</v>
      </c>
      <c r="H27" t="s">
        <v>89</v>
      </c>
      <c r="I27">
        <v>2</v>
      </c>
      <c r="J27">
        <v>158.65</v>
      </c>
      <c r="K27">
        <v>0</v>
      </c>
      <c r="L27" t="s">
        <v>98</v>
      </c>
      <c r="M27">
        <v>9</v>
      </c>
      <c r="N27" t="s">
        <v>91</v>
      </c>
      <c r="O27" t="s">
        <v>89</v>
      </c>
      <c r="P27" t="s">
        <v>303</v>
      </c>
      <c r="Q27" t="s">
        <v>293</v>
      </c>
      <c r="R27" t="s">
        <v>87</v>
      </c>
      <c r="S27" t="s">
        <v>98</v>
      </c>
      <c r="T27">
        <v>1</v>
      </c>
      <c r="U27" t="s">
        <v>1252</v>
      </c>
      <c r="V27" t="s">
        <v>1243</v>
      </c>
      <c r="W27" t="s">
        <v>1237</v>
      </c>
      <c r="X27" t="s">
        <v>1224</v>
      </c>
      <c r="Y27" t="s">
        <v>1221</v>
      </c>
      <c r="Z27">
        <v>76.97</v>
      </c>
      <c r="AA27">
        <v>317.3</v>
      </c>
      <c r="AB27">
        <v>0</v>
      </c>
      <c r="AC27">
        <v>317.3</v>
      </c>
      <c r="AD27">
        <v>153.94</v>
      </c>
      <c r="AE27">
        <v>163.36000000000001</v>
      </c>
      <c r="AF27">
        <v>0.51484399621809018</v>
      </c>
      <c r="AG27">
        <v>2025</v>
      </c>
      <c r="AH27">
        <v>1</v>
      </c>
      <c r="AI27" t="s">
        <v>1425</v>
      </c>
      <c r="AJ27" t="s">
        <v>1424</v>
      </c>
      <c r="AK27" t="s">
        <v>1244</v>
      </c>
      <c r="AL27">
        <v>0</v>
      </c>
    </row>
    <row r="28" spans="1:38">
      <c r="A28" t="s">
        <v>461</v>
      </c>
      <c r="B28" s="13">
        <v>45981</v>
      </c>
      <c r="C28" t="s">
        <v>313</v>
      </c>
      <c r="D28" t="s">
        <v>114</v>
      </c>
      <c r="E28" t="s">
        <v>314</v>
      </c>
      <c r="F28" t="s">
        <v>87</v>
      </c>
      <c r="G28" t="s">
        <v>88</v>
      </c>
      <c r="H28" t="s">
        <v>89</v>
      </c>
      <c r="I28">
        <v>1</v>
      </c>
      <c r="J28">
        <v>150.18</v>
      </c>
      <c r="K28">
        <v>0</v>
      </c>
      <c r="L28" t="s">
        <v>98</v>
      </c>
      <c r="M28">
        <v>8</v>
      </c>
      <c r="N28" t="s">
        <v>91</v>
      </c>
      <c r="O28" t="s">
        <v>89</v>
      </c>
      <c r="P28" t="s">
        <v>114</v>
      </c>
      <c r="Q28" t="s">
        <v>313</v>
      </c>
      <c r="R28" t="s">
        <v>87</v>
      </c>
      <c r="S28" t="s">
        <v>98</v>
      </c>
      <c r="T28">
        <v>1</v>
      </c>
      <c r="U28" t="s">
        <v>1328</v>
      </c>
      <c r="V28" t="s">
        <v>1255</v>
      </c>
      <c r="W28" t="s">
        <v>1245</v>
      </c>
      <c r="X28" t="s">
        <v>1222</v>
      </c>
      <c r="Y28" t="s">
        <v>1221</v>
      </c>
      <c r="Z28">
        <v>78.95</v>
      </c>
      <c r="AA28">
        <v>150.18</v>
      </c>
      <c r="AB28">
        <v>0</v>
      </c>
      <c r="AC28">
        <v>150.18</v>
      </c>
      <c r="AD28">
        <v>78.95</v>
      </c>
      <c r="AE28">
        <v>71.23</v>
      </c>
      <c r="AF28">
        <v>0.47429750965508055</v>
      </c>
      <c r="AG28">
        <v>2025</v>
      </c>
      <c r="AH28">
        <v>11</v>
      </c>
      <c r="AI28" t="s">
        <v>1426</v>
      </c>
      <c r="AJ28" t="s">
        <v>1427</v>
      </c>
      <c r="AK28" t="s">
        <v>1244</v>
      </c>
      <c r="AL28">
        <v>0</v>
      </c>
    </row>
    <row r="29" spans="1:38">
      <c r="A29" t="s">
        <v>465</v>
      </c>
      <c r="B29" s="13">
        <v>46021</v>
      </c>
      <c r="C29" t="s">
        <v>466</v>
      </c>
      <c r="D29" t="s">
        <v>303</v>
      </c>
      <c r="E29" t="s">
        <v>467</v>
      </c>
      <c r="F29" t="s">
        <v>111</v>
      </c>
      <c r="G29" t="s">
        <v>88</v>
      </c>
      <c r="H29" t="s">
        <v>89</v>
      </c>
      <c r="I29">
        <v>2</v>
      </c>
      <c r="J29">
        <v>157.43</v>
      </c>
      <c r="K29">
        <v>0</v>
      </c>
      <c r="L29" t="s">
        <v>90</v>
      </c>
      <c r="M29">
        <v>4</v>
      </c>
      <c r="N29" t="s">
        <v>91</v>
      </c>
      <c r="O29" t="s">
        <v>89</v>
      </c>
      <c r="P29" t="s">
        <v>303</v>
      </c>
      <c r="Q29" t="s">
        <v>466</v>
      </c>
      <c r="R29" t="s">
        <v>111</v>
      </c>
      <c r="S29" t="s">
        <v>369</v>
      </c>
      <c r="T29">
        <v>1</v>
      </c>
      <c r="U29" t="s">
        <v>1340</v>
      </c>
      <c r="V29" t="s">
        <v>1247</v>
      </c>
      <c r="W29" t="s">
        <v>1245</v>
      </c>
      <c r="X29" t="s">
        <v>1224</v>
      </c>
      <c r="Y29" t="s">
        <v>1221</v>
      </c>
      <c r="Z29">
        <v>76.97</v>
      </c>
      <c r="AA29">
        <v>314.86</v>
      </c>
      <c r="AB29">
        <v>0</v>
      </c>
      <c r="AC29">
        <v>314.86</v>
      </c>
      <c r="AD29">
        <v>153.94</v>
      </c>
      <c r="AE29">
        <v>160.92000000000002</v>
      </c>
      <c r="AF29">
        <v>0.51108429143111223</v>
      </c>
      <c r="AG29">
        <v>2025</v>
      </c>
      <c r="AH29">
        <v>12</v>
      </c>
      <c r="AI29" t="s">
        <v>1428</v>
      </c>
      <c r="AJ29" t="s">
        <v>1427</v>
      </c>
      <c r="AK29" t="s">
        <v>1240</v>
      </c>
      <c r="AL29">
        <v>0</v>
      </c>
    </row>
    <row r="30" spans="1:38">
      <c r="A30" t="s">
        <v>468</v>
      </c>
      <c r="B30" s="13">
        <v>45714</v>
      </c>
      <c r="C30" t="s">
        <v>322</v>
      </c>
      <c r="D30" t="s">
        <v>469</v>
      </c>
      <c r="E30" t="s">
        <v>470</v>
      </c>
      <c r="F30" t="s">
        <v>145</v>
      </c>
      <c r="G30" t="s">
        <v>171</v>
      </c>
      <c r="H30" t="s">
        <v>89</v>
      </c>
      <c r="I30">
        <v>1</v>
      </c>
      <c r="J30">
        <v>90.42</v>
      </c>
      <c r="K30">
        <v>0.05</v>
      </c>
      <c r="L30" t="s">
        <v>106</v>
      </c>
      <c r="M30">
        <v>1</v>
      </c>
      <c r="N30" t="s">
        <v>91</v>
      </c>
      <c r="O30" t="s">
        <v>89</v>
      </c>
      <c r="P30" t="s">
        <v>469</v>
      </c>
      <c r="Q30" t="s">
        <v>322</v>
      </c>
      <c r="R30" t="s">
        <v>145</v>
      </c>
      <c r="S30" t="s">
        <v>106</v>
      </c>
      <c r="T30">
        <v>1</v>
      </c>
      <c r="U30" t="s">
        <v>1358</v>
      </c>
      <c r="V30" t="s">
        <v>1284</v>
      </c>
      <c r="W30" t="s">
        <v>1237</v>
      </c>
      <c r="X30" t="s">
        <v>1223</v>
      </c>
      <c r="Y30" t="s">
        <v>1221</v>
      </c>
      <c r="Z30">
        <v>59.85</v>
      </c>
      <c r="AA30">
        <v>90.42</v>
      </c>
      <c r="AB30">
        <v>4.5209999999999999</v>
      </c>
      <c r="AC30">
        <v>85.899000000000001</v>
      </c>
      <c r="AD30">
        <v>59.85</v>
      </c>
      <c r="AE30">
        <v>26.048999999999999</v>
      </c>
      <c r="AF30">
        <v>0.30325149303251492</v>
      </c>
      <c r="AG30">
        <v>2025</v>
      </c>
      <c r="AH30">
        <v>2</v>
      </c>
      <c r="AI30" t="s">
        <v>1430</v>
      </c>
      <c r="AJ30" t="s">
        <v>1424</v>
      </c>
      <c r="AK30" t="s">
        <v>1285</v>
      </c>
      <c r="AL30">
        <v>0</v>
      </c>
    </row>
    <row r="31" spans="1:38">
      <c r="A31" t="s">
        <v>474</v>
      </c>
      <c r="B31" s="13">
        <v>45968</v>
      </c>
      <c r="C31" t="s">
        <v>128</v>
      </c>
      <c r="D31" t="s">
        <v>231</v>
      </c>
      <c r="E31" t="s">
        <v>129</v>
      </c>
      <c r="F31" t="s">
        <v>116</v>
      </c>
      <c r="G31" t="s">
        <v>183</v>
      </c>
      <c r="H31" t="s">
        <v>97</v>
      </c>
      <c r="I31">
        <v>1</v>
      </c>
      <c r="J31">
        <v>353.49</v>
      </c>
      <c r="K31">
        <v>0.1</v>
      </c>
      <c r="L31" t="s">
        <v>98</v>
      </c>
      <c r="M31">
        <v>2</v>
      </c>
      <c r="N31" t="s">
        <v>91</v>
      </c>
      <c r="O31" t="s">
        <v>97</v>
      </c>
      <c r="P31" t="s">
        <v>231</v>
      </c>
      <c r="Q31" t="s">
        <v>128</v>
      </c>
      <c r="R31" t="s">
        <v>116</v>
      </c>
      <c r="S31" t="s">
        <v>98</v>
      </c>
      <c r="T31">
        <v>1</v>
      </c>
      <c r="U31" t="s">
        <v>1264</v>
      </c>
      <c r="V31" t="s">
        <v>1235</v>
      </c>
      <c r="W31" t="s">
        <v>1237</v>
      </c>
      <c r="X31" t="s">
        <v>1225</v>
      </c>
      <c r="Y31" t="s">
        <v>1221</v>
      </c>
      <c r="Z31">
        <v>200.16</v>
      </c>
      <c r="AA31">
        <v>353.49</v>
      </c>
      <c r="AB31">
        <v>35.349000000000004</v>
      </c>
      <c r="AC31">
        <v>318.14100000000002</v>
      </c>
      <c r="AD31">
        <v>200.16</v>
      </c>
      <c r="AE31">
        <v>117.98100000000002</v>
      </c>
      <c r="AF31">
        <v>0.37084500268748766</v>
      </c>
      <c r="AG31">
        <v>2025</v>
      </c>
      <c r="AH31">
        <v>11</v>
      </c>
      <c r="AI31" t="s">
        <v>1426</v>
      </c>
      <c r="AJ31" t="s">
        <v>1427</v>
      </c>
      <c r="AK31" t="s">
        <v>1236</v>
      </c>
      <c r="AL31">
        <v>0</v>
      </c>
    </row>
    <row r="32" spans="1:38">
      <c r="A32" t="s">
        <v>484</v>
      </c>
      <c r="B32" s="13">
        <v>45886</v>
      </c>
      <c r="C32" t="s">
        <v>313</v>
      </c>
      <c r="D32" t="s">
        <v>114</v>
      </c>
      <c r="E32" t="s">
        <v>314</v>
      </c>
      <c r="F32" t="s">
        <v>103</v>
      </c>
      <c r="G32" t="s">
        <v>96</v>
      </c>
      <c r="H32" t="s">
        <v>89</v>
      </c>
      <c r="I32">
        <v>2</v>
      </c>
      <c r="J32">
        <v>151.72</v>
      </c>
      <c r="K32">
        <v>0</v>
      </c>
      <c r="L32" t="s">
        <v>98</v>
      </c>
      <c r="M32">
        <v>6</v>
      </c>
      <c r="N32" t="s">
        <v>91</v>
      </c>
      <c r="O32" t="s">
        <v>89</v>
      </c>
      <c r="P32" t="s">
        <v>114</v>
      </c>
      <c r="Q32" t="s">
        <v>313</v>
      </c>
      <c r="R32" t="s">
        <v>103</v>
      </c>
      <c r="S32" t="s">
        <v>98</v>
      </c>
      <c r="T32">
        <v>1</v>
      </c>
      <c r="U32" t="s">
        <v>1328</v>
      </c>
      <c r="V32" t="s">
        <v>1255</v>
      </c>
      <c r="W32" t="s">
        <v>1245</v>
      </c>
      <c r="X32" t="s">
        <v>1222</v>
      </c>
      <c r="Y32" t="s">
        <v>1221</v>
      </c>
      <c r="Z32">
        <v>78.95</v>
      </c>
      <c r="AA32">
        <v>303.44</v>
      </c>
      <c r="AB32">
        <v>0</v>
      </c>
      <c r="AC32">
        <v>303.44</v>
      </c>
      <c r="AD32">
        <v>157.9</v>
      </c>
      <c r="AE32">
        <v>145.54</v>
      </c>
      <c r="AF32">
        <v>0.47963353546005799</v>
      </c>
      <c r="AG32">
        <v>2025</v>
      </c>
      <c r="AH32">
        <v>8</v>
      </c>
      <c r="AI32" t="s">
        <v>1417</v>
      </c>
      <c r="AJ32" t="s">
        <v>1418</v>
      </c>
      <c r="AK32" t="s">
        <v>1244</v>
      </c>
      <c r="AL32">
        <v>0</v>
      </c>
    </row>
    <row r="33" spans="1:38">
      <c r="A33" t="s">
        <v>486</v>
      </c>
      <c r="B33" s="13">
        <v>45687</v>
      </c>
      <c r="C33" t="s">
        <v>487</v>
      </c>
      <c r="D33" t="s">
        <v>133</v>
      </c>
      <c r="E33" t="s">
        <v>488</v>
      </c>
      <c r="F33" t="s">
        <v>145</v>
      </c>
      <c r="G33" t="s">
        <v>96</v>
      </c>
      <c r="H33" t="s">
        <v>89</v>
      </c>
      <c r="I33">
        <v>3</v>
      </c>
      <c r="J33">
        <v>341.51</v>
      </c>
      <c r="K33">
        <v>0.25</v>
      </c>
      <c r="L33" t="s">
        <v>98</v>
      </c>
      <c r="M33">
        <v>8</v>
      </c>
      <c r="N33" t="s">
        <v>91</v>
      </c>
      <c r="O33" t="s">
        <v>89</v>
      </c>
      <c r="P33" t="s">
        <v>133</v>
      </c>
      <c r="Q33" t="s">
        <v>487</v>
      </c>
      <c r="R33" t="s">
        <v>145</v>
      </c>
      <c r="S33" t="s">
        <v>98</v>
      </c>
      <c r="T33">
        <v>1</v>
      </c>
      <c r="U33" t="s">
        <v>1347</v>
      </c>
      <c r="V33" t="s">
        <v>1249</v>
      </c>
      <c r="W33" t="s">
        <v>1237</v>
      </c>
      <c r="X33" t="s">
        <v>1227</v>
      </c>
      <c r="Y33" t="s">
        <v>1221</v>
      </c>
      <c r="Z33">
        <v>229.86</v>
      </c>
      <c r="AA33">
        <v>1024.53</v>
      </c>
      <c r="AB33">
        <v>256.13249999999999</v>
      </c>
      <c r="AC33">
        <v>768.39750000000004</v>
      </c>
      <c r="AD33">
        <v>689.58</v>
      </c>
      <c r="AE33">
        <v>78.817499999999995</v>
      </c>
      <c r="AF33">
        <v>0.10257386313724341</v>
      </c>
      <c r="AG33">
        <v>2025</v>
      </c>
      <c r="AH33">
        <v>1</v>
      </c>
      <c r="AI33" t="s">
        <v>1425</v>
      </c>
      <c r="AJ33" t="s">
        <v>1424</v>
      </c>
      <c r="AK33" t="s">
        <v>1250</v>
      </c>
      <c r="AL33">
        <v>0</v>
      </c>
    </row>
    <row r="34" spans="1:38">
      <c r="A34" t="s">
        <v>496</v>
      </c>
      <c r="B34" s="13">
        <v>45659</v>
      </c>
      <c r="C34" t="s">
        <v>497</v>
      </c>
      <c r="D34" t="s">
        <v>210</v>
      </c>
      <c r="E34" t="s">
        <v>498</v>
      </c>
      <c r="F34" t="s">
        <v>145</v>
      </c>
      <c r="G34" t="s">
        <v>130</v>
      </c>
      <c r="H34" t="s">
        <v>105</v>
      </c>
      <c r="I34">
        <v>1</v>
      </c>
      <c r="J34">
        <v>325.73</v>
      </c>
      <c r="K34">
        <v>0</v>
      </c>
      <c r="L34" t="s">
        <v>106</v>
      </c>
      <c r="M34">
        <v>2</v>
      </c>
      <c r="N34" t="s">
        <v>91</v>
      </c>
      <c r="O34" t="s">
        <v>105</v>
      </c>
      <c r="P34" t="s">
        <v>210</v>
      </c>
      <c r="Q34" t="s">
        <v>497</v>
      </c>
      <c r="R34" t="s">
        <v>145</v>
      </c>
      <c r="S34" t="s">
        <v>106</v>
      </c>
      <c r="T34">
        <v>1</v>
      </c>
      <c r="U34" t="s">
        <v>1271</v>
      </c>
      <c r="V34" t="s">
        <v>1257</v>
      </c>
      <c r="W34" t="s">
        <v>1237</v>
      </c>
      <c r="X34" t="s">
        <v>1228</v>
      </c>
      <c r="Y34" t="s">
        <v>1221</v>
      </c>
      <c r="Z34">
        <v>177.57</v>
      </c>
      <c r="AA34">
        <v>325.73</v>
      </c>
      <c r="AB34">
        <v>0</v>
      </c>
      <c r="AC34">
        <v>325.73</v>
      </c>
      <c r="AD34">
        <v>177.57</v>
      </c>
      <c r="AE34">
        <v>148.16000000000003</v>
      </c>
      <c r="AF34">
        <v>0.45485524821170914</v>
      </c>
      <c r="AG34">
        <v>2025</v>
      </c>
      <c r="AH34">
        <v>1</v>
      </c>
      <c r="AI34" t="s">
        <v>1425</v>
      </c>
      <c r="AJ34" t="s">
        <v>1424</v>
      </c>
      <c r="AK34" t="s">
        <v>1258</v>
      </c>
      <c r="AL34">
        <v>0</v>
      </c>
    </row>
    <row r="35" spans="1:38">
      <c r="A35" t="s">
        <v>506</v>
      </c>
      <c r="B35" s="13">
        <v>45771</v>
      </c>
      <c r="C35" t="s">
        <v>507</v>
      </c>
      <c r="D35" t="s">
        <v>133</v>
      </c>
      <c r="E35" t="s">
        <v>508</v>
      </c>
      <c r="F35" t="s">
        <v>145</v>
      </c>
      <c r="G35" t="s">
        <v>130</v>
      </c>
      <c r="H35" t="s">
        <v>97</v>
      </c>
      <c r="I35">
        <v>1</v>
      </c>
      <c r="J35">
        <v>324.77999999999997</v>
      </c>
      <c r="K35">
        <v>0</v>
      </c>
      <c r="L35" t="s">
        <v>106</v>
      </c>
      <c r="M35">
        <v>3</v>
      </c>
      <c r="N35" t="s">
        <v>91</v>
      </c>
      <c r="O35" t="s">
        <v>97</v>
      </c>
      <c r="P35" t="s">
        <v>133</v>
      </c>
      <c r="Q35" t="s">
        <v>507</v>
      </c>
      <c r="R35" t="s">
        <v>145</v>
      </c>
      <c r="S35" t="s">
        <v>106</v>
      </c>
      <c r="T35">
        <v>1</v>
      </c>
      <c r="U35" t="s">
        <v>1328</v>
      </c>
      <c r="V35" t="s">
        <v>1288</v>
      </c>
      <c r="W35" t="s">
        <v>1245</v>
      </c>
      <c r="X35" t="s">
        <v>1227</v>
      </c>
      <c r="Y35" t="s">
        <v>1221</v>
      </c>
      <c r="Z35">
        <v>229.86</v>
      </c>
      <c r="AA35">
        <v>324.77999999999997</v>
      </c>
      <c r="AB35">
        <v>0</v>
      </c>
      <c r="AC35">
        <v>324.77999999999997</v>
      </c>
      <c r="AD35">
        <v>229.86</v>
      </c>
      <c r="AE35">
        <v>94.919999999999959</v>
      </c>
      <c r="AF35">
        <v>0.2922593755773138</v>
      </c>
      <c r="AG35">
        <v>2025</v>
      </c>
      <c r="AH35">
        <v>4</v>
      </c>
      <c r="AI35" t="s">
        <v>1421</v>
      </c>
      <c r="AJ35" t="s">
        <v>1420</v>
      </c>
      <c r="AK35" t="s">
        <v>1250</v>
      </c>
      <c r="AL35">
        <v>0</v>
      </c>
    </row>
    <row r="36" spans="1:38">
      <c r="A36" t="s">
        <v>525</v>
      </c>
      <c r="B36" s="13">
        <v>45732</v>
      </c>
      <c r="C36" t="s">
        <v>151</v>
      </c>
      <c r="D36" t="s">
        <v>143</v>
      </c>
      <c r="E36" t="s">
        <v>153</v>
      </c>
      <c r="F36" t="s">
        <v>103</v>
      </c>
      <c r="G36" t="s">
        <v>96</v>
      </c>
      <c r="H36" t="s">
        <v>89</v>
      </c>
      <c r="I36">
        <v>2</v>
      </c>
      <c r="J36">
        <v>276.83</v>
      </c>
      <c r="K36">
        <v>0.05</v>
      </c>
      <c r="L36" t="s">
        <v>98</v>
      </c>
      <c r="M36">
        <v>1</v>
      </c>
      <c r="N36" t="s">
        <v>91</v>
      </c>
      <c r="O36" t="s">
        <v>89</v>
      </c>
      <c r="P36" t="s">
        <v>143</v>
      </c>
      <c r="Q36" t="s">
        <v>151</v>
      </c>
      <c r="R36" t="s">
        <v>103</v>
      </c>
      <c r="S36" t="s">
        <v>98</v>
      </c>
      <c r="T36">
        <v>1</v>
      </c>
      <c r="U36" t="s">
        <v>1263</v>
      </c>
      <c r="V36" t="s">
        <v>1239</v>
      </c>
      <c r="W36" t="s">
        <v>1241</v>
      </c>
      <c r="X36" t="s">
        <v>1226</v>
      </c>
      <c r="Y36" t="s">
        <v>1221</v>
      </c>
      <c r="Z36">
        <v>119.16</v>
      </c>
      <c r="AA36">
        <v>553.66</v>
      </c>
      <c r="AB36">
        <v>27.683</v>
      </c>
      <c r="AC36">
        <v>525.97699999999998</v>
      </c>
      <c r="AD36">
        <v>238.32</v>
      </c>
      <c r="AE36">
        <v>287.65699999999998</v>
      </c>
      <c r="AF36">
        <v>0.54690033974869623</v>
      </c>
      <c r="AG36">
        <v>2025</v>
      </c>
      <c r="AH36">
        <v>3</v>
      </c>
      <c r="AI36" t="s">
        <v>1423</v>
      </c>
      <c r="AJ36" t="s">
        <v>1424</v>
      </c>
      <c r="AK36" t="s">
        <v>1240</v>
      </c>
      <c r="AL36">
        <v>0</v>
      </c>
    </row>
    <row r="37" spans="1:38">
      <c r="A37" t="s">
        <v>526</v>
      </c>
      <c r="B37" s="13">
        <v>45775</v>
      </c>
      <c r="C37" t="s">
        <v>160</v>
      </c>
      <c r="D37" t="s">
        <v>231</v>
      </c>
      <c r="E37" t="s">
        <v>161</v>
      </c>
      <c r="F37" t="s">
        <v>87</v>
      </c>
      <c r="G37" t="s">
        <v>171</v>
      </c>
      <c r="H37" t="s">
        <v>89</v>
      </c>
      <c r="I37">
        <v>1</v>
      </c>
      <c r="J37">
        <v>344.09</v>
      </c>
      <c r="K37">
        <v>0.05</v>
      </c>
      <c r="L37" t="s">
        <v>98</v>
      </c>
      <c r="M37">
        <v>6</v>
      </c>
      <c r="N37" t="s">
        <v>91</v>
      </c>
      <c r="O37" t="s">
        <v>89</v>
      </c>
      <c r="P37" t="s">
        <v>231</v>
      </c>
      <c r="Q37" t="s">
        <v>160</v>
      </c>
      <c r="R37" t="s">
        <v>87</v>
      </c>
      <c r="S37" t="s">
        <v>98</v>
      </c>
      <c r="T37">
        <v>1</v>
      </c>
      <c r="U37" t="s">
        <v>1321</v>
      </c>
      <c r="V37" t="s">
        <v>1255</v>
      </c>
      <c r="W37" t="s">
        <v>1237</v>
      </c>
      <c r="X37" t="s">
        <v>1225</v>
      </c>
      <c r="Y37" t="s">
        <v>1221</v>
      </c>
      <c r="Z37">
        <v>200.16</v>
      </c>
      <c r="AA37">
        <v>344.09</v>
      </c>
      <c r="AB37">
        <v>17.204499999999999</v>
      </c>
      <c r="AC37">
        <v>326.88549999999998</v>
      </c>
      <c r="AD37">
        <v>200.16</v>
      </c>
      <c r="AE37">
        <v>126.72549999999998</v>
      </c>
      <c r="AF37">
        <v>0.3876755010546506</v>
      </c>
      <c r="AG37">
        <v>2025</v>
      </c>
      <c r="AH37">
        <v>4</v>
      </c>
      <c r="AI37" t="s">
        <v>1421</v>
      </c>
      <c r="AJ37" t="s">
        <v>1420</v>
      </c>
      <c r="AK37" t="s">
        <v>1244</v>
      </c>
      <c r="AL37">
        <v>0</v>
      </c>
    </row>
    <row r="38" spans="1:38">
      <c r="A38" t="s">
        <v>533</v>
      </c>
      <c r="B38" s="13">
        <v>45676</v>
      </c>
      <c r="C38" t="s">
        <v>265</v>
      </c>
      <c r="D38" t="s">
        <v>133</v>
      </c>
      <c r="E38" t="s">
        <v>266</v>
      </c>
      <c r="F38" t="s">
        <v>116</v>
      </c>
      <c r="G38" t="s">
        <v>117</v>
      </c>
      <c r="H38" t="s">
        <v>89</v>
      </c>
      <c r="I38">
        <v>3</v>
      </c>
      <c r="J38">
        <v>341.63</v>
      </c>
      <c r="K38">
        <v>0</v>
      </c>
      <c r="L38" t="s">
        <v>106</v>
      </c>
      <c r="M38">
        <v>3</v>
      </c>
      <c r="N38" t="s">
        <v>91</v>
      </c>
      <c r="O38" t="s">
        <v>89</v>
      </c>
      <c r="P38" t="s">
        <v>133</v>
      </c>
      <c r="Q38" t="s">
        <v>265</v>
      </c>
      <c r="R38" t="s">
        <v>116</v>
      </c>
      <c r="S38" t="s">
        <v>106</v>
      </c>
      <c r="T38">
        <v>1</v>
      </c>
      <c r="U38" t="s">
        <v>1269</v>
      </c>
      <c r="V38" t="s">
        <v>1255</v>
      </c>
      <c r="W38" t="s">
        <v>1237</v>
      </c>
      <c r="X38" t="s">
        <v>1227</v>
      </c>
      <c r="Y38" t="s">
        <v>1221</v>
      </c>
      <c r="Z38">
        <v>229.86</v>
      </c>
      <c r="AA38">
        <v>1024.8899999999999</v>
      </c>
      <c r="AB38">
        <v>0</v>
      </c>
      <c r="AC38">
        <v>1024.8899999999999</v>
      </c>
      <c r="AD38">
        <v>689.58</v>
      </c>
      <c r="AE38">
        <v>335.30999999999983</v>
      </c>
      <c r="AF38">
        <v>0.32716681790240892</v>
      </c>
      <c r="AG38">
        <v>2025</v>
      </c>
      <c r="AH38">
        <v>1</v>
      </c>
      <c r="AI38" t="s">
        <v>1425</v>
      </c>
      <c r="AJ38" t="s">
        <v>1424</v>
      </c>
      <c r="AK38" t="s">
        <v>1244</v>
      </c>
      <c r="AL38">
        <v>0</v>
      </c>
    </row>
    <row r="39" spans="1:38">
      <c r="A39" t="s">
        <v>534</v>
      </c>
      <c r="B39" s="13">
        <v>45910</v>
      </c>
      <c r="C39" t="s">
        <v>286</v>
      </c>
      <c r="D39" t="s">
        <v>114</v>
      </c>
      <c r="E39" t="s">
        <v>287</v>
      </c>
      <c r="F39" t="s">
        <v>103</v>
      </c>
      <c r="G39" t="s">
        <v>104</v>
      </c>
      <c r="H39" t="s">
        <v>89</v>
      </c>
      <c r="I39">
        <v>3</v>
      </c>
      <c r="J39">
        <v>142.11000000000001</v>
      </c>
      <c r="K39">
        <v>0.05</v>
      </c>
      <c r="L39" t="s">
        <v>106</v>
      </c>
      <c r="M39">
        <v>1</v>
      </c>
      <c r="N39" t="s">
        <v>91</v>
      </c>
      <c r="O39" t="s">
        <v>89</v>
      </c>
      <c r="P39" t="s">
        <v>114</v>
      </c>
      <c r="Q39" t="s">
        <v>286</v>
      </c>
      <c r="R39" t="s">
        <v>103</v>
      </c>
      <c r="S39" t="s">
        <v>106</v>
      </c>
      <c r="T39">
        <v>1</v>
      </c>
      <c r="U39" t="s">
        <v>1296</v>
      </c>
      <c r="V39" t="s">
        <v>1284</v>
      </c>
      <c r="W39" t="s">
        <v>1237</v>
      </c>
      <c r="X39" t="s">
        <v>1222</v>
      </c>
      <c r="Y39" t="s">
        <v>1221</v>
      </c>
      <c r="Z39">
        <v>78.95</v>
      </c>
      <c r="AA39">
        <v>426.33000000000004</v>
      </c>
      <c r="AB39">
        <v>21.316500000000005</v>
      </c>
      <c r="AC39">
        <v>405.01350000000002</v>
      </c>
      <c r="AD39">
        <v>236.85000000000002</v>
      </c>
      <c r="AE39">
        <v>168.1635</v>
      </c>
      <c r="AF39">
        <v>0.41520467836257308</v>
      </c>
      <c r="AG39">
        <v>2025</v>
      </c>
      <c r="AH39">
        <v>9</v>
      </c>
      <c r="AI39" t="s">
        <v>1432</v>
      </c>
      <c r="AJ39" t="s">
        <v>1418</v>
      </c>
      <c r="AK39" t="s">
        <v>1285</v>
      </c>
      <c r="AL39">
        <v>0</v>
      </c>
    </row>
    <row r="40" spans="1:38">
      <c r="A40" t="s">
        <v>535</v>
      </c>
      <c r="B40" s="13">
        <v>45799</v>
      </c>
      <c r="C40" t="s">
        <v>536</v>
      </c>
      <c r="D40" t="s">
        <v>210</v>
      </c>
      <c r="E40" t="s">
        <v>431</v>
      </c>
      <c r="F40" t="s">
        <v>103</v>
      </c>
      <c r="G40" t="s">
        <v>130</v>
      </c>
      <c r="H40" t="s">
        <v>97</v>
      </c>
      <c r="I40">
        <v>2</v>
      </c>
      <c r="J40">
        <v>309.12</v>
      </c>
      <c r="K40">
        <v>0.05</v>
      </c>
      <c r="L40" t="s">
        <v>98</v>
      </c>
      <c r="M40">
        <v>3</v>
      </c>
      <c r="N40" t="s">
        <v>147</v>
      </c>
      <c r="O40" t="s">
        <v>97</v>
      </c>
      <c r="P40" t="s">
        <v>210</v>
      </c>
      <c r="Q40" t="s">
        <v>536</v>
      </c>
      <c r="R40" t="s">
        <v>103</v>
      </c>
      <c r="S40" t="s">
        <v>98</v>
      </c>
      <c r="T40">
        <v>1</v>
      </c>
      <c r="U40" t="s">
        <v>1289</v>
      </c>
      <c r="V40" t="s">
        <v>1235</v>
      </c>
      <c r="W40" t="s">
        <v>1237</v>
      </c>
      <c r="X40" t="s">
        <v>1228</v>
      </c>
      <c r="Y40" t="s">
        <v>1221</v>
      </c>
      <c r="Z40">
        <v>177.57</v>
      </c>
      <c r="AA40">
        <v>618.24</v>
      </c>
      <c r="AB40">
        <v>30.912000000000003</v>
      </c>
      <c r="AC40">
        <v>587.32799999999997</v>
      </c>
      <c r="AD40">
        <v>355.14</v>
      </c>
      <c r="AE40">
        <v>232.18799999999999</v>
      </c>
      <c r="AF40">
        <v>0.3953293559986924</v>
      </c>
      <c r="AG40">
        <v>2025</v>
      </c>
      <c r="AH40">
        <v>5</v>
      </c>
      <c r="AI40" t="s">
        <v>1419</v>
      </c>
      <c r="AJ40" t="s">
        <v>1420</v>
      </c>
      <c r="AK40" t="s">
        <v>1236</v>
      </c>
      <c r="AL40">
        <v>1</v>
      </c>
    </row>
    <row r="41" spans="1:38">
      <c r="A41" t="s">
        <v>546</v>
      </c>
      <c r="B41" s="13">
        <v>45897</v>
      </c>
      <c r="C41" t="s">
        <v>313</v>
      </c>
      <c r="D41" t="s">
        <v>94</v>
      </c>
      <c r="E41" t="s">
        <v>314</v>
      </c>
      <c r="F41" t="s">
        <v>145</v>
      </c>
      <c r="G41" t="s">
        <v>122</v>
      </c>
      <c r="H41" t="s">
        <v>97</v>
      </c>
      <c r="I41">
        <v>1</v>
      </c>
      <c r="J41">
        <v>317.25</v>
      </c>
      <c r="K41">
        <v>0</v>
      </c>
      <c r="L41" t="s">
        <v>106</v>
      </c>
      <c r="M41">
        <v>4</v>
      </c>
      <c r="N41" t="s">
        <v>91</v>
      </c>
      <c r="O41" t="s">
        <v>97</v>
      </c>
      <c r="P41" t="s">
        <v>94</v>
      </c>
      <c r="Q41" t="s">
        <v>313</v>
      </c>
      <c r="R41" t="s">
        <v>145</v>
      </c>
      <c r="S41" t="s">
        <v>106</v>
      </c>
      <c r="T41">
        <v>1</v>
      </c>
      <c r="U41" t="s">
        <v>1328</v>
      </c>
      <c r="V41" t="s">
        <v>1255</v>
      </c>
      <c r="W41" t="s">
        <v>1245</v>
      </c>
      <c r="X41" t="s">
        <v>1220</v>
      </c>
      <c r="Y41" t="s">
        <v>1221</v>
      </c>
      <c r="Z41">
        <v>152.55000000000001</v>
      </c>
      <c r="AA41">
        <v>317.25</v>
      </c>
      <c r="AB41">
        <v>0</v>
      </c>
      <c r="AC41">
        <v>317.25</v>
      </c>
      <c r="AD41">
        <v>152.55000000000001</v>
      </c>
      <c r="AE41">
        <v>164.7</v>
      </c>
      <c r="AF41">
        <v>0.51914893617021274</v>
      </c>
      <c r="AG41">
        <v>2025</v>
      </c>
      <c r="AH41">
        <v>8</v>
      </c>
      <c r="AI41" t="s">
        <v>1417</v>
      </c>
      <c r="AJ41" t="s">
        <v>1418</v>
      </c>
      <c r="AK41" t="s">
        <v>1244</v>
      </c>
      <c r="AL41">
        <v>0</v>
      </c>
    </row>
    <row r="42" spans="1:38">
      <c r="A42" t="s">
        <v>550</v>
      </c>
      <c r="B42" s="13">
        <v>45889</v>
      </c>
      <c r="C42" t="s">
        <v>551</v>
      </c>
      <c r="D42" t="s">
        <v>94</v>
      </c>
      <c r="E42" t="s">
        <v>552</v>
      </c>
      <c r="F42" t="s">
        <v>116</v>
      </c>
      <c r="G42" t="s">
        <v>117</v>
      </c>
      <c r="H42" t="s">
        <v>105</v>
      </c>
      <c r="I42">
        <v>3</v>
      </c>
      <c r="J42">
        <v>294.42</v>
      </c>
      <c r="K42">
        <v>0.05</v>
      </c>
      <c r="L42" t="s">
        <v>90</v>
      </c>
      <c r="M42">
        <v>3</v>
      </c>
      <c r="N42" t="s">
        <v>91</v>
      </c>
      <c r="O42" t="s">
        <v>105</v>
      </c>
      <c r="P42" t="s">
        <v>94</v>
      </c>
      <c r="Q42" t="s">
        <v>551</v>
      </c>
      <c r="R42" t="s">
        <v>116</v>
      </c>
      <c r="S42" t="s">
        <v>369</v>
      </c>
      <c r="T42">
        <v>1</v>
      </c>
      <c r="U42" t="s">
        <v>1309</v>
      </c>
      <c r="V42" t="s">
        <v>1260</v>
      </c>
      <c r="W42" t="s">
        <v>1237</v>
      </c>
      <c r="X42" t="s">
        <v>1220</v>
      </c>
      <c r="Y42" t="s">
        <v>1221</v>
      </c>
      <c r="Z42">
        <v>152.55000000000001</v>
      </c>
      <c r="AA42">
        <v>883.26</v>
      </c>
      <c r="AB42">
        <v>44.163000000000004</v>
      </c>
      <c r="AC42">
        <v>839.09699999999998</v>
      </c>
      <c r="AD42">
        <v>457.65000000000003</v>
      </c>
      <c r="AE42">
        <v>381.44699999999995</v>
      </c>
      <c r="AF42">
        <v>0.45459225810603537</v>
      </c>
      <c r="AG42">
        <v>2025</v>
      </c>
      <c r="AH42">
        <v>8</v>
      </c>
      <c r="AI42" t="s">
        <v>1417</v>
      </c>
      <c r="AJ42" t="s">
        <v>1418</v>
      </c>
      <c r="AK42" t="s">
        <v>1240</v>
      </c>
      <c r="AL42">
        <v>0</v>
      </c>
    </row>
    <row r="43" spans="1:38">
      <c r="A43" t="s">
        <v>554</v>
      </c>
      <c r="B43" s="13">
        <v>45980</v>
      </c>
      <c r="C43" t="s">
        <v>239</v>
      </c>
      <c r="D43" t="s">
        <v>303</v>
      </c>
      <c r="E43" t="s">
        <v>240</v>
      </c>
      <c r="F43" t="s">
        <v>111</v>
      </c>
      <c r="G43" t="s">
        <v>88</v>
      </c>
      <c r="H43" t="s">
        <v>89</v>
      </c>
      <c r="I43">
        <v>1</v>
      </c>
      <c r="J43">
        <v>165.76</v>
      </c>
      <c r="K43">
        <v>0</v>
      </c>
      <c r="L43" t="s">
        <v>106</v>
      </c>
      <c r="M43">
        <v>2</v>
      </c>
      <c r="N43" t="s">
        <v>91</v>
      </c>
      <c r="O43" t="s">
        <v>89</v>
      </c>
      <c r="P43" t="s">
        <v>303</v>
      </c>
      <c r="Q43" t="s">
        <v>239</v>
      </c>
      <c r="R43" t="s">
        <v>111</v>
      </c>
      <c r="S43" t="s">
        <v>106</v>
      </c>
      <c r="T43">
        <v>1</v>
      </c>
      <c r="U43" t="s">
        <v>1336</v>
      </c>
      <c r="V43" t="s">
        <v>1297</v>
      </c>
      <c r="W43" t="s">
        <v>1237</v>
      </c>
      <c r="X43" t="s">
        <v>1224</v>
      </c>
      <c r="Y43" t="s">
        <v>1221</v>
      </c>
      <c r="Z43">
        <v>76.97</v>
      </c>
      <c r="AA43">
        <v>165.76</v>
      </c>
      <c r="AB43">
        <v>0</v>
      </c>
      <c r="AC43">
        <v>165.76</v>
      </c>
      <c r="AD43">
        <v>76.97</v>
      </c>
      <c r="AE43">
        <v>88.789999999999992</v>
      </c>
      <c r="AF43">
        <v>0.5356539575289575</v>
      </c>
      <c r="AG43">
        <v>2025</v>
      </c>
      <c r="AH43">
        <v>11</v>
      </c>
      <c r="AI43" t="s">
        <v>1426</v>
      </c>
      <c r="AJ43" t="s">
        <v>1427</v>
      </c>
      <c r="AK43" t="s">
        <v>1258</v>
      </c>
      <c r="AL43">
        <v>0</v>
      </c>
    </row>
    <row r="44" spans="1:38">
      <c r="A44" t="s">
        <v>561</v>
      </c>
      <c r="B44" s="13">
        <v>45809</v>
      </c>
      <c r="C44" t="s">
        <v>260</v>
      </c>
      <c r="D44" t="s">
        <v>469</v>
      </c>
      <c r="E44" t="s">
        <v>562</v>
      </c>
      <c r="F44" t="s">
        <v>116</v>
      </c>
      <c r="G44" t="s">
        <v>183</v>
      </c>
      <c r="H44" t="s">
        <v>97</v>
      </c>
      <c r="I44">
        <v>5</v>
      </c>
      <c r="J44">
        <v>88.5</v>
      </c>
      <c r="K44">
        <v>0</v>
      </c>
      <c r="L44" t="s">
        <v>98</v>
      </c>
      <c r="M44">
        <v>4</v>
      </c>
      <c r="N44" t="s">
        <v>91</v>
      </c>
      <c r="O44" t="s">
        <v>97</v>
      </c>
      <c r="P44" t="s">
        <v>469</v>
      </c>
      <c r="Q44" t="s">
        <v>260</v>
      </c>
      <c r="R44" t="s">
        <v>116</v>
      </c>
      <c r="S44" t="s">
        <v>98</v>
      </c>
      <c r="T44">
        <v>1</v>
      </c>
      <c r="U44" t="s">
        <v>1324</v>
      </c>
      <c r="V44" t="s">
        <v>1325</v>
      </c>
      <c r="W44" t="s">
        <v>1245</v>
      </c>
      <c r="X44" t="s">
        <v>1223</v>
      </c>
      <c r="Y44" t="s">
        <v>1221</v>
      </c>
      <c r="Z44">
        <v>59.85</v>
      </c>
      <c r="AA44">
        <v>442.5</v>
      </c>
      <c r="AB44">
        <v>0</v>
      </c>
      <c r="AC44">
        <v>442.5</v>
      </c>
      <c r="AD44">
        <v>299.25</v>
      </c>
      <c r="AE44">
        <v>143.25</v>
      </c>
      <c r="AF44">
        <v>0.32372881355932204</v>
      </c>
      <c r="AG44">
        <v>2025</v>
      </c>
      <c r="AH44">
        <v>6</v>
      </c>
      <c r="AI44" t="s">
        <v>1429</v>
      </c>
      <c r="AJ44" t="s">
        <v>1420</v>
      </c>
      <c r="AK44" t="s">
        <v>1326</v>
      </c>
      <c r="AL44">
        <v>0</v>
      </c>
    </row>
    <row r="45" spans="1:38">
      <c r="A45" t="s">
        <v>567</v>
      </c>
      <c r="B45" s="13">
        <v>45790</v>
      </c>
      <c r="C45" t="s">
        <v>100</v>
      </c>
      <c r="D45" t="s">
        <v>303</v>
      </c>
      <c r="E45" t="s">
        <v>102</v>
      </c>
      <c r="F45" t="s">
        <v>87</v>
      </c>
      <c r="G45" t="s">
        <v>88</v>
      </c>
      <c r="H45" t="s">
        <v>89</v>
      </c>
      <c r="I45">
        <v>3</v>
      </c>
      <c r="J45">
        <v>163.46</v>
      </c>
      <c r="K45">
        <v>0.05</v>
      </c>
      <c r="L45" t="s">
        <v>90</v>
      </c>
      <c r="M45">
        <v>3</v>
      </c>
      <c r="N45" t="s">
        <v>91</v>
      </c>
      <c r="O45" t="s">
        <v>89</v>
      </c>
      <c r="P45" t="s">
        <v>303</v>
      </c>
      <c r="Q45" t="s">
        <v>100</v>
      </c>
      <c r="R45" t="s">
        <v>87</v>
      </c>
      <c r="S45" t="s">
        <v>369</v>
      </c>
      <c r="T45">
        <v>1</v>
      </c>
      <c r="U45" t="s">
        <v>1242</v>
      </c>
      <c r="V45" t="s">
        <v>1243</v>
      </c>
      <c r="W45" t="s">
        <v>1245</v>
      </c>
      <c r="X45" t="s">
        <v>1224</v>
      </c>
      <c r="Y45" t="s">
        <v>1221</v>
      </c>
      <c r="Z45">
        <v>76.97</v>
      </c>
      <c r="AA45">
        <v>490.38</v>
      </c>
      <c r="AB45">
        <v>24.519000000000002</v>
      </c>
      <c r="AC45">
        <v>465.86099999999999</v>
      </c>
      <c r="AD45">
        <v>230.91</v>
      </c>
      <c r="AE45">
        <v>234.95099999999999</v>
      </c>
      <c r="AF45">
        <v>0.50433713060333452</v>
      </c>
      <c r="AG45">
        <v>2025</v>
      </c>
      <c r="AH45">
        <v>5</v>
      </c>
      <c r="AI45" t="s">
        <v>1419</v>
      </c>
      <c r="AJ45" t="s">
        <v>1420</v>
      </c>
      <c r="AK45" t="s">
        <v>1244</v>
      </c>
      <c r="AL45">
        <v>0</v>
      </c>
    </row>
    <row r="46" spans="1:38">
      <c r="A46" t="s">
        <v>575</v>
      </c>
      <c r="B46" s="13">
        <v>45765</v>
      </c>
      <c r="C46" t="s">
        <v>386</v>
      </c>
      <c r="D46" t="s">
        <v>133</v>
      </c>
      <c r="E46" t="s">
        <v>576</v>
      </c>
      <c r="F46" t="s">
        <v>111</v>
      </c>
      <c r="G46" t="s">
        <v>130</v>
      </c>
      <c r="H46" t="s">
        <v>89</v>
      </c>
      <c r="I46">
        <v>3</v>
      </c>
      <c r="J46">
        <v>342.66</v>
      </c>
      <c r="K46">
        <v>0</v>
      </c>
      <c r="L46" t="s">
        <v>106</v>
      </c>
      <c r="M46">
        <v>2</v>
      </c>
      <c r="N46" t="s">
        <v>91</v>
      </c>
      <c r="O46" t="s">
        <v>89</v>
      </c>
      <c r="P46" t="s">
        <v>133</v>
      </c>
      <c r="Q46" t="s">
        <v>386</v>
      </c>
      <c r="R46" t="s">
        <v>111</v>
      </c>
      <c r="S46" t="s">
        <v>106</v>
      </c>
      <c r="T46">
        <v>1</v>
      </c>
      <c r="U46" t="s">
        <v>1254</v>
      </c>
      <c r="V46" t="s">
        <v>1255</v>
      </c>
      <c r="W46" t="s">
        <v>1245</v>
      </c>
      <c r="X46" t="s">
        <v>1227</v>
      </c>
      <c r="Y46" t="s">
        <v>1221</v>
      </c>
      <c r="Z46">
        <v>229.86</v>
      </c>
      <c r="AA46">
        <v>1027.98</v>
      </c>
      <c r="AB46">
        <v>0</v>
      </c>
      <c r="AC46">
        <v>1027.98</v>
      </c>
      <c r="AD46">
        <v>689.58</v>
      </c>
      <c r="AE46">
        <v>338.4</v>
      </c>
      <c r="AF46">
        <v>0.32918928383820695</v>
      </c>
      <c r="AG46">
        <v>2025</v>
      </c>
      <c r="AH46">
        <v>4</v>
      </c>
      <c r="AI46" t="s">
        <v>1421</v>
      </c>
      <c r="AJ46" t="s">
        <v>1420</v>
      </c>
      <c r="AK46" t="s">
        <v>1244</v>
      </c>
      <c r="AL46">
        <v>0</v>
      </c>
    </row>
    <row r="47" spans="1:38">
      <c r="A47" t="s">
        <v>587</v>
      </c>
      <c r="B47" s="13">
        <v>45906</v>
      </c>
      <c r="C47" t="s">
        <v>305</v>
      </c>
      <c r="D47" t="s">
        <v>94</v>
      </c>
      <c r="E47" t="s">
        <v>306</v>
      </c>
      <c r="F47" t="s">
        <v>145</v>
      </c>
      <c r="G47" t="s">
        <v>104</v>
      </c>
      <c r="H47" t="s">
        <v>89</v>
      </c>
      <c r="I47">
        <v>1</v>
      </c>
      <c r="J47">
        <v>313.10000000000002</v>
      </c>
      <c r="K47">
        <v>0</v>
      </c>
      <c r="L47" t="s">
        <v>106</v>
      </c>
      <c r="M47">
        <v>8</v>
      </c>
      <c r="N47" t="s">
        <v>91</v>
      </c>
      <c r="O47" t="s">
        <v>89</v>
      </c>
      <c r="P47" t="s">
        <v>94</v>
      </c>
      <c r="Q47" t="s">
        <v>305</v>
      </c>
      <c r="R47" t="s">
        <v>145</v>
      </c>
      <c r="S47" t="s">
        <v>106</v>
      </c>
      <c r="T47">
        <v>1</v>
      </c>
      <c r="U47" t="s">
        <v>1307</v>
      </c>
      <c r="V47" t="s">
        <v>1275</v>
      </c>
      <c r="W47" t="s">
        <v>1237</v>
      </c>
      <c r="X47" t="s">
        <v>1220</v>
      </c>
      <c r="Y47" t="s">
        <v>1221</v>
      </c>
      <c r="Z47">
        <v>152.55000000000001</v>
      </c>
      <c r="AA47">
        <v>313.10000000000002</v>
      </c>
      <c r="AB47">
        <v>0</v>
      </c>
      <c r="AC47">
        <v>313.10000000000002</v>
      </c>
      <c r="AD47">
        <v>152.55000000000001</v>
      </c>
      <c r="AE47">
        <v>160.55000000000001</v>
      </c>
      <c r="AF47">
        <v>0.51277547109549659</v>
      </c>
      <c r="AG47">
        <v>2025</v>
      </c>
      <c r="AH47">
        <v>9</v>
      </c>
      <c r="AI47" t="s">
        <v>1432</v>
      </c>
      <c r="AJ47" t="s">
        <v>1418</v>
      </c>
      <c r="AK47" t="s">
        <v>1258</v>
      </c>
      <c r="AL47">
        <v>0</v>
      </c>
    </row>
    <row r="48" spans="1:38">
      <c r="A48" t="s">
        <v>588</v>
      </c>
      <c r="B48" s="13">
        <v>45795</v>
      </c>
      <c r="C48" t="s">
        <v>543</v>
      </c>
      <c r="D48" t="s">
        <v>469</v>
      </c>
      <c r="E48" t="s">
        <v>589</v>
      </c>
      <c r="F48" t="s">
        <v>87</v>
      </c>
      <c r="G48" t="s">
        <v>96</v>
      </c>
      <c r="H48" t="s">
        <v>105</v>
      </c>
      <c r="I48">
        <v>1</v>
      </c>
      <c r="J48">
        <v>88.17</v>
      </c>
      <c r="K48">
        <v>0.15</v>
      </c>
      <c r="L48" t="s">
        <v>98</v>
      </c>
      <c r="M48">
        <v>1</v>
      </c>
      <c r="N48" t="s">
        <v>91</v>
      </c>
      <c r="O48" t="s">
        <v>105</v>
      </c>
      <c r="P48" t="s">
        <v>469</v>
      </c>
      <c r="Q48" t="s">
        <v>543</v>
      </c>
      <c r="R48" t="s">
        <v>87</v>
      </c>
      <c r="S48" t="s">
        <v>98</v>
      </c>
      <c r="T48">
        <v>1</v>
      </c>
      <c r="U48" t="s">
        <v>1281</v>
      </c>
      <c r="V48" t="s">
        <v>1275</v>
      </c>
      <c r="W48" t="s">
        <v>1241</v>
      </c>
      <c r="X48" t="s">
        <v>1223</v>
      </c>
      <c r="Y48" t="s">
        <v>1221</v>
      </c>
      <c r="Z48">
        <v>59.85</v>
      </c>
      <c r="AA48">
        <v>88.17</v>
      </c>
      <c r="AB48">
        <v>13.2255</v>
      </c>
      <c r="AC48">
        <v>74.944500000000005</v>
      </c>
      <c r="AD48">
        <v>59.85</v>
      </c>
      <c r="AE48">
        <v>15.094500000000004</v>
      </c>
      <c r="AF48">
        <v>0.20140904269159182</v>
      </c>
      <c r="AG48">
        <v>2025</v>
      </c>
      <c r="AH48">
        <v>5</v>
      </c>
      <c r="AI48" t="s">
        <v>1419</v>
      </c>
      <c r="AJ48" t="s">
        <v>1420</v>
      </c>
      <c r="AK48" t="s">
        <v>1258</v>
      </c>
      <c r="AL48">
        <v>0</v>
      </c>
    </row>
    <row r="49" spans="1:38">
      <c r="A49" t="s">
        <v>592</v>
      </c>
      <c r="B49" s="13">
        <v>45974</v>
      </c>
      <c r="C49" t="s">
        <v>399</v>
      </c>
      <c r="D49" t="s">
        <v>133</v>
      </c>
      <c r="E49" t="s">
        <v>400</v>
      </c>
      <c r="F49" t="s">
        <v>145</v>
      </c>
      <c r="G49" t="s">
        <v>96</v>
      </c>
      <c r="H49" t="s">
        <v>89</v>
      </c>
      <c r="I49">
        <v>4</v>
      </c>
      <c r="J49">
        <v>359.78</v>
      </c>
      <c r="K49">
        <v>0.05</v>
      </c>
      <c r="L49" t="s">
        <v>106</v>
      </c>
      <c r="M49">
        <v>3</v>
      </c>
      <c r="N49" t="s">
        <v>91</v>
      </c>
      <c r="O49" t="s">
        <v>89</v>
      </c>
      <c r="P49" t="s">
        <v>133</v>
      </c>
      <c r="Q49" t="s">
        <v>399</v>
      </c>
      <c r="R49" t="s">
        <v>145</v>
      </c>
      <c r="S49" t="s">
        <v>106</v>
      </c>
      <c r="T49">
        <v>1</v>
      </c>
      <c r="U49" t="s">
        <v>1296</v>
      </c>
      <c r="V49" t="s">
        <v>1239</v>
      </c>
      <c r="W49" t="s">
        <v>1241</v>
      </c>
      <c r="X49" t="s">
        <v>1227</v>
      </c>
      <c r="Y49" t="s">
        <v>1221</v>
      </c>
      <c r="Z49">
        <v>229.86</v>
      </c>
      <c r="AA49">
        <v>1439.12</v>
      </c>
      <c r="AB49">
        <v>71.956000000000003</v>
      </c>
      <c r="AC49">
        <v>1367.164</v>
      </c>
      <c r="AD49">
        <v>919.44</v>
      </c>
      <c r="AE49">
        <v>447.72399999999993</v>
      </c>
      <c r="AF49">
        <v>0.32748375469219487</v>
      </c>
      <c r="AG49">
        <v>2025</v>
      </c>
      <c r="AH49">
        <v>11</v>
      </c>
      <c r="AI49" t="s">
        <v>1426</v>
      </c>
      <c r="AJ49" t="s">
        <v>1427</v>
      </c>
      <c r="AK49" t="s">
        <v>1240</v>
      </c>
      <c r="AL49">
        <v>0</v>
      </c>
    </row>
    <row r="50" spans="1:38">
      <c r="A50" t="s">
        <v>593</v>
      </c>
      <c r="B50" s="13">
        <v>45948</v>
      </c>
      <c r="C50" t="s">
        <v>594</v>
      </c>
      <c r="D50" t="s">
        <v>210</v>
      </c>
      <c r="E50" t="s">
        <v>595</v>
      </c>
      <c r="F50" t="s">
        <v>145</v>
      </c>
      <c r="G50" t="s">
        <v>183</v>
      </c>
      <c r="H50" t="s">
        <v>89</v>
      </c>
      <c r="I50">
        <v>2</v>
      </c>
      <c r="J50">
        <v>303.27</v>
      </c>
      <c r="K50">
        <v>0</v>
      </c>
      <c r="L50" t="s">
        <v>106</v>
      </c>
      <c r="M50">
        <v>1</v>
      </c>
      <c r="N50" t="s">
        <v>91</v>
      </c>
      <c r="O50" t="s">
        <v>89</v>
      </c>
      <c r="P50" t="s">
        <v>210</v>
      </c>
      <c r="Q50" t="s">
        <v>594</v>
      </c>
      <c r="R50" t="s">
        <v>145</v>
      </c>
      <c r="S50" t="s">
        <v>106</v>
      </c>
      <c r="T50">
        <v>1</v>
      </c>
      <c r="U50" t="s">
        <v>1251</v>
      </c>
      <c r="V50" t="s">
        <v>1277</v>
      </c>
      <c r="W50" t="s">
        <v>1241</v>
      </c>
      <c r="X50" t="s">
        <v>1228</v>
      </c>
      <c r="Y50" t="s">
        <v>1221</v>
      </c>
      <c r="Z50">
        <v>177.57</v>
      </c>
      <c r="AA50">
        <v>606.54</v>
      </c>
      <c r="AB50">
        <v>0</v>
      </c>
      <c r="AC50">
        <v>606.54</v>
      </c>
      <c r="AD50">
        <v>355.14</v>
      </c>
      <c r="AE50">
        <v>251.39999999999998</v>
      </c>
      <c r="AF50">
        <v>0.41448214462360272</v>
      </c>
      <c r="AG50">
        <v>2025</v>
      </c>
      <c r="AH50">
        <v>10</v>
      </c>
      <c r="AI50" t="s">
        <v>1431</v>
      </c>
      <c r="AJ50" t="s">
        <v>1427</v>
      </c>
      <c r="AK50" t="s">
        <v>1244</v>
      </c>
      <c r="AL50">
        <v>0</v>
      </c>
    </row>
    <row r="51" spans="1:38">
      <c r="A51" t="s">
        <v>596</v>
      </c>
      <c r="B51" s="13">
        <v>45820</v>
      </c>
      <c r="C51" t="s">
        <v>597</v>
      </c>
      <c r="D51" t="s">
        <v>303</v>
      </c>
      <c r="E51" t="s">
        <v>598</v>
      </c>
      <c r="F51" t="s">
        <v>145</v>
      </c>
      <c r="G51" t="s">
        <v>117</v>
      </c>
      <c r="H51" t="s">
        <v>89</v>
      </c>
      <c r="I51">
        <v>1</v>
      </c>
      <c r="J51">
        <v>152.16</v>
      </c>
      <c r="K51">
        <v>0.15</v>
      </c>
      <c r="L51" t="s">
        <v>90</v>
      </c>
      <c r="M51">
        <v>4</v>
      </c>
      <c r="N51" t="s">
        <v>91</v>
      </c>
      <c r="O51" t="s">
        <v>89</v>
      </c>
      <c r="P51" t="s">
        <v>303</v>
      </c>
      <c r="Q51" t="s">
        <v>597</v>
      </c>
      <c r="R51" t="s">
        <v>145</v>
      </c>
      <c r="S51" t="s">
        <v>369</v>
      </c>
      <c r="T51">
        <v>1</v>
      </c>
      <c r="U51" t="s">
        <v>1246</v>
      </c>
      <c r="V51" t="s">
        <v>1247</v>
      </c>
      <c r="W51" t="s">
        <v>1237</v>
      </c>
      <c r="X51" t="s">
        <v>1224</v>
      </c>
      <c r="Y51" t="s">
        <v>1221</v>
      </c>
      <c r="Z51">
        <v>76.97</v>
      </c>
      <c r="AA51">
        <v>152.16</v>
      </c>
      <c r="AB51">
        <v>22.823999999999998</v>
      </c>
      <c r="AC51">
        <v>129.33600000000001</v>
      </c>
      <c r="AD51">
        <v>76.97</v>
      </c>
      <c r="AE51">
        <v>52.366000000000014</v>
      </c>
      <c r="AF51">
        <v>0.40488340446588739</v>
      </c>
      <c r="AG51">
        <v>2025</v>
      </c>
      <c r="AH51">
        <v>6</v>
      </c>
      <c r="AI51" t="s">
        <v>1429</v>
      </c>
      <c r="AJ51" t="s">
        <v>1420</v>
      </c>
      <c r="AK51" t="s">
        <v>1240</v>
      </c>
      <c r="AL51">
        <v>0</v>
      </c>
    </row>
    <row r="52" spans="1:38">
      <c r="A52" t="s">
        <v>599</v>
      </c>
      <c r="B52" s="13">
        <v>45823</v>
      </c>
      <c r="C52" t="s">
        <v>600</v>
      </c>
      <c r="D52" t="s">
        <v>303</v>
      </c>
      <c r="E52" t="s">
        <v>601</v>
      </c>
      <c r="F52" t="s">
        <v>116</v>
      </c>
      <c r="G52" t="s">
        <v>183</v>
      </c>
      <c r="H52" t="s">
        <v>97</v>
      </c>
      <c r="I52">
        <v>1</v>
      </c>
      <c r="J52">
        <v>159.88</v>
      </c>
      <c r="K52">
        <v>0</v>
      </c>
      <c r="L52" t="s">
        <v>106</v>
      </c>
      <c r="M52">
        <v>4</v>
      </c>
      <c r="N52" t="s">
        <v>91</v>
      </c>
      <c r="O52" t="s">
        <v>97</v>
      </c>
      <c r="P52" t="s">
        <v>303</v>
      </c>
      <c r="Q52" t="s">
        <v>600</v>
      </c>
      <c r="R52" t="s">
        <v>116</v>
      </c>
      <c r="S52" t="s">
        <v>106</v>
      </c>
      <c r="T52">
        <v>1</v>
      </c>
      <c r="U52" t="s">
        <v>1351</v>
      </c>
      <c r="V52" t="s">
        <v>1257</v>
      </c>
      <c r="W52" t="s">
        <v>1237</v>
      </c>
      <c r="X52" t="s">
        <v>1224</v>
      </c>
      <c r="Y52" t="s">
        <v>1221</v>
      </c>
      <c r="Z52">
        <v>76.97</v>
      </c>
      <c r="AA52">
        <v>159.88</v>
      </c>
      <c r="AB52">
        <v>0</v>
      </c>
      <c r="AC52">
        <v>159.88</v>
      </c>
      <c r="AD52">
        <v>76.97</v>
      </c>
      <c r="AE52">
        <v>82.91</v>
      </c>
      <c r="AF52">
        <v>0.51857643232424322</v>
      </c>
      <c r="AG52">
        <v>2025</v>
      </c>
      <c r="AH52">
        <v>6</v>
      </c>
      <c r="AI52" t="s">
        <v>1429</v>
      </c>
      <c r="AJ52" t="s">
        <v>1420</v>
      </c>
      <c r="AK52" t="s">
        <v>1258</v>
      </c>
      <c r="AL52">
        <v>0</v>
      </c>
    </row>
    <row r="53" spans="1:38">
      <c r="A53" t="s">
        <v>602</v>
      </c>
      <c r="B53" s="13">
        <v>45887</v>
      </c>
      <c r="C53" t="s">
        <v>316</v>
      </c>
      <c r="D53" t="s">
        <v>303</v>
      </c>
      <c r="E53" t="s">
        <v>317</v>
      </c>
      <c r="F53" t="s">
        <v>145</v>
      </c>
      <c r="G53" t="s">
        <v>171</v>
      </c>
      <c r="H53" t="s">
        <v>89</v>
      </c>
      <c r="I53">
        <v>3</v>
      </c>
      <c r="J53">
        <v>166.23</v>
      </c>
      <c r="K53">
        <v>0</v>
      </c>
      <c r="L53" t="s">
        <v>106</v>
      </c>
      <c r="M53">
        <v>7</v>
      </c>
      <c r="N53" t="s">
        <v>91</v>
      </c>
      <c r="O53" t="s">
        <v>89</v>
      </c>
      <c r="P53" t="s">
        <v>303</v>
      </c>
      <c r="Q53" t="s">
        <v>316</v>
      </c>
      <c r="R53" t="s">
        <v>145</v>
      </c>
      <c r="S53" t="s">
        <v>106</v>
      </c>
      <c r="T53">
        <v>1</v>
      </c>
      <c r="U53" t="s">
        <v>1323</v>
      </c>
      <c r="V53" t="s">
        <v>1297</v>
      </c>
      <c r="W53" t="s">
        <v>1237</v>
      </c>
      <c r="X53" t="s">
        <v>1224</v>
      </c>
      <c r="Y53" t="s">
        <v>1221</v>
      </c>
      <c r="Z53">
        <v>76.97</v>
      </c>
      <c r="AA53">
        <v>498.68999999999994</v>
      </c>
      <c r="AB53">
        <v>0</v>
      </c>
      <c r="AC53">
        <v>498.68999999999994</v>
      </c>
      <c r="AD53">
        <v>230.91</v>
      </c>
      <c r="AE53">
        <v>267.77999999999997</v>
      </c>
      <c r="AF53">
        <v>0.53696685315526682</v>
      </c>
      <c r="AG53">
        <v>2025</v>
      </c>
      <c r="AH53">
        <v>8</v>
      </c>
      <c r="AI53" t="s">
        <v>1417</v>
      </c>
      <c r="AJ53" t="s">
        <v>1418</v>
      </c>
      <c r="AK53" t="s">
        <v>1258</v>
      </c>
      <c r="AL53">
        <v>0</v>
      </c>
    </row>
    <row r="54" spans="1:38">
      <c r="A54" t="s">
        <v>626</v>
      </c>
      <c r="B54" s="13">
        <v>45974</v>
      </c>
      <c r="C54" t="s">
        <v>427</v>
      </c>
      <c r="D54" t="s">
        <v>469</v>
      </c>
      <c r="E54" t="s">
        <v>428</v>
      </c>
      <c r="F54" t="s">
        <v>116</v>
      </c>
      <c r="G54" t="s">
        <v>122</v>
      </c>
      <c r="H54" t="s">
        <v>97</v>
      </c>
      <c r="I54">
        <v>1</v>
      </c>
      <c r="J54">
        <v>85.67</v>
      </c>
      <c r="K54">
        <v>0.2</v>
      </c>
      <c r="L54" t="s">
        <v>106</v>
      </c>
      <c r="M54">
        <v>1</v>
      </c>
      <c r="N54" t="s">
        <v>91</v>
      </c>
      <c r="O54" t="s">
        <v>97</v>
      </c>
      <c r="P54" t="s">
        <v>469</v>
      </c>
      <c r="Q54" t="s">
        <v>427</v>
      </c>
      <c r="R54" t="s">
        <v>116</v>
      </c>
      <c r="S54" t="s">
        <v>106</v>
      </c>
      <c r="T54">
        <v>1</v>
      </c>
      <c r="U54" t="s">
        <v>1311</v>
      </c>
      <c r="V54" t="s">
        <v>1277</v>
      </c>
      <c r="W54" t="s">
        <v>1237</v>
      </c>
      <c r="X54" t="s">
        <v>1223</v>
      </c>
      <c r="Y54" t="s">
        <v>1221</v>
      </c>
      <c r="Z54">
        <v>59.85</v>
      </c>
      <c r="AA54">
        <v>85.67</v>
      </c>
      <c r="AB54">
        <v>17.134</v>
      </c>
      <c r="AC54">
        <v>68.536000000000001</v>
      </c>
      <c r="AD54">
        <v>59.85</v>
      </c>
      <c r="AE54">
        <v>8.6859999999999999</v>
      </c>
      <c r="AF54">
        <v>0.12673631376211042</v>
      </c>
      <c r="AG54">
        <v>2025</v>
      </c>
      <c r="AH54">
        <v>11</v>
      </c>
      <c r="AI54" t="s">
        <v>1426</v>
      </c>
      <c r="AJ54" t="s">
        <v>1427</v>
      </c>
      <c r="AK54" t="s">
        <v>1244</v>
      </c>
      <c r="AL54">
        <v>0</v>
      </c>
    </row>
    <row r="55" spans="1:38">
      <c r="A55" t="s">
        <v>627</v>
      </c>
      <c r="B55" s="13">
        <v>45815</v>
      </c>
      <c r="C55" t="s">
        <v>406</v>
      </c>
      <c r="D55" t="s">
        <v>469</v>
      </c>
      <c r="E55" t="s">
        <v>407</v>
      </c>
      <c r="F55" t="s">
        <v>111</v>
      </c>
      <c r="G55" t="s">
        <v>117</v>
      </c>
      <c r="H55" t="s">
        <v>89</v>
      </c>
      <c r="I55">
        <v>1</v>
      </c>
      <c r="J55">
        <v>86.15</v>
      </c>
      <c r="K55">
        <v>0.15</v>
      </c>
      <c r="L55" t="s">
        <v>98</v>
      </c>
      <c r="M55">
        <v>1</v>
      </c>
      <c r="N55" t="s">
        <v>91</v>
      </c>
      <c r="O55" t="s">
        <v>89</v>
      </c>
      <c r="P55" t="s">
        <v>469</v>
      </c>
      <c r="Q55" t="s">
        <v>406</v>
      </c>
      <c r="R55" t="s">
        <v>111</v>
      </c>
      <c r="S55" t="s">
        <v>98</v>
      </c>
      <c r="T55">
        <v>1</v>
      </c>
      <c r="U55" t="s">
        <v>1291</v>
      </c>
      <c r="V55" t="s">
        <v>1239</v>
      </c>
      <c r="W55" t="s">
        <v>1237</v>
      </c>
      <c r="X55" t="s">
        <v>1223</v>
      </c>
      <c r="Y55" t="s">
        <v>1221</v>
      </c>
      <c r="Z55">
        <v>59.85</v>
      </c>
      <c r="AA55">
        <v>86.15</v>
      </c>
      <c r="AB55">
        <v>12.922500000000001</v>
      </c>
      <c r="AC55">
        <v>73.227500000000006</v>
      </c>
      <c r="AD55">
        <v>59.85</v>
      </c>
      <c r="AE55">
        <v>13.377500000000005</v>
      </c>
      <c r="AF55">
        <v>0.18268410091837087</v>
      </c>
      <c r="AG55">
        <v>2025</v>
      </c>
      <c r="AH55">
        <v>6</v>
      </c>
      <c r="AI55" t="s">
        <v>1429</v>
      </c>
      <c r="AJ55" t="s">
        <v>1420</v>
      </c>
      <c r="AK55" t="s">
        <v>1240</v>
      </c>
      <c r="AL55">
        <v>0</v>
      </c>
    </row>
    <row r="56" spans="1:38">
      <c r="A56" t="s">
        <v>636</v>
      </c>
      <c r="B56" s="13">
        <v>45864</v>
      </c>
      <c r="C56" t="s">
        <v>637</v>
      </c>
      <c r="D56" t="s">
        <v>469</v>
      </c>
      <c r="E56" t="s">
        <v>638</v>
      </c>
      <c r="F56" t="s">
        <v>111</v>
      </c>
      <c r="G56" t="s">
        <v>117</v>
      </c>
      <c r="H56" t="s">
        <v>89</v>
      </c>
      <c r="I56">
        <v>2</v>
      </c>
      <c r="J56">
        <v>83.7</v>
      </c>
      <c r="K56">
        <v>0.05</v>
      </c>
      <c r="L56" t="s">
        <v>353</v>
      </c>
      <c r="M56">
        <v>1</v>
      </c>
      <c r="N56" t="s">
        <v>91</v>
      </c>
      <c r="O56" t="s">
        <v>89</v>
      </c>
      <c r="P56" t="s">
        <v>469</v>
      </c>
      <c r="Q56" t="s">
        <v>637</v>
      </c>
      <c r="R56" t="s">
        <v>111</v>
      </c>
      <c r="S56" t="s">
        <v>106</v>
      </c>
      <c r="T56">
        <v>1</v>
      </c>
      <c r="U56" t="s">
        <v>1273</v>
      </c>
      <c r="V56" t="s">
        <v>1255</v>
      </c>
      <c r="W56" t="s">
        <v>1237</v>
      </c>
      <c r="X56" t="s">
        <v>1223</v>
      </c>
      <c r="Y56" t="s">
        <v>1221</v>
      </c>
      <c r="Z56">
        <v>59.85</v>
      </c>
      <c r="AA56">
        <v>167.4</v>
      </c>
      <c r="AB56">
        <v>8.370000000000001</v>
      </c>
      <c r="AC56">
        <v>159.03</v>
      </c>
      <c r="AD56">
        <v>119.7</v>
      </c>
      <c r="AE56">
        <v>39.33</v>
      </c>
      <c r="AF56">
        <v>0.24731182795698922</v>
      </c>
      <c r="AG56">
        <v>2025</v>
      </c>
      <c r="AH56">
        <v>7</v>
      </c>
      <c r="AI56" t="s">
        <v>1422</v>
      </c>
      <c r="AJ56" t="s">
        <v>1418</v>
      </c>
      <c r="AK56" t="s">
        <v>1244</v>
      </c>
      <c r="AL56">
        <v>0</v>
      </c>
    </row>
    <row r="57" spans="1:38">
      <c r="A57" t="s">
        <v>641</v>
      </c>
      <c r="B57" s="13">
        <v>45776</v>
      </c>
      <c r="C57" t="s">
        <v>313</v>
      </c>
      <c r="D57" t="s">
        <v>231</v>
      </c>
      <c r="E57" t="s">
        <v>314</v>
      </c>
      <c r="F57" t="s">
        <v>103</v>
      </c>
      <c r="G57" t="s">
        <v>117</v>
      </c>
      <c r="H57" t="s">
        <v>97</v>
      </c>
      <c r="I57">
        <v>2</v>
      </c>
      <c r="J57">
        <v>352.88</v>
      </c>
      <c r="K57">
        <v>0.15</v>
      </c>
      <c r="L57" t="s">
        <v>106</v>
      </c>
      <c r="M57">
        <v>2</v>
      </c>
      <c r="N57" t="s">
        <v>91</v>
      </c>
      <c r="O57" t="s">
        <v>97</v>
      </c>
      <c r="P57" t="s">
        <v>231</v>
      </c>
      <c r="Q57" t="s">
        <v>313</v>
      </c>
      <c r="R57" t="s">
        <v>103</v>
      </c>
      <c r="S57" t="s">
        <v>106</v>
      </c>
      <c r="T57">
        <v>1</v>
      </c>
      <c r="U57" t="s">
        <v>1328</v>
      </c>
      <c r="V57" t="s">
        <v>1255</v>
      </c>
      <c r="W57" t="s">
        <v>1245</v>
      </c>
      <c r="X57" t="s">
        <v>1225</v>
      </c>
      <c r="Y57" t="s">
        <v>1221</v>
      </c>
      <c r="Z57">
        <v>200.16</v>
      </c>
      <c r="AA57">
        <v>705.76</v>
      </c>
      <c r="AB57">
        <v>105.86399999999999</v>
      </c>
      <c r="AC57">
        <v>599.89599999999996</v>
      </c>
      <c r="AD57">
        <v>400.32</v>
      </c>
      <c r="AE57">
        <v>199.57599999999996</v>
      </c>
      <c r="AF57">
        <v>0.33268433195087144</v>
      </c>
      <c r="AG57">
        <v>2025</v>
      </c>
      <c r="AH57">
        <v>4</v>
      </c>
      <c r="AI57" t="s">
        <v>1421</v>
      </c>
      <c r="AJ57" t="s">
        <v>1420</v>
      </c>
      <c r="AK57" t="s">
        <v>1244</v>
      </c>
      <c r="AL57">
        <v>0</v>
      </c>
    </row>
    <row r="58" spans="1:38">
      <c r="A58" t="s">
        <v>646</v>
      </c>
      <c r="B58" s="13">
        <v>46020</v>
      </c>
      <c r="C58" t="s">
        <v>647</v>
      </c>
      <c r="D58" t="s">
        <v>133</v>
      </c>
      <c r="E58" t="s">
        <v>648</v>
      </c>
      <c r="F58" t="s">
        <v>145</v>
      </c>
      <c r="G58" t="s">
        <v>122</v>
      </c>
      <c r="H58" t="s">
        <v>89</v>
      </c>
      <c r="I58">
        <v>2</v>
      </c>
      <c r="J58">
        <v>349.83</v>
      </c>
      <c r="K58">
        <v>0</v>
      </c>
      <c r="L58" t="s">
        <v>98</v>
      </c>
      <c r="M58">
        <v>4</v>
      </c>
      <c r="N58" t="s">
        <v>91</v>
      </c>
      <c r="O58" t="s">
        <v>89</v>
      </c>
      <c r="P58" t="s">
        <v>133</v>
      </c>
      <c r="Q58" t="s">
        <v>647</v>
      </c>
      <c r="R58" t="s">
        <v>145</v>
      </c>
      <c r="S58" t="s">
        <v>98</v>
      </c>
      <c r="T58">
        <v>1</v>
      </c>
      <c r="U58" t="s">
        <v>1303</v>
      </c>
      <c r="V58" t="s">
        <v>1255</v>
      </c>
      <c r="W58" t="s">
        <v>1237</v>
      </c>
      <c r="X58" t="s">
        <v>1227</v>
      </c>
      <c r="Y58" t="s">
        <v>1221</v>
      </c>
      <c r="Z58">
        <v>229.86</v>
      </c>
      <c r="AA58">
        <v>699.66</v>
      </c>
      <c r="AB58">
        <v>0</v>
      </c>
      <c r="AC58">
        <v>699.66</v>
      </c>
      <c r="AD58">
        <v>459.72</v>
      </c>
      <c r="AE58">
        <v>239.93999999999994</v>
      </c>
      <c r="AF58">
        <v>0.34293799845639306</v>
      </c>
      <c r="AG58">
        <v>2025</v>
      </c>
      <c r="AH58">
        <v>12</v>
      </c>
      <c r="AI58" t="s">
        <v>1428</v>
      </c>
      <c r="AJ58" t="s">
        <v>1427</v>
      </c>
      <c r="AK58" t="s">
        <v>1244</v>
      </c>
      <c r="AL58">
        <v>0</v>
      </c>
    </row>
    <row r="59" spans="1:38">
      <c r="A59" t="s">
        <v>649</v>
      </c>
      <c r="B59" s="13">
        <v>45786</v>
      </c>
      <c r="C59" t="s">
        <v>610</v>
      </c>
      <c r="D59" t="s">
        <v>231</v>
      </c>
      <c r="E59" t="s">
        <v>611</v>
      </c>
      <c r="F59" t="s">
        <v>103</v>
      </c>
      <c r="G59" t="s">
        <v>96</v>
      </c>
      <c r="H59" t="s">
        <v>89</v>
      </c>
      <c r="I59">
        <v>1</v>
      </c>
      <c r="J59">
        <v>343.83</v>
      </c>
      <c r="K59">
        <v>0</v>
      </c>
      <c r="L59" t="s">
        <v>504</v>
      </c>
      <c r="M59">
        <v>6</v>
      </c>
      <c r="N59" t="s">
        <v>91</v>
      </c>
      <c r="O59" t="s">
        <v>89</v>
      </c>
      <c r="P59" t="s">
        <v>231</v>
      </c>
      <c r="Q59" t="s">
        <v>610</v>
      </c>
      <c r="R59" t="s">
        <v>103</v>
      </c>
      <c r="S59" t="s">
        <v>98</v>
      </c>
      <c r="T59">
        <v>1</v>
      </c>
      <c r="U59" t="s">
        <v>1304</v>
      </c>
      <c r="V59" t="s">
        <v>1297</v>
      </c>
      <c r="W59" t="s">
        <v>1241</v>
      </c>
      <c r="X59" t="s">
        <v>1225</v>
      </c>
      <c r="Y59" t="s">
        <v>1221</v>
      </c>
      <c r="Z59">
        <v>200.16</v>
      </c>
      <c r="AA59">
        <v>343.83</v>
      </c>
      <c r="AB59">
        <v>0</v>
      </c>
      <c r="AC59">
        <v>343.83</v>
      </c>
      <c r="AD59">
        <v>200.16</v>
      </c>
      <c r="AE59">
        <v>143.66999999999999</v>
      </c>
      <c r="AF59">
        <v>0.41785184538870951</v>
      </c>
      <c r="AG59">
        <v>2025</v>
      </c>
      <c r="AH59">
        <v>5</v>
      </c>
      <c r="AI59" t="s">
        <v>1419</v>
      </c>
      <c r="AJ59" t="s">
        <v>1420</v>
      </c>
      <c r="AK59" t="s">
        <v>1258</v>
      </c>
      <c r="AL59">
        <v>0</v>
      </c>
    </row>
    <row r="60" spans="1:38">
      <c r="A60" t="s">
        <v>657</v>
      </c>
      <c r="B60" s="13">
        <v>45780</v>
      </c>
      <c r="C60" t="s">
        <v>313</v>
      </c>
      <c r="D60" t="s">
        <v>94</v>
      </c>
      <c r="E60" t="s">
        <v>314</v>
      </c>
      <c r="F60" t="s">
        <v>103</v>
      </c>
      <c r="G60" t="s">
        <v>130</v>
      </c>
      <c r="H60" t="s">
        <v>233</v>
      </c>
      <c r="I60">
        <v>1</v>
      </c>
      <c r="J60">
        <v>293.24</v>
      </c>
      <c r="K60">
        <v>0.1</v>
      </c>
      <c r="L60" t="s">
        <v>90</v>
      </c>
      <c r="M60">
        <v>1</v>
      </c>
      <c r="N60" t="s">
        <v>91</v>
      </c>
      <c r="O60" t="s">
        <v>97</v>
      </c>
      <c r="P60" t="s">
        <v>94</v>
      </c>
      <c r="Q60" t="s">
        <v>313</v>
      </c>
      <c r="R60" t="s">
        <v>103</v>
      </c>
      <c r="S60" t="s">
        <v>369</v>
      </c>
      <c r="T60">
        <v>1</v>
      </c>
      <c r="U60" t="s">
        <v>1328</v>
      </c>
      <c r="V60" t="s">
        <v>1255</v>
      </c>
      <c r="W60" t="s">
        <v>1245</v>
      </c>
      <c r="X60" t="s">
        <v>1220</v>
      </c>
      <c r="Y60" t="s">
        <v>1221</v>
      </c>
      <c r="Z60">
        <v>152.55000000000001</v>
      </c>
      <c r="AA60">
        <v>293.24</v>
      </c>
      <c r="AB60">
        <v>29.324000000000002</v>
      </c>
      <c r="AC60">
        <v>263.916</v>
      </c>
      <c r="AD60">
        <v>152.55000000000001</v>
      </c>
      <c r="AE60">
        <v>111.36599999999999</v>
      </c>
      <c r="AF60">
        <v>0.42197517391897416</v>
      </c>
      <c r="AG60">
        <v>2025</v>
      </c>
      <c r="AH60">
        <v>5</v>
      </c>
      <c r="AI60" t="s">
        <v>1419</v>
      </c>
      <c r="AJ60" t="s">
        <v>1420</v>
      </c>
      <c r="AK60" t="s">
        <v>1244</v>
      </c>
      <c r="AL60">
        <v>0</v>
      </c>
    </row>
    <row r="61" spans="1:38">
      <c r="A61" t="s">
        <v>667</v>
      </c>
      <c r="B61" s="13">
        <v>45957</v>
      </c>
      <c r="C61" t="s">
        <v>427</v>
      </c>
      <c r="D61" t="s">
        <v>94</v>
      </c>
      <c r="E61" t="s">
        <v>428</v>
      </c>
      <c r="F61" t="s">
        <v>116</v>
      </c>
      <c r="G61" t="s">
        <v>117</v>
      </c>
      <c r="H61" t="s">
        <v>97</v>
      </c>
      <c r="I61">
        <v>1</v>
      </c>
      <c r="J61">
        <v>290.17</v>
      </c>
      <c r="K61">
        <v>0.15</v>
      </c>
      <c r="L61" t="s">
        <v>106</v>
      </c>
      <c r="M61">
        <v>4</v>
      </c>
      <c r="N61" t="s">
        <v>91</v>
      </c>
      <c r="O61" t="s">
        <v>97</v>
      </c>
      <c r="P61" t="s">
        <v>94</v>
      </c>
      <c r="Q61" t="s">
        <v>427</v>
      </c>
      <c r="R61" t="s">
        <v>116</v>
      </c>
      <c r="S61" t="s">
        <v>106</v>
      </c>
      <c r="T61">
        <v>1</v>
      </c>
      <c r="U61" t="s">
        <v>1311</v>
      </c>
      <c r="V61" t="s">
        <v>1277</v>
      </c>
      <c r="W61" t="s">
        <v>1237</v>
      </c>
      <c r="X61" t="s">
        <v>1220</v>
      </c>
      <c r="Y61" t="s">
        <v>1221</v>
      </c>
      <c r="Z61">
        <v>152.55000000000001</v>
      </c>
      <c r="AA61">
        <v>290.17</v>
      </c>
      <c r="AB61">
        <v>43.525500000000001</v>
      </c>
      <c r="AC61">
        <v>246.64450000000002</v>
      </c>
      <c r="AD61">
        <v>152.55000000000001</v>
      </c>
      <c r="AE61">
        <v>94.094500000000011</v>
      </c>
      <c r="AF61">
        <v>0.38149847249786639</v>
      </c>
      <c r="AG61">
        <v>2025</v>
      </c>
      <c r="AH61">
        <v>10</v>
      </c>
      <c r="AI61" t="s">
        <v>1431</v>
      </c>
      <c r="AJ61" t="s">
        <v>1427</v>
      </c>
      <c r="AK61" t="s">
        <v>1244</v>
      </c>
      <c r="AL61">
        <v>0</v>
      </c>
    </row>
    <row r="62" spans="1:38">
      <c r="A62" t="s">
        <v>679</v>
      </c>
      <c r="B62" s="13">
        <v>45660</v>
      </c>
      <c r="C62" t="s">
        <v>93</v>
      </c>
      <c r="D62" t="s">
        <v>210</v>
      </c>
      <c r="E62" t="s">
        <v>95</v>
      </c>
      <c r="F62" t="s">
        <v>145</v>
      </c>
      <c r="G62" t="s">
        <v>117</v>
      </c>
      <c r="H62" t="s">
        <v>105</v>
      </c>
      <c r="I62">
        <v>2</v>
      </c>
      <c r="J62">
        <v>300.93</v>
      </c>
      <c r="K62">
        <v>0.2</v>
      </c>
      <c r="L62" t="s">
        <v>253</v>
      </c>
      <c r="M62">
        <v>1</v>
      </c>
      <c r="N62" t="s">
        <v>91</v>
      </c>
      <c r="O62" t="s">
        <v>105</v>
      </c>
      <c r="P62" t="s">
        <v>210</v>
      </c>
      <c r="Q62" t="s">
        <v>93</v>
      </c>
      <c r="R62" t="s">
        <v>145</v>
      </c>
      <c r="S62" t="s">
        <v>106</v>
      </c>
      <c r="T62">
        <v>1</v>
      </c>
      <c r="U62" t="s">
        <v>1331</v>
      </c>
      <c r="V62" t="s">
        <v>1239</v>
      </c>
      <c r="W62" t="s">
        <v>1245</v>
      </c>
      <c r="X62" t="s">
        <v>1228</v>
      </c>
      <c r="Y62" t="s">
        <v>1221</v>
      </c>
      <c r="Z62">
        <v>177.57</v>
      </c>
      <c r="AA62">
        <v>601.86</v>
      </c>
      <c r="AB62">
        <v>120.37200000000001</v>
      </c>
      <c r="AC62">
        <v>481.488</v>
      </c>
      <c r="AD62">
        <v>355.14</v>
      </c>
      <c r="AE62">
        <v>126.34800000000001</v>
      </c>
      <c r="AF62">
        <v>0.26241152427474829</v>
      </c>
      <c r="AG62">
        <v>2025</v>
      </c>
      <c r="AH62">
        <v>1</v>
      </c>
      <c r="AI62" t="s">
        <v>1425</v>
      </c>
      <c r="AJ62" t="s">
        <v>1424</v>
      </c>
      <c r="AK62" t="s">
        <v>1240</v>
      </c>
      <c r="AL62">
        <v>0</v>
      </c>
    </row>
    <row r="63" spans="1:38">
      <c r="A63" t="s">
        <v>684</v>
      </c>
      <c r="B63" s="13">
        <v>45923</v>
      </c>
      <c r="C63" t="s">
        <v>239</v>
      </c>
      <c r="D63" t="s">
        <v>303</v>
      </c>
      <c r="E63" t="s">
        <v>240</v>
      </c>
      <c r="F63" t="s">
        <v>111</v>
      </c>
      <c r="G63" t="s">
        <v>88</v>
      </c>
      <c r="H63" t="s">
        <v>97</v>
      </c>
      <c r="I63">
        <v>4</v>
      </c>
      <c r="J63">
        <v>153.82</v>
      </c>
      <c r="K63">
        <v>0</v>
      </c>
      <c r="L63" t="s">
        <v>106</v>
      </c>
      <c r="M63">
        <v>2</v>
      </c>
      <c r="N63" t="s">
        <v>91</v>
      </c>
      <c r="O63" t="s">
        <v>97</v>
      </c>
      <c r="P63" t="s">
        <v>303</v>
      </c>
      <c r="Q63" t="s">
        <v>239</v>
      </c>
      <c r="R63" t="s">
        <v>111</v>
      </c>
      <c r="S63" t="s">
        <v>106</v>
      </c>
      <c r="T63">
        <v>1</v>
      </c>
      <c r="U63" t="s">
        <v>1336</v>
      </c>
      <c r="V63" t="s">
        <v>1297</v>
      </c>
      <c r="W63" t="s">
        <v>1237</v>
      </c>
      <c r="X63" t="s">
        <v>1224</v>
      </c>
      <c r="Y63" t="s">
        <v>1221</v>
      </c>
      <c r="Z63">
        <v>76.97</v>
      </c>
      <c r="AA63">
        <v>615.28</v>
      </c>
      <c r="AB63">
        <v>0</v>
      </c>
      <c r="AC63">
        <v>615.28</v>
      </c>
      <c r="AD63">
        <v>307.88</v>
      </c>
      <c r="AE63">
        <v>307.39999999999998</v>
      </c>
      <c r="AF63">
        <v>0.49960993368872708</v>
      </c>
      <c r="AG63">
        <v>2025</v>
      </c>
      <c r="AH63">
        <v>9</v>
      </c>
      <c r="AI63" t="s">
        <v>1432</v>
      </c>
      <c r="AJ63" t="s">
        <v>1418</v>
      </c>
      <c r="AK63" t="s">
        <v>1258</v>
      </c>
      <c r="AL63">
        <v>0</v>
      </c>
    </row>
    <row r="64" spans="1:38">
      <c r="A64" t="s">
        <v>688</v>
      </c>
      <c r="B64" s="13">
        <v>45879</v>
      </c>
      <c r="C64" t="s">
        <v>480</v>
      </c>
      <c r="D64" t="s">
        <v>133</v>
      </c>
      <c r="E64" t="s">
        <v>481</v>
      </c>
      <c r="F64" t="s">
        <v>103</v>
      </c>
      <c r="G64" t="s">
        <v>117</v>
      </c>
      <c r="H64" t="s">
        <v>89</v>
      </c>
      <c r="I64">
        <v>2</v>
      </c>
      <c r="J64">
        <v>331.42</v>
      </c>
      <c r="K64">
        <v>0</v>
      </c>
      <c r="L64" t="s">
        <v>90</v>
      </c>
      <c r="M64">
        <v>7</v>
      </c>
      <c r="N64" t="s">
        <v>91</v>
      </c>
      <c r="O64" t="s">
        <v>89</v>
      </c>
      <c r="P64" t="s">
        <v>133</v>
      </c>
      <c r="Q64" t="s">
        <v>480</v>
      </c>
      <c r="R64" t="s">
        <v>103</v>
      </c>
      <c r="S64" t="s">
        <v>369</v>
      </c>
      <c r="T64">
        <v>1</v>
      </c>
      <c r="U64" t="s">
        <v>1306</v>
      </c>
      <c r="V64" t="s">
        <v>1247</v>
      </c>
      <c r="W64" t="s">
        <v>1237</v>
      </c>
      <c r="X64" t="s">
        <v>1227</v>
      </c>
      <c r="Y64" t="s">
        <v>1221</v>
      </c>
      <c r="Z64">
        <v>229.86</v>
      </c>
      <c r="AA64">
        <v>662.84</v>
      </c>
      <c r="AB64">
        <v>0</v>
      </c>
      <c r="AC64">
        <v>662.84</v>
      </c>
      <c r="AD64">
        <v>459.72</v>
      </c>
      <c r="AE64">
        <v>203.12</v>
      </c>
      <c r="AF64">
        <v>0.30643895962826623</v>
      </c>
      <c r="AG64">
        <v>2025</v>
      </c>
      <c r="AH64">
        <v>8</v>
      </c>
      <c r="AI64" t="s">
        <v>1417</v>
      </c>
      <c r="AJ64" t="s">
        <v>1418</v>
      </c>
      <c r="AK64" t="s">
        <v>1240</v>
      </c>
      <c r="AL64">
        <v>0</v>
      </c>
    </row>
    <row r="65" spans="1:38">
      <c r="A65" t="s">
        <v>693</v>
      </c>
      <c r="B65" s="13">
        <v>45920</v>
      </c>
      <c r="C65" t="s">
        <v>316</v>
      </c>
      <c r="D65" t="s">
        <v>143</v>
      </c>
      <c r="E65" t="s">
        <v>317</v>
      </c>
      <c r="F65" t="s">
        <v>116</v>
      </c>
      <c r="G65" t="s">
        <v>104</v>
      </c>
      <c r="H65" t="s">
        <v>89</v>
      </c>
      <c r="I65">
        <v>1</v>
      </c>
      <c r="J65">
        <v>274.36</v>
      </c>
      <c r="K65">
        <v>0</v>
      </c>
      <c r="L65" t="s">
        <v>106</v>
      </c>
      <c r="M65">
        <v>8</v>
      </c>
      <c r="N65" t="s">
        <v>91</v>
      </c>
      <c r="O65" t="s">
        <v>89</v>
      </c>
      <c r="P65" t="s">
        <v>143</v>
      </c>
      <c r="Q65" t="s">
        <v>316</v>
      </c>
      <c r="R65" t="s">
        <v>116</v>
      </c>
      <c r="S65" t="s">
        <v>106</v>
      </c>
      <c r="T65">
        <v>1</v>
      </c>
      <c r="U65" t="s">
        <v>1323</v>
      </c>
      <c r="V65" t="s">
        <v>1297</v>
      </c>
      <c r="W65" t="s">
        <v>1237</v>
      </c>
      <c r="X65" t="s">
        <v>1226</v>
      </c>
      <c r="Y65" t="s">
        <v>1221</v>
      </c>
      <c r="Z65">
        <v>119.16</v>
      </c>
      <c r="AA65">
        <v>274.36</v>
      </c>
      <c r="AB65">
        <v>0</v>
      </c>
      <c r="AC65">
        <v>274.36</v>
      </c>
      <c r="AD65">
        <v>119.16</v>
      </c>
      <c r="AE65">
        <v>155.20000000000002</v>
      </c>
      <c r="AF65">
        <v>0.56568012829858583</v>
      </c>
      <c r="AG65">
        <v>2025</v>
      </c>
      <c r="AH65">
        <v>9</v>
      </c>
      <c r="AI65" t="s">
        <v>1432</v>
      </c>
      <c r="AJ65" t="s">
        <v>1418</v>
      </c>
      <c r="AK65" t="s">
        <v>1258</v>
      </c>
      <c r="AL65">
        <v>0</v>
      </c>
    </row>
    <row r="66" spans="1:38">
      <c r="A66" t="s">
        <v>697</v>
      </c>
      <c r="B66" s="13">
        <v>45996</v>
      </c>
      <c r="C66" t="s">
        <v>319</v>
      </c>
      <c r="D66" t="s">
        <v>303</v>
      </c>
      <c r="E66" t="s">
        <v>320</v>
      </c>
      <c r="F66" t="s">
        <v>111</v>
      </c>
      <c r="G66" t="s">
        <v>171</v>
      </c>
      <c r="H66" t="s">
        <v>97</v>
      </c>
      <c r="I66">
        <v>2</v>
      </c>
      <c r="J66">
        <v>165.88</v>
      </c>
      <c r="K66">
        <v>0.15</v>
      </c>
      <c r="L66" t="s">
        <v>90</v>
      </c>
      <c r="M66">
        <v>2</v>
      </c>
      <c r="N66" t="s">
        <v>91</v>
      </c>
      <c r="O66" t="s">
        <v>97</v>
      </c>
      <c r="P66" t="s">
        <v>303</v>
      </c>
      <c r="Q66" t="s">
        <v>319</v>
      </c>
      <c r="R66" t="s">
        <v>111</v>
      </c>
      <c r="S66" t="s">
        <v>369</v>
      </c>
      <c r="T66">
        <v>1</v>
      </c>
      <c r="U66" t="s">
        <v>1262</v>
      </c>
      <c r="V66" t="s">
        <v>1260</v>
      </c>
      <c r="W66" t="s">
        <v>1241</v>
      </c>
      <c r="X66" t="s">
        <v>1224</v>
      </c>
      <c r="Y66" t="s">
        <v>1221</v>
      </c>
      <c r="Z66">
        <v>76.97</v>
      </c>
      <c r="AA66">
        <v>331.76</v>
      </c>
      <c r="AB66">
        <v>49.763999999999996</v>
      </c>
      <c r="AC66">
        <v>281.99599999999998</v>
      </c>
      <c r="AD66">
        <v>153.94</v>
      </c>
      <c r="AE66">
        <v>128.05599999999998</v>
      </c>
      <c r="AF66">
        <v>0.45410573199619853</v>
      </c>
      <c r="AG66">
        <v>2025</v>
      </c>
      <c r="AH66">
        <v>12</v>
      </c>
      <c r="AI66" t="s">
        <v>1428</v>
      </c>
      <c r="AJ66" t="s">
        <v>1427</v>
      </c>
      <c r="AK66" t="s">
        <v>1240</v>
      </c>
      <c r="AL66">
        <v>0</v>
      </c>
    </row>
    <row r="67" spans="1:38">
      <c r="A67" t="s">
        <v>698</v>
      </c>
      <c r="B67" s="13">
        <v>45852</v>
      </c>
      <c r="C67" t="s">
        <v>699</v>
      </c>
      <c r="D67" t="s">
        <v>114</v>
      </c>
      <c r="E67" t="s">
        <v>700</v>
      </c>
      <c r="F67" t="s">
        <v>87</v>
      </c>
      <c r="G67" t="s">
        <v>171</v>
      </c>
      <c r="H67" t="s">
        <v>97</v>
      </c>
      <c r="I67">
        <v>2</v>
      </c>
      <c r="J67">
        <v>144.15</v>
      </c>
      <c r="K67">
        <v>0.2</v>
      </c>
      <c r="L67" t="s">
        <v>98</v>
      </c>
      <c r="M67">
        <v>0</v>
      </c>
      <c r="N67" t="s">
        <v>91</v>
      </c>
      <c r="O67" t="s">
        <v>97</v>
      </c>
      <c r="P67" t="s">
        <v>114</v>
      </c>
      <c r="Q67" t="s">
        <v>699</v>
      </c>
      <c r="R67" t="s">
        <v>87</v>
      </c>
      <c r="S67" t="s">
        <v>98</v>
      </c>
      <c r="T67">
        <v>1</v>
      </c>
      <c r="U67" t="s">
        <v>1341</v>
      </c>
      <c r="V67" t="s">
        <v>1239</v>
      </c>
      <c r="W67" t="s">
        <v>1237</v>
      </c>
      <c r="X67" t="s">
        <v>1222</v>
      </c>
      <c r="Y67" t="s">
        <v>1221</v>
      </c>
      <c r="Z67">
        <v>78.95</v>
      </c>
      <c r="AA67">
        <v>288.3</v>
      </c>
      <c r="AB67">
        <v>57.660000000000004</v>
      </c>
      <c r="AC67">
        <v>230.64000000000001</v>
      </c>
      <c r="AD67">
        <v>157.9</v>
      </c>
      <c r="AE67">
        <v>72.740000000000009</v>
      </c>
      <c r="AF67">
        <v>0.31538328130419702</v>
      </c>
      <c r="AG67">
        <v>2025</v>
      </c>
      <c r="AH67">
        <v>7</v>
      </c>
      <c r="AI67" t="s">
        <v>1422</v>
      </c>
      <c r="AJ67" t="s">
        <v>1418</v>
      </c>
      <c r="AK67" t="s">
        <v>1240</v>
      </c>
      <c r="AL67">
        <v>0</v>
      </c>
    </row>
    <row r="68" spans="1:38">
      <c r="A68" t="s">
        <v>708</v>
      </c>
      <c r="B68" s="13">
        <v>45849</v>
      </c>
      <c r="C68" t="s">
        <v>189</v>
      </c>
      <c r="D68" t="s">
        <v>303</v>
      </c>
      <c r="E68" t="s">
        <v>457</v>
      </c>
      <c r="F68" t="s">
        <v>111</v>
      </c>
      <c r="G68" t="s">
        <v>96</v>
      </c>
      <c r="H68" t="s">
        <v>97</v>
      </c>
      <c r="I68">
        <v>1</v>
      </c>
      <c r="J68">
        <v>152.72999999999999</v>
      </c>
      <c r="K68">
        <v>0.25</v>
      </c>
      <c r="L68" t="s">
        <v>98</v>
      </c>
      <c r="M68">
        <v>3</v>
      </c>
      <c r="N68" t="s">
        <v>91</v>
      </c>
      <c r="O68" t="s">
        <v>97</v>
      </c>
      <c r="P68" t="s">
        <v>303</v>
      </c>
      <c r="Q68" t="s">
        <v>189</v>
      </c>
      <c r="R68" t="s">
        <v>111</v>
      </c>
      <c r="S68" t="s">
        <v>98</v>
      </c>
      <c r="T68">
        <v>1</v>
      </c>
      <c r="U68" t="s">
        <v>1283</v>
      </c>
      <c r="V68" t="s">
        <v>1275</v>
      </c>
      <c r="W68" t="s">
        <v>1241</v>
      </c>
      <c r="X68" t="s">
        <v>1224</v>
      </c>
      <c r="Y68" t="s">
        <v>1221</v>
      </c>
      <c r="Z68">
        <v>76.97</v>
      </c>
      <c r="AA68">
        <v>152.72999999999999</v>
      </c>
      <c r="AB68">
        <v>38.182499999999997</v>
      </c>
      <c r="AC68">
        <v>114.54749999999999</v>
      </c>
      <c r="AD68">
        <v>76.97</v>
      </c>
      <c r="AE68">
        <v>37.577499999999986</v>
      </c>
      <c r="AF68">
        <v>0.32805168161679643</v>
      </c>
      <c r="AG68">
        <v>2025</v>
      </c>
      <c r="AH68">
        <v>7</v>
      </c>
      <c r="AI68" t="s">
        <v>1422</v>
      </c>
      <c r="AJ68" t="s">
        <v>1418</v>
      </c>
      <c r="AK68" t="s">
        <v>1258</v>
      </c>
      <c r="AL68">
        <v>0</v>
      </c>
    </row>
    <row r="69" spans="1:38">
      <c r="A69" t="s">
        <v>712</v>
      </c>
      <c r="B69" s="13">
        <v>45676</v>
      </c>
      <c r="C69" t="s">
        <v>326</v>
      </c>
      <c r="D69" t="s">
        <v>143</v>
      </c>
      <c r="E69" t="s">
        <v>327</v>
      </c>
      <c r="F69" t="s">
        <v>103</v>
      </c>
      <c r="G69" t="s">
        <v>104</v>
      </c>
      <c r="H69" t="s">
        <v>89</v>
      </c>
      <c r="I69">
        <v>2</v>
      </c>
      <c r="J69">
        <v>253.83</v>
      </c>
      <c r="K69">
        <v>0.1</v>
      </c>
      <c r="L69" t="s">
        <v>98</v>
      </c>
      <c r="M69">
        <v>9</v>
      </c>
      <c r="N69" t="s">
        <v>91</v>
      </c>
      <c r="O69" t="s">
        <v>89</v>
      </c>
      <c r="P69" t="s">
        <v>143</v>
      </c>
      <c r="Q69" t="s">
        <v>326</v>
      </c>
      <c r="R69" t="s">
        <v>103</v>
      </c>
      <c r="S69" t="s">
        <v>98</v>
      </c>
      <c r="T69">
        <v>1</v>
      </c>
      <c r="U69" t="s">
        <v>1338</v>
      </c>
      <c r="V69" t="s">
        <v>1325</v>
      </c>
      <c r="W69" t="s">
        <v>1237</v>
      </c>
      <c r="X69" t="s">
        <v>1226</v>
      </c>
      <c r="Y69" t="s">
        <v>1221</v>
      </c>
      <c r="Z69">
        <v>119.16</v>
      </c>
      <c r="AA69">
        <v>507.66</v>
      </c>
      <c r="AB69">
        <v>50.766000000000005</v>
      </c>
      <c r="AC69">
        <v>456.89400000000001</v>
      </c>
      <c r="AD69">
        <v>238.32</v>
      </c>
      <c r="AE69">
        <v>218.57400000000001</v>
      </c>
      <c r="AF69">
        <v>0.47839104912736874</v>
      </c>
      <c r="AG69">
        <v>2025</v>
      </c>
      <c r="AH69">
        <v>1</v>
      </c>
      <c r="AI69" t="s">
        <v>1425</v>
      </c>
      <c r="AJ69" t="s">
        <v>1424</v>
      </c>
      <c r="AK69" t="s">
        <v>1326</v>
      </c>
      <c r="AL69">
        <v>0</v>
      </c>
    </row>
    <row r="70" spans="1:38">
      <c r="A70" t="s">
        <v>719</v>
      </c>
      <c r="B70" s="13">
        <v>45995</v>
      </c>
      <c r="C70" t="s">
        <v>197</v>
      </c>
      <c r="D70" t="s">
        <v>133</v>
      </c>
      <c r="E70" t="s">
        <v>198</v>
      </c>
      <c r="F70" t="s">
        <v>111</v>
      </c>
      <c r="G70" t="s">
        <v>117</v>
      </c>
      <c r="H70" t="s">
        <v>89</v>
      </c>
      <c r="I70">
        <v>1</v>
      </c>
      <c r="J70">
        <v>341.39</v>
      </c>
      <c r="K70">
        <v>0</v>
      </c>
      <c r="M70">
        <v>4</v>
      </c>
      <c r="N70" t="s">
        <v>91</v>
      </c>
      <c r="O70" t="s">
        <v>89</v>
      </c>
      <c r="P70" t="s">
        <v>133</v>
      </c>
      <c r="Q70" t="s">
        <v>197</v>
      </c>
      <c r="R70" t="s">
        <v>111</v>
      </c>
      <c r="S70" t="s">
        <v>1413</v>
      </c>
      <c r="T70">
        <v>1</v>
      </c>
      <c r="U70" t="s">
        <v>1337</v>
      </c>
      <c r="V70" t="s">
        <v>1257</v>
      </c>
      <c r="W70" t="s">
        <v>1241</v>
      </c>
      <c r="X70" t="s">
        <v>1227</v>
      </c>
      <c r="Y70" t="s">
        <v>1221</v>
      </c>
      <c r="Z70">
        <v>229.86</v>
      </c>
      <c r="AA70">
        <v>341.39</v>
      </c>
      <c r="AB70">
        <v>0</v>
      </c>
      <c r="AC70">
        <v>341.39</v>
      </c>
      <c r="AD70">
        <v>229.86</v>
      </c>
      <c r="AE70">
        <v>111.52999999999997</v>
      </c>
      <c r="AF70">
        <v>0.32669381059784991</v>
      </c>
      <c r="AG70">
        <v>2025</v>
      </c>
      <c r="AH70">
        <v>12</v>
      </c>
      <c r="AI70" t="s">
        <v>1428</v>
      </c>
      <c r="AJ70" t="s">
        <v>1427</v>
      </c>
      <c r="AK70" t="s">
        <v>1258</v>
      </c>
      <c r="AL70">
        <v>0</v>
      </c>
    </row>
    <row r="71" spans="1:38">
      <c r="A71" t="s">
        <v>721</v>
      </c>
      <c r="B71" s="13">
        <v>46007</v>
      </c>
      <c r="C71" t="s">
        <v>124</v>
      </c>
      <c r="D71" t="s">
        <v>114</v>
      </c>
      <c r="E71" t="s">
        <v>126</v>
      </c>
      <c r="F71" t="s">
        <v>145</v>
      </c>
      <c r="G71" t="s">
        <v>130</v>
      </c>
      <c r="H71" t="s">
        <v>105</v>
      </c>
      <c r="I71">
        <v>2</v>
      </c>
      <c r="J71">
        <v>140.47</v>
      </c>
      <c r="K71">
        <v>0.15</v>
      </c>
      <c r="L71" t="s">
        <v>106</v>
      </c>
      <c r="M71">
        <v>6</v>
      </c>
      <c r="N71" t="s">
        <v>91</v>
      </c>
      <c r="O71" t="s">
        <v>105</v>
      </c>
      <c r="P71" t="s">
        <v>114</v>
      </c>
      <c r="Q71" t="s">
        <v>124</v>
      </c>
      <c r="R71" t="s">
        <v>145</v>
      </c>
      <c r="S71" t="s">
        <v>106</v>
      </c>
      <c r="T71">
        <v>1</v>
      </c>
      <c r="U71" t="s">
        <v>1270</v>
      </c>
      <c r="V71" t="s">
        <v>1235</v>
      </c>
      <c r="W71" t="s">
        <v>1245</v>
      </c>
      <c r="X71" t="s">
        <v>1222</v>
      </c>
      <c r="Y71" t="s">
        <v>1221</v>
      </c>
      <c r="Z71">
        <v>78.95</v>
      </c>
      <c r="AA71">
        <v>280.94</v>
      </c>
      <c r="AB71">
        <v>42.140999999999998</v>
      </c>
      <c r="AC71">
        <v>238.79900000000001</v>
      </c>
      <c r="AD71">
        <v>157.9</v>
      </c>
      <c r="AE71">
        <v>80.899000000000001</v>
      </c>
      <c r="AF71">
        <v>0.33877445047927335</v>
      </c>
      <c r="AG71">
        <v>2025</v>
      </c>
      <c r="AH71">
        <v>12</v>
      </c>
      <c r="AI71" t="s">
        <v>1428</v>
      </c>
      <c r="AJ71" t="s">
        <v>1427</v>
      </c>
      <c r="AK71" t="s">
        <v>1236</v>
      </c>
      <c r="AL71">
        <v>0</v>
      </c>
    </row>
    <row r="72" spans="1:38">
      <c r="A72" t="s">
        <v>722</v>
      </c>
      <c r="B72" s="13">
        <v>45923</v>
      </c>
      <c r="C72" t="s">
        <v>647</v>
      </c>
      <c r="D72" t="s">
        <v>303</v>
      </c>
      <c r="E72" t="s">
        <v>648</v>
      </c>
      <c r="F72" t="s">
        <v>103</v>
      </c>
      <c r="G72" t="s">
        <v>104</v>
      </c>
      <c r="H72" t="s">
        <v>97</v>
      </c>
      <c r="I72">
        <v>1</v>
      </c>
      <c r="J72">
        <v>168.49</v>
      </c>
      <c r="K72">
        <v>0.05</v>
      </c>
      <c r="L72" t="s">
        <v>98</v>
      </c>
      <c r="M72">
        <v>3</v>
      </c>
      <c r="N72" t="s">
        <v>91</v>
      </c>
      <c r="O72" t="s">
        <v>97</v>
      </c>
      <c r="P72" t="s">
        <v>303</v>
      </c>
      <c r="Q72" t="s">
        <v>647</v>
      </c>
      <c r="R72" t="s">
        <v>103</v>
      </c>
      <c r="S72" t="s">
        <v>98</v>
      </c>
      <c r="T72">
        <v>1</v>
      </c>
      <c r="U72" t="s">
        <v>1303</v>
      </c>
      <c r="V72" t="s">
        <v>1255</v>
      </c>
      <c r="W72" t="s">
        <v>1237</v>
      </c>
      <c r="X72" t="s">
        <v>1224</v>
      </c>
      <c r="Y72" t="s">
        <v>1221</v>
      </c>
      <c r="Z72">
        <v>76.97</v>
      </c>
      <c r="AA72">
        <v>168.49</v>
      </c>
      <c r="AB72">
        <v>8.4245000000000001</v>
      </c>
      <c r="AC72">
        <v>160.06550000000001</v>
      </c>
      <c r="AD72">
        <v>76.97</v>
      </c>
      <c r="AE72">
        <v>83.095500000000015</v>
      </c>
      <c r="AF72">
        <v>0.51913435437367828</v>
      </c>
      <c r="AG72">
        <v>2025</v>
      </c>
      <c r="AH72">
        <v>9</v>
      </c>
      <c r="AI72" t="s">
        <v>1432</v>
      </c>
      <c r="AJ72" t="s">
        <v>1418</v>
      </c>
      <c r="AK72" t="s">
        <v>1244</v>
      </c>
      <c r="AL72">
        <v>0</v>
      </c>
    </row>
    <row r="73" spans="1:38">
      <c r="A73" t="s">
        <v>723</v>
      </c>
      <c r="B73" s="13">
        <v>45795</v>
      </c>
      <c r="C73" t="s">
        <v>670</v>
      </c>
      <c r="D73" t="s">
        <v>469</v>
      </c>
      <c r="E73" t="s">
        <v>671</v>
      </c>
      <c r="F73" t="s">
        <v>111</v>
      </c>
      <c r="G73" t="s">
        <v>130</v>
      </c>
      <c r="H73" t="s">
        <v>89</v>
      </c>
      <c r="I73">
        <v>2</v>
      </c>
      <c r="J73">
        <v>82.55</v>
      </c>
      <c r="K73">
        <v>0.05</v>
      </c>
      <c r="L73" t="s">
        <v>90</v>
      </c>
      <c r="M73">
        <v>7</v>
      </c>
      <c r="N73" t="s">
        <v>91</v>
      </c>
      <c r="O73" t="s">
        <v>89</v>
      </c>
      <c r="P73" t="s">
        <v>469</v>
      </c>
      <c r="Q73" t="s">
        <v>670</v>
      </c>
      <c r="R73" t="s">
        <v>111</v>
      </c>
      <c r="S73" t="s">
        <v>369</v>
      </c>
      <c r="T73">
        <v>1</v>
      </c>
      <c r="U73" t="s">
        <v>1349</v>
      </c>
      <c r="V73" t="s">
        <v>1249</v>
      </c>
      <c r="W73" t="s">
        <v>1241</v>
      </c>
      <c r="X73" t="s">
        <v>1223</v>
      </c>
      <c r="Y73" t="s">
        <v>1221</v>
      </c>
      <c r="Z73">
        <v>59.85</v>
      </c>
      <c r="AA73">
        <v>165.1</v>
      </c>
      <c r="AB73">
        <v>8.2550000000000008</v>
      </c>
      <c r="AC73">
        <v>156.845</v>
      </c>
      <c r="AD73">
        <v>119.7</v>
      </c>
      <c r="AE73">
        <v>37.144999999999996</v>
      </c>
      <c r="AF73">
        <v>0.2368261659600242</v>
      </c>
      <c r="AG73">
        <v>2025</v>
      </c>
      <c r="AH73">
        <v>5</v>
      </c>
      <c r="AI73" t="s">
        <v>1419</v>
      </c>
      <c r="AJ73" t="s">
        <v>1420</v>
      </c>
      <c r="AK73" t="s">
        <v>1250</v>
      </c>
      <c r="AL73">
        <v>0</v>
      </c>
    </row>
    <row r="74" spans="1:38">
      <c r="A74" t="s">
        <v>725</v>
      </c>
      <c r="B74" s="13">
        <v>45876</v>
      </c>
      <c r="C74" t="s">
        <v>293</v>
      </c>
      <c r="D74" t="s">
        <v>94</v>
      </c>
      <c r="E74" t="s">
        <v>394</v>
      </c>
      <c r="F74" t="s">
        <v>145</v>
      </c>
      <c r="G74" t="s">
        <v>183</v>
      </c>
      <c r="H74" t="s">
        <v>97</v>
      </c>
      <c r="I74">
        <v>1</v>
      </c>
      <c r="J74">
        <v>301.12</v>
      </c>
      <c r="K74">
        <v>0.2</v>
      </c>
      <c r="L74" t="s">
        <v>106</v>
      </c>
      <c r="M74">
        <v>0</v>
      </c>
      <c r="N74" t="s">
        <v>91</v>
      </c>
      <c r="O74" t="s">
        <v>97</v>
      </c>
      <c r="P74" t="s">
        <v>94</v>
      </c>
      <c r="Q74" t="s">
        <v>293</v>
      </c>
      <c r="R74" t="s">
        <v>145</v>
      </c>
      <c r="S74" t="s">
        <v>106</v>
      </c>
      <c r="T74">
        <v>1</v>
      </c>
      <c r="U74" t="s">
        <v>1252</v>
      </c>
      <c r="V74" t="s">
        <v>1243</v>
      </c>
      <c r="W74" t="s">
        <v>1237</v>
      </c>
      <c r="X74" t="s">
        <v>1220</v>
      </c>
      <c r="Y74" t="s">
        <v>1221</v>
      </c>
      <c r="Z74">
        <v>152.55000000000001</v>
      </c>
      <c r="AA74">
        <v>301.12</v>
      </c>
      <c r="AB74">
        <v>60.224000000000004</v>
      </c>
      <c r="AC74">
        <v>240.89600000000002</v>
      </c>
      <c r="AD74">
        <v>152.55000000000001</v>
      </c>
      <c r="AE74">
        <v>88.346000000000004</v>
      </c>
      <c r="AF74">
        <v>0.36673917375132836</v>
      </c>
      <c r="AG74">
        <v>2025</v>
      </c>
      <c r="AH74">
        <v>8</v>
      </c>
      <c r="AI74" t="s">
        <v>1417</v>
      </c>
      <c r="AJ74" t="s">
        <v>1418</v>
      </c>
      <c r="AK74" t="s">
        <v>1244</v>
      </c>
      <c r="AL74">
        <v>0</v>
      </c>
    </row>
    <row r="75" spans="1:38">
      <c r="A75" t="s">
        <v>727</v>
      </c>
      <c r="B75" s="13">
        <v>45762</v>
      </c>
      <c r="C75" t="s">
        <v>213</v>
      </c>
      <c r="D75" t="s">
        <v>133</v>
      </c>
      <c r="E75" t="s">
        <v>214</v>
      </c>
      <c r="F75" t="s">
        <v>103</v>
      </c>
      <c r="G75" t="s">
        <v>117</v>
      </c>
      <c r="H75" t="s">
        <v>97</v>
      </c>
      <c r="I75">
        <v>1</v>
      </c>
      <c r="J75">
        <v>337.2</v>
      </c>
      <c r="K75">
        <v>0.05</v>
      </c>
      <c r="L75" t="s">
        <v>106</v>
      </c>
      <c r="M75">
        <v>1</v>
      </c>
      <c r="N75" t="s">
        <v>91</v>
      </c>
      <c r="O75" t="s">
        <v>97</v>
      </c>
      <c r="P75" t="s">
        <v>133</v>
      </c>
      <c r="Q75" t="s">
        <v>213</v>
      </c>
      <c r="R75" t="s">
        <v>103</v>
      </c>
      <c r="S75" t="s">
        <v>106</v>
      </c>
      <c r="T75">
        <v>1</v>
      </c>
      <c r="U75" t="s">
        <v>1234</v>
      </c>
      <c r="V75" t="s">
        <v>1235</v>
      </c>
      <c r="W75" t="s">
        <v>1237</v>
      </c>
      <c r="X75" t="s">
        <v>1227</v>
      </c>
      <c r="Y75" t="s">
        <v>1221</v>
      </c>
      <c r="Z75">
        <v>229.86</v>
      </c>
      <c r="AA75">
        <v>337.2</v>
      </c>
      <c r="AB75">
        <v>16.86</v>
      </c>
      <c r="AC75">
        <v>320.33999999999997</v>
      </c>
      <c r="AD75">
        <v>229.86</v>
      </c>
      <c r="AE75">
        <v>90.479999999999961</v>
      </c>
      <c r="AF75">
        <v>0.28244989698445394</v>
      </c>
      <c r="AG75">
        <v>2025</v>
      </c>
      <c r="AH75">
        <v>4</v>
      </c>
      <c r="AI75" t="s">
        <v>1421</v>
      </c>
      <c r="AJ75" t="s">
        <v>1420</v>
      </c>
      <c r="AK75" t="s">
        <v>1236</v>
      </c>
      <c r="AL75">
        <v>0</v>
      </c>
    </row>
    <row r="76" spans="1:38">
      <c r="A76" t="s">
        <v>728</v>
      </c>
      <c r="B76" s="13">
        <v>45823</v>
      </c>
      <c r="C76" t="s">
        <v>200</v>
      </c>
      <c r="D76" t="s">
        <v>133</v>
      </c>
      <c r="E76" t="s">
        <v>201</v>
      </c>
      <c r="F76" t="s">
        <v>87</v>
      </c>
      <c r="G76" t="s">
        <v>130</v>
      </c>
      <c r="H76" t="s">
        <v>89</v>
      </c>
      <c r="I76">
        <v>1</v>
      </c>
      <c r="J76">
        <v>334.17</v>
      </c>
      <c r="K76">
        <v>0.05</v>
      </c>
      <c r="L76" t="s">
        <v>98</v>
      </c>
      <c r="M76">
        <v>7</v>
      </c>
      <c r="N76" t="s">
        <v>91</v>
      </c>
      <c r="O76" t="s">
        <v>89</v>
      </c>
      <c r="P76" t="s">
        <v>133</v>
      </c>
      <c r="Q76" t="s">
        <v>200</v>
      </c>
      <c r="R76" t="s">
        <v>87</v>
      </c>
      <c r="S76" t="s">
        <v>98</v>
      </c>
      <c r="T76">
        <v>1</v>
      </c>
      <c r="U76" t="s">
        <v>1357</v>
      </c>
      <c r="V76" t="s">
        <v>1257</v>
      </c>
      <c r="W76" t="s">
        <v>1241</v>
      </c>
      <c r="X76" t="s">
        <v>1227</v>
      </c>
      <c r="Y76" t="s">
        <v>1221</v>
      </c>
      <c r="Z76">
        <v>229.86</v>
      </c>
      <c r="AA76">
        <v>334.17</v>
      </c>
      <c r="AB76">
        <v>16.708500000000001</v>
      </c>
      <c r="AC76">
        <v>317.4615</v>
      </c>
      <c r="AD76">
        <v>229.86</v>
      </c>
      <c r="AE76">
        <v>87.601499999999987</v>
      </c>
      <c r="AF76">
        <v>0.27594369710972821</v>
      </c>
      <c r="AG76">
        <v>2025</v>
      </c>
      <c r="AH76">
        <v>6</v>
      </c>
      <c r="AI76" t="s">
        <v>1429</v>
      </c>
      <c r="AJ76" t="s">
        <v>1420</v>
      </c>
      <c r="AK76" t="s">
        <v>1258</v>
      </c>
      <c r="AL76">
        <v>0</v>
      </c>
    </row>
    <row r="77" spans="1:38">
      <c r="A77" t="s">
        <v>730</v>
      </c>
      <c r="B77" s="13">
        <v>45709</v>
      </c>
      <c r="C77" t="s">
        <v>610</v>
      </c>
      <c r="D77" t="s">
        <v>133</v>
      </c>
      <c r="E77" t="s">
        <v>611</v>
      </c>
      <c r="F77" t="s">
        <v>145</v>
      </c>
      <c r="G77" t="s">
        <v>88</v>
      </c>
      <c r="H77" t="s">
        <v>105</v>
      </c>
      <c r="I77">
        <v>4</v>
      </c>
      <c r="J77">
        <v>339.87</v>
      </c>
      <c r="K77">
        <v>0</v>
      </c>
      <c r="L77" t="s">
        <v>98</v>
      </c>
      <c r="M77">
        <v>8</v>
      </c>
      <c r="N77" t="s">
        <v>91</v>
      </c>
      <c r="O77" t="s">
        <v>105</v>
      </c>
      <c r="P77" t="s">
        <v>133</v>
      </c>
      <c r="Q77" t="s">
        <v>610</v>
      </c>
      <c r="R77" t="s">
        <v>145</v>
      </c>
      <c r="S77" t="s">
        <v>98</v>
      </c>
      <c r="T77">
        <v>1</v>
      </c>
      <c r="U77" t="s">
        <v>1304</v>
      </c>
      <c r="V77" t="s">
        <v>1297</v>
      </c>
      <c r="W77" t="s">
        <v>1241</v>
      </c>
      <c r="X77" t="s">
        <v>1227</v>
      </c>
      <c r="Y77" t="s">
        <v>1221</v>
      </c>
      <c r="Z77">
        <v>229.86</v>
      </c>
      <c r="AA77">
        <v>1359.48</v>
      </c>
      <c r="AB77">
        <v>0</v>
      </c>
      <c r="AC77">
        <v>1359.48</v>
      </c>
      <c r="AD77">
        <v>919.44</v>
      </c>
      <c r="AE77">
        <v>440.03999999999996</v>
      </c>
      <c r="AF77">
        <v>0.32368258451760962</v>
      </c>
      <c r="AG77">
        <v>2025</v>
      </c>
      <c r="AH77">
        <v>2</v>
      </c>
      <c r="AI77" t="s">
        <v>1430</v>
      </c>
      <c r="AJ77" t="s">
        <v>1424</v>
      </c>
      <c r="AK77" t="s">
        <v>1258</v>
      </c>
      <c r="AL77">
        <v>0</v>
      </c>
    </row>
    <row r="78" spans="1:38">
      <c r="A78" t="s">
        <v>734</v>
      </c>
      <c r="B78" s="13">
        <v>46007</v>
      </c>
      <c r="C78" t="s">
        <v>239</v>
      </c>
      <c r="D78" t="s">
        <v>133</v>
      </c>
      <c r="E78" t="s">
        <v>560</v>
      </c>
      <c r="F78" t="s">
        <v>87</v>
      </c>
      <c r="G78" t="s">
        <v>171</v>
      </c>
      <c r="H78" t="s">
        <v>105</v>
      </c>
      <c r="I78">
        <v>1</v>
      </c>
      <c r="J78">
        <v>354.82</v>
      </c>
      <c r="K78">
        <v>0.1</v>
      </c>
      <c r="L78" t="s">
        <v>106</v>
      </c>
      <c r="M78">
        <v>7</v>
      </c>
      <c r="N78" t="s">
        <v>91</v>
      </c>
      <c r="O78" t="s">
        <v>105</v>
      </c>
      <c r="P78" t="s">
        <v>133</v>
      </c>
      <c r="Q78" t="s">
        <v>239</v>
      </c>
      <c r="R78" t="s">
        <v>87</v>
      </c>
      <c r="S78" t="s">
        <v>106</v>
      </c>
      <c r="T78">
        <v>1</v>
      </c>
      <c r="U78" t="s">
        <v>1336</v>
      </c>
      <c r="V78" t="s">
        <v>1297</v>
      </c>
      <c r="W78" t="s">
        <v>1237</v>
      </c>
      <c r="X78" t="s">
        <v>1227</v>
      </c>
      <c r="Y78" t="s">
        <v>1221</v>
      </c>
      <c r="Z78">
        <v>229.86</v>
      </c>
      <c r="AA78">
        <v>354.82</v>
      </c>
      <c r="AB78">
        <v>35.481999999999999</v>
      </c>
      <c r="AC78">
        <v>319.33799999999997</v>
      </c>
      <c r="AD78">
        <v>229.86</v>
      </c>
      <c r="AE78">
        <v>89.477999999999952</v>
      </c>
      <c r="AF78">
        <v>0.2801984104616424</v>
      </c>
      <c r="AG78">
        <v>2025</v>
      </c>
      <c r="AH78">
        <v>12</v>
      </c>
      <c r="AI78" t="s">
        <v>1428</v>
      </c>
      <c r="AJ78" t="s">
        <v>1427</v>
      </c>
      <c r="AK78" t="s">
        <v>1258</v>
      </c>
      <c r="AL78">
        <v>0</v>
      </c>
    </row>
    <row r="79" spans="1:38">
      <c r="A79" t="s">
        <v>742</v>
      </c>
      <c r="B79" s="13">
        <v>45910</v>
      </c>
      <c r="C79" t="s">
        <v>410</v>
      </c>
      <c r="D79" t="s">
        <v>133</v>
      </c>
      <c r="E79" t="s">
        <v>411</v>
      </c>
      <c r="F79" t="s">
        <v>111</v>
      </c>
      <c r="G79" t="s">
        <v>171</v>
      </c>
      <c r="H79" t="s">
        <v>89</v>
      </c>
      <c r="I79">
        <v>1</v>
      </c>
      <c r="J79">
        <v>343.98</v>
      </c>
      <c r="K79">
        <v>0.1</v>
      </c>
      <c r="L79" t="s">
        <v>106</v>
      </c>
      <c r="M79">
        <v>3</v>
      </c>
      <c r="N79" t="s">
        <v>91</v>
      </c>
      <c r="O79" t="s">
        <v>89</v>
      </c>
      <c r="P79" t="s">
        <v>133</v>
      </c>
      <c r="Q79" t="s">
        <v>410</v>
      </c>
      <c r="R79" t="s">
        <v>111</v>
      </c>
      <c r="S79" t="s">
        <v>106</v>
      </c>
      <c r="T79">
        <v>1</v>
      </c>
      <c r="U79" t="s">
        <v>1234</v>
      </c>
      <c r="V79" t="s">
        <v>1284</v>
      </c>
      <c r="W79" t="s">
        <v>1237</v>
      </c>
      <c r="X79" t="s">
        <v>1227</v>
      </c>
      <c r="Y79" t="s">
        <v>1221</v>
      </c>
      <c r="Z79">
        <v>229.86</v>
      </c>
      <c r="AA79">
        <v>343.98</v>
      </c>
      <c r="AB79">
        <v>34.398000000000003</v>
      </c>
      <c r="AC79">
        <v>309.58199999999999</v>
      </c>
      <c r="AD79">
        <v>229.86</v>
      </c>
      <c r="AE79">
        <v>79.72199999999998</v>
      </c>
      <c r="AF79">
        <v>0.25751497180068605</v>
      </c>
      <c r="AG79">
        <v>2025</v>
      </c>
      <c r="AH79">
        <v>9</v>
      </c>
      <c r="AI79" t="s">
        <v>1432</v>
      </c>
      <c r="AJ79" t="s">
        <v>1418</v>
      </c>
      <c r="AK79" t="s">
        <v>1285</v>
      </c>
      <c r="AL79">
        <v>0</v>
      </c>
    </row>
    <row r="80" spans="1:38">
      <c r="A80" t="s">
        <v>752</v>
      </c>
      <c r="B80" s="13">
        <v>45826</v>
      </c>
      <c r="C80" t="s">
        <v>343</v>
      </c>
      <c r="D80" t="s">
        <v>114</v>
      </c>
      <c r="E80" t="s">
        <v>344</v>
      </c>
      <c r="F80" t="s">
        <v>87</v>
      </c>
      <c r="G80" t="s">
        <v>183</v>
      </c>
      <c r="H80" t="s">
        <v>97</v>
      </c>
      <c r="I80">
        <v>1</v>
      </c>
      <c r="J80">
        <v>136.97999999999999</v>
      </c>
      <c r="K80">
        <v>0.2</v>
      </c>
      <c r="L80" t="s">
        <v>106</v>
      </c>
      <c r="M80">
        <v>4</v>
      </c>
      <c r="N80" t="s">
        <v>91</v>
      </c>
      <c r="O80" t="s">
        <v>97</v>
      </c>
      <c r="P80" t="s">
        <v>114</v>
      </c>
      <c r="Q80" t="s">
        <v>343</v>
      </c>
      <c r="R80" t="s">
        <v>87</v>
      </c>
      <c r="S80" t="s">
        <v>106</v>
      </c>
      <c r="T80">
        <v>1</v>
      </c>
      <c r="U80" t="s">
        <v>1354</v>
      </c>
      <c r="V80" t="s">
        <v>1243</v>
      </c>
      <c r="W80" t="s">
        <v>1237</v>
      </c>
      <c r="X80" t="s">
        <v>1222</v>
      </c>
      <c r="Y80" t="s">
        <v>1221</v>
      </c>
      <c r="Z80">
        <v>78.95</v>
      </c>
      <c r="AA80">
        <v>136.97999999999999</v>
      </c>
      <c r="AB80">
        <v>27.396000000000001</v>
      </c>
      <c r="AC80">
        <v>109.58399999999999</v>
      </c>
      <c r="AD80">
        <v>78.95</v>
      </c>
      <c r="AE80">
        <v>30.633999999999986</v>
      </c>
      <c r="AF80">
        <v>0.2795481092130237</v>
      </c>
      <c r="AG80">
        <v>2025</v>
      </c>
      <c r="AH80">
        <v>6</v>
      </c>
      <c r="AI80" t="s">
        <v>1429</v>
      </c>
      <c r="AJ80" t="s">
        <v>1420</v>
      </c>
      <c r="AK80" t="s">
        <v>1244</v>
      </c>
      <c r="AL80">
        <v>0</v>
      </c>
    </row>
    <row r="81" spans="1:38">
      <c r="A81" t="s">
        <v>755</v>
      </c>
      <c r="B81" s="13">
        <v>45676</v>
      </c>
      <c r="C81" t="s">
        <v>132</v>
      </c>
      <c r="D81" t="s">
        <v>133</v>
      </c>
      <c r="E81" t="s">
        <v>134</v>
      </c>
      <c r="F81" t="s">
        <v>145</v>
      </c>
      <c r="G81" t="s">
        <v>171</v>
      </c>
      <c r="H81" t="s">
        <v>105</v>
      </c>
      <c r="I81">
        <v>4</v>
      </c>
      <c r="J81">
        <v>344.84</v>
      </c>
      <c r="K81">
        <v>0</v>
      </c>
      <c r="L81" t="s">
        <v>90</v>
      </c>
      <c r="M81">
        <v>7</v>
      </c>
      <c r="N81" t="s">
        <v>91</v>
      </c>
      <c r="O81" t="s">
        <v>105</v>
      </c>
      <c r="P81" t="s">
        <v>133</v>
      </c>
      <c r="Q81" t="s">
        <v>132</v>
      </c>
      <c r="R81" t="s">
        <v>145</v>
      </c>
      <c r="S81" t="s">
        <v>369</v>
      </c>
      <c r="T81">
        <v>1</v>
      </c>
      <c r="U81" t="s">
        <v>1346</v>
      </c>
      <c r="V81" t="s">
        <v>1288</v>
      </c>
      <c r="W81" t="s">
        <v>1245</v>
      </c>
      <c r="X81" t="s">
        <v>1227</v>
      </c>
      <c r="Y81" t="s">
        <v>1221</v>
      </c>
      <c r="Z81">
        <v>229.86</v>
      </c>
      <c r="AA81">
        <v>1379.36</v>
      </c>
      <c r="AB81">
        <v>0</v>
      </c>
      <c r="AC81">
        <v>1379.36</v>
      </c>
      <c r="AD81">
        <v>919.44</v>
      </c>
      <c r="AE81">
        <v>459.91999999999985</v>
      </c>
      <c r="AF81">
        <v>0.33342999652012517</v>
      </c>
      <c r="AG81">
        <v>2025</v>
      </c>
      <c r="AH81">
        <v>1</v>
      </c>
      <c r="AI81" t="s">
        <v>1425</v>
      </c>
      <c r="AJ81" t="s">
        <v>1424</v>
      </c>
      <c r="AK81" t="s">
        <v>1250</v>
      </c>
      <c r="AL81">
        <v>0</v>
      </c>
    </row>
    <row r="82" spans="1:38">
      <c r="A82" t="s">
        <v>774</v>
      </c>
      <c r="B82" s="13">
        <v>45879</v>
      </c>
      <c r="C82" t="s">
        <v>93</v>
      </c>
      <c r="D82" t="s">
        <v>94</v>
      </c>
      <c r="E82" t="s">
        <v>95</v>
      </c>
      <c r="F82" t="s">
        <v>87</v>
      </c>
      <c r="G82" t="s">
        <v>96</v>
      </c>
      <c r="H82" t="s">
        <v>97</v>
      </c>
      <c r="I82">
        <v>1</v>
      </c>
      <c r="J82">
        <v>307.58999999999997</v>
      </c>
      <c r="K82">
        <v>0.2</v>
      </c>
      <c r="L82" t="s">
        <v>106</v>
      </c>
      <c r="M82">
        <v>4</v>
      </c>
      <c r="N82" t="s">
        <v>91</v>
      </c>
      <c r="O82" t="s">
        <v>97</v>
      </c>
      <c r="P82" t="s">
        <v>94</v>
      </c>
      <c r="Q82" t="s">
        <v>93</v>
      </c>
      <c r="R82" t="s">
        <v>87</v>
      </c>
      <c r="S82" t="s">
        <v>106</v>
      </c>
      <c r="T82">
        <v>1</v>
      </c>
      <c r="U82" t="s">
        <v>1331</v>
      </c>
      <c r="V82" t="s">
        <v>1239</v>
      </c>
      <c r="W82" t="s">
        <v>1245</v>
      </c>
      <c r="X82" t="s">
        <v>1220</v>
      </c>
      <c r="Y82" t="s">
        <v>1221</v>
      </c>
      <c r="Z82">
        <v>152.55000000000001</v>
      </c>
      <c r="AA82">
        <v>307.58999999999997</v>
      </c>
      <c r="AB82">
        <v>61.518000000000001</v>
      </c>
      <c r="AC82">
        <v>246.07199999999997</v>
      </c>
      <c r="AD82">
        <v>152.55000000000001</v>
      </c>
      <c r="AE82">
        <v>93.521999999999963</v>
      </c>
      <c r="AF82">
        <v>0.38005949478201489</v>
      </c>
      <c r="AG82">
        <v>2025</v>
      </c>
      <c r="AH82">
        <v>8</v>
      </c>
      <c r="AI82" t="s">
        <v>1417</v>
      </c>
      <c r="AJ82" t="s">
        <v>1418</v>
      </c>
      <c r="AK82" t="s">
        <v>1240</v>
      </c>
      <c r="AL82">
        <v>0</v>
      </c>
    </row>
    <row r="83" spans="1:38">
      <c r="A83" t="s">
        <v>780</v>
      </c>
      <c r="B83" s="13">
        <v>45771</v>
      </c>
      <c r="C83" t="s">
        <v>100</v>
      </c>
      <c r="D83" t="s">
        <v>231</v>
      </c>
      <c r="E83" t="s">
        <v>102</v>
      </c>
      <c r="F83" t="s">
        <v>223</v>
      </c>
      <c r="G83" t="s">
        <v>122</v>
      </c>
      <c r="H83" t="s">
        <v>233</v>
      </c>
      <c r="I83">
        <v>2</v>
      </c>
      <c r="J83">
        <v>346.11</v>
      </c>
      <c r="K83">
        <v>0.15</v>
      </c>
      <c r="L83" t="s">
        <v>106</v>
      </c>
      <c r="M83">
        <v>0</v>
      </c>
      <c r="N83" t="s">
        <v>147</v>
      </c>
      <c r="O83" t="s">
        <v>97</v>
      </c>
      <c r="P83" t="s">
        <v>231</v>
      </c>
      <c r="Q83" t="s">
        <v>100</v>
      </c>
      <c r="R83" t="s">
        <v>111</v>
      </c>
      <c r="S83" t="s">
        <v>106</v>
      </c>
      <c r="T83">
        <v>1</v>
      </c>
      <c r="U83" t="s">
        <v>1242</v>
      </c>
      <c r="V83" t="s">
        <v>1243</v>
      </c>
      <c r="W83" t="s">
        <v>1245</v>
      </c>
      <c r="X83" t="s">
        <v>1225</v>
      </c>
      <c r="Y83" t="s">
        <v>1221</v>
      </c>
      <c r="Z83">
        <v>200.16</v>
      </c>
      <c r="AA83">
        <v>692.22</v>
      </c>
      <c r="AB83">
        <v>103.833</v>
      </c>
      <c r="AC83">
        <v>588.38700000000006</v>
      </c>
      <c r="AD83">
        <v>400.32</v>
      </c>
      <c r="AE83">
        <v>188.06700000000006</v>
      </c>
      <c r="AF83">
        <v>0.31963146704464929</v>
      </c>
      <c r="AG83">
        <v>2025</v>
      </c>
      <c r="AH83">
        <v>4</v>
      </c>
      <c r="AI83" t="s">
        <v>1421</v>
      </c>
      <c r="AJ83" t="s">
        <v>1420</v>
      </c>
      <c r="AK83" t="s">
        <v>1244</v>
      </c>
      <c r="AL83">
        <v>1</v>
      </c>
    </row>
    <row r="84" spans="1:38">
      <c r="A84" t="s">
        <v>783</v>
      </c>
      <c r="B84" s="13">
        <v>45898</v>
      </c>
      <c r="C84" t="s">
        <v>108</v>
      </c>
      <c r="D84" t="s">
        <v>210</v>
      </c>
      <c r="E84" t="s">
        <v>110</v>
      </c>
      <c r="F84" t="s">
        <v>103</v>
      </c>
      <c r="G84" t="s">
        <v>183</v>
      </c>
      <c r="H84" t="s">
        <v>89</v>
      </c>
      <c r="I84">
        <v>2</v>
      </c>
      <c r="J84">
        <v>320.83999999999997</v>
      </c>
      <c r="K84">
        <v>0.25</v>
      </c>
      <c r="L84" t="s">
        <v>90</v>
      </c>
      <c r="M84">
        <v>5</v>
      </c>
      <c r="N84" t="s">
        <v>91</v>
      </c>
      <c r="O84" t="s">
        <v>89</v>
      </c>
      <c r="P84" t="s">
        <v>210</v>
      </c>
      <c r="Q84" t="s">
        <v>108</v>
      </c>
      <c r="R84" t="s">
        <v>103</v>
      </c>
      <c r="S84" t="s">
        <v>369</v>
      </c>
      <c r="T84">
        <v>1</v>
      </c>
      <c r="U84" t="s">
        <v>1319</v>
      </c>
      <c r="V84" t="s">
        <v>1275</v>
      </c>
      <c r="W84" t="s">
        <v>1237</v>
      </c>
      <c r="X84" t="s">
        <v>1228</v>
      </c>
      <c r="Y84" t="s">
        <v>1221</v>
      </c>
      <c r="Z84">
        <v>177.57</v>
      </c>
      <c r="AA84">
        <v>641.67999999999995</v>
      </c>
      <c r="AB84">
        <v>160.41999999999999</v>
      </c>
      <c r="AC84">
        <v>481.26</v>
      </c>
      <c r="AD84">
        <v>355.14</v>
      </c>
      <c r="AE84">
        <v>126.12</v>
      </c>
      <c r="AF84">
        <v>0.26206208702156841</v>
      </c>
      <c r="AG84">
        <v>2025</v>
      </c>
      <c r="AH84">
        <v>8</v>
      </c>
      <c r="AI84" t="s">
        <v>1417</v>
      </c>
      <c r="AJ84" t="s">
        <v>1418</v>
      </c>
      <c r="AK84" t="s">
        <v>1258</v>
      </c>
      <c r="AL84">
        <v>0</v>
      </c>
    </row>
    <row r="85" spans="1:38">
      <c r="A85" t="s">
        <v>794</v>
      </c>
      <c r="B85" s="13">
        <v>45964</v>
      </c>
      <c r="C85" t="s">
        <v>430</v>
      </c>
      <c r="D85" t="s">
        <v>94</v>
      </c>
      <c r="E85" t="s">
        <v>431</v>
      </c>
      <c r="F85" t="s">
        <v>103</v>
      </c>
      <c r="G85" t="s">
        <v>171</v>
      </c>
      <c r="H85" t="s">
        <v>89</v>
      </c>
      <c r="I85">
        <v>2</v>
      </c>
      <c r="J85">
        <v>313.77999999999997</v>
      </c>
      <c r="K85">
        <v>0.15</v>
      </c>
      <c r="L85" t="s">
        <v>90</v>
      </c>
      <c r="M85">
        <v>1</v>
      </c>
      <c r="N85" t="s">
        <v>91</v>
      </c>
      <c r="O85" t="s">
        <v>89</v>
      </c>
      <c r="P85" t="s">
        <v>94</v>
      </c>
      <c r="Q85" t="s">
        <v>430</v>
      </c>
      <c r="R85" t="s">
        <v>103</v>
      </c>
      <c r="S85" t="s">
        <v>369</v>
      </c>
      <c r="T85">
        <v>1</v>
      </c>
      <c r="U85" t="s">
        <v>1289</v>
      </c>
      <c r="V85" t="s">
        <v>1235</v>
      </c>
      <c r="W85" t="s">
        <v>1237</v>
      </c>
      <c r="X85" t="s">
        <v>1220</v>
      </c>
      <c r="Y85" t="s">
        <v>1221</v>
      </c>
      <c r="Z85">
        <v>152.55000000000001</v>
      </c>
      <c r="AA85">
        <v>627.55999999999995</v>
      </c>
      <c r="AB85">
        <v>94.133999999999986</v>
      </c>
      <c r="AC85">
        <v>533.42599999999993</v>
      </c>
      <c r="AD85">
        <v>305.10000000000002</v>
      </c>
      <c r="AE85">
        <v>228.32599999999991</v>
      </c>
      <c r="AF85">
        <v>0.42803687859234446</v>
      </c>
      <c r="AG85">
        <v>2025</v>
      </c>
      <c r="AH85">
        <v>11</v>
      </c>
      <c r="AI85" t="s">
        <v>1426</v>
      </c>
      <c r="AJ85" t="s">
        <v>1427</v>
      </c>
      <c r="AK85" t="s">
        <v>1236</v>
      </c>
      <c r="AL85">
        <v>0</v>
      </c>
    </row>
    <row r="86" spans="1:38">
      <c r="A86" t="s">
        <v>803</v>
      </c>
      <c r="B86" s="13">
        <v>45783</v>
      </c>
      <c r="C86" t="s">
        <v>374</v>
      </c>
      <c r="D86" t="s">
        <v>114</v>
      </c>
      <c r="E86" t="s">
        <v>375</v>
      </c>
      <c r="F86" t="s">
        <v>145</v>
      </c>
      <c r="G86" t="s">
        <v>130</v>
      </c>
      <c r="H86" t="s">
        <v>89</v>
      </c>
      <c r="I86">
        <v>1</v>
      </c>
      <c r="J86">
        <v>151.30000000000001</v>
      </c>
      <c r="K86">
        <v>0</v>
      </c>
      <c r="L86" t="s">
        <v>98</v>
      </c>
      <c r="M86">
        <v>8</v>
      </c>
      <c r="N86" t="s">
        <v>91</v>
      </c>
      <c r="O86" t="s">
        <v>89</v>
      </c>
      <c r="P86" t="s">
        <v>114</v>
      </c>
      <c r="Q86" t="s">
        <v>374</v>
      </c>
      <c r="R86" t="s">
        <v>145</v>
      </c>
      <c r="S86" t="s">
        <v>98</v>
      </c>
      <c r="T86">
        <v>1</v>
      </c>
      <c r="U86" t="s">
        <v>1287</v>
      </c>
      <c r="V86" t="s">
        <v>1288</v>
      </c>
      <c r="W86" t="s">
        <v>1241</v>
      </c>
      <c r="X86" t="s">
        <v>1222</v>
      </c>
      <c r="Y86" t="s">
        <v>1221</v>
      </c>
      <c r="Z86">
        <v>78.95</v>
      </c>
      <c r="AA86">
        <v>151.30000000000001</v>
      </c>
      <c r="AB86">
        <v>0</v>
      </c>
      <c r="AC86">
        <v>151.30000000000001</v>
      </c>
      <c r="AD86">
        <v>78.95</v>
      </c>
      <c r="AE86">
        <v>72.350000000000009</v>
      </c>
      <c r="AF86">
        <v>0.47818902842035693</v>
      </c>
      <c r="AG86">
        <v>2025</v>
      </c>
      <c r="AH86">
        <v>5</v>
      </c>
      <c r="AI86" t="s">
        <v>1419</v>
      </c>
      <c r="AJ86" t="s">
        <v>1420</v>
      </c>
      <c r="AK86" t="s">
        <v>1250</v>
      </c>
      <c r="AL86">
        <v>0</v>
      </c>
    </row>
    <row r="87" spans="1:38">
      <c r="A87" t="s">
        <v>819</v>
      </c>
      <c r="B87" s="13">
        <v>45920</v>
      </c>
      <c r="C87" t="s">
        <v>480</v>
      </c>
      <c r="D87" t="s">
        <v>303</v>
      </c>
      <c r="E87" t="s">
        <v>773</v>
      </c>
      <c r="F87" t="s">
        <v>87</v>
      </c>
      <c r="G87" t="s">
        <v>117</v>
      </c>
      <c r="H87" t="s">
        <v>89</v>
      </c>
      <c r="I87">
        <v>2</v>
      </c>
      <c r="J87">
        <v>158.16</v>
      </c>
      <c r="K87">
        <v>0</v>
      </c>
      <c r="L87" t="s">
        <v>90</v>
      </c>
      <c r="M87">
        <v>2</v>
      </c>
      <c r="N87" t="s">
        <v>91</v>
      </c>
      <c r="O87" t="s">
        <v>89</v>
      </c>
      <c r="P87" t="s">
        <v>303</v>
      </c>
      <c r="Q87" t="s">
        <v>480</v>
      </c>
      <c r="R87" t="s">
        <v>87</v>
      </c>
      <c r="S87" t="s">
        <v>369</v>
      </c>
      <c r="T87">
        <v>1</v>
      </c>
      <c r="U87" t="s">
        <v>1306</v>
      </c>
      <c r="V87" t="s">
        <v>1247</v>
      </c>
      <c r="W87" t="s">
        <v>1237</v>
      </c>
      <c r="X87" t="s">
        <v>1224</v>
      </c>
      <c r="Y87" t="s">
        <v>1221</v>
      </c>
      <c r="Z87">
        <v>76.97</v>
      </c>
      <c r="AA87">
        <v>316.32</v>
      </c>
      <c r="AB87">
        <v>0</v>
      </c>
      <c r="AC87">
        <v>316.32</v>
      </c>
      <c r="AD87">
        <v>153.94</v>
      </c>
      <c r="AE87">
        <v>162.38</v>
      </c>
      <c r="AF87">
        <v>0.51334092058674763</v>
      </c>
      <c r="AG87">
        <v>2025</v>
      </c>
      <c r="AH87">
        <v>9</v>
      </c>
      <c r="AI87" t="s">
        <v>1432</v>
      </c>
      <c r="AJ87" t="s">
        <v>1418</v>
      </c>
      <c r="AK87" t="s">
        <v>1240</v>
      </c>
      <c r="AL87">
        <v>0</v>
      </c>
    </row>
    <row r="88" spans="1:38">
      <c r="A88" t="s">
        <v>832</v>
      </c>
      <c r="B88" s="13">
        <v>45786</v>
      </c>
      <c r="C88" t="s">
        <v>189</v>
      </c>
      <c r="D88" t="s">
        <v>143</v>
      </c>
      <c r="E88" t="s">
        <v>457</v>
      </c>
      <c r="F88" t="s">
        <v>103</v>
      </c>
      <c r="G88" t="s">
        <v>88</v>
      </c>
      <c r="H88" t="s">
        <v>89</v>
      </c>
      <c r="I88">
        <v>1</v>
      </c>
      <c r="J88">
        <v>273.12</v>
      </c>
      <c r="K88">
        <v>0</v>
      </c>
      <c r="L88" t="s">
        <v>90</v>
      </c>
      <c r="M88">
        <v>1</v>
      </c>
      <c r="N88" t="s">
        <v>91</v>
      </c>
      <c r="O88" t="s">
        <v>89</v>
      </c>
      <c r="P88" t="s">
        <v>143</v>
      </c>
      <c r="Q88" t="s">
        <v>189</v>
      </c>
      <c r="R88" t="s">
        <v>103</v>
      </c>
      <c r="S88" t="s">
        <v>369</v>
      </c>
      <c r="T88">
        <v>1</v>
      </c>
      <c r="U88" t="s">
        <v>1283</v>
      </c>
      <c r="V88" t="s">
        <v>1275</v>
      </c>
      <c r="W88" t="s">
        <v>1241</v>
      </c>
      <c r="X88" t="s">
        <v>1226</v>
      </c>
      <c r="Y88" t="s">
        <v>1221</v>
      </c>
      <c r="Z88">
        <v>119.16</v>
      </c>
      <c r="AA88">
        <v>273.12</v>
      </c>
      <c r="AB88">
        <v>0</v>
      </c>
      <c r="AC88">
        <v>273.12</v>
      </c>
      <c r="AD88">
        <v>119.16</v>
      </c>
      <c r="AE88">
        <v>153.96</v>
      </c>
      <c r="AF88">
        <v>0.56370826010544817</v>
      </c>
      <c r="AG88">
        <v>2025</v>
      </c>
      <c r="AH88">
        <v>5</v>
      </c>
      <c r="AI88" t="s">
        <v>1419</v>
      </c>
      <c r="AJ88" t="s">
        <v>1420</v>
      </c>
      <c r="AK88" t="s">
        <v>1258</v>
      </c>
      <c r="AL88">
        <v>0</v>
      </c>
    </row>
    <row r="89" spans="1:38">
      <c r="A89" t="s">
        <v>837</v>
      </c>
      <c r="B89" s="13">
        <v>45779</v>
      </c>
      <c r="C89" t="s">
        <v>516</v>
      </c>
      <c r="D89" t="s">
        <v>210</v>
      </c>
      <c r="E89" t="s">
        <v>517</v>
      </c>
      <c r="F89" t="s">
        <v>111</v>
      </c>
      <c r="G89" t="s">
        <v>130</v>
      </c>
      <c r="H89" t="s">
        <v>89</v>
      </c>
      <c r="I89">
        <v>2</v>
      </c>
      <c r="J89">
        <v>316.13</v>
      </c>
      <c r="K89">
        <v>0</v>
      </c>
      <c r="L89" t="s">
        <v>106</v>
      </c>
      <c r="M89">
        <v>6</v>
      </c>
      <c r="N89" t="s">
        <v>147</v>
      </c>
      <c r="O89" t="s">
        <v>89</v>
      </c>
      <c r="P89" t="s">
        <v>210</v>
      </c>
      <c r="Q89" t="s">
        <v>516</v>
      </c>
      <c r="R89" t="s">
        <v>111</v>
      </c>
      <c r="S89" t="s">
        <v>106</v>
      </c>
      <c r="T89">
        <v>1</v>
      </c>
      <c r="U89" t="s">
        <v>1359</v>
      </c>
      <c r="V89" t="s">
        <v>1255</v>
      </c>
      <c r="W89" t="s">
        <v>1241</v>
      </c>
      <c r="X89" t="s">
        <v>1228</v>
      </c>
      <c r="Y89" t="s">
        <v>1221</v>
      </c>
      <c r="Z89">
        <v>177.57</v>
      </c>
      <c r="AA89">
        <v>632.26</v>
      </c>
      <c r="AB89">
        <v>0</v>
      </c>
      <c r="AC89">
        <v>632.26</v>
      </c>
      <c r="AD89">
        <v>355.14</v>
      </c>
      <c r="AE89">
        <v>277.12</v>
      </c>
      <c r="AF89">
        <v>0.43830069907949265</v>
      </c>
      <c r="AG89">
        <v>2025</v>
      </c>
      <c r="AH89">
        <v>5</v>
      </c>
      <c r="AI89" t="s">
        <v>1419</v>
      </c>
      <c r="AJ89" t="s">
        <v>1420</v>
      </c>
      <c r="AK89" t="s">
        <v>1244</v>
      </c>
      <c r="AL89">
        <v>1</v>
      </c>
    </row>
    <row r="90" spans="1:38">
      <c r="A90" t="s">
        <v>840</v>
      </c>
      <c r="B90" s="13">
        <v>45740</v>
      </c>
      <c r="C90" t="s">
        <v>268</v>
      </c>
      <c r="D90" t="s">
        <v>94</v>
      </c>
      <c r="E90" t="s">
        <v>269</v>
      </c>
      <c r="F90" t="s">
        <v>111</v>
      </c>
      <c r="G90" t="s">
        <v>117</v>
      </c>
      <c r="H90" t="s">
        <v>89</v>
      </c>
      <c r="I90">
        <v>1</v>
      </c>
      <c r="J90">
        <v>303.56</v>
      </c>
      <c r="K90">
        <v>0</v>
      </c>
      <c r="L90" t="s">
        <v>154</v>
      </c>
      <c r="M90">
        <v>4</v>
      </c>
      <c r="N90" t="s">
        <v>91</v>
      </c>
      <c r="O90" t="s">
        <v>89</v>
      </c>
      <c r="P90" t="s">
        <v>94</v>
      </c>
      <c r="Q90" t="s">
        <v>268</v>
      </c>
      <c r="R90" t="s">
        <v>111</v>
      </c>
      <c r="S90" t="s">
        <v>154</v>
      </c>
      <c r="T90">
        <v>1</v>
      </c>
      <c r="U90" t="s">
        <v>1295</v>
      </c>
      <c r="V90" t="s">
        <v>1243</v>
      </c>
      <c r="W90" t="s">
        <v>1241</v>
      </c>
      <c r="X90" t="s">
        <v>1220</v>
      </c>
      <c r="Y90" t="s">
        <v>1221</v>
      </c>
      <c r="Z90">
        <v>152.55000000000001</v>
      </c>
      <c r="AA90">
        <v>303.56</v>
      </c>
      <c r="AB90">
        <v>0</v>
      </c>
      <c r="AC90">
        <v>303.56</v>
      </c>
      <c r="AD90">
        <v>152.55000000000001</v>
      </c>
      <c r="AE90">
        <v>151.01</v>
      </c>
      <c r="AF90">
        <v>0.49746343391751213</v>
      </c>
      <c r="AG90">
        <v>2025</v>
      </c>
      <c r="AH90">
        <v>3</v>
      </c>
      <c r="AI90" t="s">
        <v>1423</v>
      </c>
      <c r="AJ90" t="s">
        <v>1424</v>
      </c>
      <c r="AK90" t="s">
        <v>1244</v>
      </c>
      <c r="AL90">
        <v>0</v>
      </c>
    </row>
    <row r="91" spans="1:38">
      <c r="A91" t="s">
        <v>841</v>
      </c>
      <c r="B91" s="13">
        <v>45809</v>
      </c>
      <c r="C91" t="s">
        <v>480</v>
      </c>
      <c r="D91" t="s">
        <v>143</v>
      </c>
      <c r="E91" t="s">
        <v>481</v>
      </c>
      <c r="F91" t="s">
        <v>103</v>
      </c>
      <c r="G91" t="s">
        <v>183</v>
      </c>
      <c r="H91" t="s">
        <v>89</v>
      </c>
      <c r="I91">
        <v>2</v>
      </c>
      <c r="J91">
        <v>276.93</v>
      </c>
      <c r="K91">
        <v>0.25</v>
      </c>
      <c r="L91" t="s">
        <v>98</v>
      </c>
      <c r="M91">
        <v>1</v>
      </c>
      <c r="N91" t="s">
        <v>91</v>
      </c>
      <c r="O91" t="s">
        <v>89</v>
      </c>
      <c r="P91" t="s">
        <v>143</v>
      </c>
      <c r="Q91" t="s">
        <v>480</v>
      </c>
      <c r="R91" t="s">
        <v>103</v>
      </c>
      <c r="S91" t="s">
        <v>98</v>
      </c>
      <c r="T91">
        <v>1</v>
      </c>
      <c r="U91" t="s">
        <v>1306</v>
      </c>
      <c r="V91" t="s">
        <v>1247</v>
      </c>
      <c r="W91" t="s">
        <v>1237</v>
      </c>
      <c r="X91" t="s">
        <v>1226</v>
      </c>
      <c r="Y91" t="s">
        <v>1221</v>
      </c>
      <c r="Z91">
        <v>119.16</v>
      </c>
      <c r="AA91">
        <v>553.86</v>
      </c>
      <c r="AB91">
        <v>138.465</v>
      </c>
      <c r="AC91">
        <v>415.39499999999998</v>
      </c>
      <c r="AD91">
        <v>238.32</v>
      </c>
      <c r="AE91">
        <v>177.07499999999999</v>
      </c>
      <c r="AF91">
        <v>0.42628100964142562</v>
      </c>
      <c r="AG91">
        <v>2025</v>
      </c>
      <c r="AH91">
        <v>6</v>
      </c>
      <c r="AI91" t="s">
        <v>1429</v>
      </c>
      <c r="AJ91" t="s">
        <v>1420</v>
      </c>
      <c r="AK91" t="s">
        <v>1240</v>
      </c>
      <c r="AL91">
        <v>0</v>
      </c>
    </row>
    <row r="92" spans="1:38">
      <c r="A92" t="s">
        <v>847</v>
      </c>
      <c r="B92" s="13">
        <v>45801</v>
      </c>
      <c r="C92" t="s">
        <v>209</v>
      </c>
      <c r="D92" t="s">
        <v>303</v>
      </c>
      <c r="E92" t="s">
        <v>211</v>
      </c>
      <c r="F92" t="s">
        <v>103</v>
      </c>
      <c r="G92" t="s">
        <v>183</v>
      </c>
      <c r="H92" t="s">
        <v>478</v>
      </c>
      <c r="I92">
        <v>1</v>
      </c>
      <c r="J92">
        <v>165.6</v>
      </c>
      <c r="K92">
        <v>0.2</v>
      </c>
      <c r="L92" t="s">
        <v>98</v>
      </c>
      <c r="M92">
        <v>4</v>
      </c>
      <c r="N92" t="s">
        <v>91</v>
      </c>
      <c r="O92" t="s">
        <v>105</v>
      </c>
      <c r="P92" t="s">
        <v>303</v>
      </c>
      <c r="Q92" t="s">
        <v>209</v>
      </c>
      <c r="R92" t="s">
        <v>103</v>
      </c>
      <c r="S92" t="s">
        <v>98</v>
      </c>
      <c r="T92">
        <v>1</v>
      </c>
      <c r="U92" t="s">
        <v>1248</v>
      </c>
      <c r="V92" t="s">
        <v>1249</v>
      </c>
      <c r="W92" t="s">
        <v>1237</v>
      </c>
      <c r="X92" t="s">
        <v>1224</v>
      </c>
      <c r="Y92" t="s">
        <v>1221</v>
      </c>
      <c r="Z92">
        <v>76.97</v>
      </c>
      <c r="AA92">
        <v>165.6</v>
      </c>
      <c r="AB92">
        <v>33.119999999999997</v>
      </c>
      <c r="AC92">
        <v>132.47999999999999</v>
      </c>
      <c r="AD92">
        <v>76.97</v>
      </c>
      <c r="AE92">
        <v>55.509999999999991</v>
      </c>
      <c r="AF92">
        <v>0.41900664251207725</v>
      </c>
      <c r="AG92">
        <v>2025</v>
      </c>
      <c r="AH92">
        <v>5</v>
      </c>
      <c r="AI92" t="s">
        <v>1419</v>
      </c>
      <c r="AJ92" t="s">
        <v>1420</v>
      </c>
      <c r="AK92" t="s">
        <v>1250</v>
      </c>
      <c r="AL92">
        <v>0</v>
      </c>
    </row>
    <row r="93" spans="1:38">
      <c r="A93" t="s">
        <v>854</v>
      </c>
      <c r="B93" s="13">
        <v>45970</v>
      </c>
      <c r="C93" t="s">
        <v>220</v>
      </c>
      <c r="D93" t="s">
        <v>133</v>
      </c>
      <c r="E93" t="s">
        <v>222</v>
      </c>
      <c r="F93" t="s">
        <v>145</v>
      </c>
      <c r="G93" t="s">
        <v>183</v>
      </c>
      <c r="H93" t="s">
        <v>97</v>
      </c>
      <c r="I93">
        <v>4</v>
      </c>
      <c r="J93">
        <v>342.63</v>
      </c>
      <c r="K93">
        <v>0.05</v>
      </c>
      <c r="L93" t="s">
        <v>106</v>
      </c>
      <c r="M93">
        <v>2</v>
      </c>
      <c r="N93" t="s">
        <v>91</v>
      </c>
      <c r="O93" t="s">
        <v>97</v>
      </c>
      <c r="P93" t="s">
        <v>133</v>
      </c>
      <c r="Q93" t="s">
        <v>220</v>
      </c>
      <c r="R93" t="s">
        <v>145</v>
      </c>
      <c r="S93" t="s">
        <v>106</v>
      </c>
      <c r="T93">
        <v>1</v>
      </c>
      <c r="U93" t="s">
        <v>1315</v>
      </c>
      <c r="V93" t="s">
        <v>1255</v>
      </c>
      <c r="W93" t="s">
        <v>1237</v>
      </c>
      <c r="X93" t="s">
        <v>1227</v>
      </c>
      <c r="Y93" t="s">
        <v>1221</v>
      </c>
      <c r="Z93">
        <v>229.86</v>
      </c>
      <c r="AA93">
        <v>1370.52</v>
      </c>
      <c r="AB93">
        <v>68.525999999999996</v>
      </c>
      <c r="AC93">
        <v>1301.9939999999999</v>
      </c>
      <c r="AD93">
        <v>919.44</v>
      </c>
      <c r="AE93">
        <v>382.55399999999986</v>
      </c>
      <c r="AF93">
        <v>0.29382163051442622</v>
      </c>
      <c r="AG93">
        <v>2025</v>
      </c>
      <c r="AH93">
        <v>11</v>
      </c>
      <c r="AI93" t="s">
        <v>1426</v>
      </c>
      <c r="AJ93" t="s">
        <v>1427</v>
      </c>
      <c r="AK93" t="s">
        <v>1244</v>
      </c>
      <c r="AL93">
        <v>0</v>
      </c>
    </row>
    <row r="94" spans="1:38">
      <c r="A94" t="s">
        <v>869</v>
      </c>
      <c r="B94" s="13">
        <v>45850</v>
      </c>
      <c r="C94" t="s">
        <v>93</v>
      </c>
      <c r="D94" t="s">
        <v>143</v>
      </c>
      <c r="E94" t="s">
        <v>95</v>
      </c>
      <c r="F94" t="s">
        <v>87</v>
      </c>
      <c r="G94" t="s">
        <v>117</v>
      </c>
      <c r="H94" t="s">
        <v>97</v>
      </c>
      <c r="I94">
        <v>1</v>
      </c>
      <c r="J94">
        <v>269.99</v>
      </c>
      <c r="K94">
        <v>0.15</v>
      </c>
      <c r="L94" t="s">
        <v>90</v>
      </c>
      <c r="M94">
        <v>0</v>
      </c>
      <c r="N94" t="s">
        <v>91</v>
      </c>
      <c r="O94" t="s">
        <v>97</v>
      </c>
      <c r="P94" t="s">
        <v>143</v>
      </c>
      <c r="Q94" t="s">
        <v>93</v>
      </c>
      <c r="R94" t="s">
        <v>87</v>
      </c>
      <c r="S94" t="s">
        <v>369</v>
      </c>
      <c r="T94">
        <v>1</v>
      </c>
      <c r="U94" t="s">
        <v>1331</v>
      </c>
      <c r="V94" t="s">
        <v>1239</v>
      </c>
      <c r="W94" t="s">
        <v>1245</v>
      </c>
      <c r="X94" t="s">
        <v>1226</v>
      </c>
      <c r="Y94" t="s">
        <v>1221</v>
      </c>
      <c r="Z94">
        <v>119.16</v>
      </c>
      <c r="AA94">
        <v>269.99</v>
      </c>
      <c r="AB94">
        <v>40.4985</v>
      </c>
      <c r="AC94">
        <v>229.4915</v>
      </c>
      <c r="AD94">
        <v>119.16</v>
      </c>
      <c r="AE94">
        <v>110.33150000000001</v>
      </c>
      <c r="AF94">
        <v>0.48076508280263103</v>
      </c>
      <c r="AG94">
        <v>2025</v>
      </c>
      <c r="AH94">
        <v>7</v>
      </c>
      <c r="AI94" t="s">
        <v>1422</v>
      </c>
      <c r="AJ94" t="s">
        <v>1418</v>
      </c>
      <c r="AK94" t="s">
        <v>1240</v>
      </c>
      <c r="AL94">
        <v>0</v>
      </c>
    </row>
    <row r="95" spans="1:38">
      <c r="A95" t="s">
        <v>876</v>
      </c>
      <c r="B95" s="13">
        <v>45832</v>
      </c>
      <c r="C95" t="s">
        <v>322</v>
      </c>
      <c r="D95" t="s">
        <v>143</v>
      </c>
      <c r="E95" t="s">
        <v>470</v>
      </c>
      <c r="F95" t="s">
        <v>145</v>
      </c>
      <c r="G95" t="s">
        <v>104</v>
      </c>
      <c r="H95" t="s">
        <v>105</v>
      </c>
      <c r="I95">
        <v>1</v>
      </c>
      <c r="J95">
        <v>259.24</v>
      </c>
      <c r="K95">
        <v>0.2</v>
      </c>
      <c r="L95" t="s">
        <v>106</v>
      </c>
      <c r="M95">
        <v>6</v>
      </c>
      <c r="N95" t="s">
        <v>91</v>
      </c>
      <c r="O95" t="s">
        <v>105</v>
      </c>
      <c r="P95" t="s">
        <v>143</v>
      </c>
      <c r="Q95" t="s">
        <v>322</v>
      </c>
      <c r="R95" t="s">
        <v>145</v>
      </c>
      <c r="S95" t="s">
        <v>106</v>
      </c>
      <c r="T95">
        <v>1</v>
      </c>
      <c r="U95" t="s">
        <v>1358</v>
      </c>
      <c r="V95" t="s">
        <v>1284</v>
      </c>
      <c r="W95" t="s">
        <v>1237</v>
      </c>
      <c r="X95" t="s">
        <v>1226</v>
      </c>
      <c r="Y95" t="s">
        <v>1221</v>
      </c>
      <c r="Z95">
        <v>119.16</v>
      </c>
      <c r="AA95">
        <v>259.24</v>
      </c>
      <c r="AB95">
        <v>51.848000000000006</v>
      </c>
      <c r="AC95">
        <v>207.392</v>
      </c>
      <c r="AD95">
        <v>119.16</v>
      </c>
      <c r="AE95">
        <v>88.231999999999999</v>
      </c>
      <c r="AF95">
        <v>0.42543588952322176</v>
      </c>
      <c r="AG95">
        <v>2025</v>
      </c>
      <c r="AH95">
        <v>6</v>
      </c>
      <c r="AI95" t="s">
        <v>1429</v>
      </c>
      <c r="AJ95" t="s">
        <v>1420</v>
      </c>
      <c r="AK95" t="s">
        <v>1285</v>
      </c>
      <c r="AL95">
        <v>0</v>
      </c>
    </row>
    <row r="96" spans="1:38">
      <c r="A96" t="s">
        <v>881</v>
      </c>
      <c r="B96" s="13">
        <v>45683</v>
      </c>
      <c r="C96" t="s">
        <v>438</v>
      </c>
      <c r="D96" t="s">
        <v>133</v>
      </c>
      <c r="E96" t="s">
        <v>882</v>
      </c>
      <c r="F96" t="s">
        <v>145</v>
      </c>
      <c r="G96" t="s">
        <v>88</v>
      </c>
      <c r="H96" t="s">
        <v>97</v>
      </c>
      <c r="I96">
        <v>1</v>
      </c>
      <c r="J96">
        <v>334.66</v>
      </c>
      <c r="K96">
        <v>0.2</v>
      </c>
      <c r="L96" t="s">
        <v>90</v>
      </c>
      <c r="M96">
        <v>2</v>
      </c>
      <c r="N96" t="s">
        <v>91</v>
      </c>
      <c r="O96" t="s">
        <v>97</v>
      </c>
      <c r="P96" t="s">
        <v>133</v>
      </c>
      <c r="Q96" t="s">
        <v>438</v>
      </c>
      <c r="R96" t="s">
        <v>145</v>
      </c>
      <c r="S96" t="s">
        <v>369</v>
      </c>
      <c r="T96">
        <v>1</v>
      </c>
      <c r="U96" t="s">
        <v>1278</v>
      </c>
      <c r="V96" t="s">
        <v>1257</v>
      </c>
      <c r="W96" t="s">
        <v>1237</v>
      </c>
      <c r="X96" t="s">
        <v>1227</v>
      </c>
      <c r="Y96" t="s">
        <v>1221</v>
      </c>
      <c r="Z96">
        <v>229.86</v>
      </c>
      <c r="AA96">
        <v>334.66</v>
      </c>
      <c r="AB96">
        <v>66.932000000000002</v>
      </c>
      <c r="AC96">
        <v>267.72800000000001</v>
      </c>
      <c r="AD96">
        <v>229.86</v>
      </c>
      <c r="AE96">
        <v>37.867999999999995</v>
      </c>
      <c r="AF96">
        <v>0.1414420605988167</v>
      </c>
      <c r="AG96">
        <v>2025</v>
      </c>
      <c r="AH96">
        <v>1</v>
      </c>
      <c r="AI96" t="s">
        <v>1425</v>
      </c>
      <c r="AJ96" t="s">
        <v>1424</v>
      </c>
      <c r="AK96" t="s">
        <v>1258</v>
      </c>
      <c r="AL96">
        <v>0</v>
      </c>
    </row>
    <row r="97" spans="1:38">
      <c r="A97" t="s">
        <v>883</v>
      </c>
      <c r="B97" s="13">
        <v>46007</v>
      </c>
      <c r="C97" t="s">
        <v>286</v>
      </c>
      <c r="D97" t="s">
        <v>114</v>
      </c>
      <c r="E97" t="s">
        <v>287</v>
      </c>
      <c r="F97" t="s">
        <v>103</v>
      </c>
      <c r="G97" t="s">
        <v>88</v>
      </c>
      <c r="H97" t="s">
        <v>97</v>
      </c>
      <c r="I97">
        <v>2</v>
      </c>
      <c r="J97">
        <v>142.21</v>
      </c>
      <c r="K97">
        <v>0.05</v>
      </c>
      <c r="L97" t="s">
        <v>106</v>
      </c>
      <c r="M97">
        <v>2</v>
      </c>
      <c r="N97" t="s">
        <v>91</v>
      </c>
      <c r="O97" t="s">
        <v>97</v>
      </c>
      <c r="P97" t="s">
        <v>114</v>
      </c>
      <c r="Q97" t="s">
        <v>286</v>
      </c>
      <c r="R97" t="s">
        <v>103</v>
      </c>
      <c r="S97" t="s">
        <v>106</v>
      </c>
      <c r="T97">
        <v>1</v>
      </c>
      <c r="U97" t="s">
        <v>1296</v>
      </c>
      <c r="V97" t="s">
        <v>1284</v>
      </c>
      <c r="W97" t="s">
        <v>1237</v>
      </c>
      <c r="X97" t="s">
        <v>1222</v>
      </c>
      <c r="Y97" t="s">
        <v>1221</v>
      </c>
      <c r="Z97">
        <v>78.95</v>
      </c>
      <c r="AA97">
        <v>284.42</v>
      </c>
      <c r="AB97">
        <v>14.221000000000002</v>
      </c>
      <c r="AC97">
        <v>270.19900000000001</v>
      </c>
      <c r="AD97">
        <v>157.9</v>
      </c>
      <c r="AE97">
        <v>112.29900000000001</v>
      </c>
      <c r="AF97">
        <v>0.41561589791227949</v>
      </c>
      <c r="AG97">
        <v>2025</v>
      </c>
      <c r="AH97">
        <v>12</v>
      </c>
      <c r="AI97" t="s">
        <v>1428</v>
      </c>
      <c r="AJ97" t="s">
        <v>1427</v>
      </c>
      <c r="AK97" t="s">
        <v>1285</v>
      </c>
      <c r="AL97">
        <v>0</v>
      </c>
    </row>
    <row r="98" spans="1:38">
      <c r="A98" t="s">
        <v>894</v>
      </c>
      <c r="B98" s="13">
        <v>45781</v>
      </c>
      <c r="C98" t="s">
        <v>338</v>
      </c>
      <c r="D98" t="s">
        <v>143</v>
      </c>
      <c r="E98" t="s">
        <v>339</v>
      </c>
      <c r="F98" t="s">
        <v>111</v>
      </c>
      <c r="G98" t="s">
        <v>122</v>
      </c>
      <c r="H98" t="s">
        <v>97</v>
      </c>
      <c r="I98">
        <v>1</v>
      </c>
      <c r="J98">
        <v>273.39</v>
      </c>
      <c r="K98">
        <v>0.1</v>
      </c>
      <c r="L98" t="s">
        <v>90</v>
      </c>
      <c r="M98">
        <v>3</v>
      </c>
      <c r="N98" t="s">
        <v>91</v>
      </c>
      <c r="O98" t="s">
        <v>97</v>
      </c>
      <c r="P98" t="s">
        <v>143</v>
      </c>
      <c r="Q98" t="s">
        <v>338</v>
      </c>
      <c r="R98" t="s">
        <v>111</v>
      </c>
      <c r="S98" t="s">
        <v>369</v>
      </c>
      <c r="T98">
        <v>1</v>
      </c>
      <c r="U98" t="s">
        <v>1300</v>
      </c>
      <c r="V98" t="s">
        <v>1257</v>
      </c>
      <c r="W98" t="s">
        <v>1237</v>
      </c>
      <c r="X98" t="s">
        <v>1226</v>
      </c>
      <c r="Y98" t="s">
        <v>1221</v>
      </c>
      <c r="Z98">
        <v>119.16</v>
      </c>
      <c r="AA98">
        <v>273.39</v>
      </c>
      <c r="AB98">
        <v>27.338999999999999</v>
      </c>
      <c r="AC98">
        <v>246.05099999999999</v>
      </c>
      <c r="AD98">
        <v>119.16</v>
      </c>
      <c r="AE98">
        <v>126.89099999999999</v>
      </c>
      <c r="AF98">
        <v>0.51571015765024319</v>
      </c>
      <c r="AG98">
        <v>2025</v>
      </c>
      <c r="AH98">
        <v>5</v>
      </c>
      <c r="AI98" t="s">
        <v>1419</v>
      </c>
      <c r="AJ98" t="s">
        <v>1420</v>
      </c>
      <c r="AK98" t="s">
        <v>1258</v>
      </c>
      <c r="AL98">
        <v>0</v>
      </c>
    </row>
    <row r="99" spans="1:38">
      <c r="A99" t="s">
        <v>897</v>
      </c>
      <c r="B99" s="13">
        <v>45906</v>
      </c>
      <c r="C99" t="s">
        <v>359</v>
      </c>
      <c r="D99" t="s">
        <v>114</v>
      </c>
      <c r="E99" t="s">
        <v>361</v>
      </c>
      <c r="F99" t="s">
        <v>103</v>
      </c>
      <c r="G99" t="s">
        <v>171</v>
      </c>
      <c r="H99" t="s">
        <v>105</v>
      </c>
      <c r="I99">
        <v>3</v>
      </c>
      <c r="J99">
        <v>145.91999999999999</v>
      </c>
      <c r="K99">
        <v>0</v>
      </c>
      <c r="L99" t="s">
        <v>504</v>
      </c>
      <c r="M99">
        <v>7</v>
      </c>
      <c r="N99" t="s">
        <v>91</v>
      </c>
      <c r="O99" t="s">
        <v>105</v>
      </c>
      <c r="P99" t="s">
        <v>114</v>
      </c>
      <c r="Q99" t="s">
        <v>359</v>
      </c>
      <c r="R99" t="s">
        <v>103</v>
      </c>
      <c r="S99" t="s">
        <v>98</v>
      </c>
      <c r="T99">
        <v>1</v>
      </c>
      <c r="U99" t="s">
        <v>1296</v>
      </c>
      <c r="V99" t="s">
        <v>1297</v>
      </c>
      <c r="W99" t="s">
        <v>1245</v>
      </c>
      <c r="X99" t="s">
        <v>1222</v>
      </c>
      <c r="Y99" t="s">
        <v>1221</v>
      </c>
      <c r="Z99">
        <v>78.95</v>
      </c>
      <c r="AA99">
        <v>437.76</v>
      </c>
      <c r="AB99">
        <v>0</v>
      </c>
      <c r="AC99">
        <v>437.76</v>
      </c>
      <c r="AD99">
        <v>236.85000000000002</v>
      </c>
      <c r="AE99">
        <v>200.90999999999997</v>
      </c>
      <c r="AF99">
        <v>0.45895010964912275</v>
      </c>
      <c r="AG99">
        <v>2025</v>
      </c>
      <c r="AH99">
        <v>9</v>
      </c>
      <c r="AI99" t="s">
        <v>1432</v>
      </c>
      <c r="AJ99" t="s">
        <v>1418</v>
      </c>
      <c r="AK99" t="s">
        <v>1258</v>
      </c>
      <c r="AL99">
        <v>0</v>
      </c>
    </row>
    <row r="100" spans="1:38">
      <c r="A100" t="s">
        <v>923</v>
      </c>
      <c r="B100" s="13">
        <v>45691</v>
      </c>
      <c r="C100" t="s">
        <v>531</v>
      </c>
      <c r="D100" t="s">
        <v>469</v>
      </c>
      <c r="E100" t="s">
        <v>532</v>
      </c>
      <c r="F100" t="s">
        <v>116</v>
      </c>
      <c r="G100" t="s">
        <v>117</v>
      </c>
      <c r="H100" t="s">
        <v>97</v>
      </c>
      <c r="I100">
        <v>2</v>
      </c>
      <c r="J100">
        <v>88.09</v>
      </c>
      <c r="K100">
        <v>0</v>
      </c>
      <c r="L100" t="s">
        <v>106</v>
      </c>
      <c r="M100">
        <v>1</v>
      </c>
      <c r="N100" t="s">
        <v>91</v>
      </c>
      <c r="O100" t="s">
        <v>97</v>
      </c>
      <c r="P100" t="s">
        <v>469</v>
      </c>
      <c r="Q100" t="s">
        <v>531</v>
      </c>
      <c r="R100" t="s">
        <v>116</v>
      </c>
      <c r="S100" t="s">
        <v>106</v>
      </c>
      <c r="T100">
        <v>1</v>
      </c>
      <c r="U100" t="s">
        <v>1294</v>
      </c>
      <c r="V100" t="s">
        <v>1260</v>
      </c>
      <c r="W100" t="s">
        <v>1237</v>
      </c>
      <c r="X100" t="s">
        <v>1223</v>
      </c>
      <c r="Y100" t="s">
        <v>1221</v>
      </c>
      <c r="Z100">
        <v>59.85</v>
      </c>
      <c r="AA100">
        <v>176.18</v>
      </c>
      <c r="AB100">
        <v>0</v>
      </c>
      <c r="AC100">
        <v>176.18</v>
      </c>
      <c r="AD100">
        <v>119.7</v>
      </c>
      <c r="AE100">
        <v>56.480000000000004</v>
      </c>
      <c r="AF100">
        <v>0.32058122374843911</v>
      </c>
      <c r="AG100">
        <v>2025</v>
      </c>
      <c r="AH100">
        <v>2</v>
      </c>
      <c r="AI100" t="s">
        <v>1430</v>
      </c>
      <c r="AJ100" t="s">
        <v>1424</v>
      </c>
      <c r="AK100" t="s">
        <v>1240</v>
      </c>
      <c r="AL100">
        <v>0</v>
      </c>
    </row>
    <row r="101" spans="1:38">
      <c r="A101" t="s">
        <v>930</v>
      </c>
      <c r="B101" s="13">
        <v>45948</v>
      </c>
      <c r="C101" t="s">
        <v>330</v>
      </c>
      <c r="D101" t="s">
        <v>469</v>
      </c>
      <c r="E101" t="s">
        <v>424</v>
      </c>
      <c r="F101" t="s">
        <v>103</v>
      </c>
      <c r="G101" t="s">
        <v>122</v>
      </c>
      <c r="H101" t="s">
        <v>89</v>
      </c>
      <c r="I101">
        <v>2</v>
      </c>
      <c r="J101">
        <v>85.25</v>
      </c>
      <c r="K101">
        <v>0</v>
      </c>
      <c r="L101" t="s">
        <v>90</v>
      </c>
      <c r="M101">
        <v>5</v>
      </c>
      <c r="N101" t="s">
        <v>91</v>
      </c>
      <c r="O101" t="s">
        <v>89</v>
      </c>
      <c r="P101" t="s">
        <v>469</v>
      </c>
      <c r="Q101" t="s">
        <v>330</v>
      </c>
      <c r="R101" t="s">
        <v>103</v>
      </c>
      <c r="S101" t="s">
        <v>369</v>
      </c>
      <c r="T101">
        <v>1</v>
      </c>
      <c r="U101" t="s">
        <v>1350</v>
      </c>
      <c r="V101" t="s">
        <v>1275</v>
      </c>
      <c r="W101" t="s">
        <v>1237</v>
      </c>
      <c r="X101" t="s">
        <v>1223</v>
      </c>
      <c r="Y101" t="s">
        <v>1221</v>
      </c>
      <c r="Z101">
        <v>59.85</v>
      </c>
      <c r="AA101">
        <v>170.5</v>
      </c>
      <c r="AB101">
        <v>0</v>
      </c>
      <c r="AC101">
        <v>170.5</v>
      </c>
      <c r="AD101">
        <v>119.7</v>
      </c>
      <c r="AE101">
        <v>50.8</v>
      </c>
      <c r="AF101">
        <v>0.2979472140762463</v>
      </c>
      <c r="AG101">
        <v>2025</v>
      </c>
      <c r="AH101">
        <v>10</v>
      </c>
      <c r="AI101" t="s">
        <v>1431</v>
      </c>
      <c r="AJ101" t="s">
        <v>1427</v>
      </c>
      <c r="AK101" t="s">
        <v>1258</v>
      </c>
      <c r="AL101">
        <v>0</v>
      </c>
    </row>
    <row r="102" spans="1:38">
      <c r="A102" t="s">
        <v>931</v>
      </c>
      <c r="B102" s="13">
        <v>45940</v>
      </c>
      <c r="C102" t="s">
        <v>335</v>
      </c>
      <c r="D102" t="s">
        <v>210</v>
      </c>
      <c r="E102" t="s">
        <v>336</v>
      </c>
      <c r="F102" t="s">
        <v>103</v>
      </c>
      <c r="G102" t="s">
        <v>122</v>
      </c>
      <c r="H102" t="s">
        <v>97</v>
      </c>
      <c r="I102">
        <v>3</v>
      </c>
      <c r="J102">
        <v>291.72000000000003</v>
      </c>
      <c r="K102">
        <v>0.1</v>
      </c>
      <c r="L102" t="s">
        <v>90</v>
      </c>
      <c r="M102">
        <v>0</v>
      </c>
      <c r="N102" t="s">
        <v>91</v>
      </c>
      <c r="O102" t="s">
        <v>97</v>
      </c>
      <c r="P102" t="s">
        <v>210</v>
      </c>
      <c r="Q102" t="s">
        <v>335</v>
      </c>
      <c r="R102" t="s">
        <v>103</v>
      </c>
      <c r="S102" t="s">
        <v>369</v>
      </c>
      <c r="T102">
        <v>1</v>
      </c>
      <c r="U102" t="s">
        <v>1290</v>
      </c>
      <c r="V102" t="s">
        <v>1257</v>
      </c>
      <c r="W102" t="s">
        <v>1241</v>
      </c>
      <c r="X102" t="s">
        <v>1228</v>
      </c>
      <c r="Y102" t="s">
        <v>1221</v>
      </c>
      <c r="Z102">
        <v>177.57</v>
      </c>
      <c r="AA102">
        <v>875.16000000000008</v>
      </c>
      <c r="AB102">
        <v>87.51600000000002</v>
      </c>
      <c r="AC102">
        <v>787.64400000000001</v>
      </c>
      <c r="AD102">
        <v>532.71</v>
      </c>
      <c r="AE102">
        <v>254.93399999999997</v>
      </c>
      <c r="AF102">
        <v>0.32366652954888248</v>
      </c>
      <c r="AG102">
        <v>2025</v>
      </c>
      <c r="AH102">
        <v>10</v>
      </c>
      <c r="AI102" t="s">
        <v>1431</v>
      </c>
      <c r="AJ102" t="s">
        <v>1427</v>
      </c>
      <c r="AK102" t="s">
        <v>1258</v>
      </c>
      <c r="AL102">
        <v>0</v>
      </c>
    </row>
    <row r="103" spans="1:38">
      <c r="A103" t="s">
        <v>939</v>
      </c>
      <c r="B103" s="13">
        <v>46007</v>
      </c>
      <c r="C103" t="s">
        <v>213</v>
      </c>
      <c r="D103" t="s">
        <v>303</v>
      </c>
      <c r="E103" t="s">
        <v>214</v>
      </c>
      <c r="F103" t="s">
        <v>116</v>
      </c>
      <c r="G103" t="s">
        <v>104</v>
      </c>
      <c r="H103" t="s">
        <v>89</v>
      </c>
      <c r="I103">
        <v>1</v>
      </c>
      <c r="J103">
        <v>161.33000000000001</v>
      </c>
      <c r="K103">
        <v>0.05</v>
      </c>
      <c r="L103" t="s">
        <v>253</v>
      </c>
      <c r="M103">
        <v>1</v>
      </c>
      <c r="N103" t="s">
        <v>91</v>
      </c>
      <c r="O103" t="s">
        <v>89</v>
      </c>
      <c r="P103" t="s">
        <v>303</v>
      </c>
      <c r="Q103" t="s">
        <v>213</v>
      </c>
      <c r="R103" t="s">
        <v>116</v>
      </c>
      <c r="S103" t="s">
        <v>106</v>
      </c>
      <c r="T103">
        <v>1</v>
      </c>
      <c r="U103" t="s">
        <v>1234</v>
      </c>
      <c r="V103" t="s">
        <v>1235</v>
      </c>
      <c r="W103" t="s">
        <v>1237</v>
      </c>
      <c r="X103" t="s">
        <v>1224</v>
      </c>
      <c r="Y103" t="s">
        <v>1221</v>
      </c>
      <c r="Z103">
        <v>76.97</v>
      </c>
      <c r="AA103">
        <v>161.33000000000001</v>
      </c>
      <c r="AB103">
        <v>8.0665000000000013</v>
      </c>
      <c r="AC103">
        <v>153.26350000000002</v>
      </c>
      <c r="AD103">
        <v>76.97</v>
      </c>
      <c r="AE103">
        <v>76.293500000000023</v>
      </c>
      <c r="AF103">
        <v>0.49779301660212649</v>
      </c>
      <c r="AG103">
        <v>2025</v>
      </c>
      <c r="AH103">
        <v>12</v>
      </c>
      <c r="AI103" t="s">
        <v>1428</v>
      </c>
      <c r="AJ103" t="s">
        <v>1427</v>
      </c>
      <c r="AK103" t="s">
        <v>1236</v>
      </c>
      <c r="AL103">
        <v>0</v>
      </c>
    </row>
    <row r="104" spans="1:38">
      <c r="A104" t="s">
        <v>940</v>
      </c>
      <c r="B104" s="13">
        <v>45951</v>
      </c>
      <c r="C104" t="s">
        <v>230</v>
      </c>
      <c r="D104" t="s">
        <v>94</v>
      </c>
      <c r="E104" t="s">
        <v>232</v>
      </c>
      <c r="F104" t="s">
        <v>103</v>
      </c>
      <c r="G104" t="s">
        <v>88</v>
      </c>
      <c r="H104" t="s">
        <v>89</v>
      </c>
      <c r="I104">
        <v>4</v>
      </c>
      <c r="J104">
        <v>299.89999999999998</v>
      </c>
      <c r="K104">
        <v>0.05</v>
      </c>
      <c r="L104" t="s">
        <v>106</v>
      </c>
      <c r="M104">
        <v>7</v>
      </c>
      <c r="N104" t="s">
        <v>91</v>
      </c>
      <c r="O104" t="s">
        <v>89</v>
      </c>
      <c r="P104" t="s">
        <v>94</v>
      </c>
      <c r="Q104" t="s">
        <v>230</v>
      </c>
      <c r="R104" t="s">
        <v>103</v>
      </c>
      <c r="S104" t="s">
        <v>106</v>
      </c>
      <c r="T104">
        <v>1</v>
      </c>
      <c r="U104" t="s">
        <v>1312</v>
      </c>
      <c r="V104" t="s">
        <v>1247</v>
      </c>
      <c r="W104" t="s">
        <v>1241</v>
      </c>
      <c r="X104" t="s">
        <v>1220</v>
      </c>
      <c r="Y104" t="s">
        <v>1221</v>
      </c>
      <c r="Z104">
        <v>152.55000000000001</v>
      </c>
      <c r="AA104">
        <v>1199.5999999999999</v>
      </c>
      <c r="AB104">
        <v>59.98</v>
      </c>
      <c r="AC104">
        <v>1139.6199999999999</v>
      </c>
      <c r="AD104">
        <v>610.20000000000005</v>
      </c>
      <c r="AE104">
        <v>529.41999999999985</v>
      </c>
      <c r="AF104">
        <v>0.46455836155911612</v>
      </c>
      <c r="AG104">
        <v>2025</v>
      </c>
      <c r="AH104">
        <v>10</v>
      </c>
      <c r="AI104" t="s">
        <v>1431</v>
      </c>
      <c r="AJ104" t="s">
        <v>1427</v>
      </c>
      <c r="AK104" t="s">
        <v>1240</v>
      </c>
      <c r="AL104">
        <v>0</v>
      </c>
    </row>
    <row r="105" spans="1:38">
      <c r="A105" t="s">
        <v>943</v>
      </c>
      <c r="B105" s="13">
        <v>45895</v>
      </c>
      <c r="C105" t="s">
        <v>200</v>
      </c>
      <c r="D105" t="s">
        <v>143</v>
      </c>
      <c r="E105" t="s">
        <v>201</v>
      </c>
      <c r="F105" t="s">
        <v>116</v>
      </c>
      <c r="G105" t="s">
        <v>122</v>
      </c>
      <c r="H105" t="s">
        <v>89</v>
      </c>
      <c r="I105">
        <v>1</v>
      </c>
      <c r="J105">
        <v>249.77</v>
      </c>
      <c r="K105">
        <v>0</v>
      </c>
      <c r="L105" t="s">
        <v>504</v>
      </c>
      <c r="M105">
        <v>7</v>
      </c>
      <c r="N105" t="s">
        <v>91</v>
      </c>
      <c r="O105" t="s">
        <v>89</v>
      </c>
      <c r="P105" t="s">
        <v>143</v>
      </c>
      <c r="Q105" t="s">
        <v>200</v>
      </c>
      <c r="R105" t="s">
        <v>116</v>
      </c>
      <c r="S105" t="s">
        <v>98</v>
      </c>
      <c r="T105">
        <v>1</v>
      </c>
      <c r="U105" t="s">
        <v>1357</v>
      </c>
      <c r="V105" t="s">
        <v>1257</v>
      </c>
      <c r="W105" t="s">
        <v>1241</v>
      </c>
      <c r="X105" t="s">
        <v>1226</v>
      </c>
      <c r="Y105" t="s">
        <v>1221</v>
      </c>
      <c r="Z105">
        <v>119.16</v>
      </c>
      <c r="AA105">
        <v>249.77</v>
      </c>
      <c r="AB105">
        <v>0</v>
      </c>
      <c r="AC105">
        <v>249.77</v>
      </c>
      <c r="AD105">
        <v>119.16</v>
      </c>
      <c r="AE105">
        <v>130.61000000000001</v>
      </c>
      <c r="AF105">
        <v>0.52292108740040844</v>
      </c>
      <c r="AG105">
        <v>2025</v>
      </c>
      <c r="AH105">
        <v>8</v>
      </c>
      <c r="AI105" t="s">
        <v>1417</v>
      </c>
      <c r="AJ105" t="s">
        <v>1418</v>
      </c>
      <c r="AK105" t="s">
        <v>1258</v>
      </c>
      <c r="AL105">
        <v>0</v>
      </c>
    </row>
    <row r="106" spans="1:38">
      <c r="A106" t="s">
        <v>944</v>
      </c>
      <c r="B106" s="13">
        <v>45749</v>
      </c>
      <c r="C106" t="s">
        <v>286</v>
      </c>
      <c r="D106" t="s">
        <v>114</v>
      </c>
      <c r="E106" t="s">
        <v>287</v>
      </c>
      <c r="F106" t="s">
        <v>103</v>
      </c>
      <c r="G106" t="s">
        <v>104</v>
      </c>
      <c r="H106" t="s">
        <v>97</v>
      </c>
      <c r="I106">
        <v>1</v>
      </c>
      <c r="J106">
        <v>139.44</v>
      </c>
      <c r="K106">
        <v>0</v>
      </c>
      <c r="L106" t="s">
        <v>90</v>
      </c>
      <c r="M106">
        <v>3</v>
      </c>
      <c r="N106" t="s">
        <v>91</v>
      </c>
      <c r="O106" t="s">
        <v>97</v>
      </c>
      <c r="P106" t="s">
        <v>114</v>
      </c>
      <c r="Q106" t="s">
        <v>286</v>
      </c>
      <c r="R106" t="s">
        <v>103</v>
      </c>
      <c r="S106" t="s">
        <v>369</v>
      </c>
      <c r="T106">
        <v>1</v>
      </c>
      <c r="U106" t="s">
        <v>1296</v>
      </c>
      <c r="V106" t="s">
        <v>1284</v>
      </c>
      <c r="W106" t="s">
        <v>1237</v>
      </c>
      <c r="X106" t="s">
        <v>1222</v>
      </c>
      <c r="Y106" t="s">
        <v>1221</v>
      </c>
      <c r="Z106">
        <v>78.95</v>
      </c>
      <c r="AA106">
        <v>139.44</v>
      </c>
      <c r="AB106">
        <v>0</v>
      </c>
      <c r="AC106">
        <v>139.44</v>
      </c>
      <c r="AD106">
        <v>78.95</v>
      </c>
      <c r="AE106">
        <v>60.489999999999995</v>
      </c>
      <c r="AF106">
        <v>0.43380665519219735</v>
      </c>
      <c r="AG106">
        <v>2025</v>
      </c>
      <c r="AH106">
        <v>4</v>
      </c>
      <c r="AI106" t="s">
        <v>1421</v>
      </c>
      <c r="AJ106" t="s">
        <v>1420</v>
      </c>
      <c r="AK106" t="s">
        <v>1285</v>
      </c>
      <c r="AL106">
        <v>0</v>
      </c>
    </row>
    <row r="107" spans="1:38">
      <c r="A107" t="s">
        <v>953</v>
      </c>
      <c r="B107" s="13">
        <v>45938</v>
      </c>
      <c r="C107" t="s">
        <v>209</v>
      </c>
      <c r="D107" t="s">
        <v>114</v>
      </c>
      <c r="E107" t="s">
        <v>211</v>
      </c>
      <c r="F107" t="s">
        <v>116</v>
      </c>
      <c r="G107" t="s">
        <v>96</v>
      </c>
      <c r="H107" t="s">
        <v>97</v>
      </c>
      <c r="I107">
        <v>3</v>
      </c>
      <c r="J107">
        <v>140.27000000000001</v>
      </c>
      <c r="K107">
        <v>0.15</v>
      </c>
      <c r="L107" t="s">
        <v>98</v>
      </c>
      <c r="M107">
        <v>4</v>
      </c>
      <c r="N107" t="s">
        <v>91</v>
      </c>
      <c r="O107" t="s">
        <v>97</v>
      </c>
      <c r="P107" t="s">
        <v>114</v>
      </c>
      <c r="Q107" t="s">
        <v>209</v>
      </c>
      <c r="R107" t="s">
        <v>116</v>
      </c>
      <c r="S107" t="s">
        <v>98</v>
      </c>
      <c r="T107">
        <v>1</v>
      </c>
      <c r="U107" t="s">
        <v>1248</v>
      </c>
      <c r="V107" t="s">
        <v>1249</v>
      </c>
      <c r="W107" t="s">
        <v>1237</v>
      </c>
      <c r="X107" t="s">
        <v>1222</v>
      </c>
      <c r="Y107" t="s">
        <v>1221</v>
      </c>
      <c r="Z107">
        <v>78.95</v>
      </c>
      <c r="AA107">
        <v>420.81000000000006</v>
      </c>
      <c r="AB107">
        <v>63.121500000000005</v>
      </c>
      <c r="AC107">
        <v>357.68850000000003</v>
      </c>
      <c r="AD107">
        <v>236.85000000000002</v>
      </c>
      <c r="AE107">
        <v>120.83850000000001</v>
      </c>
      <c r="AF107">
        <v>0.33783166078864713</v>
      </c>
      <c r="AG107">
        <v>2025</v>
      </c>
      <c r="AH107">
        <v>10</v>
      </c>
      <c r="AI107" t="s">
        <v>1431</v>
      </c>
      <c r="AJ107" t="s">
        <v>1427</v>
      </c>
      <c r="AK107" t="s">
        <v>1250</v>
      </c>
      <c r="AL107">
        <v>0</v>
      </c>
    </row>
    <row r="108" spans="1:38">
      <c r="A108" t="s">
        <v>959</v>
      </c>
      <c r="B108" s="13">
        <v>45980</v>
      </c>
      <c r="C108" t="s">
        <v>93</v>
      </c>
      <c r="D108" t="s">
        <v>210</v>
      </c>
      <c r="E108" t="s">
        <v>95</v>
      </c>
      <c r="F108" t="s">
        <v>116</v>
      </c>
      <c r="G108" t="s">
        <v>117</v>
      </c>
      <c r="H108" t="s">
        <v>97</v>
      </c>
      <c r="I108">
        <v>2</v>
      </c>
      <c r="J108">
        <v>298.18</v>
      </c>
      <c r="K108">
        <v>0</v>
      </c>
      <c r="L108" t="s">
        <v>90</v>
      </c>
      <c r="M108">
        <v>1</v>
      </c>
      <c r="N108" t="s">
        <v>91</v>
      </c>
      <c r="O108" t="s">
        <v>97</v>
      </c>
      <c r="P108" t="s">
        <v>210</v>
      </c>
      <c r="Q108" t="s">
        <v>93</v>
      </c>
      <c r="R108" t="s">
        <v>116</v>
      </c>
      <c r="S108" t="s">
        <v>369</v>
      </c>
      <c r="T108">
        <v>1</v>
      </c>
      <c r="U108" t="s">
        <v>1331</v>
      </c>
      <c r="V108" t="s">
        <v>1239</v>
      </c>
      <c r="W108" t="s">
        <v>1245</v>
      </c>
      <c r="X108" t="s">
        <v>1228</v>
      </c>
      <c r="Y108" t="s">
        <v>1221</v>
      </c>
      <c r="Z108">
        <v>177.57</v>
      </c>
      <c r="AA108">
        <v>596.36</v>
      </c>
      <c r="AB108">
        <v>0</v>
      </c>
      <c r="AC108">
        <v>596.36</v>
      </c>
      <c r="AD108">
        <v>355.14</v>
      </c>
      <c r="AE108">
        <v>241.22000000000003</v>
      </c>
      <c r="AF108">
        <v>0.40448722248306396</v>
      </c>
      <c r="AG108">
        <v>2025</v>
      </c>
      <c r="AH108">
        <v>11</v>
      </c>
      <c r="AI108" t="s">
        <v>1426</v>
      </c>
      <c r="AJ108" t="s">
        <v>1427</v>
      </c>
      <c r="AK108" t="s">
        <v>1240</v>
      </c>
      <c r="AL108">
        <v>0</v>
      </c>
    </row>
    <row r="109" spans="1:38">
      <c r="A109" t="s">
        <v>960</v>
      </c>
      <c r="B109" s="13">
        <v>45786</v>
      </c>
      <c r="C109" t="s">
        <v>239</v>
      </c>
      <c r="D109" t="s">
        <v>303</v>
      </c>
      <c r="E109" t="s">
        <v>240</v>
      </c>
      <c r="F109" t="s">
        <v>145</v>
      </c>
      <c r="G109" t="s">
        <v>96</v>
      </c>
      <c r="H109" t="s">
        <v>97</v>
      </c>
      <c r="I109">
        <v>3</v>
      </c>
      <c r="J109">
        <v>162.79</v>
      </c>
      <c r="K109">
        <v>0.05</v>
      </c>
      <c r="L109" t="s">
        <v>90</v>
      </c>
      <c r="M109">
        <v>0</v>
      </c>
      <c r="N109" t="s">
        <v>91</v>
      </c>
      <c r="O109" t="s">
        <v>97</v>
      </c>
      <c r="P109" t="s">
        <v>303</v>
      </c>
      <c r="Q109" t="s">
        <v>239</v>
      </c>
      <c r="R109" t="s">
        <v>145</v>
      </c>
      <c r="S109" t="s">
        <v>369</v>
      </c>
      <c r="T109">
        <v>1</v>
      </c>
      <c r="U109" t="s">
        <v>1336</v>
      </c>
      <c r="V109" t="s">
        <v>1297</v>
      </c>
      <c r="W109" t="s">
        <v>1237</v>
      </c>
      <c r="X109" t="s">
        <v>1224</v>
      </c>
      <c r="Y109" t="s">
        <v>1221</v>
      </c>
      <c r="Z109">
        <v>76.97</v>
      </c>
      <c r="AA109">
        <v>488.37</v>
      </c>
      <c r="AB109">
        <v>24.418500000000002</v>
      </c>
      <c r="AC109">
        <v>463.95150000000001</v>
      </c>
      <c r="AD109">
        <v>230.91</v>
      </c>
      <c r="AE109">
        <v>233.04150000000001</v>
      </c>
      <c r="AF109">
        <v>0.50229711510793695</v>
      </c>
      <c r="AG109">
        <v>2025</v>
      </c>
      <c r="AH109">
        <v>5</v>
      </c>
      <c r="AI109" t="s">
        <v>1419</v>
      </c>
      <c r="AJ109" t="s">
        <v>1420</v>
      </c>
      <c r="AK109" t="s">
        <v>1258</v>
      </c>
      <c r="AL109">
        <v>0</v>
      </c>
    </row>
    <row r="110" spans="1:38">
      <c r="A110" t="s">
        <v>966</v>
      </c>
      <c r="B110" s="13">
        <v>45902</v>
      </c>
      <c r="C110" t="s">
        <v>156</v>
      </c>
      <c r="D110" t="s">
        <v>303</v>
      </c>
      <c r="E110" t="s">
        <v>158</v>
      </c>
      <c r="F110" t="s">
        <v>116</v>
      </c>
      <c r="G110" t="s">
        <v>117</v>
      </c>
      <c r="H110" t="s">
        <v>89</v>
      </c>
      <c r="I110">
        <v>1</v>
      </c>
      <c r="J110">
        <v>166.49</v>
      </c>
      <c r="K110">
        <v>0.1</v>
      </c>
      <c r="L110" t="s">
        <v>106</v>
      </c>
      <c r="M110">
        <v>4</v>
      </c>
      <c r="N110" t="s">
        <v>91</v>
      </c>
      <c r="O110" t="s">
        <v>89</v>
      </c>
      <c r="P110" t="s">
        <v>303</v>
      </c>
      <c r="Q110" t="s">
        <v>156</v>
      </c>
      <c r="R110" t="s">
        <v>116</v>
      </c>
      <c r="S110" t="s">
        <v>106</v>
      </c>
      <c r="T110">
        <v>1</v>
      </c>
      <c r="U110" t="s">
        <v>1353</v>
      </c>
      <c r="V110" t="s">
        <v>1235</v>
      </c>
      <c r="W110" t="s">
        <v>1237</v>
      </c>
      <c r="X110" t="s">
        <v>1224</v>
      </c>
      <c r="Y110" t="s">
        <v>1221</v>
      </c>
      <c r="Z110">
        <v>76.97</v>
      </c>
      <c r="AA110">
        <v>166.49</v>
      </c>
      <c r="AB110">
        <v>16.649000000000001</v>
      </c>
      <c r="AC110">
        <v>149.84100000000001</v>
      </c>
      <c r="AD110">
        <v>76.97</v>
      </c>
      <c r="AE110">
        <v>72.871000000000009</v>
      </c>
      <c r="AF110">
        <v>0.48632216816492152</v>
      </c>
      <c r="AG110">
        <v>2025</v>
      </c>
      <c r="AH110">
        <v>9</v>
      </c>
      <c r="AI110" t="s">
        <v>1432</v>
      </c>
      <c r="AJ110" t="s">
        <v>1418</v>
      </c>
      <c r="AK110" t="s">
        <v>1236</v>
      </c>
      <c r="AL110">
        <v>0</v>
      </c>
    </row>
    <row r="111" spans="1:38">
      <c r="A111" t="s">
        <v>971</v>
      </c>
      <c r="B111" s="13">
        <v>45669</v>
      </c>
      <c r="C111" t="s">
        <v>610</v>
      </c>
      <c r="D111" t="s">
        <v>231</v>
      </c>
      <c r="E111" t="s">
        <v>611</v>
      </c>
      <c r="F111" t="s">
        <v>103</v>
      </c>
      <c r="G111" t="s">
        <v>88</v>
      </c>
      <c r="H111" t="s">
        <v>89</v>
      </c>
      <c r="I111">
        <v>2</v>
      </c>
      <c r="J111">
        <v>370.98</v>
      </c>
      <c r="K111">
        <v>0.15</v>
      </c>
      <c r="L111" t="s">
        <v>106</v>
      </c>
      <c r="M111">
        <v>5</v>
      </c>
      <c r="N111" t="s">
        <v>91</v>
      </c>
      <c r="O111" t="s">
        <v>89</v>
      </c>
      <c r="P111" t="s">
        <v>231</v>
      </c>
      <c r="Q111" t="s">
        <v>610</v>
      </c>
      <c r="R111" t="s">
        <v>103</v>
      </c>
      <c r="S111" t="s">
        <v>106</v>
      </c>
      <c r="T111">
        <v>1</v>
      </c>
      <c r="U111" t="s">
        <v>1304</v>
      </c>
      <c r="V111" t="s">
        <v>1297</v>
      </c>
      <c r="W111" t="s">
        <v>1241</v>
      </c>
      <c r="X111" t="s">
        <v>1225</v>
      </c>
      <c r="Y111" t="s">
        <v>1221</v>
      </c>
      <c r="Z111">
        <v>200.16</v>
      </c>
      <c r="AA111">
        <v>741.96</v>
      </c>
      <c r="AB111">
        <v>111.294</v>
      </c>
      <c r="AC111">
        <v>630.66600000000005</v>
      </c>
      <c r="AD111">
        <v>400.32</v>
      </c>
      <c r="AE111">
        <v>230.34600000000006</v>
      </c>
      <c r="AF111">
        <v>0.36524245797300003</v>
      </c>
      <c r="AG111">
        <v>2025</v>
      </c>
      <c r="AH111">
        <v>1</v>
      </c>
      <c r="AI111" t="s">
        <v>1425</v>
      </c>
      <c r="AJ111" t="s">
        <v>1424</v>
      </c>
      <c r="AK111" t="s">
        <v>1258</v>
      </c>
      <c r="AL111">
        <v>0</v>
      </c>
    </row>
    <row r="112" spans="1:38">
      <c r="A112" t="s">
        <v>982</v>
      </c>
      <c r="B112" s="13">
        <v>45902</v>
      </c>
      <c r="C112" t="s">
        <v>851</v>
      </c>
      <c r="D112" t="s">
        <v>303</v>
      </c>
      <c r="E112" t="s">
        <v>852</v>
      </c>
      <c r="F112" t="s">
        <v>116</v>
      </c>
      <c r="G112" t="s">
        <v>130</v>
      </c>
      <c r="H112" t="s">
        <v>89</v>
      </c>
      <c r="I112">
        <v>4</v>
      </c>
      <c r="J112">
        <v>153.62</v>
      </c>
      <c r="K112">
        <v>0</v>
      </c>
      <c r="L112" t="s">
        <v>98</v>
      </c>
      <c r="M112">
        <v>3</v>
      </c>
      <c r="N112" t="s">
        <v>91</v>
      </c>
      <c r="O112" t="s">
        <v>89</v>
      </c>
      <c r="P112" t="s">
        <v>303</v>
      </c>
      <c r="Q112" t="s">
        <v>851</v>
      </c>
      <c r="R112" t="s">
        <v>116</v>
      </c>
      <c r="S112" t="s">
        <v>98</v>
      </c>
      <c r="T112">
        <v>1</v>
      </c>
      <c r="U112" t="s">
        <v>1276</v>
      </c>
      <c r="V112" t="s">
        <v>1275</v>
      </c>
      <c r="W112" t="s">
        <v>1245</v>
      </c>
      <c r="X112" t="s">
        <v>1224</v>
      </c>
      <c r="Y112" t="s">
        <v>1221</v>
      </c>
      <c r="Z112">
        <v>76.97</v>
      </c>
      <c r="AA112">
        <v>614.48</v>
      </c>
      <c r="AB112">
        <v>0</v>
      </c>
      <c r="AC112">
        <v>614.48</v>
      </c>
      <c r="AD112">
        <v>307.88</v>
      </c>
      <c r="AE112">
        <v>306.60000000000002</v>
      </c>
      <c r="AF112">
        <v>0.49895846894935558</v>
      </c>
      <c r="AG112">
        <v>2025</v>
      </c>
      <c r="AH112">
        <v>9</v>
      </c>
      <c r="AI112" t="s">
        <v>1432</v>
      </c>
      <c r="AJ112" t="s">
        <v>1418</v>
      </c>
      <c r="AK112" t="s">
        <v>1258</v>
      </c>
      <c r="AL112">
        <v>0</v>
      </c>
    </row>
    <row r="113" spans="1:38">
      <c r="A113" t="s">
        <v>985</v>
      </c>
      <c r="B113" s="13">
        <v>45926</v>
      </c>
      <c r="C113" t="s">
        <v>670</v>
      </c>
      <c r="D113" t="s">
        <v>210</v>
      </c>
      <c r="E113" t="s">
        <v>671</v>
      </c>
      <c r="F113" t="s">
        <v>87</v>
      </c>
      <c r="G113" t="s">
        <v>171</v>
      </c>
      <c r="H113" t="s">
        <v>89</v>
      </c>
      <c r="I113">
        <v>3</v>
      </c>
      <c r="J113">
        <v>291.04000000000002</v>
      </c>
      <c r="K113">
        <v>0.1</v>
      </c>
      <c r="L113" t="s">
        <v>504</v>
      </c>
      <c r="M113">
        <v>9</v>
      </c>
      <c r="N113" t="s">
        <v>91</v>
      </c>
      <c r="O113" t="s">
        <v>89</v>
      </c>
      <c r="P113" t="s">
        <v>210</v>
      </c>
      <c r="Q113" t="s">
        <v>670</v>
      </c>
      <c r="R113" t="s">
        <v>87</v>
      </c>
      <c r="S113" t="s">
        <v>98</v>
      </c>
      <c r="T113">
        <v>1</v>
      </c>
      <c r="U113" t="s">
        <v>1349</v>
      </c>
      <c r="V113" t="s">
        <v>1249</v>
      </c>
      <c r="W113" t="s">
        <v>1241</v>
      </c>
      <c r="X113" t="s">
        <v>1228</v>
      </c>
      <c r="Y113" t="s">
        <v>1221</v>
      </c>
      <c r="Z113">
        <v>177.57</v>
      </c>
      <c r="AA113">
        <v>873.12000000000012</v>
      </c>
      <c r="AB113">
        <v>87.312000000000012</v>
      </c>
      <c r="AC113">
        <v>785.80800000000011</v>
      </c>
      <c r="AD113">
        <v>532.71</v>
      </c>
      <c r="AE113">
        <v>253.09800000000007</v>
      </c>
      <c r="AF113">
        <v>0.32208631115997804</v>
      </c>
      <c r="AG113">
        <v>2025</v>
      </c>
      <c r="AH113">
        <v>9</v>
      </c>
      <c r="AI113" t="s">
        <v>1432</v>
      </c>
      <c r="AJ113" t="s">
        <v>1418</v>
      </c>
      <c r="AK113" t="s">
        <v>1250</v>
      </c>
      <c r="AL113">
        <v>0</v>
      </c>
    </row>
    <row r="114" spans="1:38">
      <c r="A114" t="s">
        <v>991</v>
      </c>
      <c r="B114" s="13">
        <v>45891</v>
      </c>
      <c r="C114" t="s">
        <v>507</v>
      </c>
      <c r="D114" t="s">
        <v>94</v>
      </c>
      <c r="E114" t="s">
        <v>508</v>
      </c>
      <c r="F114" t="s">
        <v>116</v>
      </c>
      <c r="G114" t="s">
        <v>96</v>
      </c>
      <c r="H114" t="s">
        <v>97</v>
      </c>
      <c r="I114">
        <v>2</v>
      </c>
      <c r="J114">
        <v>318.20999999999998</v>
      </c>
      <c r="K114">
        <v>0</v>
      </c>
      <c r="L114" t="s">
        <v>98</v>
      </c>
      <c r="M114">
        <v>3</v>
      </c>
      <c r="N114" t="s">
        <v>91</v>
      </c>
      <c r="O114" t="s">
        <v>97</v>
      </c>
      <c r="P114" t="s">
        <v>94</v>
      </c>
      <c r="Q114" t="s">
        <v>507</v>
      </c>
      <c r="R114" t="s">
        <v>116</v>
      </c>
      <c r="S114" t="s">
        <v>98</v>
      </c>
      <c r="T114">
        <v>1</v>
      </c>
      <c r="U114" t="s">
        <v>1328</v>
      </c>
      <c r="V114" t="s">
        <v>1288</v>
      </c>
      <c r="W114" t="s">
        <v>1245</v>
      </c>
      <c r="X114" t="s">
        <v>1220</v>
      </c>
      <c r="Y114" t="s">
        <v>1221</v>
      </c>
      <c r="Z114">
        <v>152.55000000000001</v>
      </c>
      <c r="AA114">
        <v>636.41999999999996</v>
      </c>
      <c r="AB114">
        <v>0</v>
      </c>
      <c r="AC114">
        <v>636.41999999999996</v>
      </c>
      <c r="AD114">
        <v>305.10000000000002</v>
      </c>
      <c r="AE114">
        <v>331.31999999999994</v>
      </c>
      <c r="AF114">
        <v>0.52059960403507111</v>
      </c>
      <c r="AG114">
        <v>2025</v>
      </c>
      <c r="AH114">
        <v>8</v>
      </c>
      <c r="AI114" t="s">
        <v>1417</v>
      </c>
      <c r="AJ114" t="s">
        <v>1418</v>
      </c>
      <c r="AK114" t="s">
        <v>1250</v>
      </c>
      <c r="AL114">
        <v>0</v>
      </c>
    </row>
    <row r="115" spans="1:38">
      <c r="A115" t="s">
        <v>992</v>
      </c>
      <c r="B115" s="13">
        <v>45799</v>
      </c>
      <c r="C115" t="s">
        <v>108</v>
      </c>
      <c r="D115" t="s">
        <v>210</v>
      </c>
      <c r="E115" t="s">
        <v>110</v>
      </c>
      <c r="F115" t="s">
        <v>87</v>
      </c>
      <c r="G115" t="s">
        <v>183</v>
      </c>
      <c r="H115" t="s">
        <v>105</v>
      </c>
      <c r="I115">
        <v>5</v>
      </c>
      <c r="J115">
        <v>323.45</v>
      </c>
      <c r="K115">
        <v>0.05</v>
      </c>
      <c r="L115" t="s">
        <v>106</v>
      </c>
      <c r="M115">
        <v>2</v>
      </c>
      <c r="N115" t="s">
        <v>91</v>
      </c>
      <c r="O115" t="s">
        <v>105</v>
      </c>
      <c r="P115" t="s">
        <v>210</v>
      </c>
      <c r="Q115" t="s">
        <v>108</v>
      </c>
      <c r="R115" t="s">
        <v>87</v>
      </c>
      <c r="S115" t="s">
        <v>106</v>
      </c>
      <c r="T115">
        <v>1</v>
      </c>
      <c r="U115" t="s">
        <v>1319</v>
      </c>
      <c r="V115" t="s">
        <v>1275</v>
      </c>
      <c r="W115" t="s">
        <v>1237</v>
      </c>
      <c r="X115" t="s">
        <v>1228</v>
      </c>
      <c r="Y115" t="s">
        <v>1221</v>
      </c>
      <c r="Z115">
        <v>177.57</v>
      </c>
      <c r="AA115">
        <v>1617.25</v>
      </c>
      <c r="AB115">
        <v>80.862500000000011</v>
      </c>
      <c r="AC115">
        <v>1536.3875</v>
      </c>
      <c r="AD115">
        <v>887.84999999999991</v>
      </c>
      <c r="AE115">
        <v>648.53750000000014</v>
      </c>
      <c r="AF115">
        <v>0.42211844342654448</v>
      </c>
      <c r="AG115">
        <v>2025</v>
      </c>
      <c r="AH115">
        <v>5</v>
      </c>
      <c r="AI115" t="s">
        <v>1419</v>
      </c>
      <c r="AJ115" t="s">
        <v>1420</v>
      </c>
      <c r="AK115" t="s">
        <v>1258</v>
      </c>
      <c r="AL115">
        <v>0</v>
      </c>
    </row>
    <row r="116" spans="1:38">
      <c r="A116" t="s">
        <v>998</v>
      </c>
      <c r="B116" s="13">
        <v>45909</v>
      </c>
      <c r="C116" t="s">
        <v>349</v>
      </c>
      <c r="D116" t="s">
        <v>143</v>
      </c>
      <c r="E116" t="s">
        <v>350</v>
      </c>
      <c r="F116" t="s">
        <v>103</v>
      </c>
      <c r="G116" t="s">
        <v>117</v>
      </c>
      <c r="H116" t="s">
        <v>97</v>
      </c>
      <c r="I116">
        <v>2</v>
      </c>
      <c r="J116">
        <v>260.72000000000003</v>
      </c>
      <c r="K116">
        <v>0.05</v>
      </c>
      <c r="L116" t="s">
        <v>106</v>
      </c>
      <c r="M116">
        <v>4</v>
      </c>
      <c r="N116" t="s">
        <v>147</v>
      </c>
      <c r="O116" t="s">
        <v>97</v>
      </c>
      <c r="P116" t="s">
        <v>143</v>
      </c>
      <c r="Q116" t="s">
        <v>349</v>
      </c>
      <c r="R116" t="s">
        <v>103</v>
      </c>
      <c r="S116" t="s">
        <v>106</v>
      </c>
      <c r="T116">
        <v>1</v>
      </c>
      <c r="U116" t="s">
        <v>1335</v>
      </c>
      <c r="V116" t="s">
        <v>1297</v>
      </c>
      <c r="W116" t="s">
        <v>1241</v>
      </c>
      <c r="X116" t="s">
        <v>1226</v>
      </c>
      <c r="Y116" t="s">
        <v>1221</v>
      </c>
      <c r="Z116">
        <v>119.16</v>
      </c>
      <c r="AA116">
        <v>521.44000000000005</v>
      </c>
      <c r="AB116">
        <v>26.072000000000003</v>
      </c>
      <c r="AC116">
        <v>495.36800000000005</v>
      </c>
      <c r="AD116">
        <v>238.32</v>
      </c>
      <c r="AE116">
        <v>257.04800000000006</v>
      </c>
      <c r="AF116">
        <v>0.51890311848968851</v>
      </c>
      <c r="AG116">
        <v>2025</v>
      </c>
      <c r="AH116">
        <v>9</v>
      </c>
      <c r="AI116" t="s">
        <v>1432</v>
      </c>
      <c r="AJ116" t="s">
        <v>1418</v>
      </c>
      <c r="AK116" t="s">
        <v>1258</v>
      </c>
      <c r="AL116">
        <v>1</v>
      </c>
    </row>
    <row r="117" spans="1:38">
      <c r="A117" t="s">
        <v>1001</v>
      </c>
      <c r="B117" s="13">
        <v>46000</v>
      </c>
      <c r="C117" t="s">
        <v>670</v>
      </c>
      <c r="D117" t="s">
        <v>469</v>
      </c>
      <c r="E117" t="s">
        <v>671</v>
      </c>
      <c r="F117" t="s">
        <v>116</v>
      </c>
      <c r="G117" t="s">
        <v>96</v>
      </c>
      <c r="H117" t="s">
        <v>89</v>
      </c>
      <c r="I117">
        <v>1</v>
      </c>
      <c r="J117">
        <v>80.66</v>
      </c>
      <c r="K117">
        <v>0.1</v>
      </c>
      <c r="L117" t="s">
        <v>106</v>
      </c>
      <c r="M117">
        <v>1</v>
      </c>
      <c r="N117" t="s">
        <v>91</v>
      </c>
      <c r="O117" t="s">
        <v>89</v>
      </c>
      <c r="P117" t="s">
        <v>469</v>
      </c>
      <c r="Q117" t="s">
        <v>670</v>
      </c>
      <c r="R117" t="s">
        <v>116</v>
      </c>
      <c r="S117" t="s">
        <v>106</v>
      </c>
      <c r="T117">
        <v>1</v>
      </c>
      <c r="U117" t="s">
        <v>1349</v>
      </c>
      <c r="V117" t="s">
        <v>1249</v>
      </c>
      <c r="W117" t="s">
        <v>1241</v>
      </c>
      <c r="X117" t="s">
        <v>1223</v>
      </c>
      <c r="Y117" t="s">
        <v>1221</v>
      </c>
      <c r="Z117">
        <v>59.85</v>
      </c>
      <c r="AA117">
        <v>80.66</v>
      </c>
      <c r="AB117">
        <v>8.0660000000000007</v>
      </c>
      <c r="AC117">
        <v>72.593999999999994</v>
      </c>
      <c r="AD117">
        <v>59.85</v>
      </c>
      <c r="AE117">
        <v>12.743999999999993</v>
      </c>
      <c r="AF117">
        <v>0.17555169848747823</v>
      </c>
      <c r="AG117">
        <v>2025</v>
      </c>
      <c r="AH117">
        <v>12</v>
      </c>
      <c r="AI117" t="s">
        <v>1428</v>
      </c>
      <c r="AJ117" t="s">
        <v>1427</v>
      </c>
      <c r="AK117" t="s">
        <v>1250</v>
      </c>
      <c r="AL117">
        <v>0</v>
      </c>
    </row>
    <row r="118" spans="1:38">
      <c r="A118" t="s">
        <v>1003</v>
      </c>
      <c r="B118" s="13">
        <v>45722</v>
      </c>
      <c r="C118" t="s">
        <v>427</v>
      </c>
      <c r="D118" t="s">
        <v>231</v>
      </c>
      <c r="E118" t="s">
        <v>428</v>
      </c>
      <c r="F118" t="s">
        <v>849</v>
      </c>
      <c r="G118" t="s">
        <v>130</v>
      </c>
      <c r="H118" t="s">
        <v>89</v>
      </c>
      <c r="I118">
        <v>1</v>
      </c>
      <c r="J118">
        <v>348.97</v>
      </c>
      <c r="K118">
        <v>0</v>
      </c>
      <c r="L118" t="s">
        <v>106</v>
      </c>
      <c r="M118">
        <v>5</v>
      </c>
      <c r="N118" t="s">
        <v>91</v>
      </c>
      <c r="O118" t="s">
        <v>89</v>
      </c>
      <c r="P118" t="s">
        <v>231</v>
      </c>
      <c r="Q118" t="s">
        <v>427</v>
      </c>
      <c r="R118" t="s">
        <v>145</v>
      </c>
      <c r="S118" t="s">
        <v>106</v>
      </c>
      <c r="T118">
        <v>1</v>
      </c>
      <c r="U118" t="s">
        <v>1311</v>
      </c>
      <c r="V118" t="s">
        <v>1277</v>
      </c>
      <c r="W118" t="s">
        <v>1237</v>
      </c>
      <c r="X118" t="s">
        <v>1225</v>
      </c>
      <c r="Y118" t="s">
        <v>1221</v>
      </c>
      <c r="Z118">
        <v>200.16</v>
      </c>
      <c r="AA118">
        <v>348.97</v>
      </c>
      <c r="AB118">
        <v>0</v>
      </c>
      <c r="AC118">
        <v>348.97</v>
      </c>
      <c r="AD118">
        <v>200.16</v>
      </c>
      <c r="AE118">
        <v>148.81000000000003</v>
      </c>
      <c r="AF118">
        <v>0.42642634037309801</v>
      </c>
      <c r="AG118">
        <v>2025</v>
      </c>
      <c r="AH118">
        <v>3</v>
      </c>
      <c r="AI118" t="s">
        <v>1423</v>
      </c>
      <c r="AJ118" t="s">
        <v>1424</v>
      </c>
      <c r="AK118" t="s">
        <v>1244</v>
      </c>
      <c r="AL118">
        <v>0</v>
      </c>
    </row>
    <row r="119" spans="1:38">
      <c r="A119" t="s">
        <v>1015</v>
      </c>
      <c r="B119" s="13">
        <v>45690</v>
      </c>
      <c r="C119" t="s">
        <v>644</v>
      </c>
      <c r="D119" t="s">
        <v>114</v>
      </c>
      <c r="E119" t="s">
        <v>645</v>
      </c>
      <c r="F119" t="s">
        <v>103</v>
      </c>
      <c r="G119" t="s">
        <v>104</v>
      </c>
      <c r="H119" t="s">
        <v>105</v>
      </c>
      <c r="I119">
        <v>1</v>
      </c>
      <c r="J119">
        <v>152.36000000000001</v>
      </c>
      <c r="K119">
        <v>0.05</v>
      </c>
      <c r="L119" t="s">
        <v>106</v>
      </c>
      <c r="M119">
        <v>2</v>
      </c>
      <c r="N119" t="s">
        <v>91</v>
      </c>
      <c r="O119" t="s">
        <v>105</v>
      </c>
      <c r="P119" t="s">
        <v>114</v>
      </c>
      <c r="Q119" t="s">
        <v>644</v>
      </c>
      <c r="R119" t="s">
        <v>103</v>
      </c>
      <c r="S119" t="s">
        <v>106</v>
      </c>
      <c r="T119">
        <v>1</v>
      </c>
      <c r="U119" t="s">
        <v>1259</v>
      </c>
      <c r="V119" t="s">
        <v>1260</v>
      </c>
      <c r="W119" t="s">
        <v>1237</v>
      </c>
      <c r="X119" t="s">
        <v>1222</v>
      </c>
      <c r="Y119" t="s">
        <v>1221</v>
      </c>
      <c r="Z119">
        <v>78.95</v>
      </c>
      <c r="AA119">
        <v>152.36000000000001</v>
      </c>
      <c r="AB119">
        <v>7.6180000000000012</v>
      </c>
      <c r="AC119">
        <v>144.74200000000002</v>
      </c>
      <c r="AD119">
        <v>78.95</v>
      </c>
      <c r="AE119">
        <v>65.792000000000016</v>
      </c>
      <c r="AF119">
        <v>0.45454671069903696</v>
      </c>
      <c r="AG119">
        <v>2025</v>
      </c>
      <c r="AH119">
        <v>2</v>
      </c>
      <c r="AI119" t="s">
        <v>1430</v>
      </c>
      <c r="AJ119" t="s">
        <v>1424</v>
      </c>
      <c r="AK119" t="s">
        <v>1240</v>
      </c>
      <c r="AL119">
        <v>0</v>
      </c>
    </row>
    <row r="120" spans="1:38">
      <c r="A120" t="s">
        <v>1024</v>
      </c>
      <c r="B120" s="13">
        <v>45988</v>
      </c>
      <c r="C120" t="s">
        <v>169</v>
      </c>
      <c r="D120" t="s">
        <v>210</v>
      </c>
      <c r="E120" t="s">
        <v>170</v>
      </c>
      <c r="F120" t="s">
        <v>103</v>
      </c>
      <c r="G120" t="s">
        <v>130</v>
      </c>
      <c r="H120" t="s">
        <v>97</v>
      </c>
      <c r="I120">
        <v>3</v>
      </c>
      <c r="J120">
        <v>292.93</v>
      </c>
      <c r="K120">
        <v>0.05</v>
      </c>
      <c r="L120" t="s">
        <v>98</v>
      </c>
      <c r="M120">
        <v>0</v>
      </c>
      <c r="N120" t="s">
        <v>91</v>
      </c>
      <c r="O120" t="s">
        <v>97</v>
      </c>
      <c r="P120" t="s">
        <v>210</v>
      </c>
      <c r="Q120" t="s">
        <v>169</v>
      </c>
      <c r="R120" t="s">
        <v>103</v>
      </c>
      <c r="S120" t="s">
        <v>98</v>
      </c>
      <c r="T120">
        <v>1</v>
      </c>
      <c r="U120" t="s">
        <v>1313</v>
      </c>
      <c r="V120" t="s">
        <v>1288</v>
      </c>
      <c r="W120" t="s">
        <v>1237</v>
      </c>
      <c r="X120" t="s">
        <v>1228</v>
      </c>
      <c r="Y120" t="s">
        <v>1221</v>
      </c>
      <c r="Z120">
        <v>177.57</v>
      </c>
      <c r="AA120">
        <v>878.79</v>
      </c>
      <c r="AB120">
        <v>43.939500000000002</v>
      </c>
      <c r="AC120">
        <v>834.85050000000001</v>
      </c>
      <c r="AD120">
        <v>532.71</v>
      </c>
      <c r="AE120">
        <v>302.14049999999997</v>
      </c>
      <c r="AF120">
        <v>0.36190970718709514</v>
      </c>
      <c r="AG120">
        <v>2025</v>
      </c>
      <c r="AH120">
        <v>11</v>
      </c>
      <c r="AI120" t="s">
        <v>1426</v>
      </c>
      <c r="AJ120" t="s">
        <v>1427</v>
      </c>
      <c r="AK120" t="s">
        <v>1250</v>
      </c>
      <c r="AL120">
        <v>0</v>
      </c>
    </row>
    <row r="121" spans="1:38">
      <c r="A121" t="s">
        <v>1038</v>
      </c>
      <c r="B121" s="13">
        <v>45936</v>
      </c>
      <c r="C121" t="s">
        <v>338</v>
      </c>
      <c r="D121" t="s">
        <v>143</v>
      </c>
      <c r="E121" t="s">
        <v>339</v>
      </c>
      <c r="F121" t="s">
        <v>145</v>
      </c>
      <c r="G121" t="s">
        <v>130</v>
      </c>
      <c r="H121" t="s">
        <v>97</v>
      </c>
      <c r="I121">
        <v>2</v>
      </c>
      <c r="J121">
        <v>269.25</v>
      </c>
      <c r="K121">
        <v>0.15</v>
      </c>
      <c r="L121" t="s">
        <v>106</v>
      </c>
      <c r="M121">
        <v>4</v>
      </c>
      <c r="N121" t="s">
        <v>91</v>
      </c>
      <c r="O121" t="s">
        <v>97</v>
      </c>
      <c r="P121" t="s">
        <v>143</v>
      </c>
      <c r="Q121" t="s">
        <v>338</v>
      </c>
      <c r="R121" t="s">
        <v>145</v>
      </c>
      <c r="S121" t="s">
        <v>106</v>
      </c>
      <c r="T121">
        <v>1</v>
      </c>
      <c r="U121" t="s">
        <v>1300</v>
      </c>
      <c r="V121" t="s">
        <v>1257</v>
      </c>
      <c r="W121" t="s">
        <v>1237</v>
      </c>
      <c r="X121" t="s">
        <v>1226</v>
      </c>
      <c r="Y121" t="s">
        <v>1221</v>
      </c>
      <c r="Z121">
        <v>119.16</v>
      </c>
      <c r="AA121">
        <v>538.5</v>
      </c>
      <c r="AB121">
        <v>80.774999999999991</v>
      </c>
      <c r="AC121">
        <v>457.72500000000002</v>
      </c>
      <c r="AD121">
        <v>238.32</v>
      </c>
      <c r="AE121">
        <v>219.40500000000003</v>
      </c>
      <c r="AF121">
        <v>0.47933803047681472</v>
      </c>
      <c r="AG121">
        <v>2025</v>
      </c>
      <c r="AH121">
        <v>10</v>
      </c>
      <c r="AI121" t="s">
        <v>1431</v>
      </c>
      <c r="AJ121" t="s">
        <v>1427</v>
      </c>
      <c r="AK121" t="s">
        <v>1258</v>
      </c>
      <c r="AL121">
        <v>0</v>
      </c>
    </row>
    <row r="122" spans="1:38">
      <c r="A122" t="s">
        <v>1043</v>
      </c>
      <c r="B122" s="13">
        <v>45816</v>
      </c>
      <c r="C122" t="s">
        <v>417</v>
      </c>
      <c r="D122" t="s">
        <v>114</v>
      </c>
      <c r="E122" t="s">
        <v>419</v>
      </c>
      <c r="F122" t="s">
        <v>103</v>
      </c>
      <c r="G122" t="s">
        <v>96</v>
      </c>
      <c r="H122" t="s">
        <v>97</v>
      </c>
      <c r="I122">
        <v>1</v>
      </c>
      <c r="J122">
        <v>137.82</v>
      </c>
      <c r="K122">
        <v>0.1</v>
      </c>
      <c r="L122" t="s">
        <v>90</v>
      </c>
      <c r="M122">
        <v>2</v>
      </c>
      <c r="N122" t="s">
        <v>91</v>
      </c>
      <c r="O122" t="s">
        <v>97</v>
      </c>
      <c r="P122" t="s">
        <v>114</v>
      </c>
      <c r="Q122" t="s">
        <v>417</v>
      </c>
      <c r="R122" t="s">
        <v>103</v>
      </c>
      <c r="S122" t="s">
        <v>369</v>
      </c>
      <c r="T122">
        <v>1</v>
      </c>
      <c r="U122" t="s">
        <v>1329</v>
      </c>
      <c r="V122" t="s">
        <v>1243</v>
      </c>
      <c r="W122" t="s">
        <v>1237</v>
      </c>
      <c r="X122" t="s">
        <v>1222</v>
      </c>
      <c r="Y122" t="s">
        <v>1221</v>
      </c>
      <c r="Z122">
        <v>78.95</v>
      </c>
      <c r="AA122">
        <v>137.82</v>
      </c>
      <c r="AB122">
        <v>13.782</v>
      </c>
      <c r="AC122">
        <v>124.038</v>
      </c>
      <c r="AD122">
        <v>78.95</v>
      </c>
      <c r="AE122">
        <v>45.087999999999994</v>
      </c>
      <c r="AF122">
        <v>0.36350150760250888</v>
      </c>
      <c r="AG122">
        <v>2025</v>
      </c>
      <c r="AH122">
        <v>6</v>
      </c>
      <c r="AI122" t="s">
        <v>1429</v>
      </c>
      <c r="AJ122" t="s">
        <v>1420</v>
      </c>
      <c r="AK122" t="s">
        <v>1244</v>
      </c>
      <c r="AL122">
        <v>0</v>
      </c>
    </row>
    <row r="123" spans="1:38">
      <c r="A123" t="s">
        <v>1045</v>
      </c>
      <c r="B123" s="13">
        <v>45899</v>
      </c>
      <c r="C123" t="s">
        <v>453</v>
      </c>
      <c r="D123" t="s">
        <v>469</v>
      </c>
      <c r="E123" t="s">
        <v>454</v>
      </c>
      <c r="F123" t="s">
        <v>111</v>
      </c>
      <c r="G123" t="s">
        <v>96</v>
      </c>
      <c r="H123" t="s">
        <v>97</v>
      </c>
      <c r="I123">
        <v>1</v>
      </c>
      <c r="J123">
        <v>83.52</v>
      </c>
      <c r="K123">
        <v>0.2</v>
      </c>
      <c r="L123" t="s">
        <v>98</v>
      </c>
      <c r="M123">
        <v>1</v>
      </c>
      <c r="N123" t="s">
        <v>91</v>
      </c>
      <c r="O123" t="s">
        <v>97</v>
      </c>
      <c r="P123" t="s">
        <v>469</v>
      </c>
      <c r="Q123" t="s">
        <v>453</v>
      </c>
      <c r="R123" t="s">
        <v>111</v>
      </c>
      <c r="S123" t="s">
        <v>98</v>
      </c>
      <c r="T123">
        <v>1</v>
      </c>
      <c r="U123" t="s">
        <v>1318</v>
      </c>
      <c r="V123" t="s">
        <v>1235</v>
      </c>
      <c r="W123" t="s">
        <v>1245</v>
      </c>
      <c r="X123" t="s">
        <v>1223</v>
      </c>
      <c r="Y123" t="s">
        <v>1221</v>
      </c>
      <c r="Z123">
        <v>59.85</v>
      </c>
      <c r="AA123">
        <v>83.52</v>
      </c>
      <c r="AB123">
        <v>16.704000000000001</v>
      </c>
      <c r="AC123">
        <v>66.816000000000003</v>
      </c>
      <c r="AD123">
        <v>59.85</v>
      </c>
      <c r="AE123">
        <v>6.9660000000000011</v>
      </c>
      <c r="AF123">
        <v>0.1042564655172414</v>
      </c>
      <c r="AG123">
        <v>2025</v>
      </c>
      <c r="AH123">
        <v>8</v>
      </c>
      <c r="AI123" t="s">
        <v>1417</v>
      </c>
      <c r="AJ123" t="s">
        <v>1418</v>
      </c>
      <c r="AK123" t="s">
        <v>1236</v>
      </c>
      <c r="AL123">
        <v>0</v>
      </c>
    </row>
    <row r="124" spans="1:38">
      <c r="A124" t="s">
        <v>1050</v>
      </c>
      <c r="B124" s="13">
        <v>45971</v>
      </c>
      <c r="C124" t="s">
        <v>335</v>
      </c>
      <c r="D124" t="s">
        <v>143</v>
      </c>
      <c r="E124" t="s">
        <v>1051</v>
      </c>
      <c r="F124" t="s">
        <v>87</v>
      </c>
      <c r="G124" t="s">
        <v>183</v>
      </c>
      <c r="H124" t="s">
        <v>89</v>
      </c>
      <c r="I124">
        <v>1</v>
      </c>
      <c r="J124">
        <v>275.77999999999997</v>
      </c>
      <c r="K124">
        <v>0.05</v>
      </c>
      <c r="L124" t="s">
        <v>106</v>
      </c>
      <c r="M124">
        <v>4</v>
      </c>
      <c r="N124" t="s">
        <v>91</v>
      </c>
      <c r="O124" t="s">
        <v>89</v>
      </c>
      <c r="P124" t="s">
        <v>143</v>
      </c>
      <c r="Q124" t="s">
        <v>335</v>
      </c>
      <c r="R124" t="s">
        <v>87</v>
      </c>
      <c r="S124" t="s">
        <v>106</v>
      </c>
      <c r="T124">
        <v>1</v>
      </c>
      <c r="U124" t="s">
        <v>1290</v>
      </c>
      <c r="V124" t="s">
        <v>1257</v>
      </c>
      <c r="W124" t="s">
        <v>1241</v>
      </c>
      <c r="X124" t="s">
        <v>1226</v>
      </c>
      <c r="Y124" t="s">
        <v>1221</v>
      </c>
      <c r="Z124">
        <v>119.16</v>
      </c>
      <c r="AA124">
        <v>275.77999999999997</v>
      </c>
      <c r="AB124">
        <v>13.789</v>
      </c>
      <c r="AC124">
        <v>261.99099999999999</v>
      </c>
      <c r="AD124">
        <v>119.16</v>
      </c>
      <c r="AE124">
        <v>142.83099999999999</v>
      </c>
      <c r="AF124">
        <v>0.54517521594253238</v>
      </c>
      <c r="AG124">
        <v>2025</v>
      </c>
      <c r="AH124">
        <v>11</v>
      </c>
      <c r="AI124" t="s">
        <v>1426</v>
      </c>
      <c r="AJ124" t="s">
        <v>1427</v>
      </c>
      <c r="AK124" t="s">
        <v>1258</v>
      </c>
      <c r="AL124">
        <v>0</v>
      </c>
    </row>
    <row r="125" spans="1:38">
      <c r="A125" t="s">
        <v>1054</v>
      </c>
      <c r="B125" s="13">
        <v>45780</v>
      </c>
      <c r="C125" t="s">
        <v>273</v>
      </c>
      <c r="D125" t="s">
        <v>303</v>
      </c>
      <c r="E125" t="s">
        <v>274</v>
      </c>
      <c r="F125" t="s">
        <v>103</v>
      </c>
      <c r="G125" t="s">
        <v>117</v>
      </c>
      <c r="H125" t="s">
        <v>89</v>
      </c>
      <c r="I125">
        <v>1</v>
      </c>
      <c r="J125">
        <v>156.22</v>
      </c>
      <c r="K125">
        <v>0.25</v>
      </c>
      <c r="L125" t="s">
        <v>90</v>
      </c>
      <c r="M125">
        <v>8</v>
      </c>
      <c r="N125" t="s">
        <v>147</v>
      </c>
      <c r="O125" t="s">
        <v>89</v>
      </c>
      <c r="P125" t="s">
        <v>303</v>
      </c>
      <c r="Q125" t="s">
        <v>273</v>
      </c>
      <c r="R125" t="s">
        <v>103</v>
      </c>
      <c r="S125" t="s">
        <v>369</v>
      </c>
      <c r="T125">
        <v>1</v>
      </c>
      <c r="U125" t="s">
        <v>1314</v>
      </c>
      <c r="V125" t="s">
        <v>1247</v>
      </c>
      <c r="W125" t="s">
        <v>1237</v>
      </c>
      <c r="X125" t="s">
        <v>1224</v>
      </c>
      <c r="Y125" t="s">
        <v>1221</v>
      </c>
      <c r="Z125">
        <v>76.97</v>
      </c>
      <c r="AA125">
        <v>156.22</v>
      </c>
      <c r="AB125">
        <v>39.055</v>
      </c>
      <c r="AC125">
        <v>117.16499999999999</v>
      </c>
      <c r="AD125">
        <v>76.97</v>
      </c>
      <c r="AE125">
        <v>40.194999999999993</v>
      </c>
      <c r="AF125">
        <v>0.34306320146801517</v>
      </c>
      <c r="AG125">
        <v>2025</v>
      </c>
      <c r="AH125">
        <v>5</v>
      </c>
      <c r="AI125" t="s">
        <v>1419</v>
      </c>
      <c r="AJ125" t="s">
        <v>1420</v>
      </c>
      <c r="AK125" t="s">
        <v>1240</v>
      </c>
      <c r="AL125">
        <v>1</v>
      </c>
    </row>
    <row r="126" spans="1:38">
      <c r="A126" t="s">
        <v>1062</v>
      </c>
      <c r="B126" s="13">
        <v>45676</v>
      </c>
      <c r="C126" t="s">
        <v>343</v>
      </c>
      <c r="D126" t="s">
        <v>210</v>
      </c>
      <c r="E126" t="s">
        <v>344</v>
      </c>
      <c r="F126" t="s">
        <v>87</v>
      </c>
      <c r="G126" t="s">
        <v>96</v>
      </c>
      <c r="H126" t="s">
        <v>89</v>
      </c>
      <c r="I126">
        <v>4</v>
      </c>
      <c r="J126">
        <v>302</v>
      </c>
      <c r="K126">
        <v>0.05</v>
      </c>
      <c r="L126" t="s">
        <v>90</v>
      </c>
      <c r="M126">
        <v>6</v>
      </c>
      <c r="N126" t="s">
        <v>91</v>
      </c>
      <c r="O126" t="s">
        <v>89</v>
      </c>
      <c r="P126" t="s">
        <v>210</v>
      </c>
      <c r="Q126" t="s">
        <v>343</v>
      </c>
      <c r="R126" t="s">
        <v>87</v>
      </c>
      <c r="S126" t="s">
        <v>369</v>
      </c>
      <c r="T126">
        <v>1</v>
      </c>
      <c r="U126" t="s">
        <v>1354</v>
      </c>
      <c r="V126" t="s">
        <v>1243</v>
      </c>
      <c r="W126" t="s">
        <v>1237</v>
      </c>
      <c r="X126" t="s">
        <v>1228</v>
      </c>
      <c r="Y126" t="s">
        <v>1221</v>
      </c>
      <c r="Z126">
        <v>177.57</v>
      </c>
      <c r="AA126">
        <v>1208</v>
      </c>
      <c r="AB126">
        <v>60.400000000000006</v>
      </c>
      <c r="AC126">
        <v>1147.5999999999999</v>
      </c>
      <c r="AD126">
        <v>710.28</v>
      </c>
      <c r="AE126">
        <v>437.31999999999994</v>
      </c>
      <c r="AF126">
        <v>0.38107354478912508</v>
      </c>
      <c r="AG126">
        <v>2025</v>
      </c>
      <c r="AH126">
        <v>1</v>
      </c>
      <c r="AI126" t="s">
        <v>1425</v>
      </c>
      <c r="AJ126" t="s">
        <v>1424</v>
      </c>
      <c r="AK126" t="s">
        <v>1244</v>
      </c>
      <c r="AL126">
        <v>0</v>
      </c>
    </row>
    <row r="127" spans="1:38">
      <c r="A127" t="s">
        <v>1071</v>
      </c>
      <c r="B127" s="13">
        <v>45791</v>
      </c>
      <c r="C127" t="s">
        <v>438</v>
      </c>
      <c r="D127" t="s">
        <v>231</v>
      </c>
      <c r="E127" t="s">
        <v>439</v>
      </c>
      <c r="F127" t="s">
        <v>103</v>
      </c>
      <c r="G127" t="s">
        <v>117</v>
      </c>
      <c r="H127" t="s">
        <v>97</v>
      </c>
      <c r="I127">
        <v>2</v>
      </c>
      <c r="J127">
        <v>364.47</v>
      </c>
      <c r="K127">
        <v>0.25</v>
      </c>
      <c r="L127" t="s">
        <v>106</v>
      </c>
      <c r="M127">
        <v>4</v>
      </c>
      <c r="N127" t="s">
        <v>91</v>
      </c>
      <c r="O127" t="s">
        <v>97</v>
      </c>
      <c r="P127" t="s">
        <v>231</v>
      </c>
      <c r="Q127" t="s">
        <v>438</v>
      </c>
      <c r="R127" t="s">
        <v>103</v>
      </c>
      <c r="S127" t="s">
        <v>106</v>
      </c>
      <c r="T127">
        <v>1</v>
      </c>
      <c r="U127" t="s">
        <v>1278</v>
      </c>
      <c r="V127" t="s">
        <v>1257</v>
      </c>
      <c r="W127" t="s">
        <v>1237</v>
      </c>
      <c r="X127" t="s">
        <v>1225</v>
      </c>
      <c r="Y127" t="s">
        <v>1221</v>
      </c>
      <c r="Z127">
        <v>200.16</v>
      </c>
      <c r="AA127">
        <v>728.94</v>
      </c>
      <c r="AB127">
        <v>182.23500000000001</v>
      </c>
      <c r="AC127">
        <v>546.70500000000004</v>
      </c>
      <c r="AD127">
        <v>400.32</v>
      </c>
      <c r="AE127">
        <v>146.38500000000005</v>
      </c>
      <c r="AF127">
        <v>0.26775866326446629</v>
      </c>
      <c r="AG127">
        <v>2025</v>
      </c>
      <c r="AH127">
        <v>5</v>
      </c>
      <c r="AI127" t="s">
        <v>1419</v>
      </c>
      <c r="AJ127" t="s">
        <v>1420</v>
      </c>
      <c r="AK127" t="s">
        <v>1258</v>
      </c>
      <c r="AL127">
        <v>0</v>
      </c>
    </row>
    <row r="128" spans="1:38">
      <c r="A128" t="s">
        <v>1074</v>
      </c>
      <c r="B128" s="13">
        <v>45953</v>
      </c>
      <c r="C128" t="s">
        <v>335</v>
      </c>
      <c r="D128" t="s">
        <v>231</v>
      </c>
      <c r="E128" t="s">
        <v>336</v>
      </c>
      <c r="F128" t="s">
        <v>87</v>
      </c>
      <c r="G128" t="s">
        <v>122</v>
      </c>
      <c r="H128" t="s">
        <v>89</v>
      </c>
      <c r="I128">
        <v>1</v>
      </c>
      <c r="J128">
        <v>370.32</v>
      </c>
      <c r="K128">
        <v>0</v>
      </c>
      <c r="L128" t="s">
        <v>98</v>
      </c>
      <c r="M128">
        <v>5</v>
      </c>
      <c r="N128" t="s">
        <v>91</v>
      </c>
      <c r="O128" t="s">
        <v>89</v>
      </c>
      <c r="P128" t="s">
        <v>231</v>
      </c>
      <c r="Q128" t="s">
        <v>335</v>
      </c>
      <c r="R128" t="s">
        <v>87</v>
      </c>
      <c r="S128" t="s">
        <v>98</v>
      </c>
      <c r="T128">
        <v>1</v>
      </c>
      <c r="U128" t="s">
        <v>1290</v>
      </c>
      <c r="V128" t="s">
        <v>1257</v>
      </c>
      <c r="W128" t="s">
        <v>1241</v>
      </c>
      <c r="X128" t="s">
        <v>1225</v>
      </c>
      <c r="Y128" t="s">
        <v>1221</v>
      </c>
      <c r="Z128">
        <v>200.16</v>
      </c>
      <c r="AA128">
        <v>370.32</v>
      </c>
      <c r="AB128">
        <v>0</v>
      </c>
      <c r="AC128">
        <v>370.32</v>
      </c>
      <c r="AD128">
        <v>200.16</v>
      </c>
      <c r="AE128">
        <v>170.16</v>
      </c>
      <c r="AF128">
        <v>0.4594944912508101</v>
      </c>
      <c r="AG128">
        <v>2025</v>
      </c>
      <c r="AH128">
        <v>10</v>
      </c>
      <c r="AI128" t="s">
        <v>1431</v>
      </c>
      <c r="AJ128" t="s">
        <v>1427</v>
      </c>
      <c r="AK128" t="s">
        <v>1258</v>
      </c>
      <c r="AL128">
        <v>0</v>
      </c>
    </row>
    <row r="129" spans="1:38">
      <c r="A129" t="s">
        <v>1084</v>
      </c>
      <c r="B129" s="13">
        <v>45898</v>
      </c>
      <c r="C129" t="s">
        <v>497</v>
      </c>
      <c r="D129" t="s">
        <v>133</v>
      </c>
      <c r="E129" t="s">
        <v>498</v>
      </c>
      <c r="F129" t="s">
        <v>87</v>
      </c>
      <c r="G129" t="s">
        <v>171</v>
      </c>
      <c r="H129" t="s">
        <v>89</v>
      </c>
      <c r="I129">
        <v>4</v>
      </c>
      <c r="J129">
        <v>346.87</v>
      </c>
      <c r="K129">
        <v>0.05</v>
      </c>
      <c r="L129" t="s">
        <v>106</v>
      </c>
      <c r="M129">
        <v>2</v>
      </c>
      <c r="N129" t="s">
        <v>91</v>
      </c>
      <c r="O129" t="s">
        <v>89</v>
      </c>
      <c r="P129" t="s">
        <v>133</v>
      </c>
      <c r="Q129" t="s">
        <v>497</v>
      </c>
      <c r="R129" t="s">
        <v>87</v>
      </c>
      <c r="S129" t="s">
        <v>106</v>
      </c>
      <c r="T129">
        <v>1</v>
      </c>
      <c r="U129" t="s">
        <v>1271</v>
      </c>
      <c r="V129" t="s">
        <v>1257</v>
      </c>
      <c r="W129" t="s">
        <v>1237</v>
      </c>
      <c r="X129" t="s">
        <v>1227</v>
      </c>
      <c r="Y129" t="s">
        <v>1221</v>
      </c>
      <c r="Z129">
        <v>229.86</v>
      </c>
      <c r="AA129">
        <v>1387.48</v>
      </c>
      <c r="AB129">
        <v>69.374000000000009</v>
      </c>
      <c r="AC129">
        <v>1318.106</v>
      </c>
      <c r="AD129">
        <v>919.44</v>
      </c>
      <c r="AE129">
        <v>398.66599999999994</v>
      </c>
      <c r="AF129">
        <v>0.30245367216293678</v>
      </c>
      <c r="AG129">
        <v>2025</v>
      </c>
      <c r="AH129">
        <v>8</v>
      </c>
      <c r="AI129" t="s">
        <v>1417</v>
      </c>
      <c r="AJ129" t="s">
        <v>1418</v>
      </c>
      <c r="AK129" t="s">
        <v>1258</v>
      </c>
      <c r="AL129">
        <v>0</v>
      </c>
    </row>
    <row r="130" spans="1:38">
      <c r="A130" t="s">
        <v>1087</v>
      </c>
      <c r="B130" s="13">
        <v>45684</v>
      </c>
      <c r="C130" t="s">
        <v>675</v>
      </c>
      <c r="D130" t="s">
        <v>231</v>
      </c>
      <c r="E130" t="s">
        <v>676</v>
      </c>
      <c r="F130" t="s">
        <v>145</v>
      </c>
      <c r="G130" t="s">
        <v>130</v>
      </c>
      <c r="H130" t="s">
        <v>97</v>
      </c>
      <c r="I130">
        <v>3</v>
      </c>
      <c r="J130">
        <v>366.11</v>
      </c>
      <c r="K130">
        <v>0</v>
      </c>
      <c r="L130" t="s">
        <v>106</v>
      </c>
      <c r="M130">
        <v>4</v>
      </c>
      <c r="N130" t="s">
        <v>91</v>
      </c>
      <c r="O130" t="s">
        <v>97</v>
      </c>
      <c r="P130" t="s">
        <v>231</v>
      </c>
      <c r="Q130" t="s">
        <v>675</v>
      </c>
      <c r="R130" t="s">
        <v>145</v>
      </c>
      <c r="S130" t="s">
        <v>106</v>
      </c>
      <c r="T130">
        <v>1</v>
      </c>
      <c r="U130" t="s">
        <v>1344</v>
      </c>
      <c r="V130" t="s">
        <v>1325</v>
      </c>
      <c r="W130" t="s">
        <v>1241</v>
      </c>
      <c r="X130" t="s">
        <v>1225</v>
      </c>
      <c r="Y130" t="s">
        <v>1221</v>
      </c>
      <c r="Z130">
        <v>200.16</v>
      </c>
      <c r="AA130">
        <v>1098.33</v>
      </c>
      <c r="AB130">
        <v>0</v>
      </c>
      <c r="AC130">
        <v>1098.33</v>
      </c>
      <c r="AD130">
        <v>600.48</v>
      </c>
      <c r="AE130">
        <v>497.84999999999991</v>
      </c>
      <c r="AF130">
        <v>0.45327906913222799</v>
      </c>
      <c r="AG130">
        <v>2025</v>
      </c>
      <c r="AH130">
        <v>1</v>
      </c>
      <c r="AI130" t="s">
        <v>1425</v>
      </c>
      <c r="AJ130" t="s">
        <v>1424</v>
      </c>
      <c r="AK130" t="s">
        <v>1326</v>
      </c>
      <c r="AL130">
        <v>0</v>
      </c>
    </row>
    <row r="131" spans="1:38">
      <c r="A131" t="s">
        <v>1096</v>
      </c>
      <c r="B131" s="13">
        <v>45787</v>
      </c>
      <c r="C131" t="s">
        <v>427</v>
      </c>
      <c r="D131" t="s">
        <v>133</v>
      </c>
      <c r="E131" t="s">
        <v>428</v>
      </c>
      <c r="F131" t="s">
        <v>103</v>
      </c>
      <c r="G131" t="s">
        <v>88</v>
      </c>
      <c r="H131" t="s">
        <v>89</v>
      </c>
      <c r="I131">
        <v>2</v>
      </c>
      <c r="J131">
        <v>336.56</v>
      </c>
      <c r="K131">
        <v>0.25</v>
      </c>
      <c r="L131" t="s">
        <v>154</v>
      </c>
      <c r="M131">
        <v>6</v>
      </c>
      <c r="N131" t="s">
        <v>91</v>
      </c>
      <c r="O131" t="s">
        <v>89</v>
      </c>
      <c r="P131" t="s">
        <v>133</v>
      </c>
      <c r="Q131" t="s">
        <v>427</v>
      </c>
      <c r="R131" t="s">
        <v>103</v>
      </c>
      <c r="S131" t="s">
        <v>154</v>
      </c>
      <c r="T131">
        <v>1</v>
      </c>
      <c r="U131" t="s">
        <v>1311</v>
      </c>
      <c r="V131" t="s">
        <v>1277</v>
      </c>
      <c r="W131" t="s">
        <v>1237</v>
      </c>
      <c r="X131" t="s">
        <v>1227</v>
      </c>
      <c r="Y131" t="s">
        <v>1221</v>
      </c>
      <c r="Z131">
        <v>229.86</v>
      </c>
      <c r="AA131">
        <v>673.12</v>
      </c>
      <c r="AB131">
        <v>168.28</v>
      </c>
      <c r="AC131">
        <v>504.84000000000003</v>
      </c>
      <c r="AD131">
        <v>459.72</v>
      </c>
      <c r="AE131">
        <v>45.120000000000005</v>
      </c>
      <c r="AF131">
        <v>8.9374851438079397E-2</v>
      </c>
      <c r="AG131">
        <v>2025</v>
      </c>
      <c r="AH131">
        <v>5</v>
      </c>
      <c r="AI131" t="s">
        <v>1419</v>
      </c>
      <c r="AJ131" t="s">
        <v>1420</v>
      </c>
      <c r="AK131" t="s">
        <v>1244</v>
      </c>
      <c r="AL131">
        <v>0</v>
      </c>
    </row>
    <row r="132" spans="1:38">
      <c r="A132" t="s">
        <v>1115</v>
      </c>
      <c r="B132" s="13">
        <v>45922</v>
      </c>
      <c r="C132" t="s">
        <v>296</v>
      </c>
      <c r="D132" t="s">
        <v>114</v>
      </c>
      <c r="E132" t="s">
        <v>297</v>
      </c>
      <c r="F132" t="s">
        <v>145</v>
      </c>
      <c r="G132" t="s">
        <v>104</v>
      </c>
      <c r="H132" t="s">
        <v>89</v>
      </c>
      <c r="I132">
        <v>3</v>
      </c>
      <c r="J132">
        <v>143.22999999999999</v>
      </c>
      <c r="K132">
        <v>0.1</v>
      </c>
      <c r="L132" t="s">
        <v>90</v>
      </c>
      <c r="M132">
        <v>3</v>
      </c>
      <c r="N132" t="s">
        <v>91</v>
      </c>
      <c r="O132" t="s">
        <v>89</v>
      </c>
      <c r="P132" t="s">
        <v>114</v>
      </c>
      <c r="Q132" t="s">
        <v>296</v>
      </c>
      <c r="R132" t="s">
        <v>145</v>
      </c>
      <c r="S132" t="s">
        <v>369</v>
      </c>
      <c r="T132">
        <v>1</v>
      </c>
      <c r="U132" t="s">
        <v>1292</v>
      </c>
      <c r="V132" t="s">
        <v>1275</v>
      </c>
      <c r="W132" t="s">
        <v>1237</v>
      </c>
      <c r="X132" t="s">
        <v>1222</v>
      </c>
      <c r="Y132" t="s">
        <v>1221</v>
      </c>
      <c r="Z132">
        <v>78.95</v>
      </c>
      <c r="AA132">
        <v>429.68999999999994</v>
      </c>
      <c r="AB132">
        <v>42.968999999999994</v>
      </c>
      <c r="AC132">
        <v>386.72099999999995</v>
      </c>
      <c r="AD132">
        <v>236.85000000000002</v>
      </c>
      <c r="AE132">
        <v>149.87099999999992</v>
      </c>
      <c r="AF132">
        <v>0.38754295732582389</v>
      </c>
      <c r="AG132">
        <v>2025</v>
      </c>
      <c r="AH132">
        <v>9</v>
      </c>
      <c r="AI132" t="s">
        <v>1432</v>
      </c>
      <c r="AJ132" t="s">
        <v>1418</v>
      </c>
      <c r="AK132" t="s">
        <v>1258</v>
      </c>
      <c r="AL132">
        <v>0</v>
      </c>
    </row>
    <row r="133" spans="1:38">
      <c r="A133" t="s">
        <v>1116</v>
      </c>
      <c r="B133" s="13">
        <v>45737</v>
      </c>
      <c r="C133" t="s">
        <v>480</v>
      </c>
      <c r="D133" t="s">
        <v>94</v>
      </c>
      <c r="E133" t="s">
        <v>773</v>
      </c>
      <c r="F133" t="s">
        <v>116</v>
      </c>
      <c r="G133" t="s">
        <v>183</v>
      </c>
      <c r="H133" t="s">
        <v>89</v>
      </c>
      <c r="I133">
        <v>2</v>
      </c>
      <c r="J133">
        <v>304.67</v>
      </c>
      <c r="K133">
        <v>0.1</v>
      </c>
      <c r="L133" t="s">
        <v>98</v>
      </c>
      <c r="M133">
        <v>6</v>
      </c>
      <c r="N133" t="s">
        <v>91</v>
      </c>
      <c r="O133" t="s">
        <v>89</v>
      </c>
      <c r="P133" t="s">
        <v>94</v>
      </c>
      <c r="Q133" t="s">
        <v>480</v>
      </c>
      <c r="R133" t="s">
        <v>116</v>
      </c>
      <c r="S133" t="s">
        <v>98</v>
      </c>
      <c r="T133">
        <v>1</v>
      </c>
      <c r="U133" t="s">
        <v>1306</v>
      </c>
      <c r="V133" t="s">
        <v>1247</v>
      </c>
      <c r="W133" t="s">
        <v>1237</v>
      </c>
      <c r="X133" t="s">
        <v>1220</v>
      </c>
      <c r="Y133" t="s">
        <v>1221</v>
      </c>
      <c r="Z133">
        <v>152.55000000000001</v>
      </c>
      <c r="AA133">
        <v>609.34</v>
      </c>
      <c r="AB133">
        <v>60.934000000000005</v>
      </c>
      <c r="AC133">
        <v>548.40600000000006</v>
      </c>
      <c r="AD133">
        <v>305.10000000000002</v>
      </c>
      <c r="AE133">
        <v>243.30600000000004</v>
      </c>
      <c r="AF133">
        <v>0.44366035382545049</v>
      </c>
      <c r="AG133">
        <v>2025</v>
      </c>
      <c r="AH133">
        <v>3</v>
      </c>
      <c r="AI133" t="s">
        <v>1423</v>
      </c>
      <c r="AJ133" t="s">
        <v>1424</v>
      </c>
      <c r="AK133" t="s">
        <v>1240</v>
      </c>
      <c r="AL133">
        <v>0</v>
      </c>
    </row>
    <row r="134" spans="1:38">
      <c r="A134" t="s">
        <v>1120</v>
      </c>
      <c r="B134" s="13">
        <v>45879</v>
      </c>
      <c r="C134" t="s">
        <v>279</v>
      </c>
      <c r="D134" t="s">
        <v>231</v>
      </c>
      <c r="E134" t="s">
        <v>280</v>
      </c>
      <c r="F134" t="s">
        <v>116</v>
      </c>
      <c r="G134" t="s">
        <v>96</v>
      </c>
      <c r="H134" t="s">
        <v>97</v>
      </c>
      <c r="I134">
        <v>1</v>
      </c>
      <c r="J134">
        <v>354.02</v>
      </c>
      <c r="K134">
        <v>0.15</v>
      </c>
      <c r="L134" t="s">
        <v>90</v>
      </c>
      <c r="M134">
        <v>0</v>
      </c>
      <c r="N134" t="s">
        <v>147</v>
      </c>
      <c r="O134" t="s">
        <v>97</v>
      </c>
      <c r="P134" t="s">
        <v>231</v>
      </c>
      <c r="Q134" t="s">
        <v>279</v>
      </c>
      <c r="R134" t="s">
        <v>116</v>
      </c>
      <c r="S134" t="s">
        <v>369</v>
      </c>
      <c r="T134">
        <v>1</v>
      </c>
      <c r="U134" t="s">
        <v>1317</v>
      </c>
      <c r="V134" t="s">
        <v>1243</v>
      </c>
      <c r="W134" t="s">
        <v>1237</v>
      </c>
      <c r="X134" t="s">
        <v>1225</v>
      </c>
      <c r="Y134" t="s">
        <v>1221</v>
      </c>
      <c r="Z134">
        <v>200.16</v>
      </c>
      <c r="AA134">
        <v>354.02</v>
      </c>
      <c r="AB134">
        <v>53.102999999999994</v>
      </c>
      <c r="AC134">
        <v>300.91699999999997</v>
      </c>
      <c r="AD134">
        <v>200.16</v>
      </c>
      <c r="AE134">
        <v>100.75699999999998</v>
      </c>
      <c r="AF134">
        <v>0.3348331932061</v>
      </c>
      <c r="AG134">
        <v>2025</v>
      </c>
      <c r="AH134">
        <v>8</v>
      </c>
      <c r="AI134" t="s">
        <v>1417</v>
      </c>
      <c r="AJ134" t="s">
        <v>1418</v>
      </c>
      <c r="AK134" t="s">
        <v>1244</v>
      </c>
      <c r="AL134">
        <v>1</v>
      </c>
    </row>
    <row r="135" spans="1:38">
      <c r="A135" t="s">
        <v>1121</v>
      </c>
      <c r="B135" s="13">
        <v>45992</v>
      </c>
      <c r="C135" t="s">
        <v>675</v>
      </c>
      <c r="D135" t="s">
        <v>303</v>
      </c>
      <c r="E135" t="s">
        <v>676</v>
      </c>
      <c r="F135" t="s">
        <v>103</v>
      </c>
      <c r="G135" t="s">
        <v>122</v>
      </c>
      <c r="H135" t="s">
        <v>89</v>
      </c>
      <c r="I135">
        <v>1</v>
      </c>
      <c r="J135">
        <v>163.31</v>
      </c>
      <c r="K135">
        <v>0.2</v>
      </c>
      <c r="L135" t="s">
        <v>106</v>
      </c>
      <c r="M135">
        <v>3</v>
      </c>
      <c r="N135" t="s">
        <v>91</v>
      </c>
      <c r="O135" t="s">
        <v>89</v>
      </c>
      <c r="P135" t="s">
        <v>303</v>
      </c>
      <c r="Q135" t="s">
        <v>675</v>
      </c>
      <c r="R135" t="s">
        <v>103</v>
      </c>
      <c r="S135" t="s">
        <v>106</v>
      </c>
      <c r="T135">
        <v>1</v>
      </c>
      <c r="U135" t="s">
        <v>1344</v>
      </c>
      <c r="V135" t="s">
        <v>1325</v>
      </c>
      <c r="W135" t="s">
        <v>1241</v>
      </c>
      <c r="X135" t="s">
        <v>1224</v>
      </c>
      <c r="Y135" t="s">
        <v>1221</v>
      </c>
      <c r="Z135">
        <v>76.97</v>
      </c>
      <c r="AA135">
        <v>163.31</v>
      </c>
      <c r="AB135">
        <v>32.661999999999999</v>
      </c>
      <c r="AC135">
        <v>130.648</v>
      </c>
      <c r="AD135">
        <v>76.97</v>
      </c>
      <c r="AE135">
        <v>53.677999999999997</v>
      </c>
      <c r="AF135">
        <v>0.41085971465311372</v>
      </c>
      <c r="AG135">
        <v>2025</v>
      </c>
      <c r="AH135">
        <v>12</v>
      </c>
      <c r="AI135" t="s">
        <v>1428</v>
      </c>
      <c r="AJ135" t="s">
        <v>1427</v>
      </c>
      <c r="AK135" t="s">
        <v>1326</v>
      </c>
      <c r="AL135">
        <v>0</v>
      </c>
    </row>
    <row r="136" spans="1:38">
      <c r="A136" t="s">
        <v>1124</v>
      </c>
      <c r="B136" s="13">
        <v>45725</v>
      </c>
      <c r="C136" t="s">
        <v>84</v>
      </c>
      <c r="D136" t="s">
        <v>94</v>
      </c>
      <c r="E136" t="s">
        <v>629</v>
      </c>
      <c r="F136" t="s">
        <v>111</v>
      </c>
      <c r="G136" t="s">
        <v>171</v>
      </c>
      <c r="H136" t="s">
        <v>89</v>
      </c>
      <c r="I136">
        <v>1</v>
      </c>
      <c r="J136">
        <v>300.93</v>
      </c>
      <c r="K136">
        <v>0.15</v>
      </c>
      <c r="L136" t="s">
        <v>106</v>
      </c>
      <c r="M136">
        <v>6</v>
      </c>
      <c r="N136" t="s">
        <v>91</v>
      </c>
      <c r="O136" t="s">
        <v>89</v>
      </c>
      <c r="P136" t="s">
        <v>94</v>
      </c>
      <c r="Q136" t="s">
        <v>84</v>
      </c>
      <c r="R136" t="s">
        <v>111</v>
      </c>
      <c r="S136" t="s">
        <v>106</v>
      </c>
      <c r="T136">
        <v>1</v>
      </c>
      <c r="U136" t="s">
        <v>1354</v>
      </c>
      <c r="V136" t="s">
        <v>1275</v>
      </c>
      <c r="W136" t="s">
        <v>1237</v>
      </c>
      <c r="X136" t="s">
        <v>1220</v>
      </c>
      <c r="Y136" t="s">
        <v>1221</v>
      </c>
      <c r="Z136">
        <v>152.55000000000001</v>
      </c>
      <c r="AA136">
        <v>300.93</v>
      </c>
      <c r="AB136">
        <v>45.139499999999998</v>
      </c>
      <c r="AC136">
        <v>255.79050000000001</v>
      </c>
      <c r="AD136">
        <v>152.55000000000001</v>
      </c>
      <c r="AE136">
        <v>103.2405</v>
      </c>
      <c r="AF136">
        <v>0.40361350401989127</v>
      </c>
      <c r="AG136">
        <v>2025</v>
      </c>
      <c r="AH136">
        <v>3</v>
      </c>
      <c r="AI136" t="s">
        <v>1423</v>
      </c>
      <c r="AJ136" t="s">
        <v>1424</v>
      </c>
      <c r="AK136" t="s">
        <v>1258</v>
      </c>
      <c r="AL136">
        <v>0</v>
      </c>
    </row>
    <row r="137" spans="1:38">
      <c r="A137" t="s">
        <v>1128</v>
      </c>
      <c r="B137" s="13">
        <v>45984</v>
      </c>
      <c r="C137" t="s">
        <v>675</v>
      </c>
      <c r="D137" t="s">
        <v>133</v>
      </c>
      <c r="E137" t="s">
        <v>676</v>
      </c>
      <c r="F137" t="s">
        <v>145</v>
      </c>
      <c r="G137" t="s">
        <v>122</v>
      </c>
      <c r="H137" t="s">
        <v>89</v>
      </c>
      <c r="I137">
        <v>1</v>
      </c>
      <c r="J137">
        <v>328.26</v>
      </c>
      <c r="K137">
        <v>0.2</v>
      </c>
      <c r="L137" t="s">
        <v>106</v>
      </c>
      <c r="M137">
        <v>1</v>
      </c>
      <c r="N137" t="s">
        <v>147</v>
      </c>
      <c r="O137" t="s">
        <v>89</v>
      </c>
      <c r="P137" t="s">
        <v>133</v>
      </c>
      <c r="Q137" t="s">
        <v>675</v>
      </c>
      <c r="R137" t="s">
        <v>145</v>
      </c>
      <c r="S137" t="s">
        <v>106</v>
      </c>
      <c r="T137">
        <v>1</v>
      </c>
      <c r="U137" t="s">
        <v>1344</v>
      </c>
      <c r="V137" t="s">
        <v>1325</v>
      </c>
      <c r="W137" t="s">
        <v>1241</v>
      </c>
      <c r="X137" t="s">
        <v>1227</v>
      </c>
      <c r="Y137" t="s">
        <v>1221</v>
      </c>
      <c r="Z137">
        <v>229.86</v>
      </c>
      <c r="AA137">
        <v>328.26</v>
      </c>
      <c r="AB137">
        <v>65.652000000000001</v>
      </c>
      <c r="AC137">
        <v>262.608</v>
      </c>
      <c r="AD137">
        <v>229.86</v>
      </c>
      <c r="AE137">
        <v>32.74799999999999</v>
      </c>
      <c r="AF137">
        <v>0.12470297934564062</v>
      </c>
      <c r="AG137">
        <v>2025</v>
      </c>
      <c r="AH137">
        <v>11</v>
      </c>
      <c r="AI137" t="s">
        <v>1426</v>
      </c>
      <c r="AJ137" t="s">
        <v>1427</v>
      </c>
      <c r="AK137" t="s">
        <v>1326</v>
      </c>
      <c r="AL137">
        <v>1</v>
      </c>
    </row>
    <row r="138" spans="1:38">
      <c r="A138" t="s">
        <v>1130</v>
      </c>
      <c r="B138" s="13">
        <v>45687</v>
      </c>
      <c r="C138" t="s">
        <v>386</v>
      </c>
      <c r="D138" t="s">
        <v>133</v>
      </c>
      <c r="E138" t="s">
        <v>576</v>
      </c>
      <c r="F138" t="s">
        <v>111</v>
      </c>
      <c r="G138" t="s">
        <v>122</v>
      </c>
      <c r="H138" t="s">
        <v>89</v>
      </c>
      <c r="I138">
        <v>2</v>
      </c>
      <c r="J138">
        <v>339.82</v>
      </c>
      <c r="K138">
        <v>0.05</v>
      </c>
      <c r="L138" t="s">
        <v>98</v>
      </c>
      <c r="M138">
        <v>7</v>
      </c>
      <c r="N138" t="s">
        <v>91</v>
      </c>
      <c r="O138" t="s">
        <v>89</v>
      </c>
      <c r="P138" t="s">
        <v>133</v>
      </c>
      <c r="Q138" t="s">
        <v>386</v>
      </c>
      <c r="R138" t="s">
        <v>111</v>
      </c>
      <c r="S138" t="s">
        <v>98</v>
      </c>
      <c r="T138">
        <v>1</v>
      </c>
      <c r="U138" t="s">
        <v>1254</v>
      </c>
      <c r="V138" t="s">
        <v>1255</v>
      </c>
      <c r="W138" t="s">
        <v>1245</v>
      </c>
      <c r="X138" t="s">
        <v>1227</v>
      </c>
      <c r="Y138" t="s">
        <v>1221</v>
      </c>
      <c r="Z138">
        <v>229.86</v>
      </c>
      <c r="AA138">
        <v>679.64</v>
      </c>
      <c r="AB138">
        <v>33.981999999999999</v>
      </c>
      <c r="AC138">
        <v>645.65800000000002</v>
      </c>
      <c r="AD138">
        <v>459.72</v>
      </c>
      <c r="AE138">
        <v>185.93799999999999</v>
      </c>
      <c r="AF138">
        <v>0.2879821825176796</v>
      </c>
      <c r="AG138">
        <v>2025</v>
      </c>
      <c r="AH138">
        <v>1</v>
      </c>
      <c r="AI138" t="s">
        <v>1425</v>
      </c>
      <c r="AJ138" t="s">
        <v>1424</v>
      </c>
      <c r="AK138" t="s">
        <v>1244</v>
      </c>
      <c r="AL138">
        <v>0</v>
      </c>
    </row>
    <row r="139" spans="1:38">
      <c r="A139" t="s">
        <v>1133</v>
      </c>
      <c r="B139" s="13">
        <v>45870</v>
      </c>
      <c r="C139" t="s">
        <v>225</v>
      </c>
      <c r="D139" t="s">
        <v>114</v>
      </c>
      <c r="E139" t="s">
        <v>227</v>
      </c>
      <c r="F139" t="s">
        <v>87</v>
      </c>
      <c r="G139" t="s">
        <v>88</v>
      </c>
      <c r="H139" t="s">
        <v>97</v>
      </c>
      <c r="I139">
        <v>1</v>
      </c>
      <c r="J139">
        <v>144.43</v>
      </c>
      <c r="K139">
        <v>0.15</v>
      </c>
      <c r="L139" t="s">
        <v>90</v>
      </c>
      <c r="M139">
        <v>4</v>
      </c>
      <c r="N139" t="s">
        <v>91</v>
      </c>
      <c r="O139" t="s">
        <v>97</v>
      </c>
      <c r="P139" t="s">
        <v>114</v>
      </c>
      <c r="Q139" t="s">
        <v>225</v>
      </c>
      <c r="R139" t="s">
        <v>87</v>
      </c>
      <c r="S139" t="s">
        <v>369</v>
      </c>
      <c r="T139">
        <v>1</v>
      </c>
      <c r="U139" t="s">
        <v>1328</v>
      </c>
      <c r="V139" t="s">
        <v>1247</v>
      </c>
      <c r="W139" t="s">
        <v>1237</v>
      </c>
      <c r="X139" t="s">
        <v>1222</v>
      </c>
      <c r="Y139" t="s">
        <v>1221</v>
      </c>
      <c r="Z139">
        <v>78.95</v>
      </c>
      <c r="AA139">
        <v>144.43</v>
      </c>
      <c r="AB139">
        <v>21.6645</v>
      </c>
      <c r="AC139">
        <v>122.7655</v>
      </c>
      <c r="AD139">
        <v>78.95</v>
      </c>
      <c r="AE139">
        <v>43.8155</v>
      </c>
      <c r="AF139">
        <v>0.35690401619347456</v>
      </c>
      <c r="AG139">
        <v>2025</v>
      </c>
      <c r="AH139">
        <v>8</v>
      </c>
      <c r="AI139" t="s">
        <v>1417</v>
      </c>
      <c r="AJ139" t="s">
        <v>1418</v>
      </c>
      <c r="AK139" t="s">
        <v>1240</v>
      </c>
      <c r="AL139">
        <v>0</v>
      </c>
    </row>
    <row r="140" spans="1:38">
      <c r="A140" t="s">
        <v>1139</v>
      </c>
      <c r="B140" s="13">
        <v>45691</v>
      </c>
      <c r="C140" t="s">
        <v>512</v>
      </c>
      <c r="D140" t="s">
        <v>143</v>
      </c>
      <c r="E140" t="s">
        <v>513</v>
      </c>
      <c r="F140" t="s">
        <v>111</v>
      </c>
      <c r="G140" t="s">
        <v>117</v>
      </c>
      <c r="H140" t="s">
        <v>89</v>
      </c>
      <c r="I140">
        <v>2</v>
      </c>
      <c r="J140">
        <v>261.43</v>
      </c>
      <c r="K140">
        <v>0.15</v>
      </c>
      <c r="L140" t="s">
        <v>106</v>
      </c>
      <c r="M140">
        <v>2</v>
      </c>
      <c r="N140" t="s">
        <v>91</v>
      </c>
      <c r="O140" t="s">
        <v>89</v>
      </c>
      <c r="P140" t="s">
        <v>143</v>
      </c>
      <c r="Q140" t="s">
        <v>512</v>
      </c>
      <c r="R140" t="s">
        <v>111</v>
      </c>
      <c r="S140" t="s">
        <v>106</v>
      </c>
      <c r="T140">
        <v>1</v>
      </c>
      <c r="U140" t="s">
        <v>1273</v>
      </c>
      <c r="V140" t="s">
        <v>1284</v>
      </c>
      <c r="W140" t="s">
        <v>1241</v>
      </c>
      <c r="X140" t="s">
        <v>1226</v>
      </c>
      <c r="Y140" t="s">
        <v>1221</v>
      </c>
      <c r="Z140">
        <v>119.16</v>
      </c>
      <c r="AA140">
        <v>522.86</v>
      </c>
      <c r="AB140">
        <v>78.429000000000002</v>
      </c>
      <c r="AC140">
        <v>444.43100000000004</v>
      </c>
      <c r="AD140">
        <v>238.32</v>
      </c>
      <c r="AE140">
        <v>206.11100000000005</v>
      </c>
      <c r="AF140">
        <v>0.46376377885431042</v>
      </c>
      <c r="AG140">
        <v>2025</v>
      </c>
      <c r="AH140">
        <v>2</v>
      </c>
      <c r="AI140" t="s">
        <v>1430</v>
      </c>
      <c r="AJ140" t="s">
        <v>1424</v>
      </c>
      <c r="AK140" t="s">
        <v>1285</v>
      </c>
      <c r="AL140">
        <v>0</v>
      </c>
    </row>
    <row r="141" spans="1:38">
      <c r="A141" t="s">
        <v>1146</v>
      </c>
      <c r="B141" s="13">
        <v>45706</v>
      </c>
      <c r="C141" t="s">
        <v>142</v>
      </c>
      <c r="D141" t="s">
        <v>231</v>
      </c>
      <c r="E141" t="s">
        <v>144</v>
      </c>
      <c r="F141" t="s">
        <v>87</v>
      </c>
      <c r="G141" t="s">
        <v>130</v>
      </c>
      <c r="H141" t="s">
        <v>89</v>
      </c>
      <c r="I141">
        <v>2</v>
      </c>
      <c r="J141">
        <v>352.47</v>
      </c>
      <c r="K141">
        <v>0</v>
      </c>
      <c r="L141" t="s">
        <v>154</v>
      </c>
      <c r="M141">
        <v>9</v>
      </c>
      <c r="N141" t="s">
        <v>147</v>
      </c>
      <c r="O141" t="s">
        <v>89</v>
      </c>
      <c r="P141" t="s">
        <v>231</v>
      </c>
      <c r="Q141" t="s">
        <v>142</v>
      </c>
      <c r="R141" t="s">
        <v>87</v>
      </c>
      <c r="S141" t="s">
        <v>154</v>
      </c>
      <c r="T141">
        <v>1</v>
      </c>
      <c r="U141" t="s">
        <v>1238</v>
      </c>
      <c r="V141" t="s">
        <v>1239</v>
      </c>
      <c r="W141" t="s">
        <v>1241</v>
      </c>
      <c r="X141" t="s">
        <v>1225</v>
      </c>
      <c r="Y141" t="s">
        <v>1221</v>
      </c>
      <c r="Z141">
        <v>200.16</v>
      </c>
      <c r="AA141">
        <v>704.94</v>
      </c>
      <c r="AB141">
        <v>0</v>
      </c>
      <c r="AC141">
        <v>704.94</v>
      </c>
      <c r="AD141">
        <v>400.32</v>
      </c>
      <c r="AE141">
        <v>304.62000000000006</v>
      </c>
      <c r="AF141">
        <v>0.43212188271342244</v>
      </c>
      <c r="AG141">
        <v>2025</v>
      </c>
      <c r="AH141">
        <v>2</v>
      </c>
      <c r="AI141" t="s">
        <v>1430</v>
      </c>
      <c r="AJ141" t="s">
        <v>1424</v>
      </c>
      <c r="AK141" t="s">
        <v>1240</v>
      </c>
      <c r="AL141">
        <v>1</v>
      </c>
    </row>
    <row r="142" spans="1:38">
      <c r="A142" t="s">
        <v>1148</v>
      </c>
      <c r="B142" s="13">
        <v>45942</v>
      </c>
      <c r="C142" t="s">
        <v>322</v>
      </c>
      <c r="D142" t="s">
        <v>469</v>
      </c>
      <c r="E142" t="s">
        <v>470</v>
      </c>
      <c r="F142" t="s">
        <v>116</v>
      </c>
      <c r="G142" t="s">
        <v>130</v>
      </c>
      <c r="H142" t="s">
        <v>97</v>
      </c>
      <c r="I142">
        <v>1</v>
      </c>
      <c r="J142">
        <v>82.58</v>
      </c>
      <c r="K142">
        <v>0</v>
      </c>
      <c r="L142" t="s">
        <v>90</v>
      </c>
      <c r="M142">
        <v>4</v>
      </c>
      <c r="N142" t="s">
        <v>91</v>
      </c>
      <c r="O142" t="s">
        <v>97</v>
      </c>
      <c r="P142" t="s">
        <v>469</v>
      </c>
      <c r="Q142" t="s">
        <v>322</v>
      </c>
      <c r="R142" t="s">
        <v>116</v>
      </c>
      <c r="S142" t="s">
        <v>369</v>
      </c>
      <c r="T142">
        <v>1</v>
      </c>
      <c r="U142" t="s">
        <v>1358</v>
      </c>
      <c r="V142" t="s">
        <v>1284</v>
      </c>
      <c r="W142" t="s">
        <v>1237</v>
      </c>
      <c r="X142" t="s">
        <v>1223</v>
      </c>
      <c r="Y142" t="s">
        <v>1221</v>
      </c>
      <c r="Z142">
        <v>59.85</v>
      </c>
      <c r="AA142">
        <v>82.58</v>
      </c>
      <c r="AB142">
        <v>0</v>
      </c>
      <c r="AC142">
        <v>82.58</v>
      </c>
      <c r="AD142">
        <v>59.85</v>
      </c>
      <c r="AE142">
        <v>22.729999999999997</v>
      </c>
      <c r="AF142">
        <v>0.27524824412690718</v>
      </c>
      <c r="AG142">
        <v>2025</v>
      </c>
      <c r="AH142">
        <v>10</v>
      </c>
      <c r="AI142" t="s">
        <v>1431</v>
      </c>
      <c r="AJ142" t="s">
        <v>1427</v>
      </c>
      <c r="AK142" t="s">
        <v>1285</v>
      </c>
      <c r="AL142">
        <v>0</v>
      </c>
    </row>
    <row r="143" spans="1:38">
      <c r="A143" t="s">
        <v>1149</v>
      </c>
      <c r="B143" s="13">
        <v>45925</v>
      </c>
      <c r="C143" t="s">
        <v>516</v>
      </c>
      <c r="D143" t="s">
        <v>114</v>
      </c>
      <c r="E143" t="s">
        <v>517</v>
      </c>
      <c r="F143" t="s">
        <v>87</v>
      </c>
      <c r="G143" t="s">
        <v>183</v>
      </c>
      <c r="H143" t="s">
        <v>89</v>
      </c>
      <c r="I143">
        <v>1</v>
      </c>
      <c r="J143">
        <v>149.07</v>
      </c>
      <c r="K143">
        <v>0.1</v>
      </c>
      <c r="L143" t="s">
        <v>106</v>
      </c>
      <c r="M143">
        <v>8</v>
      </c>
      <c r="N143" t="s">
        <v>91</v>
      </c>
      <c r="O143" t="s">
        <v>89</v>
      </c>
      <c r="P143" t="s">
        <v>114</v>
      </c>
      <c r="Q143" t="s">
        <v>516</v>
      </c>
      <c r="R143" t="s">
        <v>87</v>
      </c>
      <c r="S143" t="s">
        <v>106</v>
      </c>
      <c r="T143">
        <v>1</v>
      </c>
      <c r="U143" t="s">
        <v>1359</v>
      </c>
      <c r="V143" t="s">
        <v>1255</v>
      </c>
      <c r="W143" t="s">
        <v>1241</v>
      </c>
      <c r="X143" t="s">
        <v>1222</v>
      </c>
      <c r="Y143" t="s">
        <v>1221</v>
      </c>
      <c r="Z143">
        <v>78.95</v>
      </c>
      <c r="AA143">
        <v>149.07</v>
      </c>
      <c r="AB143">
        <v>14.907</v>
      </c>
      <c r="AC143">
        <v>134.16299999999998</v>
      </c>
      <c r="AD143">
        <v>78.95</v>
      </c>
      <c r="AE143">
        <v>55.21299999999998</v>
      </c>
      <c r="AF143">
        <v>0.41153671280457343</v>
      </c>
      <c r="AG143">
        <v>2025</v>
      </c>
      <c r="AH143">
        <v>9</v>
      </c>
      <c r="AI143" t="s">
        <v>1432</v>
      </c>
      <c r="AJ143" t="s">
        <v>1418</v>
      </c>
      <c r="AK143" t="s">
        <v>1244</v>
      </c>
      <c r="AL143">
        <v>0</v>
      </c>
    </row>
    <row r="144" spans="1:38">
      <c r="A144" t="s">
        <v>1155</v>
      </c>
      <c r="B144" s="13">
        <v>45874</v>
      </c>
      <c r="C144" t="s">
        <v>670</v>
      </c>
      <c r="D144" t="s">
        <v>114</v>
      </c>
      <c r="E144" t="s">
        <v>671</v>
      </c>
      <c r="F144" t="s">
        <v>145</v>
      </c>
      <c r="G144" t="s">
        <v>130</v>
      </c>
      <c r="H144" t="s">
        <v>89</v>
      </c>
      <c r="I144">
        <v>4</v>
      </c>
      <c r="J144">
        <v>141.24</v>
      </c>
      <c r="K144">
        <v>0</v>
      </c>
      <c r="L144" t="s">
        <v>106</v>
      </c>
      <c r="M144">
        <v>4</v>
      </c>
      <c r="N144" t="s">
        <v>91</v>
      </c>
      <c r="O144" t="s">
        <v>89</v>
      </c>
      <c r="P144" t="s">
        <v>114</v>
      </c>
      <c r="Q144" t="s">
        <v>670</v>
      </c>
      <c r="R144" t="s">
        <v>145</v>
      </c>
      <c r="S144" t="s">
        <v>106</v>
      </c>
      <c r="T144">
        <v>1</v>
      </c>
      <c r="U144" t="s">
        <v>1349</v>
      </c>
      <c r="V144" t="s">
        <v>1249</v>
      </c>
      <c r="W144" t="s">
        <v>1241</v>
      </c>
      <c r="X144" t="s">
        <v>1222</v>
      </c>
      <c r="Y144" t="s">
        <v>1221</v>
      </c>
      <c r="Z144">
        <v>78.95</v>
      </c>
      <c r="AA144">
        <v>564.96</v>
      </c>
      <c r="AB144">
        <v>0</v>
      </c>
      <c r="AC144">
        <v>564.96</v>
      </c>
      <c r="AD144">
        <v>315.8</v>
      </c>
      <c r="AE144">
        <v>249.16000000000003</v>
      </c>
      <c r="AF144">
        <v>0.44102237326536392</v>
      </c>
      <c r="AG144">
        <v>2025</v>
      </c>
      <c r="AH144">
        <v>8</v>
      </c>
      <c r="AI144" t="s">
        <v>1417</v>
      </c>
      <c r="AJ144" t="s">
        <v>1418</v>
      </c>
      <c r="AK144" t="s">
        <v>1250</v>
      </c>
      <c r="AL144">
        <v>0</v>
      </c>
    </row>
    <row r="145" spans="1:38">
      <c r="A145" t="s">
        <v>1156</v>
      </c>
      <c r="B145" s="13">
        <v>45718</v>
      </c>
      <c r="C145" t="s">
        <v>243</v>
      </c>
      <c r="D145" t="s">
        <v>94</v>
      </c>
      <c r="E145" t="s">
        <v>245</v>
      </c>
      <c r="F145" t="s">
        <v>103</v>
      </c>
      <c r="G145" t="s">
        <v>96</v>
      </c>
      <c r="H145" t="s">
        <v>89</v>
      </c>
      <c r="I145">
        <v>3</v>
      </c>
      <c r="J145">
        <v>318.18</v>
      </c>
      <c r="K145">
        <v>0.1</v>
      </c>
      <c r="L145" t="s">
        <v>98</v>
      </c>
      <c r="M145">
        <v>7</v>
      </c>
      <c r="N145" t="s">
        <v>91</v>
      </c>
      <c r="O145" t="s">
        <v>89</v>
      </c>
      <c r="P145" t="s">
        <v>94</v>
      </c>
      <c r="Q145" t="s">
        <v>243</v>
      </c>
      <c r="R145" t="s">
        <v>103</v>
      </c>
      <c r="S145" t="s">
        <v>98</v>
      </c>
      <c r="T145">
        <v>1</v>
      </c>
      <c r="U145" t="s">
        <v>1301</v>
      </c>
      <c r="V145" t="s">
        <v>1260</v>
      </c>
      <c r="W145" t="s">
        <v>1245</v>
      </c>
      <c r="X145" t="s">
        <v>1220</v>
      </c>
      <c r="Y145" t="s">
        <v>1221</v>
      </c>
      <c r="Z145">
        <v>152.55000000000001</v>
      </c>
      <c r="AA145">
        <v>954.54</v>
      </c>
      <c r="AB145">
        <v>95.454000000000008</v>
      </c>
      <c r="AC145">
        <v>859.08600000000001</v>
      </c>
      <c r="AD145">
        <v>457.65000000000003</v>
      </c>
      <c r="AE145">
        <v>401.43599999999998</v>
      </c>
      <c r="AF145">
        <v>0.46728267018668673</v>
      </c>
      <c r="AG145">
        <v>2025</v>
      </c>
      <c r="AH145">
        <v>3</v>
      </c>
      <c r="AI145" t="s">
        <v>1423</v>
      </c>
      <c r="AJ145" t="s">
        <v>1424</v>
      </c>
      <c r="AK145" t="s">
        <v>1240</v>
      </c>
      <c r="AL145">
        <v>0</v>
      </c>
    </row>
    <row r="146" spans="1:38">
      <c r="A146" t="s">
        <v>1165</v>
      </c>
      <c r="B146" s="13">
        <v>45757</v>
      </c>
      <c r="C146" t="s">
        <v>273</v>
      </c>
      <c r="D146" t="s">
        <v>143</v>
      </c>
      <c r="E146" t="s">
        <v>274</v>
      </c>
      <c r="F146" t="s">
        <v>145</v>
      </c>
      <c r="G146" t="s">
        <v>88</v>
      </c>
      <c r="H146" t="s">
        <v>233</v>
      </c>
      <c r="I146">
        <v>1</v>
      </c>
      <c r="J146">
        <v>255.13</v>
      </c>
      <c r="K146">
        <v>0.2</v>
      </c>
      <c r="L146" t="s">
        <v>106</v>
      </c>
      <c r="M146">
        <v>3</v>
      </c>
      <c r="N146" t="s">
        <v>91</v>
      </c>
      <c r="O146" t="s">
        <v>97</v>
      </c>
      <c r="P146" t="s">
        <v>143</v>
      </c>
      <c r="Q146" t="s">
        <v>273</v>
      </c>
      <c r="R146" t="s">
        <v>145</v>
      </c>
      <c r="S146" t="s">
        <v>106</v>
      </c>
      <c r="T146">
        <v>1</v>
      </c>
      <c r="U146" t="s">
        <v>1314</v>
      </c>
      <c r="V146" t="s">
        <v>1247</v>
      </c>
      <c r="W146" t="s">
        <v>1237</v>
      </c>
      <c r="X146" t="s">
        <v>1226</v>
      </c>
      <c r="Y146" t="s">
        <v>1221</v>
      </c>
      <c r="Z146">
        <v>119.16</v>
      </c>
      <c r="AA146">
        <v>255.13</v>
      </c>
      <c r="AB146">
        <v>51.026000000000003</v>
      </c>
      <c r="AC146">
        <v>204.10399999999998</v>
      </c>
      <c r="AD146">
        <v>119.16</v>
      </c>
      <c r="AE146">
        <v>84.943999999999988</v>
      </c>
      <c r="AF146">
        <v>0.41617998667346057</v>
      </c>
      <c r="AG146">
        <v>2025</v>
      </c>
      <c r="AH146">
        <v>4</v>
      </c>
      <c r="AI146" t="s">
        <v>1421</v>
      </c>
      <c r="AJ146" t="s">
        <v>1420</v>
      </c>
      <c r="AK146" t="s">
        <v>1240</v>
      </c>
      <c r="AL146">
        <v>0</v>
      </c>
    </row>
    <row r="147" spans="1:38">
      <c r="A147" t="s">
        <v>1171</v>
      </c>
      <c r="B147" s="13">
        <v>45708</v>
      </c>
      <c r="C147" t="s">
        <v>335</v>
      </c>
      <c r="D147" t="s">
        <v>94</v>
      </c>
      <c r="E147" t="s">
        <v>336</v>
      </c>
      <c r="F147" t="s">
        <v>116</v>
      </c>
      <c r="G147" t="s">
        <v>96</v>
      </c>
      <c r="H147" t="s">
        <v>97</v>
      </c>
      <c r="I147">
        <v>1</v>
      </c>
      <c r="J147">
        <v>308.49</v>
      </c>
      <c r="K147">
        <v>0</v>
      </c>
      <c r="L147" t="s">
        <v>106</v>
      </c>
      <c r="M147">
        <v>4</v>
      </c>
      <c r="N147" t="s">
        <v>91</v>
      </c>
      <c r="O147" t="s">
        <v>97</v>
      </c>
      <c r="P147" t="s">
        <v>94</v>
      </c>
      <c r="Q147" t="s">
        <v>335</v>
      </c>
      <c r="R147" t="s">
        <v>116</v>
      </c>
      <c r="S147" t="s">
        <v>106</v>
      </c>
      <c r="T147">
        <v>1</v>
      </c>
      <c r="U147" t="s">
        <v>1290</v>
      </c>
      <c r="V147" t="s">
        <v>1257</v>
      </c>
      <c r="W147" t="s">
        <v>1241</v>
      </c>
      <c r="X147" t="s">
        <v>1220</v>
      </c>
      <c r="Y147" t="s">
        <v>1221</v>
      </c>
      <c r="Z147">
        <v>152.55000000000001</v>
      </c>
      <c r="AA147">
        <v>308.49</v>
      </c>
      <c r="AB147">
        <v>0</v>
      </c>
      <c r="AC147">
        <v>308.49</v>
      </c>
      <c r="AD147">
        <v>152.55000000000001</v>
      </c>
      <c r="AE147">
        <v>155.94</v>
      </c>
      <c r="AF147">
        <v>0.50549450549450547</v>
      </c>
      <c r="AG147">
        <v>2025</v>
      </c>
      <c r="AH147">
        <v>2</v>
      </c>
      <c r="AI147" t="s">
        <v>1430</v>
      </c>
      <c r="AJ147" t="s">
        <v>1424</v>
      </c>
      <c r="AK147" t="s">
        <v>1258</v>
      </c>
      <c r="AL147">
        <v>0</v>
      </c>
    </row>
    <row r="148" spans="1:38">
      <c r="A148" t="s">
        <v>1172</v>
      </c>
      <c r="B148" s="13">
        <v>45684</v>
      </c>
      <c r="C148" t="s">
        <v>216</v>
      </c>
      <c r="D148" t="s">
        <v>114</v>
      </c>
      <c r="E148" t="s">
        <v>218</v>
      </c>
      <c r="F148" t="s">
        <v>145</v>
      </c>
      <c r="G148" t="s">
        <v>104</v>
      </c>
      <c r="H148" t="s">
        <v>89</v>
      </c>
      <c r="I148">
        <v>2</v>
      </c>
      <c r="J148">
        <v>137.54</v>
      </c>
      <c r="K148">
        <v>0.15</v>
      </c>
      <c r="L148" t="s">
        <v>106</v>
      </c>
      <c r="M148">
        <v>1</v>
      </c>
      <c r="N148" t="s">
        <v>91</v>
      </c>
      <c r="O148" t="s">
        <v>89</v>
      </c>
      <c r="P148" t="s">
        <v>114</v>
      </c>
      <c r="Q148" t="s">
        <v>216</v>
      </c>
      <c r="R148" t="s">
        <v>145</v>
      </c>
      <c r="S148" t="s">
        <v>106</v>
      </c>
      <c r="T148">
        <v>1</v>
      </c>
      <c r="U148" t="s">
        <v>1253</v>
      </c>
      <c r="V148" t="s">
        <v>1260</v>
      </c>
      <c r="W148" t="s">
        <v>1237</v>
      </c>
      <c r="X148" t="s">
        <v>1222</v>
      </c>
      <c r="Y148" t="s">
        <v>1221</v>
      </c>
      <c r="Z148">
        <v>78.95</v>
      </c>
      <c r="AA148">
        <v>275.08</v>
      </c>
      <c r="AB148">
        <v>41.261999999999993</v>
      </c>
      <c r="AC148">
        <v>233.81799999999998</v>
      </c>
      <c r="AD148">
        <v>157.9</v>
      </c>
      <c r="AE148">
        <v>75.917999999999978</v>
      </c>
      <c r="AF148">
        <v>0.32468843288369581</v>
      </c>
      <c r="AG148">
        <v>2025</v>
      </c>
      <c r="AH148">
        <v>1</v>
      </c>
      <c r="AI148" t="s">
        <v>1425</v>
      </c>
      <c r="AJ148" t="s">
        <v>1424</v>
      </c>
      <c r="AK148" t="s">
        <v>1240</v>
      </c>
      <c r="AL148">
        <v>0</v>
      </c>
    </row>
    <row r="149" spans="1:38">
      <c r="A149" t="s">
        <v>135</v>
      </c>
      <c r="B149" s="13">
        <v>45833</v>
      </c>
      <c r="C149" t="s">
        <v>132</v>
      </c>
      <c r="D149" t="s">
        <v>136</v>
      </c>
      <c r="E149" t="s">
        <v>134</v>
      </c>
      <c r="F149" t="s">
        <v>103</v>
      </c>
      <c r="G149" t="s">
        <v>122</v>
      </c>
      <c r="H149" t="s">
        <v>89</v>
      </c>
      <c r="I149">
        <v>1</v>
      </c>
      <c r="J149">
        <v>163.56</v>
      </c>
      <c r="K149">
        <v>0.05</v>
      </c>
      <c r="L149" t="s">
        <v>106</v>
      </c>
      <c r="M149">
        <v>7</v>
      </c>
      <c r="N149" t="s">
        <v>91</v>
      </c>
      <c r="O149" t="s">
        <v>89</v>
      </c>
      <c r="P149" t="s">
        <v>136</v>
      </c>
      <c r="Q149" t="s">
        <v>132</v>
      </c>
      <c r="R149" t="s">
        <v>103</v>
      </c>
      <c r="S149" t="s">
        <v>106</v>
      </c>
      <c r="T149">
        <v>1</v>
      </c>
      <c r="U149" t="s">
        <v>1346</v>
      </c>
      <c r="V149" t="s">
        <v>1288</v>
      </c>
      <c r="W149" t="s">
        <v>1245</v>
      </c>
      <c r="X149" t="s">
        <v>1184</v>
      </c>
      <c r="Y149" t="s">
        <v>1180</v>
      </c>
      <c r="Z149">
        <v>106.4</v>
      </c>
      <c r="AA149">
        <v>163.56</v>
      </c>
      <c r="AB149">
        <v>8.1780000000000008</v>
      </c>
      <c r="AC149">
        <v>155.38200000000001</v>
      </c>
      <c r="AD149">
        <v>106.4</v>
      </c>
      <c r="AE149">
        <v>48.981999999999999</v>
      </c>
      <c r="AF149">
        <v>0.31523599902176569</v>
      </c>
      <c r="AG149">
        <v>2025</v>
      </c>
      <c r="AH149">
        <v>6</v>
      </c>
      <c r="AI149" t="s">
        <v>1429</v>
      </c>
      <c r="AJ149" t="s">
        <v>1420</v>
      </c>
      <c r="AK149" t="s">
        <v>1250</v>
      </c>
      <c r="AL149">
        <v>0</v>
      </c>
    </row>
    <row r="150" spans="1:38">
      <c r="A150" t="s">
        <v>150</v>
      </c>
      <c r="B150" s="13">
        <v>45820</v>
      </c>
      <c r="C150" t="s">
        <v>151</v>
      </c>
      <c r="D150" t="s">
        <v>152</v>
      </c>
      <c r="E150" t="s">
        <v>153</v>
      </c>
      <c r="F150" t="s">
        <v>103</v>
      </c>
      <c r="G150" t="s">
        <v>96</v>
      </c>
      <c r="H150" t="s">
        <v>89</v>
      </c>
      <c r="I150">
        <v>2</v>
      </c>
      <c r="J150">
        <v>127.76</v>
      </c>
      <c r="K150">
        <v>0.1</v>
      </c>
      <c r="L150" t="s">
        <v>154</v>
      </c>
      <c r="M150">
        <v>8</v>
      </c>
      <c r="N150" t="s">
        <v>91</v>
      </c>
      <c r="O150" t="s">
        <v>89</v>
      </c>
      <c r="P150" t="s">
        <v>152</v>
      </c>
      <c r="Q150" t="s">
        <v>151</v>
      </c>
      <c r="R150" t="s">
        <v>103</v>
      </c>
      <c r="S150" t="s">
        <v>154</v>
      </c>
      <c r="T150">
        <v>1</v>
      </c>
      <c r="U150" t="s">
        <v>1263</v>
      </c>
      <c r="V150" t="s">
        <v>1239</v>
      </c>
      <c r="W150" t="s">
        <v>1241</v>
      </c>
      <c r="X150" t="s">
        <v>1191</v>
      </c>
      <c r="Y150" t="s">
        <v>1180</v>
      </c>
      <c r="Z150">
        <v>69</v>
      </c>
      <c r="AA150">
        <v>255.52</v>
      </c>
      <c r="AB150">
        <v>25.552000000000003</v>
      </c>
      <c r="AC150">
        <v>229.96800000000002</v>
      </c>
      <c r="AD150">
        <v>138</v>
      </c>
      <c r="AE150">
        <v>91.968000000000018</v>
      </c>
      <c r="AF150">
        <v>0.39991651012314761</v>
      </c>
      <c r="AG150">
        <v>2025</v>
      </c>
      <c r="AH150">
        <v>6</v>
      </c>
      <c r="AI150" t="s">
        <v>1429</v>
      </c>
      <c r="AJ150" t="s">
        <v>1420</v>
      </c>
      <c r="AK150" t="s">
        <v>1240</v>
      </c>
      <c r="AL150">
        <v>0</v>
      </c>
    </row>
    <row r="151" spans="1:38">
      <c r="A151" t="s">
        <v>172</v>
      </c>
      <c r="B151" s="13">
        <v>45973</v>
      </c>
      <c r="C151" t="s">
        <v>173</v>
      </c>
      <c r="D151" t="s">
        <v>174</v>
      </c>
      <c r="E151" t="s">
        <v>175</v>
      </c>
      <c r="F151" t="s">
        <v>103</v>
      </c>
      <c r="G151" t="s">
        <v>96</v>
      </c>
      <c r="H151" t="s">
        <v>97</v>
      </c>
      <c r="I151">
        <v>2</v>
      </c>
      <c r="J151">
        <v>39.450000000000003</v>
      </c>
      <c r="K151">
        <v>0.05</v>
      </c>
      <c r="L151" t="s">
        <v>98</v>
      </c>
      <c r="M151">
        <v>2</v>
      </c>
      <c r="N151" t="s">
        <v>147</v>
      </c>
      <c r="O151" t="s">
        <v>97</v>
      </c>
      <c r="P151" t="s">
        <v>174</v>
      </c>
      <c r="Q151" t="s">
        <v>173</v>
      </c>
      <c r="R151" t="s">
        <v>103</v>
      </c>
      <c r="S151" t="s">
        <v>98</v>
      </c>
      <c r="T151">
        <v>1</v>
      </c>
      <c r="U151" t="s">
        <v>1327</v>
      </c>
      <c r="V151" t="s">
        <v>1275</v>
      </c>
      <c r="W151" t="s">
        <v>1241</v>
      </c>
      <c r="X151" t="s">
        <v>1182</v>
      </c>
      <c r="Y151" t="s">
        <v>1180</v>
      </c>
      <c r="Z151">
        <v>23.5</v>
      </c>
      <c r="AA151">
        <v>78.900000000000006</v>
      </c>
      <c r="AB151">
        <v>3.9450000000000003</v>
      </c>
      <c r="AC151">
        <v>74.955000000000013</v>
      </c>
      <c r="AD151">
        <v>47</v>
      </c>
      <c r="AE151">
        <v>27.955000000000013</v>
      </c>
      <c r="AF151">
        <v>0.37295710759789219</v>
      </c>
      <c r="AG151">
        <v>2025</v>
      </c>
      <c r="AH151">
        <v>11</v>
      </c>
      <c r="AI151" t="s">
        <v>1426</v>
      </c>
      <c r="AJ151" t="s">
        <v>1427</v>
      </c>
      <c r="AK151" t="s">
        <v>1258</v>
      </c>
      <c r="AL151">
        <v>1</v>
      </c>
    </row>
    <row r="152" spans="1:38">
      <c r="A152" t="s">
        <v>179</v>
      </c>
      <c r="B152" s="13">
        <v>45750</v>
      </c>
      <c r="C152" t="s">
        <v>180</v>
      </c>
      <c r="D152" t="s">
        <v>181</v>
      </c>
      <c r="E152" t="s">
        <v>182</v>
      </c>
      <c r="F152" t="s">
        <v>116</v>
      </c>
      <c r="G152" t="s">
        <v>183</v>
      </c>
      <c r="H152" t="s">
        <v>89</v>
      </c>
      <c r="I152">
        <v>1</v>
      </c>
      <c r="J152">
        <v>339.65</v>
      </c>
      <c r="K152">
        <v>0</v>
      </c>
      <c r="L152" t="s">
        <v>106</v>
      </c>
      <c r="M152">
        <v>3</v>
      </c>
      <c r="N152" t="s">
        <v>91</v>
      </c>
      <c r="O152" t="s">
        <v>89</v>
      </c>
      <c r="P152" t="s">
        <v>181</v>
      </c>
      <c r="Q152" t="s">
        <v>180</v>
      </c>
      <c r="R152" t="s">
        <v>116</v>
      </c>
      <c r="S152" t="s">
        <v>106</v>
      </c>
      <c r="T152">
        <v>1</v>
      </c>
      <c r="U152" t="s">
        <v>1332</v>
      </c>
      <c r="V152" t="s">
        <v>1249</v>
      </c>
      <c r="W152" t="s">
        <v>1237</v>
      </c>
      <c r="X152" t="s">
        <v>1190</v>
      </c>
      <c r="Y152" t="s">
        <v>1180</v>
      </c>
      <c r="Z152">
        <v>224.47</v>
      </c>
      <c r="AA152">
        <v>339.65</v>
      </c>
      <c r="AB152">
        <v>0</v>
      </c>
      <c r="AC152">
        <v>339.65</v>
      </c>
      <c r="AD152">
        <v>224.47</v>
      </c>
      <c r="AE152">
        <v>115.17999999999998</v>
      </c>
      <c r="AF152">
        <v>0.33911379361107019</v>
      </c>
      <c r="AG152">
        <v>2025</v>
      </c>
      <c r="AH152">
        <v>4</v>
      </c>
      <c r="AI152" t="s">
        <v>1421</v>
      </c>
      <c r="AJ152" t="s">
        <v>1420</v>
      </c>
      <c r="AK152" t="s">
        <v>1250</v>
      </c>
      <c r="AL152">
        <v>0</v>
      </c>
    </row>
    <row r="153" spans="1:38">
      <c r="A153" t="s">
        <v>188</v>
      </c>
      <c r="B153" s="13">
        <v>45963</v>
      </c>
      <c r="C153" t="s">
        <v>189</v>
      </c>
      <c r="D153" t="s">
        <v>190</v>
      </c>
      <c r="E153" t="s">
        <v>191</v>
      </c>
      <c r="F153" t="s">
        <v>145</v>
      </c>
      <c r="G153" t="s">
        <v>183</v>
      </c>
      <c r="H153" t="s">
        <v>89</v>
      </c>
      <c r="I153">
        <v>2</v>
      </c>
      <c r="J153">
        <v>277.39</v>
      </c>
      <c r="K153">
        <v>0</v>
      </c>
      <c r="L153" t="s">
        <v>98</v>
      </c>
      <c r="M153">
        <v>6</v>
      </c>
      <c r="N153" t="s">
        <v>91</v>
      </c>
      <c r="O153" t="s">
        <v>89</v>
      </c>
      <c r="P153" t="s">
        <v>190</v>
      </c>
      <c r="Q153" t="s">
        <v>189</v>
      </c>
      <c r="R153" t="s">
        <v>145</v>
      </c>
      <c r="S153" t="s">
        <v>98</v>
      </c>
      <c r="T153">
        <v>1</v>
      </c>
      <c r="U153" t="s">
        <v>1283</v>
      </c>
      <c r="V153" t="s">
        <v>1275</v>
      </c>
      <c r="W153" t="s">
        <v>1241</v>
      </c>
      <c r="X153" t="s">
        <v>1186</v>
      </c>
      <c r="Y153" t="s">
        <v>1180</v>
      </c>
      <c r="Z153">
        <v>154.72999999999999</v>
      </c>
      <c r="AA153">
        <v>554.78</v>
      </c>
      <c r="AB153">
        <v>0</v>
      </c>
      <c r="AC153">
        <v>554.78</v>
      </c>
      <c r="AD153">
        <v>309.45999999999998</v>
      </c>
      <c r="AE153">
        <v>245.32</v>
      </c>
      <c r="AF153">
        <v>0.44219330184938177</v>
      </c>
      <c r="AG153">
        <v>2025</v>
      </c>
      <c r="AH153">
        <v>11</v>
      </c>
      <c r="AI153" t="s">
        <v>1426</v>
      </c>
      <c r="AJ153" t="s">
        <v>1427</v>
      </c>
      <c r="AK153" t="s">
        <v>1258</v>
      </c>
      <c r="AL153">
        <v>0</v>
      </c>
    </row>
    <row r="154" spans="1:38">
      <c r="A154" t="s">
        <v>196</v>
      </c>
      <c r="B154" s="13">
        <v>45761</v>
      </c>
      <c r="C154" t="s">
        <v>197</v>
      </c>
      <c r="D154" t="s">
        <v>181</v>
      </c>
      <c r="E154" t="s">
        <v>198</v>
      </c>
      <c r="F154" t="s">
        <v>111</v>
      </c>
      <c r="G154" t="s">
        <v>104</v>
      </c>
      <c r="H154" t="s">
        <v>97</v>
      </c>
      <c r="I154">
        <v>3</v>
      </c>
      <c r="J154">
        <v>336.05</v>
      </c>
      <c r="K154">
        <v>0.25</v>
      </c>
      <c r="L154" t="s">
        <v>98</v>
      </c>
      <c r="M154">
        <v>3</v>
      </c>
      <c r="N154" t="s">
        <v>91</v>
      </c>
      <c r="O154" t="s">
        <v>97</v>
      </c>
      <c r="P154" t="s">
        <v>181</v>
      </c>
      <c r="Q154" t="s">
        <v>197</v>
      </c>
      <c r="R154" t="s">
        <v>111</v>
      </c>
      <c r="S154" t="s">
        <v>98</v>
      </c>
      <c r="T154">
        <v>1</v>
      </c>
      <c r="U154" t="s">
        <v>1337</v>
      </c>
      <c r="V154" t="s">
        <v>1257</v>
      </c>
      <c r="W154" t="s">
        <v>1241</v>
      </c>
      <c r="X154" t="s">
        <v>1190</v>
      </c>
      <c r="Y154" t="s">
        <v>1180</v>
      </c>
      <c r="Z154">
        <v>224.47</v>
      </c>
      <c r="AA154">
        <v>1008.1500000000001</v>
      </c>
      <c r="AB154">
        <v>252.03750000000002</v>
      </c>
      <c r="AC154">
        <v>756.11250000000007</v>
      </c>
      <c r="AD154">
        <v>673.41</v>
      </c>
      <c r="AE154">
        <v>82.7025000000001</v>
      </c>
      <c r="AF154">
        <v>0.10937856469771376</v>
      </c>
      <c r="AG154">
        <v>2025</v>
      </c>
      <c r="AH154">
        <v>4</v>
      </c>
      <c r="AI154" t="s">
        <v>1421</v>
      </c>
      <c r="AJ154" t="s">
        <v>1420</v>
      </c>
      <c r="AK154" t="s">
        <v>1258</v>
      </c>
      <c r="AL154">
        <v>0</v>
      </c>
    </row>
    <row r="155" spans="1:38">
      <c r="A155" t="s">
        <v>199</v>
      </c>
      <c r="B155" s="13">
        <v>45879</v>
      </c>
      <c r="C155" t="s">
        <v>200</v>
      </c>
      <c r="D155" t="s">
        <v>152</v>
      </c>
      <c r="E155" t="s">
        <v>201</v>
      </c>
      <c r="F155" t="s">
        <v>111</v>
      </c>
      <c r="G155" t="s">
        <v>122</v>
      </c>
      <c r="H155" t="s">
        <v>89</v>
      </c>
      <c r="I155">
        <v>1</v>
      </c>
      <c r="J155">
        <v>137.66999999999999</v>
      </c>
      <c r="K155">
        <v>0.05</v>
      </c>
      <c r="L155" t="s">
        <v>154</v>
      </c>
      <c r="M155">
        <v>2</v>
      </c>
      <c r="N155" t="s">
        <v>91</v>
      </c>
      <c r="O155" t="s">
        <v>89</v>
      </c>
      <c r="P155" t="s">
        <v>152</v>
      </c>
      <c r="Q155" t="s">
        <v>200</v>
      </c>
      <c r="R155" t="s">
        <v>111</v>
      </c>
      <c r="S155" t="s">
        <v>154</v>
      </c>
      <c r="T155">
        <v>1</v>
      </c>
      <c r="U155" t="s">
        <v>1357</v>
      </c>
      <c r="V155" t="s">
        <v>1257</v>
      </c>
      <c r="W155" t="s">
        <v>1241</v>
      </c>
      <c r="X155" t="s">
        <v>1191</v>
      </c>
      <c r="Y155" t="s">
        <v>1180</v>
      </c>
      <c r="Z155">
        <v>69</v>
      </c>
      <c r="AA155">
        <v>137.66999999999999</v>
      </c>
      <c r="AB155">
        <v>6.8834999999999997</v>
      </c>
      <c r="AC155">
        <v>130.78649999999999</v>
      </c>
      <c r="AD155">
        <v>69</v>
      </c>
      <c r="AE155">
        <v>61.78649999999999</v>
      </c>
      <c r="AF155">
        <v>0.47242261242559436</v>
      </c>
      <c r="AG155">
        <v>2025</v>
      </c>
      <c r="AH155">
        <v>8</v>
      </c>
      <c r="AI155" t="s">
        <v>1417</v>
      </c>
      <c r="AJ155" t="s">
        <v>1418</v>
      </c>
      <c r="AK155" t="s">
        <v>1258</v>
      </c>
      <c r="AL155">
        <v>0</v>
      </c>
    </row>
    <row r="156" spans="1:38">
      <c r="A156" t="s">
        <v>202</v>
      </c>
      <c r="B156" s="13">
        <v>45770</v>
      </c>
      <c r="C156" t="s">
        <v>203</v>
      </c>
      <c r="D156" t="s">
        <v>174</v>
      </c>
      <c r="E156" t="s">
        <v>204</v>
      </c>
      <c r="F156" t="s">
        <v>103</v>
      </c>
      <c r="G156" t="s">
        <v>171</v>
      </c>
      <c r="H156" t="s">
        <v>89</v>
      </c>
      <c r="I156">
        <v>3</v>
      </c>
      <c r="J156">
        <v>38.96</v>
      </c>
      <c r="K156">
        <v>0.1</v>
      </c>
      <c r="L156" t="s">
        <v>98</v>
      </c>
      <c r="M156">
        <v>2</v>
      </c>
      <c r="N156" t="s">
        <v>91</v>
      </c>
      <c r="O156" t="s">
        <v>89</v>
      </c>
      <c r="P156" t="s">
        <v>174</v>
      </c>
      <c r="Q156" t="s">
        <v>203</v>
      </c>
      <c r="R156" t="s">
        <v>103</v>
      </c>
      <c r="S156" t="s">
        <v>98</v>
      </c>
      <c r="T156">
        <v>1</v>
      </c>
      <c r="U156" t="s">
        <v>1279</v>
      </c>
      <c r="V156" t="s">
        <v>1257</v>
      </c>
      <c r="W156" t="s">
        <v>1237</v>
      </c>
      <c r="X156" t="s">
        <v>1182</v>
      </c>
      <c r="Y156" t="s">
        <v>1180</v>
      </c>
      <c r="Z156">
        <v>23.5</v>
      </c>
      <c r="AA156">
        <v>116.88</v>
      </c>
      <c r="AB156">
        <v>11.688000000000001</v>
      </c>
      <c r="AC156">
        <v>105.19199999999999</v>
      </c>
      <c r="AD156">
        <v>70.5</v>
      </c>
      <c r="AE156">
        <v>34.691999999999993</v>
      </c>
      <c r="AF156">
        <v>0.32979694273328763</v>
      </c>
      <c r="AG156">
        <v>2025</v>
      </c>
      <c r="AH156">
        <v>4</v>
      </c>
      <c r="AI156" t="s">
        <v>1421</v>
      </c>
      <c r="AJ156" t="s">
        <v>1420</v>
      </c>
      <c r="AK156" t="s">
        <v>1258</v>
      </c>
      <c r="AL156">
        <v>0</v>
      </c>
    </row>
    <row r="157" spans="1:38">
      <c r="A157" t="s">
        <v>215</v>
      </c>
      <c r="B157" s="13">
        <v>45997</v>
      </c>
      <c r="C157" t="s">
        <v>216</v>
      </c>
      <c r="D157" t="s">
        <v>217</v>
      </c>
      <c r="E157" t="s">
        <v>218</v>
      </c>
      <c r="F157" t="s">
        <v>116</v>
      </c>
      <c r="G157" t="s">
        <v>171</v>
      </c>
      <c r="H157" t="s">
        <v>105</v>
      </c>
      <c r="I157">
        <v>1</v>
      </c>
      <c r="J157">
        <v>99.63</v>
      </c>
      <c r="K157">
        <v>0</v>
      </c>
      <c r="L157" t="s">
        <v>90</v>
      </c>
      <c r="M157">
        <v>8</v>
      </c>
      <c r="N157" t="s">
        <v>91</v>
      </c>
      <c r="O157" t="s">
        <v>105</v>
      </c>
      <c r="P157" t="s">
        <v>217</v>
      </c>
      <c r="Q157" t="s">
        <v>216</v>
      </c>
      <c r="R157" t="s">
        <v>116</v>
      </c>
      <c r="S157" t="s">
        <v>369</v>
      </c>
      <c r="T157">
        <v>1</v>
      </c>
      <c r="U157" t="s">
        <v>1253</v>
      </c>
      <c r="V157" t="s">
        <v>1260</v>
      </c>
      <c r="W157" t="s">
        <v>1237</v>
      </c>
      <c r="X157" t="s">
        <v>1189</v>
      </c>
      <c r="Y157" t="s">
        <v>1180</v>
      </c>
      <c r="Z157">
        <v>72</v>
      </c>
      <c r="AA157">
        <v>99.63</v>
      </c>
      <c r="AB157">
        <v>0</v>
      </c>
      <c r="AC157">
        <v>99.63</v>
      </c>
      <c r="AD157">
        <v>72</v>
      </c>
      <c r="AE157">
        <v>27.629999999999995</v>
      </c>
      <c r="AF157">
        <v>0.27732610659439927</v>
      </c>
      <c r="AG157">
        <v>2025</v>
      </c>
      <c r="AH157">
        <v>12</v>
      </c>
      <c r="AI157" t="s">
        <v>1428</v>
      </c>
      <c r="AJ157" t="s">
        <v>1427</v>
      </c>
      <c r="AK157" t="s">
        <v>1240</v>
      </c>
      <c r="AL157">
        <v>0</v>
      </c>
    </row>
    <row r="158" spans="1:38">
      <c r="A158" t="s">
        <v>235</v>
      </c>
      <c r="B158" s="13">
        <v>45703</v>
      </c>
      <c r="C158" t="s">
        <v>236</v>
      </c>
      <c r="D158" t="s">
        <v>136</v>
      </c>
      <c r="E158" t="s">
        <v>237</v>
      </c>
      <c r="F158" t="s">
        <v>87</v>
      </c>
      <c r="G158" t="s">
        <v>96</v>
      </c>
      <c r="H158" t="s">
        <v>97</v>
      </c>
      <c r="I158">
        <v>1</v>
      </c>
      <c r="J158">
        <v>165.76</v>
      </c>
      <c r="K158">
        <v>0.2</v>
      </c>
      <c r="L158" t="s">
        <v>98</v>
      </c>
      <c r="M158">
        <v>3</v>
      </c>
      <c r="N158" t="s">
        <v>91</v>
      </c>
      <c r="O158" t="s">
        <v>97</v>
      </c>
      <c r="P158" t="s">
        <v>136</v>
      </c>
      <c r="Q158" t="s">
        <v>236</v>
      </c>
      <c r="R158" t="s">
        <v>87</v>
      </c>
      <c r="S158" t="s">
        <v>98</v>
      </c>
      <c r="T158">
        <v>1</v>
      </c>
      <c r="U158" t="s">
        <v>1345</v>
      </c>
      <c r="V158" t="s">
        <v>1288</v>
      </c>
      <c r="W158" t="s">
        <v>1245</v>
      </c>
      <c r="X158" t="s">
        <v>1184</v>
      </c>
      <c r="Y158" t="s">
        <v>1180</v>
      </c>
      <c r="Z158">
        <v>106.4</v>
      </c>
      <c r="AA158">
        <v>165.76</v>
      </c>
      <c r="AB158">
        <v>33.152000000000001</v>
      </c>
      <c r="AC158">
        <v>132.608</v>
      </c>
      <c r="AD158">
        <v>106.4</v>
      </c>
      <c r="AE158">
        <v>26.207999999999998</v>
      </c>
      <c r="AF158">
        <v>0.19763513513513511</v>
      </c>
      <c r="AG158">
        <v>2025</v>
      </c>
      <c r="AH158">
        <v>2</v>
      </c>
      <c r="AI158" t="s">
        <v>1430</v>
      </c>
      <c r="AJ158" t="s">
        <v>1424</v>
      </c>
      <c r="AK158" t="s">
        <v>1250</v>
      </c>
      <c r="AL158">
        <v>0</v>
      </c>
    </row>
    <row r="159" spans="1:38">
      <c r="A159" t="s">
        <v>238</v>
      </c>
      <c r="B159" s="13">
        <v>45778</v>
      </c>
      <c r="C159" t="s">
        <v>239</v>
      </c>
      <c r="D159" t="s">
        <v>136</v>
      </c>
      <c r="E159" t="s">
        <v>240</v>
      </c>
      <c r="F159" t="s">
        <v>145</v>
      </c>
      <c r="G159" t="s">
        <v>104</v>
      </c>
      <c r="H159" t="s">
        <v>97</v>
      </c>
      <c r="I159">
        <v>1</v>
      </c>
      <c r="J159">
        <v>168.75</v>
      </c>
      <c r="K159">
        <v>0</v>
      </c>
      <c r="L159" t="s">
        <v>98</v>
      </c>
      <c r="M159">
        <v>0</v>
      </c>
      <c r="N159" t="s">
        <v>147</v>
      </c>
      <c r="O159" t="s">
        <v>97</v>
      </c>
      <c r="P159" t="s">
        <v>136</v>
      </c>
      <c r="Q159" t="s">
        <v>239</v>
      </c>
      <c r="R159" t="s">
        <v>145</v>
      </c>
      <c r="S159" t="s">
        <v>98</v>
      </c>
      <c r="T159">
        <v>1</v>
      </c>
      <c r="U159" t="s">
        <v>1336</v>
      </c>
      <c r="V159" t="s">
        <v>1297</v>
      </c>
      <c r="W159" t="s">
        <v>1237</v>
      </c>
      <c r="X159" t="s">
        <v>1184</v>
      </c>
      <c r="Y159" t="s">
        <v>1180</v>
      </c>
      <c r="Z159">
        <v>106.4</v>
      </c>
      <c r="AA159">
        <v>168.75</v>
      </c>
      <c r="AB159">
        <v>0</v>
      </c>
      <c r="AC159">
        <v>168.75</v>
      </c>
      <c r="AD159">
        <v>106.4</v>
      </c>
      <c r="AE159">
        <v>62.349999999999994</v>
      </c>
      <c r="AF159">
        <v>0.36948148148148147</v>
      </c>
      <c r="AG159">
        <v>2025</v>
      </c>
      <c r="AH159">
        <v>5</v>
      </c>
      <c r="AI159" t="s">
        <v>1419</v>
      </c>
      <c r="AJ159" t="s">
        <v>1420</v>
      </c>
      <c r="AK159" t="s">
        <v>1258</v>
      </c>
      <c r="AL159">
        <v>1</v>
      </c>
    </row>
    <row r="160" spans="1:38">
      <c r="A160" t="s">
        <v>241</v>
      </c>
      <c r="B160" s="13">
        <v>46022</v>
      </c>
      <c r="C160" t="s">
        <v>169</v>
      </c>
      <c r="D160" t="s">
        <v>174</v>
      </c>
      <c r="E160" t="s">
        <v>170</v>
      </c>
      <c r="F160" t="s">
        <v>111</v>
      </c>
      <c r="G160" t="s">
        <v>104</v>
      </c>
      <c r="H160" t="s">
        <v>89</v>
      </c>
      <c r="I160">
        <v>3</v>
      </c>
      <c r="J160">
        <v>39.06</v>
      </c>
      <c r="K160">
        <v>0</v>
      </c>
      <c r="L160" t="s">
        <v>98</v>
      </c>
      <c r="M160">
        <v>5</v>
      </c>
      <c r="N160" t="s">
        <v>147</v>
      </c>
      <c r="O160" t="s">
        <v>89</v>
      </c>
      <c r="P160" t="s">
        <v>174</v>
      </c>
      <c r="Q160" t="s">
        <v>169</v>
      </c>
      <c r="R160" t="s">
        <v>111</v>
      </c>
      <c r="S160" t="s">
        <v>98</v>
      </c>
      <c r="T160">
        <v>1</v>
      </c>
      <c r="U160" t="s">
        <v>1313</v>
      </c>
      <c r="V160" t="s">
        <v>1288</v>
      </c>
      <c r="W160" t="s">
        <v>1237</v>
      </c>
      <c r="X160" t="s">
        <v>1182</v>
      </c>
      <c r="Y160" t="s">
        <v>1180</v>
      </c>
      <c r="Z160">
        <v>23.5</v>
      </c>
      <c r="AA160">
        <v>117.18</v>
      </c>
      <c r="AB160">
        <v>0</v>
      </c>
      <c r="AC160">
        <v>117.18</v>
      </c>
      <c r="AD160">
        <v>70.5</v>
      </c>
      <c r="AE160">
        <v>46.680000000000007</v>
      </c>
      <c r="AF160">
        <v>0.39836149513568869</v>
      </c>
      <c r="AG160">
        <v>2025</v>
      </c>
      <c r="AH160">
        <v>12</v>
      </c>
      <c r="AI160" t="s">
        <v>1428</v>
      </c>
      <c r="AJ160" t="s">
        <v>1427</v>
      </c>
      <c r="AK160" t="s">
        <v>1250</v>
      </c>
      <c r="AL160">
        <v>1</v>
      </c>
    </row>
    <row r="161" spans="1:38">
      <c r="A161" t="s">
        <v>242</v>
      </c>
      <c r="B161" s="13">
        <v>45920</v>
      </c>
      <c r="C161" t="s">
        <v>243</v>
      </c>
      <c r="D161" t="s">
        <v>244</v>
      </c>
      <c r="E161" t="s">
        <v>245</v>
      </c>
      <c r="F161" t="s">
        <v>103</v>
      </c>
      <c r="G161" t="s">
        <v>130</v>
      </c>
      <c r="H161" t="s">
        <v>97</v>
      </c>
      <c r="I161">
        <v>1</v>
      </c>
      <c r="J161">
        <v>241.49</v>
      </c>
      <c r="K161">
        <v>0.1</v>
      </c>
      <c r="L161" t="s">
        <v>106</v>
      </c>
      <c r="M161">
        <v>2</v>
      </c>
      <c r="N161" t="s">
        <v>91</v>
      </c>
      <c r="O161" t="s">
        <v>97</v>
      </c>
      <c r="P161" t="s">
        <v>244</v>
      </c>
      <c r="Q161" t="s">
        <v>243</v>
      </c>
      <c r="R161" t="s">
        <v>103</v>
      </c>
      <c r="S161" t="s">
        <v>106</v>
      </c>
      <c r="T161">
        <v>1</v>
      </c>
      <c r="U161" t="s">
        <v>1301</v>
      </c>
      <c r="V161" t="s">
        <v>1260</v>
      </c>
      <c r="W161" t="s">
        <v>1245</v>
      </c>
      <c r="X161" t="s">
        <v>1188</v>
      </c>
      <c r="Y161" t="s">
        <v>1180</v>
      </c>
      <c r="Z161">
        <v>131.19</v>
      </c>
      <c r="AA161">
        <v>241.49</v>
      </c>
      <c r="AB161">
        <v>24.149000000000001</v>
      </c>
      <c r="AC161">
        <v>217.34100000000001</v>
      </c>
      <c r="AD161">
        <v>131.19</v>
      </c>
      <c r="AE161">
        <v>86.15100000000001</v>
      </c>
      <c r="AF161">
        <v>0.39638632379532629</v>
      </c>
      <c r="AG161">
        <v>2025</v>
      </c>
      <c r="AH161">
        <v>9</v>
      </c>
      <c r="AI161" t="s">
        <v>1432</v>
      </c>
      <c r="AJ161" t="s">
        <v>1418</v>
      </c>
      <c r="AK161" t="s">
        <v>1240</v>
      </c>
      <c r="AL161">
        <v>0</v>
      </c>
    </row>
    <row r="162" spans="1:38">
      <c r="A162" t="s">
        <v>264</v>
      </c>
      <c r="B162" s="13">
        <v>45933</v>
      </c>
      <c r="C162" t="s">
        <v>265</v>
      </c>
      <c r="D162" t="s">
        <v>244</v>
      </c>
      <c r="E162" t="s">
        <v>266</v>
      </c>
      <c r="F162" t="s">
        <v>145</v>
      </c>
      <c r="G162" t="s">
        <v>88</v>
      </c>
      <c r="H162" t="s">
        <v>89</v>
      </c>
      <c r="I162">
        <v>2</v>
      </c>
      <c r="J162">
        <v>242.3</v>
      </c>
      <c r="K162">
        <v>0.1</v>
      </c>
      <c r="L162" t="s">
        <v>98</v>
      </c>
      <c r="M162">
        <v>9</v>
      </c>
      <c r="N162" t="s">
        <v>91</v>
      </c>
      <c r="O162" t="s">
        <v>89</v>
      </c>
      <c r="P162" t="s">
        <v>244</v>
      </c>
      <c r="Q162" t="s">
        <v>265</v>
      </c>
      <c r="R162" t="s">
        <v>145</v>
      </c>
      <c r="S162" t="s">
        <v>98</v>
      </c>
      <c r="T162">
        <v>1</v>
      </c>
      <c r="U162" t="s">
        <v>1269</v>
      </c>
      <c r="V162" t="s">
        <v>1255</v>
      </c>
      <c r="W162" t="s">
        <v>1237</v>
      </c>
      <c r="X162" t="s">
        <v>1188</v>
      </c>
      <c r="Y162" t="s">
        <v>1180</v>
      </c>
      <c r="Z162">
        <v>131.19</v>
      </c>
      <c r="AA162">
        <v>484.6</v>
      </c>
      <c r="AB162">
        <v>48.460000000000008</v>
      </c>
      <c r="AC162">
        <v>436.14</v>
      </c>
      <c r="AD162">
        <v>262.38</v>
      </c>
      <c r="AE162">
        <v>173.76</v>
      </c>
      <c r="AF162">
        <v>0.39840418214334844</v>
      </c>
      <c r="AG162">
        <v>2025</v>
      </c>
      <c r="AH162">
        <v>10</v>
      </c>
      <c r="AI162" t="s">
        <v>1431</v>
      </c>
      <c r="AJ162" t="s">
        <v>1427</v>
      </c>
      <c r="AK162" t="s">
        <v>1244</v>
      </c>
      <c r="AL162">
        <v>0</v>
      </c>
    </row>
    <row r="163" spans="1:38">
      <c r="A163" t="s">
        <v>276</v>
      </c>
      <c r="B163" s="13">
        <v>45954</v>
      </c>
      <c r="C163" t="s">
        <v>225</v>
      </c>
      <c r="D163" t="s">
        <v>277</v>
      </c>
      <c r="E163" t="s">
        <v>227</v>
      </c>
      <c r="F163" t="s">
        <v>145</v>
      </c>
      <c r="G163" t="s">
        <v>130</v>
      </c>
      <c r="H163" t="s">
        <v>89</v>
      </c>
      <c r="I163">
        <v>1</v>
      </c>
      <c r="J163">
        <v>394.09</v>
      </c>
      <c r="K163">
        <v>0.2</v>
      </c>
      <c r="L163" t="s">
        <v>90</v>
      </c>
      <c r="M163">
        <v>6</v>
      </c>
      <c r="N163" t="s">
        <v>91</v>
      </c>
      <c r="O163" t="s">
        <v>89</v>
      </c>
      <c r="P163" t="s">
        <v>277</v>
      </c>
      <c r="Q163" t="s">
        <v>225</v>
      </c>
      <c r="R163" t="s">
        <v>145</v>
      </c>
      <c r="S163" t="s">
        <v>369</v>
      </c>
      <c r="T163">
        <v>1</v>
      </c>
      <c r="U163" t="s">
        <v>1328</v>
      </c>
      <c r="V163" t="s">
        <v>1247</v>
      </c>
      <c r="W163" t="s">
        <v>1237</v>
      </c>
      <c r="X163" t="s">
        <v>1179</v>
      </c>
      <c r="Y163" t="s">
        <v>1180</v>
      </c>
      <c r="Z163">
        <v>254.6</v>
      </c>
      <c r="AA163">
        <v>394.09</v>
      </c>
      <c r="AB163">
        <v>78.817999999999998</v>
      </c>
      <c r="AC163">
        <v>315.27199999999999</v>
      </c>
      <c r="AD163">
        <v>254.6</v>
      </c>
      <c r="AE163">
        <v>60.671999999999997</v>
      </c>
      <c r="AF163">
        <v>0.19244335050369205</v>
      </c>
      <c r="AG163">
        <v>2025</v>
      </c>
      <c r="AH163">
        <v>10</v>
      </c>
      <c r="AI163" t="s">
        <v>1431</v>
      </c>
      <c r="AJ163" t="s">
        <v>1427</v>
      </c>
      <c r="AK163" t="s">
        <v>1240</v>
      </c>
      <c r="AL163">
        <v>0</v>
      </c>
    </row>
    <row r="164" spans="1:38">
      <c r="A164" t="s">
        <v>281</v>
      </c>
      <c r="B164" s="13">
        <v>45722</v>
      </c>
      <c r="C164" t="s">
        <v>100</v>
      </c>
      <c r="D164" t="s">
        <v>136</v>
      </c>
      <c r="E164" t="s">
        <v>102</v>
      </c>
      <c r="F164" t="s">
        <v>87</v>
      </c>
      <c r="G164" t="s">
        <v>130</v>
      </c>
      <c r="H164" t="s">
        <v>89</v>
      </c>
      <c r="I164">
        <v>1</v>
      </c>
      <c r="J164">
        <v>155.66999999999999</v>
      </c>
      <c r="K164">
        <v>0</v>
      </c>
      <c r="L164" t="s">
        <v>106</v>
      </c>
      <c r="M164">
        <v>6</v>
      </c>
      <c r="N164" t="s">
        <v>91</v>
      </c>
      <c r="O164" t="s">
        <v>89</v>
      </c>
      <c r="P164" t="s">
        <v>136</v>
      </c>
      <c r="Q164" t="s">
        <v>100</v>
      </c>
      <c r="R164" t="s">
        <v>87</v>
      </c>
      <c r="S164" t="s">
        <v>106</v>
      </c>
      <c r="T164">
        <v>1</v>
      </c>
      <c r="U164" t="s">
        <v>1242</v>
      </c>
      <c r="V164" t="s">
        <v>1243</v>
      </c>
      <c r="W164" t="s">
        <v>1245</v>
      </c>
      <c r="X164" t="s">
        <v>1184</v>
      </c>
      <c r="Y164" t="s">
        <v>1180</v>
      </c>
      <c r="Z164">
        <v>106.4</v>
      </c>
      <c r="AA164">
        <v>155.66999999999999</v>
      </c>
      <c r="AB164">
        <v>0</v>
      </c>
      <c r="AC164">
        <v>155.66999999999999</v>
      </c>
      <c r="AD164">
        <v>106.4</v>
      </c>
      <c r="AE164">
        <v>49.269999999999982</v>
      </c>
      <c r="AF164">
        <v>0.31650285861116456</v>
      </c>
      <c r="AG164">
        <v>2025</v>
      </c>
      <c r="AH164">
        <v>3</v>
      </c>
      <c r="AI164" t="s">
        <v>1423</v>
      </c>
      <c r="AJ164" t="s">
        <v>1424</v>
      </c>
      <c r="AK164" t="s">
        <v>1244</v>
      </c>
      <c r="AL164">
        <v>0</v>
      </c>
    </row>
    <row r="165" spans="1:38">
      <c r="A165" t="s">
        <v>288</v>
      </c>
      <c r="B165" s="13">
        <v>45931</v>
      </c>
      <c r="C165" t="s">
        <v>243</v>
      </c>
      <c r="D165" t="s">
        <v>244</v>
      </c>
      <c r="E165" t="s">
        <v>245</v>
      </c>
      <c r="F165" t="s">
        <v>111</v>
      </c>
      <c r="G165" t="s">
        <v>88</v>
      </c>
      <c r="H165" t="s">
        <v>89</v>
      </c>
      <c r="I165">
        <v>3</v>
      </c>
      <c r="J165">
        <v>229.15</v>
      </c>
      <c r="K165">
        <v>0</v>
      </c>
      <c r="L165" t="s">
        <v>98</v>
      </c>
      <c r="M165">
        <v>2</v>
      </c>
      <c r="N165" t="s">
        <v>91</v>
      </c>
      <c r="O165" t="s">
        <v>89</v>
      </c>
      <c r="P165" t="s">
        <v>244</v>
      </c>
      <c r="Q165" t="s">
        <v>243</v>
      </c>
      <c r="R165" t="s">
        <v>111</v>
      </c>
      <c r="S165" t="s">
        <v>98</v>
      </c>
      <c r="T165">
        <v>1</v>
      </c>
      <c r="U165" t="s">
        <v>1301</v>
      </c>
      <c r="V165" t="s">
        <v>1260</v>
      </c>
      <c r="W165" t="s">
        <v>1245</v>
      </c>
      <c r="X165" t="s">
        <v>1188</v>
      </c>
      <c r="Y165" t="s">
        <v>1180</v>
      </c>
      <c r="Z165">
        <v>131.19</v>
      </c>
      <c r="AA165">
        <v>687.45</v>
      </c>
      <c r="AB165">
        <v>0</v>
      </c>
      <c r="AC165">
        <v>687.45</v>
      </c>
      <c r="AD165">
        <v>393.57</v>
      </c>
      <c r="AE165">
        <v>293.88000000000005</v>
      </c>
      <c r="AF165">
        <v>0.42749290857516914</v>
      </c>
      <c r="AG165">
        <v>2025</v>
      </c>
      <c r="AH165">
        <v>10</v>
      </c>
      <c r="AI165" t="s">
        <v>1431</v>
      </c>
      <c r="AJ165" t="s">
        <v>1427</v>
      </c>
      <c r="AK165" t="s">
        <v>1240</v>
      </c>
      <c r="AL165">
        <v>0</v>
      </c>
    </row>
    <row r="166" spans="1:38">
      <c r="A166" t="s">
        <v>298</v>
      </c>
      <c r="B166" s="13">
        <v>45730</v>
      </c>
      <c r="C166" t="s">
        <v>243</v>
      </c>
      <c r="D166" t="s">
        <v>244</v>
      </c>
      <c r="E166" t="s">
        <v>245</v>
      </c>
      <c r="F166" t="s">
        <v>145</v>
      </c>
      <c r="G166" t="s">
        <v>88</v>
      </c>
      <c r="H166" t="s">
        <v>97</v>
      </c>
      <c r="I166">
        <v>5</v>
      </c>
      <c r="J166">
        <v>234.75</v>
      </c>
      <c r="K166">
        <v>0.1</v>
      </c>
      <c r="L166" t="s">
        <v>106</v>
      </c>
      <c r="M166">
        <v>3</v>
      </c>
      <c r="N166" t="s">
        <v>91</v>
      </c>
      <c r="O166" t="s">
        <v>97</v>
      </c>
      <c r="P166" t="s">
        <v>244</v>
      </c>
      <c r="Q166" t="s">
        <v>243</v>
      </c>
      <c r="R166" t="s">
        <v>145</v>
      </c>
      <c r="S166" t="s">
        <v>106</v>
      </c>
      <c r="T166">
        <v>1</v>
      </c>
      <c r="U166" t="s">
        <v>1301</v>
      </c>
      <c r="V166" t="s">
        <v>1260</v>
      </c>
      <c r="W166" t="s">
        <v>1245</v>
      </c>
      <c r="X166" t="s">
        <v>1188</v>
      </c>
      <c r="Y166" t="s">
        <v>1180</v>
      </c>
      <c r="Z166">
        <v>131.19</v>
      </c>
      <c r="AA166">
        <v>1173.75</v>
      </c>
      <c r="AB166">
        <v>117.375</v>
      </c>
      <c r="AC166">
        <v>1056.375</v>
      </c>
      <c r="AD166">
        <v>655.95</v>
      </c>
      <c r="AE166">
        <v>400.42499999999995</v>
      </c>
      <c r="AF166">
        <v>0.37905573304934326</v>
      </c>
      <c r="AG166">
        <v>2025</v>
      </c>
      <c r="AH166">
        <v>3</v>
      </c>
      <c r="AI166" t="s">
        <v>1423</v>
      </c>
      <c r="AJ166" t="s">
        <v>1424</v>
      </c>
      <c r="AK166" t="s">
        <v>1240</v>
      </c>
      <c r="AL166">
        <v>0</v>
      </c>
    </row>
    <row r="167" spans="1:38">
      <c r="A167" t="s">
        <v>312</v>
      </c>
      <c r="B167" s="13">
        <v>45968</v>
      </c>
      <c r="C167" t="s">
        <v>313</v>
      </c>
      <c r="D167" t="s">
        <v>244</v>
      </c>
      <c r="E167" t="s">
        <v>314</v>
      </c>
      <c r="F167" t="s">
        <v>116</v>
      </c>
      <c r="G167" t="s">
        <v>96</v>
      </c>
      <c r="H167" t="s">
        <v>97</v>
      </c>
      <c r="I167">
        <v>2</v>
      </c>
      <c r="J167">
        <v>251.66</v>
      </c>
      <c r="K167">
        <v>0.15</v>
      </c>
      <c r="L167" t="s">
        <v>106</v>
      </c>
      <c r="M167">
        <v>3</v>
      </c>
      <c r="N167" t="s">
        <v>91</v>
      </c>
      <c r="O167" t="s">
        <v>97</v>
      </c>
      <c r="P167" t="s">
        <v>244</v>
      </c>
      <c r="Q167" t="s">
        <v>313</v>
      </c>
      <c r="R167" t="s">
        <v>116</v>
      </c>
      <c r="S167" t="s">
        <v>106</v>
      </c>
      <c r="T167">
        <v>1</v>
      </c>
      <c r="U167" t="s">
        <v>1328</v>
      </c>
      <c r="V167" t="s">
        <v>1255</v>
      </c>
      <c r="W167" t="s">
        <v>1245</v>
      </c>
      <c r="X167" t="s">
        <v>1188</v>
      </c>
      <c r="Y167" t="s">
        <v>1180</v>
      </c>
      <c r="Z167">
        <v>131.19</v>
      </c>
      <c r="AA167">
        <v>503.32</v>
      </c>
      <c r="AB167">
        <v>75.49799999999999</v>
      </c>
      <c r="AC167">
        <v>427.822</v>
      </c>
      <c r="AD167">
        <v>262.38</v>
      </c>
      <c r="AE167">
        <v>165.44200000000001</v>
      </c>
      <c r="AF167">
        <v>0.38670755594616452</v>
      </c>
      <c r="AG167">
        <v>2025</v>
      </c>
      <c r="AH167">
        <v>11</v>
      </c>
      <c r="AI167" t="s">
        <v>1426</v>
      </c>
      <c r="AJ167" t="s">
        <v>1427</v>
      </c>
      <c r="AK167" t="s">
        <v>1244</v>
      </c>
      <c r="AL167">
        <v>0</v>
      </c>
    </row>
    <row r="168" spans="1:38">
      <c r="A168" t="s">
        <v>328</v>
      </c>
      <c r="B168" s="13">
        <v>45672</v>
      </c>
      <c r="C168" t="s">
        <v>230</v>
      </c>
      <c r="D168" t="s">
        <v>136</v>
      </c>
      <c r="E168" t="s">
        <v>232</v>
      </c>
      <c r="F168" t="s">
        <v>116</v>
      </c>
      <c r="G168" t="s">
        <v>88</v>
      </c>
      <c r="H168" t="s">
        <v>89</v>
      </c>
      <c r="I168">
        <v>1</v>
      </c>
      <c r="J168">
        <v>152.32</v>
      </c>
      <c r="K168">
        <v>0.1</v>
      </c>
      <c r="L168" t="s">
        <v>90</v>
      </c>
      <c r="M168">
        <v>5</v>
      </c>
      <c r="N168" t="s">
        <v>91</v>
      </c>
      <c r="O168" t="s">
        <v>89</v>
      </c>
      <c r="P168" t="s">
        <v>136</v>
      </c>
      <c r="Q168" t="s">
        <v>230</v>
      </c>
      <c r="R168" t="s">
        <v>116</v>
      </c>
      <c r="S168" t="s">
        <v>369</v>
      </c>
      <c r="T168">
        <v>1</v>
      </c>
      <c r="U168" t="s">
        <v>1312</v>
      </c>
      <c r="V168" t="s">
        <v>1247</v>
      </c>
      <c r="W168" t="s">
        <v>1241</v>
      </c>
      <c r="X168" t="s">
        <v>1184</v>
      </c>
      <c r="Y168" t="s">
        <v>1180</v>
      </c>
      <c r="Z168">
        <v>106.4</v>
      </c>
      <c r="AA168">
        <v>152.32</v>
      </c>
      <c r="AB168">
        <v>15.231999999999999</v>
      </c>
      <c r="AC168">
        <v>137.08799999999999</v>
      </c>
      <c r="AD168">
        <v>106.4</v>
      </c>
      <c r="AE168">
        <v>30.687999999999988</v>
      </c>
      <c r="AF168">
        <v>0.22385620915032672</v>
      </c>
      <c r="AG168">
        <v>2025</v>
      </c>
      <c r="AH168">
        <v>1</v>
      </c>
      <c r="AI168" t="s">
        <v>1425</v>
      </c>
      <c r="AJ168" t="s">
        <v>1424</v>
      </c>
      <c r="AK168" t="s">
        <v>1240</v>
      </c>
      <c r="AL168">
        <v>0</v>
      </c>
    </row>
    <row r="169" spans="1:38">
      <c r="A169" t="s">
        <v>337</v>
      </c>
      <c r="B169" s="13">
        <v>45929</v>
      </c>
      <c r="C169" t="s">
        <v>338</v>
      </c>
      <c r="D169" t="s">
        <v>217</v>
      </c>
      <c r="E169" t="s">
        <v>339</v>
      </c>
      <c r="F169" t="s">
        <v>111</v>
      </c>
      <c r="G169" t="s">
        <v>130</v>
      </c>
      <c r="H169" t="s">
        <v>233</v>
      </c>
      <c r="I169">
        <v>2</v>
      </c>
      <c r="J169">
        <v>101.43</v>
      </c>
      <c r="K169">
        <v>0.15</v>
      </c>
      <c r="L169" t="s">
        <v>98</v>
      </c>
      <c r="M169">
        <v>4</v>
      </c>
      <c r="N169" t="s">
        <v>91</v>
      </c>
      <c r="O169" t="s">
        <v>97</v>
      </c>
      <c r="P169" t="s">
        <v>217</v>
      </c>
      <c r="Q169" t="s">
        <v>338</v>
      </c>
      <c r="R169" t="s">
        <v>111</v>
      </c>
      <c r="S169" t="s">
        <v>98</v>
      </c>
      <c r="T169">
        <v>1</v>
      </c>
      <c r="U169" t="s">
        <v>1300</v>
      </c>
      <c r="V169" t="s">
        <v>1257</v>
      </c>
      <c r="W169" t="s">
        <v>1237</v>
      </c>
      <c r="X169" t="s">
        <v>1189</v>
      </c>
      <c r="Y169" t="s">
        <v>1180</v>
      </c>
      <c r="Z169">
        <v>72</v>
      </c>
      <c r="AA169">
        <v>202.86</v>
      </c>
      <c r="AB169">
        <v>30.429000000000002</v>
      </c>
      <c r="AC169">
        <v>172.43100000000001</v>
      </c>
      <c r="AD169">
        <v>144</v>
      </c>
      <c r="AE169">
        <v>28.431000000000012</v>
      </c>
      <c r="AF169">
        <v>0.16488334464220478</v>
      </c>
      <c r="AG169">
        <v>2025</v>
      </c>
      <c r="AH169">
        <v>9</v>
      </c>
      <c r="AI169" t="s">
        <v>1432</v>
      </c>
      <c r="AJ169" t="s">
        <v>1418</v>
      </c>
      <c r="AK169" t="s">
        <v>1258</v>
      </c>
      <c r="AL169">
        <v>0</v>
      </c>
    </row>
    <row r="170" spans="1:38">
      <c r="A170" t="s">
        <v>341</v>
      </c>
      <c r="B170" s="13">
        <v>45685</v>
      </c>
      <c r="C170" t="s">
        <v>151</v>
      </c>
      <c r="D170" t="s">
        <v>181</v>
      </c>
      <c r="E170" t="s">
        <v>153</v>
      </c>
      <c r="F170" t="s">
        <v>87</v>
      </c>
      <c r="G170" t="s">
        <v>104</v>
      </c>
      <c r="H170" t="s">
        <v>89</v>
      </c>
      <c r="I170">
        <v>2</v>
      </c>
      <c r="J170">
        <v>341.19</v>
      </c>
      <c r="K170">
        <v>0.1</v>
      </c>
      <c r="L170" t="s">
        <v>106</v>
      </c>
      <c r="M170">
        <v>1</v>
      </c>
      <c r="N170" t="s">
        <v>91</v>
      </c>
      <c r="O170" t="s">
        <v>89</v>
      </c>
      <c r="P170" t="s">
        <v>181</v>
      </c>
      <c r="Q170" t="s">
        <v>151</v>
      </c>
      <c r="R170" t="s">
        <v>87</v>
      </c>
      <c r="S170" t="s">
        <v>106</v>
      </c>
      <c r="T170">
        <v>1</v>
      </c>
      <c r="U170" t="s">
        <v>1263</v>
      </c>
      <c r="V170" t="s">
        <v>1239</v>
      </c>
      <c r="W170" t="s">
        <v>1241</v>
      </c>
      <c r="X170" t="s">
        <v>1190</v>
      </c>
      <c r="Y170" t="s">
        <v>1180</v>
      </c>
      <c r="Z170">
        <v>224.47</v>
      </c>
      <c r="AA170">
        <v>682.38</v>
      </c>
      <c r="AB170">
        <v>68.238</v>
      </c>
      <c r="AC170">
        <v>614.14200000000005</v>
      </c>
      <c r="AD170">
        <v>448.94</v>
      </c>
      <c r="AE170">
        <v>165.20200000000006</v>
      </c>
      <c r="AF170">
        <v>0.26899642102315108</v>
      </c>
      <c r="AG170">
        <v>2025</v>
      </c>
      <c r="AH170">
        <v>1</v>
      </c>
      <c r="AI170" t="s">
        <v>1425</v>
      </c>
      <c r="AJ170" t="s">
        <v>1424</v>
      </c>
      <c r="AK170" t="s">
        <v>1240</v>
      </c>
      <c r="AL170">
        <v>0</v>
      </c>
    </row>
    <row r="171" spans="1:38">
      <c r="A171" t="s">
        <v>368</v>
      </c>
      <c r="B171" s="13">
        <v>45830</v>
      </c>
      <c r="C171" t="s">
        <v>173</v>
      </c>
      <c r="D171" t="s">
        <v>217</v>
      </c>
      <c r="E171" t="s">
        <v>175</v>
      </c>
      <c r="F171" t="s">
        <v>103</v>
      </c>
      <c r="G171" t="s">
        <v>88</v>
      </c>
      <c r="H171" t="s">
        <v>89</v>
      </c>
      <c r="I171">
        <v>1</v>
      </c>
      <c r="J171">
        <v>101.43</v>
      </c>
      <c r="K171">
        <v>0.15</v>
      </c>
      <c r="L171" t="s">
        <v>90</v>
      </c>
      <c r="M171">
        <v>7</v>
      </c>
      <c r="N171" t="s">
        <v>91</v>
      </c>
      <c r="O171" t="s">
        <v>89</v>
      </c>
      <c r="P171" t="s">
        <v>217</v>
      </c>
      <c r="Q171" t="s">
        <v>173</v>
      </c>
      <c r="R171" t="s">
        <v>103</v>
      </c>
      <c r="S171" t="s">
        <v>369</v>
      </c>
      <c r="T171">
        <v>1</v>
      </c>
      <c r="U171" t="s">
        <v>1327</v>
      </c>
      <c r="V171" t="s">
        <v>1275</v>
      </c>
      <c r="W171" t="s">
        <v>1241</v>
      </c>
      <c r="X171" t="s">
        <v>1189</v>
      </c>
      <c r="Y171" t="s">
        <v>1180</v>
      </c>
      <c r="Z171">
        <v>72</v>
      </c>
      <c r="AA171">
        <v>101.43</v>
      </c>
      <c r="AB171">
        <v>15.214500000000001</v>
      </c>
      <c r="AC171">
        <v>86.215500000000006</v>
      </c>
      <c r="AD171">
        <v>72</v>
      </c>
      <c r="AE171">
        <v>14.215500000000006</v>
      </c>
      <c r="AF171">
        <v>0.16488334464220478</v>
      </c>
      <c r="AG171">
        <v>2025</v>
      </c>
      <c r="AH171">
        <v>6</v>
      </c>
      <c r="AI171" t="s">
        <v>1429</v>
      </c>
      <c r="AJ171" t="s">
        <v>1420</v>
      </c>
      <c r="AK171" t="s">
        <v>1258</v>
      </c>
      <c r="AL171">
        <v>0</v>
      </c>
    </row>
    <row r="172" spans="1:38">
      <c r="A172" t="s">
        <v>376</v>
      </c>
      <c r="B172" s="13">
        <v>45894</v>
      </c>
      <c r="C172" t="s">
        <v>108</v>
      </c>
      <c r="D172" t="s">
        <v>277</v>
      </c>
      <c r="E172" t="s">
        <v>110</v>
      </c>
      <c r="F172" t="s">
        <v>116</v>
      </c>
      <c r="G172" t="s">
        <v>171</v>
      </c>
      <c r="H172" t="s">
        <v>97</v>
      </c>
      <c r="I172">
        <v>1</v>
      </c>
      <c r="J172">
        <v>350.44</v>
      </c>
      <c r="K172">
        <v>0</v>
      </c>
      <c r="L172" t="s">
        <v>106</v>
      </c>
      <c r="M172">
        <v>1</v>
      </c>
      <c r="N172" t="s">
        <v>91</v>
      </c>
      <c r="O172" t="s">
        <v>97</v>
      </c>
      <c r="P172" t="s">
        <v>277</v>
      </c>
      <c r="Q172" t="s">
        <v>108</v>
      </c>
      <c r="R172" t="s">
        <v>116</v>
      </c>
      <c r="S172" t="s">
        <v>106</v>
      </c>
      <c r="T172">
        <v>1</v>
      </c>
      <c r="U172" t="s">
        <v>1319</v>
      </c>
      <c r="V172" t="s">
        <v>1275</v>
      </c>
      <c r="W172" t="s">
        <v>1237</v>
      </c>
      <c r="X172" t="s">
        <v>1179</v>
      </c>
      <c r="Y172" t="s">
        <v>1180</v>
      </c>
      <c r="Z172">
        <v>254.6</v>
      </c>
      <c r="AA172">
        <v>350.44</v>
      </c>
      <c r="AB172">
        <v>0</v>
      </c>
      <c r="AC172">
        <v>350.44</v>
      </c>
      <c r="AD172">
        <v>254.6</v>
      </c>
      <c r="AE172">
        <v>95.84</v>
      </c>
      <c r="AF172">
        <v>0.27348476201346877</v>
      </c>
      <c r="AG172">
        <v>2025</v>
      </c>
      <c r="AH172">
        <v>8</v>
      </c>
      <c r="AI172" t="s">
        <v>1417</v>
      </c>
      <c r="AJ172" t="s">
        <v>1418</v>
      </c>
      <c r="AK172" t="s">
        <v>1258</v>
      </c>
      <c r="AL172">
        <v>0</v>
      </c>
    </row>
    <row r="173" spans="1:38">
      <c r="A173" t="s">
        <v>377</v>
      </c>
      <c r="B173" s="13">
        <v>45822</v>
      </c>
      <c r="C173" t="s">
        <v>319</v>
      </c>
      <c r="D173" t="s">
        <v>174</v>
      </c>
      <c r="E173" t="s">
        <v>320</v>
      </c>
      <c r="F173" t="s">
        <v>111</v>
      </c>
      <c r="G173" t="s">
        <v>88</v>
      </c>
      <c r="H173" t="s">
        <v>89</v>
      </c>
      <c r="I173">
        <v>2</v>
      </c>
      <c r="J173">
        <v>37.19</v>
      </c>
      <c r="K173">
        <v>0</v>
      </c>
      <c r="L173" t="s">
        <v>90</v>
      </c>
      <c r="M173">
        <v>1</v>
      </c>
      <c r="N173" t="s">
        <v>91</v>
      </c>
      <c r="O173" t="s">
        <v>89</v>
      </c>
      <c r="P173" t="s">
        <v>174</v>
      </c>
      <c r="Q173" t="s">
        <v>319</v>
      </c>
      <c r="R173" t="s">
        <v>111</v>
      </c>
      <c r="S173" t="s">
        <v>369</v>
      </c>
      <c r="T173">
        <v>1</v>
      </c>
      <c r="U173" t="s">
        <v>1262</v>
      </c>
      <c r="V173" t="s">
        <v>1260</v>
      </c>
      <c r="W173" t="s">
        <v>1241</v>
      </c>
      <c r="X173" t="s">
        <v>1182</v>
      </c>
      <c r="Y173" t="s">
        <v>1180</v>
      </c>
      <c r="Z173">
        <v>23.5</v>
      </c>
      <c r="AA173">
        <v>74.38</v>
      </c>
      <c r="AB173">
        <v>0</v>
      </c>
      <c r="AC173">
        <v>74.38</v>
      </c>
      <c r="AD173">
        <v>47</v>
      </c>
      <c r="AE173">
        <v>27.379999999999995</v>
      </c>
      <c r="AF173">
        <v>0.36810970691045974</v>
      </c>
      <c r="AG173">
        <v>2025</v>
      </c>
      <c r="AH173">
        <v>6</v>
      </c>
      <c r="AI173" t="s">
        <v>1429</v>
      </c>
      <c r="AJ173" t="s">
        <v>1420</v>
      </c>
      <c r="AK173" t="s">
        <v>1240</v>
      </c>
      <c r="AL173">
        <v>0</v>
      </c>
    </row>
    <row r="174" spans="1:38">
      <c r="A174" t="s">
        <v>381</v>
      </c>
      <c r="B174" s="13">
        <v>45914</v>
      </c>
      <c r="C174" t="s">
        <v>209</v>
      </c>
      <c r="D174" t="s">
        <v>190</v>
      </c>
      <c r="E174" t="s">
        <v>211</v>
      </c>
      <c r="F174" t="s">
        <v>111</v>
      </c>
      <c r="G174" t="s">
        <v>88</v>
      </c>
      <c r="H174" t="s">
        <v>89</v>
      </c>
      <c r="I174">
        <v>2</v>
      </c>
      <c r="J174">
        <v>285.22000000000003</v>
      </c>
      <c r="K174">
        <v>0</v>
      </c>
      <c r="L174" t="s">
        <v>353</v>
      </c>
      <c r="M174">
        <v>7</v>
      </c>
      <c r="N174" t="s">
        <v>91</v>
      </c>
      <c r="O174" t="s">
        <v>89</v>
      </c>
      <c r="P174" t="s">
        <v>190</v>
      </c>
      <c r="Q174" t="s">
        <v>209</v>
      </c>
      <c r="R174" t="s">
        <v>111</v>
      </c>
      <c r="S174" t="s">
        <v>106</v>
      </c>
      <c r="T174">
        <v>1</v>
      </c>
      <c r="U174" t="s">
        <v>1248</v>
      </c>
      <c r="V174" t="s">
        <v>1249</v>
      </c>
      <c r="W174" t="s">
        <v>1237</v>
      </c>
      <c r="X174" t="s">
        <v>1186</v>
      </c>
      <c r="Y174" t="s">
        <v>1180</v>
      </c>
      <c r="Z174">
        <v>154.72999999999999</v>
      </c>
      <c r="AA174">
        <v>570.44000000000005</v>
      </c>
      <c r="AB174">
        <v>0</v>
      </c>
      <c r="AC174">
        <v>570.44000000000005</v>
      </c>
      <c r="AD174">
        <v>309.45999999999998</v>
      </c>
      <c r="AE174">
        <v>260.98000000000008</v>
      </c>
      <c r="AF174">
        <v>0.45750648622116269</v>
      </c>
      <c r="AG174">
        <v>2025</v>
      </c>
      <c r="AH174">
        <v>9</v>
      </c>
      <c r="AI174" t="s">
        <v>1432</v>
      </c>
      <c r="AJ174" t="s">
        <v>1418</v>
      </c>
      <c r="AK174" t="s">
        <v>1250</v>
      </c>
      <c r="AL174">
        <v>0</v>
      </c>
    </row>
    <row r="175" spans="1:38">
      <c r="A175" t="s">
        <v>401</v>
      </c>
      <c r="B175" s="13">
        <v>45846</v>
      </c>
      <c r="C175" t="s">
        <v>402</v>
      </c>
      <c r="D175" t="s">
        <v>277</v>
      </c>
      <c r="E175" t="s">
        <v>403</v>
      </c>
      <c r="F175" t="s">
        <v>103</v>
      </c>
      <c r="G175" t="s">
        <v>130</v>
      </c>
      <c r="H175" t="s">
        <v>89</v>
      </c>
      <c r="I175">
        <v>2</v>
      </c>
      <c r="J175">
        <v>379.92</v>
      </c>
      <c r="K175">
        <v>0.15</v>
      </c>
      <c r="L175" t="s">
        <v>253</v>
      </c>
      <c r="M175">
        <v>6</v>
      </c>
      <c r="N175" t="s">
        <v>91</v>
      </c>
      <c r="O175" t="s">
        <v>89</v>
      </c>
      <c r="P175" t="s">
        <v>277</v>
      </c>
      <c r="Q175" t="s">
        <v>402</v>
      </c>
      <c r="R175" t="s">
        <v>103</v>
      </c>
      <c r="S175" t="s">
        <v>106</v>
      </c>
      <c r="T175">
        <v>1</v>
      </c>
      <c r="U175" t="s">
        <v>1256</v>
      </c>
      <c r="V175" t="s">
        <v>1257</v>
      </c>
      <c r="W175" t="s">
        <v>1245</v>
      </c>
      <c r="X175" t="s">
        <v>1179</v>
      </c>
      <c r="Y175" t="s">
        <v>1180</v>
      </c>
      <c r="Z175">
        <v>254.6</v>
      </c>
      <c r="AA175">
        <v>759.84</v>
      </c>
      <c r="AB175">
        <v>113.976</v>
      </c>
      <c r="AC175">
        <v>645.86400000000003</v>
      </c>
      <c r="AD175">
        <v>509.2</v>
      </c>
      <c r="AE175">
        <v>136.66400000000004</v>
      </c>
      <c r="AF175">
        <v>0.21159872666691446</v>
      </c>
      <c r="AG175">
        <v>2025</v>
      </c>
      <c r="AH175">
        <v>7</v>
      </c>
      <c r="AI175" t="s">
        <v>1422</v>
      </c>
      <c r="AJ175" t="s">
        <v>1418</v>
      </c>
      <c r="AK175" t="s">
        <v>1258</v>
      </c>
      <c r="AL175">
        <v>0</v>
      </c>
    </row>
    <row r="176" spans="1:38">
      <c r="A176" t="s">
        <v>425</v>
      </c>
      <c r="B176" s="13">
        <v>45738</v>
      </c>
      <c r="C176" t="s">
        <v>293</v>
      </c>
      <c r="D176" t="s">
        <v>136</v>
      </c>
      <c r="E176" t="s">
        <v>294</v>
      </c>
      <c r="F176" t="s">
        <v>103</v>
      </c>
      <c r="G176" t="s">
        <v>122</v>
      </c>
      <c r="H176" t="s">
        <v>105</v>
      </c>
      <c r="I176">
        <v>1</v>
      </c>
      <c r="J176">
        <v>159.52000000000001</v>
      </c>
      <c r="K176">
        <v>0</v>
      </c>
      <c r="L176" t="s">
        <v>98</v>
      </c>
      <c r="M176">
        <v>6</v>
      </c>
      <c r="N176" t="s">
        <v>91</v>
      </c>
      <c r="O176" t="s">
        <v>105</v>
      </c>
      <c r="P176" t="s">
        <v>136</v>
      </c>
      <c r="Q176" t="s">
        <v>293</v>
      </c>
      <c r="R176" t="s">
        <v>103</v>
      </c>
      <c r="S176" t="s">
        <v>98</v>
      </c>
      <c r="T176">
        <v>1</v>
      </c>
      <c r="U176" t="s">
        <v>1252</v>
      </c>
      <c r="V176" t="s">
        <v>1243</v>
      </c>
      <c r="W176" t="s">
        <v>1237</v>
      </c>
      <c r="X176" t="s">
        <v>1184</v>
      </c>
      <c r="Y176" t="s">
        <v>1180</v>
      </c>
      <c r="Z176">
        <v>106.4</v>
      </c>
      <c r="AA176">
        <v>159.52000000000001</v>
      </c>
      <c r="AB176">
        <v>0</v>
      </c>
      <c r="AC176">
        <v>159.52000000000001</v>
      </c>
      <c r="AD176">
        <v>106.4</v>
      </c>
      <c r="AE176">
        <v>53.120000000000005</v>
      </c>
      <c r="AF176">
        <v>0.33299899699097291</v>
      </c>
      <c r="AG176">
        <v>2025</v>
      </c>
      <c r="AH176">
        <v>3</v>
      </c>
      <c r="AI176" t="s">
        <v>1423</v>
      </c>
      <c r="AJ176" t="s">
        <v>1424</v>
      </c>
      <c r="AK176" t="s">
        <v>1244</v>
      </c>
      <c r="AL176">
        <v>0</v>
      </c>
    </row>
    <row r="177" spans="1:38">
      <c r="A177" t="s">
        <v>434</v>
      </c>
      <c r="B177" s="13">
        <v>45661</v>
      </c>
      <c r="C177" t="s">
        <v>169</v>
      </c>
      <c r="D177" t="s">
        <v>174</v>
      </c>
      <c r="E177" t="s">
        <v>435</v>
      </c>
      <c r="F177" t="s">
        <v>103</v>
      </c>
      <c r="G177" t="s">
        <v>130</v>
      </c>
      <c r="H177" t="s">
        <v>97</v>
      </c>
      <c r="I177">
        <v>1</v>
      </c>
      <c r="J177">
        <v>38.4</v>
      </c>
      <c r="K177">
        <v>0.15</v>
      </c>
      <c r="L177" t="s">
        <v>106</v>
      </c>
      <c r="M177">
        <v>4</v>
      </c>
      <c r="N177" t="s">
        <v>91</v>
      </c>
      <c r="O177" t="s">
        <v>97</v>
      </c>
      <c r="P177" t="s">
        <v>174</v>
      </c>
      <c r="Q177" t="s">
        <v>169</v>
      </c>
      <c r="R177" t="s">
        <v>103</v>
      </c>
      <c r="S177" t="s">
        <v>106</v>
      </c>
      <c r="T177">
        <v>1</v>
      </c>
      <c r="U177" t="s">
        <v>1313</v>
      </c>
      <c r="V177" t="s">
        <v>1288</v>
      </c>
      <c r="W177" t="s">
        <v>1237</v>
      </c>
      <c r="X177" t="s">
        <v>1182</v>
      </c>
      <c r="Y177" t="s">
        <v>1180</v>
      </c>
      <c r="Z177">
        <v>23.5</v>
      </c>
      <c r="AA177">
        <v>38.4</v>
      </c>
      <c r="AB177">
        <v>5.76</v>
      </c>
      <c r="AC177">
        <v>32.64</v>
      </c>
      <c r="AD177">
        <v>23.5</v>
      </c>
      <c r="AE177">
        <v>9.14</v>
      </c>
      <c r="AF177">
        <v>0.28002450980392157</v>
      </c>
      <c r="AG177">
        <v>2025</v>
      </c>
      <c r="AH177">
        <v>1</v>
      </c>
      <c r="AI177" t="s">
        <v>1425</v>
      </c>
      <c r="AJ177" t="s">
        <v>1424</v>
      </c>
      <c r="AK177" t="s">
        <v>1250</v>
      </c>
      <c r="AL177">
        <v>0</v>
      </c>
    </row>
    <row r="178" spans="1:38">
      <c r="A178" t="s">
        <v>436</v>
      </c>
      <c r="B178" s="13">
        <v>45703</v>
      </c>
      <c r="C178" t="s">
        <v>283</v>
      </c>
      <c r="D178" t="s">
        <v>181</v>
      </c>
      <c r="E178" t="s">
        <v>284</v>
      </c>
      <c r="F178" t="s">
        <v>145</v>
      </c>
      <c r="G178" t="s">
        <v>104</v>
      </c>
      <c r="H178" t="s">
        <v>89</v>
      </c>
      <c r="I178">
        <v>2</v>
      </c>
      <c r="J178">
        <v>351.81</v>
      </c>
      <c r="K178">
        <v>0</v>
      </c>
      <c r="L178" t="s">
        <v>154</v>
      </c>
      <c r="M178">
        <v>2</v>
      </c>
      <c r="N178" t="s">
        <v>91</v>
      </c>
      <c r="O178" t="s">
        <v>89</v>
      </c>
      <c r="P178" t="s">
        <v>181</v>
      </c>
      <c r="Q178" t="s">
        <v>283</v>
      </c>
      <c r="R178" t="s">
        <v>145</v>
      </c>
      <c r="S178" t="s">
        <v>154</v>
      </c>
      <c r="T178">
        <v>1</v>
      </c>
      <c r="U178" t="s">
        <v>1283</v>
      </c>
      <c r="V178" t="s">
        <v>1284</v>
      </c>
      <c r="W178" t="s">
        <v>1237</v>
      </c>
      <c r="X178" t="s">
        <v>1190</v>
      </c>
      <c r="Y178" t="s">
        <v>1180</v>
      </c>
      <c r="Z178">
        <v>224.47</v>
      </c>
      <c r="AA178">
        <v>703.62</v>
      </c>
      <c r="AB178">
        <v>0</v>
      </c>
      <c r="AC178">
        <v>703.62</v>
      </c>
      <c r="AD178">
        <v>448.94</v>
      </c>
      <c r="AE178">
        <v>254.68</v>
      </c>
      <c r="AF178">
        <v>0.36195673801199513</v>
      </c>
      <c r="AG178">
        <v>2025</v>
      </c>
      <c r="AH178">
        <v>2</v>
      </c>
      <c r="AI178" t="s">
        <v>1430</v>
      </c>
      <c r="AJ178" t="s">
        <v>1424</v>
      </c>
      <c r="AK178" t="s">
        <v>1285</v>
      </c>
      <c r="AL178">
        <v>0</v>
      </c>
    </row>
    <row r="179" spans="1:38">
      <c r="A179" t="s">
        <v>442</v>
      </c>
      <c r="B179" s="13">
        <v>45697</v>
      </c>
      <c r="C179" t="s">
        <v>160</v>
      </c>
      <c r="D179" t="s">
        <v>181</v>
      </c>
      <c r="E179" t="s">
        <v>161</v>
      </c>
      <c r="F179" t="s">
        <v>111</v>
      </c>
      <c r="G179" t="s">
        <v>171</v>
      </c>
      <c r="H179" t="s">
        <v>97</v>
      </c>
      <c r="I179">
        <v>1</v>
      </c>
      <c r="J179">
        <v>362.88</v>
      </c>
      <c r="K179">
        <v>0.15</v>
      </c>
      <c r="L179" t="s">
        <v>106</v>
      </c>
      <c r="M179">
        <v>2</v>
      </c>
      <c r="N179" t="s">
        <v>91</v>
      </c>
      <c r="O179" t="s">
        <v>97</v>
      </c>
      <c r="P179" t="s">
        <v>181</v>
      </c>
      <c r="Q179" t="s">
        <v>160</v>
      </c>
      <c r="R179" t="s">
        <v>111</v>
      </c>
      <c r="S179" t="s">
        <v>106</v>
      </c>
      <c r="T179">
        <v>1</v>
      </c>
      <c r="U179" t="s">
        <v>1321</v>
      </c>
      <c r="V179" t="s">
        <v>1255</v>
      </c>
      <c r="W179" t="s">
        <v>1237</v>
      </c>
      <c r="X179" t="s">
        <v>1190</v>
      </c>
      <c r="Y179" t="s">
        <v>1180</v>
      </c>
      <c r="Z179">
        <v>224.47</v>
      </c>
      <c r="AA179">
        <v>362.88</v>
      </c>
      <c r="AB179">
        <v>54.431999999999995</v>
      </c>
      <c r="AC179">
        <v>308.44799999999998</v>
      </c>
      <c r="AD179">
        <v>224.47</v>
      </c>
      <c r="AE179">
        <v>83.97799999999998</v>
      </c>
      <c r="AF179">
        <v>0.27225982985786901</v>
      </c>
      <c r="AG179">
        <v>2025</v>
      </c>
      <c r="AH179">
        <v>2</v>
      </c>
      <c r="AI179" t="s">
        <v>1430</v>
      </c>
      <c r="AJ179" t="s">
        <v>1424</v>
      </c>
      <c r="AK179" t="s">
        <v>1244</v>
      </c>
      <c r="AL179">
        <v>0</v>
      </c>
    </row>
    <row r="180" spans="1:38">
      <c r="A180" t="s">
        <v>443</v>
      </c>
      <c r="B180" s="13">
        <v>45975</v>
      </c>
      <c r="C180" t="s">
        <v>138</v>
      </c>
      <c r="D180" t="s">
        <v>136</v>
      </c>
      <c r="E180" t="s">
        <v>140</v>
      </c>
      <c r="F180" t="s">
        <v>103</v>
      </c>
      <c r="G180" t="s">
        <v>104</v>
      </c>
      <c r="H180" t="s">
        <v>97</v>
      </c>
      <c r="I180">
        <v>1</v>
      </c>
      <c r="J180">
        <v>154.51</v>
      </c>
      <c r="K180">
        <v>0.1</v>
      </c>
      <c r="L180" t="s">
        <v>106</v>
      </c>
      <c r="M180">
        <v>4</v>
      </c>
      <c r="N180" t="s">
        <v>91</v>
      </c>
      <c r="O180" t="s">
        <v>97</v>
      </c>
      <c r="P180" t="s">
        <v>136</v>
      </c>
      <c r="Q180" t="s">
        <v>138</v>
      </c>
      <c r="R180" t="s">
        <v>103</v>
      </c>
      <c r="S180" t="s">
        <v>106</v>
      </c>
      <c r="T180">
        <v>1</v>
      </c>
      <c r="U180" t="s">
        <v>1348</v>
      </c>
      <c r="V180" t="s">
        <v>1243</v>
      </c>
      <c r="W180" t="s">
        <v>1241</v>
      </c>
      <c r="X180" t="s">
        <v>1184</v>
      </c>
      <c r="Y180" t="s">
        <v>1180</v>
      </c>
      <c r="Z180">
        <v>106.4</v>
      </c>
      <c r="AA180">
        <v>154.51</v>
      </c>
      <c r="AB180">
        <v>15.451000000000001</v>
      </c>
      <c r="AC180">
        <v>139.059</v>
      </c>
      <c r="AD180">
        <v>106.4</v>
      </c>
      <c r="AE180">
        <v>32.658999999999992</v>
      </c>
      <c r="AF180">
        <v>0.23485714696639551</v>
      </c>
      <c r="AG180">
        <v>2025</v>
      </c>
      <c r="AH180">
        <v>11</v>
      </c>
      <c r="AI180" t="s">
        <v>1426</v>
      </c>
      <c r="AJ180" t="s">
        <v>1427</v>
      </c>
      <c r="AK180" t="s">
        <v>1244</v>
      </c>
      <c r="AL180">
        <v>0</v>
      </c>
    </row>
    <row r="181" spans="1:38">
      <c r="A181" t="s">
        <v>444</v>
      </c>
      <c r="B181" s="13">
        <v>45889</v>
      </c>
      <c r="C181" t="s">
        <v>319</v>
      </c>
      <c r="D181" t="s">
        <v>181</v>
      </c>
      <c r="E181" t="s">
        <v>320</v>
      </c>
      <c r="F181" t="s">
        <v>103</v>
      </c>
      <c r="G181" t="s">
        <v>117</v>
      </c>
      <c r="H181" t="s">
        <v>105</v>
      </c>
      <c r="I181">
        <v>1</v>
      </c>
      <c r="J181">
        <v>339.47</v>
      </c>
      <c r="K181">
        <v>0</v>
      </c>
      <c r="L181" t="s">
        <v>106</v>
      </c>
      <c r="M181">
        <v>7</v>
      </c>
      <c r="N181" t="s">
        <v>91</v>
      </c>
      <c r="O181" t="s">
        <v>105</v>
      </c>
      <c r="P181" t="s">
        <v>181</v>
      </c>
      <c r="Q181" t="s">
        <v>319</v>
      </c>
      <c r="R181" t="s">
        <v>103</v>
      </c>
      <c r="S181" t="s">
        <v>106</v>
      </c>
      <c r="T181">
        <v>1</v>
      </c>
      <c r="U181" t="s">
        <v>1262</v>
      </c>
      <c r="V181" t="s">
        <v>1260</v>
      </c>
      <c r="W181" t="s">
        <v>1241</v>
      </c>
      <c r="X181" t="s">
        <v>1190</v>
      </c>
      <c r="Y181" t="s">
        <v>1180</v>
      </c>
      <c r="Z181">
        <v>224.47</v>
      </c>
      <c r="AA181">
        <v>339.47</v>
      </c>
      <c r="AB181">
        <v>0</v>
      </c>
      <c r="AC181">
        <v>339.47</v>
      </c>
      <c r="AD181">
        <v>224.47</v>
      </c>
      <c r="AE181">
        <v>115.00000000000003</v>
      </c>
      <c r="AF181">
        <v>0.3387633664241318</v>
      </c>
      <c r="AG181">
        <v>2025</v>
      </c>
      <c r="AH181">
        <v>8</v>
      </c>
      <c r="AI181" t="s">
        <v>1417</v>
      </c>
      <c r="AJ181" t="s">
        <v>1418</v>
      </c>
      <c r="AK181" t="s">
        <v>1240</v>
      </c>
      <c r="AL181">
        <v>0</v>
      </c>
    </row>
    <row r="182" spans="1:38">
      <c r="A182" t="s">
        <v>456</v>
      </c>
      <c r="B182" s="13">
        <v>45743</v>
      </c>
      <c r="C182" t="s">
        <v>189</v>
      </c>
      <c r="D182" t="s">
        <v>136</v>
      </c>
      <c r="E182" t="s">
        <v>457</v>
      </c>
      <c r="F182" t="s">
        <v>145</v>
      </c>
      <c r="G182" t="s">
        <v>183</v>
      </c>
      <c r="H182" t="s">
        <v>89</v>
      </c>
      <c r="I182">
        <v>4</v>
      </c>
      <c r="J182">
        <v>156.56</v>
      </c>
      <c r="K182">
        <v>0.2</v>
      </c>
      <c r="L182" t="s">
        <v>106</v>
      </c>
      <c r="M182">
        <v>9</v>
      </c>
      <c r="N182" t="s">
        <v>91</v>
      </c>
      <c r="O182" t="s">
        <v>89</v>
      </c>
      <c r="P182" t="s">
        <v>136</v>
      </c>
      <c r="Q182" t="s">
        <v>189</v>
      </c>
      <c r="R182" t="s">
        <v>145</v>
      </c>
      <c r="S182" t="s">
        <v>106</v>
      </c>
      <c r="T182">
        <v>1</v>
      </c>
      <c r="U182" t="s">
        <v>1283</v>
      </c>
      <c r="V182" t="s">
        <v>1275</v>
      </c>
      <c r="W182" t="s">
        <v>1241</v>
      </c>
      <c r="X182" t="s">
        <v>1184</v>
      </c>
      <c r="Y182" t="s">
        <v>1180</v>
      </c>
      <c r="Z182">
        <v>106.4</v>
      </c>
      <c r="AA182">
        <v>626.24</v>
      </c>
      <c r="AB182">
        <v>125.248</v>
      </c>
      <c r="AC182">
        <v>500.99200000000002</v>
      </c>
      <c r="AD182">
        <v>425.6</v>
      </c>
      <c r="AE182">
        <v>75.391999999999996</v>
      </c>
      <c r="AF182">
        <v>0.15048543689320387</v>
      </c>
      <c r="AG182">
        <v>2025</v>
      </c>
      <c r="AH182">
        <v>3</v>
      </c>
      <c r="AI182" t="s">
        <v>1423</v>
      </c>
      <c r="AJ182" t="s">
        <v>1424</v>
      </c>
      <c r="AK182" t="s">
        <v>1258</v>
      </c>
      <c r="AL182">
        <v>0</v>
      </c>
    </row>
    <row r="183" spans="1:38">
      <c r="A183" t="s">
        <v>458</v>
      </c>
      <c r="B183" s="13">
        <v>45783</v>
      </c>
      <c r="C183" t="s">
        <v>216</v>
      </c>
      <c r="D183" t="s">
        <v>190</v>
      </c>
      <c r="E183" t="s">
        <v>218</v>
      </c>
      <c r="F183" t="s">
        <v>111</v>
      </c>
      <c r="G183" t="s">
        <v>104</v>
      </c>
      <c r="H183" t="s">
        <v>105</v>
      </c>
      <c r="I183">
        <v>3</v>
      </c>
      <c r="J183">
        <v>287.23</v>
      </c>
      <c r="K183">
        <v>0.05</v>
      </c>
      <c r="L183" t="s">
        <v>90</v>
      </c>
      <c r="M183">
        <v>8</v>
      </c>
      <c r="N183" t="s">
        <v>91</v>
      </c>
      <c r="O183" t="s">
        <v>105</v>
      </c>
      <c r="P183" t="s">
        <v>190</v>
      </c>
      <c r="Q183" t="s">
        <v>216</v>
      </c>
      <c r="R183" t="s">
        <v>111</v>
      </c>
      <c r="S183" t="s">
        <v>369</v>
      </c>
      <c r="T183">
        <v>1</v>
      </c>
      <c r="U183" t="s">
        <v>1253</v>
      </c>
      <c r="V183" t="s">
        <v>1260</v>
      </c>
      <c r="W183" t="s">
        <v>1237</v>
      </c>
      <c r="X183" t="s">
        <v>1186</v>
      </c>
      <c r="Y183" t="s">
        <v>1180</v>
      </c>
      <c r="Z183">
        <v>154.72999999999999</v>
      </c>
      <c r="AA183">
        <v>861.69</v>
      </c>
      <c r="AB183">
        <v>43.084500000000006</v>
      </c>
      <c r="AC183">
        <v>818.60550000000001</v>
      </c>
      <c r="AD183">
        <v>464.18999999999994</v>
      </c>
      <c r="AE183">
        <v>354.41550000000007</v>
      </c>
      <c r="AF183">
        <v>0.43295030390096334</v>
      </c>
      <c r="AG183">
        <v>2025</v>
      </c>
      <c r="AH183">
        <v>5</v>
      </c>
      <c r="AI183" t="s">
        <v>1419</v>
      </c>
      <c r="AJ183" t="s">
        <v>1420</v>
      </c>
      <c r="AK183" t="s">
        <v>1240</v>
      </c>
      <c r="AL183">
        <v>0</v>
      </c>
    </row>
    <row r="184" spans="1:38">
      <c r="A184" t="s">
        <v>462</v>
      </c>
      <c r="B184" s="13">
        <v>45852</v>
      </c>
      <c r="C184" t="s">
        <v>463</v>
      </c>
      <c r="D184" t="s">
        <v>181</v>
      </c>
      <c r="E184" t="s">
        <v>464</v>
      </c>
      <c r="F184" t="s">
        <v>87</v>
      </c>
      <c r="G184" t="s">
        <v>96</v>
      </c>
      <c r="H184" t="s">
        <v>89</v>
      </c>
      <c r="I184">
        <v>2</v>
      </c>
      <c r="J184">
        <v>335.37</v>
      </c>
      <c r="K184">
        <v>0</v>
      </c>
      <c r="L184" t="s">
        <v>90</v>
      </c>
      <c r="M184">
        <v>2</v>
      </c>
      <c r="N184" t="s">
        <v>91</v>
      </c>
      <c r="O184" t="s">
        <v>89</v>
      </c>
      <c r="P184" t="s">
        <v>181</v>
      </c>
      <c r="Q184" t="s">
        <v>463</v>
      </c>
      <c r="R184" t="s">
        <v>87</v>
      </c>
      <c r="S184" t="s">
        <v>369</v>
      </c>
      <c r="T184">
        <v>1</v>
      </c>
      <c r="U184" t="s">
        <v>1280</v>
      </c>
      <c r="V184" t="s">
        <v>1249</v>
      </c>
      <c r="W184" t="s">
        <v>1245</v>
      </c>
      <c r="X184" t="s">
        <v>1190</v>
      </c>
      <c r="Y184" t="s">
        <v>1180</v>
      </c>
      <c r="Z184">
        <v>224.47</v>
      </c>
      <c r="AA184">
        <v>670.74</v>
      </c>
      <c r="AB184">
        <v>0</v>
      </c>
      <c r="AC184">
        <v>670.74</v>
      </c>
      <c r="AD184">
        <v>448.94</v>
      </c>
      <c r="AE184">
        <v>221.8</v>
      </c>
      <c r="AF184">
        <v>0.33067954796195248</v>
      </c>
      <c r="AG184">
        <v>2025</v>
      </c>
      <c r="AH184">
        <v>7</v>
      </c>
      <c r="AI184" t="s">
        <v>1422</v>
      </c>
      <c r="AJ184" t="s">
        <v>1418</v>
      </c>
      <c r="AK184" t="s">
        <v>1250</v>
      </c>
      <c r="AL184">
        <v>0</v>
      </c>
    </row>
    <row r="185" spans="1:38">
      <c r="A185" t="s">
        <v>475</v>
      </c>
      <c r="B185" s="13">
        <v>45935</v>
      </c>
      <c r="C185" t="s">
        <v>410</v>
      </c>
      <c r="D185" t="s">
        <v>244</v>
      </c>
      <c r="E185" t="s">
        <v>411</v>
      </c>
      <c r="F185" t="s">
        <v>116</v>
      </c>
      <c r="G185" t="s">
        <v>122</v>
      </c>
      <c r="H185" t="s">
        <v>97</v>
      </c>
      <c r="I185">
        <v>1</v>
      </c>
      <c r="J185">
        <v>226.32</v>
      </c>
      <c r="K185">
        <v>0.05</v>
      </c>
      <c r="L185" t="s">
        <v>106</v>
      </c>
      <c r="M185">
        <v>4</v>
      </c>
      <c r="N185" t="s">
        <v>91</v>
      </c>
      <c r="O185" t="s">
        <v>97</v>
      </c>
      <c r="P185" t="s">
        <v>244</v>
      </c>
      <c r="Q185" t="s">
        <v>410</v>
      </c>
      <c r="R185" t="s">
        <v>116</v>
      </c>
      <c r="S185" t="s">
        <v>106</v>
      </c>
      <c r="T185">
        <v>1</v>
      </c>
      <c r="U185" t="s">
        <v>1234</v>
      </c>
      <c r="V185" t="s">
        <v>1284</v>
      </c>
      <c r="W185" t="s">
        <v>1237</v>
      </c>
      <c r="X185" t="s">
        <v>1188</v>
      </c>
      <c r="Y185" t="s">
        <v>1180</v>
      </c>
      <c r="Z185">
        <v>131.19</v>
      </c>
      <c r="AA185">
        <v>226.32</v>
      </c>
      <c r="AB185">
        <v>11.316000000000001</v>
      </c>
      <c r="AC185">
        <v>215.00399999999999</v>
      </c>
      <c r="AD185">
        <v>131.19</v>
      </c>
      <c r="AE185">
        <v>83.813999999999993</v>
      </c>
      <c r="AF185">
        <v>0.38982530557571021</v>
      </c>
      <c r="AG185">
        <v>2025</v>
      </c>
      <c r="AH185">
        <v>10</v>
      </c>
      <c r="AI185" t="s">
        <v>1431</v>
      </c>
      <c r="AJ185" t="s">
        <v>1427</v>
      </c>
      <c r="AK185" t="s">
        <v>1285</v>
      </c>
      <c r="AL185">
        <v>0</v>
      </c>
    </row>
    <row r="186" spans="1:38">
      <c r="A186" t="s">
        <v>476</v>
      </c>
      <c r="B186" s="13">
        <v>45883</v>
      </c>
      <c r="C186" t="s">
        <v>305</v>
      </c>
      <c r="D186" t="s">
        <v>136</v>
      </c>
      <c r="E186" t="s">
        <v>306</v>
      </c>
      <c r="F186" t="s">
        <v>111</v>
      </c>
      <c r="G186" t="s">
        <v>130</v>
      </c>
      <c r="H186" t="s">
        <v>89</v>
      </c>
      <c r="I186">
        <v>1</v>
      </c>
      <c r="J186">
        <v>157.91999999999999</v>
      </c>
      <c r="K186">
        <v>0</v>
      </c>
      <c r="L186" t="s">
        <v>98</v>
      </c>
      <c r="M186">
        <v>1</v>
      </c>
      <c r="N186" t="s">
        <v>91</v>
      </c>
      <c r="O186" t="s">
        <v>89</v>
      </c>
      <c r="P186" t="s">
        <v>136</v>
      </c>
      <c r="Q186" t="s">
        <v>305</v>
      </c>
      <c r="R186" t="s">
        <v>111</v>
      </c>
      <c r="S186" t="s">
        <v>98</v>
      </c>
      <c r="T186">
        <v>1</v>
      </c>
      <c r="U186" t="s">
        <v>1307</v>
      </c>
      <c r="V186" t="s">
        <v>1275</v>
      </c>
      <c r="W186" t="s">
        <v>1237</v>
      </c>
      <c r="X186" t="s">
        <v>1184</v>
      </c>
      <c r="Y186" t="s">
        <v>1180</v>
      </c>
      <c r="Z186">
        <v>106.4</v>
      </c>
      <c r="AA186">
        <v>157.91999999999999</v>
      </c>
      <c r="AB186">
        <v>0</v>
      </c>
      <c r="AC186">
        <v>157.91999999999999</v>
      </c>
      <c r="AD186">
        <v>106.4</v>
      </c>
      <c r="AE186">
        <v>51.519999999999982</v>
      </c>
      <c r="AF186">
        <v>0.32624113475177297</v>
      </c>
      <c r="AG186">
        <v>2025</v>
      </c>
      <c r="AH186">
        <v>8</v>
      </c>
      <c r="AI186" t="s">
        <v>1417</v>
      </c>
      <c r="AJ186" t="s">
        <v>1418</v>
      </c>
      <c r="AK186" t="s">
        <v>1258</v>
      </c>
      <c r="AL186">
        <v>0</v>
      </c>
    </row>
    <row r="187" spans="1:38">
      <c r="A187" t="s">
        <v>493</v>
      </c>
      <c r="B187" s="13">
        <v>45693</v>
      </c>
      <c r="C187" t="s">
        <v>494</v>
      </c>
      <c r="D187" t="s">
        <v>181</v>
      </c>
      <c r="E187" t="s">
        <v>495</v>
      </c>
      <c r="F187" t="s">
        <v>103</v>
      </c>
      <c r="G187" t="s">
        <v>96</v>
      </c>
      <c r="H187" t="s">
        <v>105</v>
      </c>
      <c r="I187">
        <v>1</v>
      </c>
      <c r="J187">
        <v>357.14</v>
      </c>
      <c r="K187">
        <v>0</v>
      </c>
      <c r="L187" t="s">
        <v>90</v>
      </c>
      <c r="M187">
        <v>2</v>
      </c>
      <c r="N187" t="s">
        <v>91</v>
      </c>
      <c r="O187" t="s">
        <v>105</v>
      </c>
      <c r="P187" t="s">
        <v>181</v>
      </c>
      <c r="Q187" t="s">
        <v>494</v>
      </c>
      <c r="R187" t="s">
        <v>103</v>
      </c>
      <c r="S187" t="s">
        <v>369</v>
      </c>
      <c r="T187">
        <v>1</v>
      </c>
      <c r="U187" t="s">
        <v>1266</v>
      </c>
      <c r="V187" t="s">
        <v>1255</v>
      </c>
      <c r="W187" t="s">
        <v>1245</v>
      </c>
      <c r="X187" t="s">
        <v>1190</v>
      </c>
      <c r="Y187" t="s">
        <v>1180</v>
      </c>
      <c r="Z187">
        <v>224.47</v>
      </c>
      <c r="AA187">
        <v>357.14</v>
      </c>
      <c r="AB187">
        <v>0</v>
      </c>
      <c r="AC187">
        <v>357.14</v>
      </c>
      <c r="AD187">
        <v>224.47</v>
      </c>
      <c r="AE187">
        <v>132.66999999999999</v>
      </c>
      <c r="AF187">
        <v>0.37147897183177464</v>
      </c>
      <c r="AG187">
        <v>2025</v>
      </c>
      <c r="AH187">
        <v>2</v>
      </c>
      <c r="AI187" t="s">
        <v>1430</v>
      </c>
      <c r="AJ187" t="s">
        <v>1424</v>
      </c>
      <c r="AK187" t="s">
        <v>1244</v>
      </c>
      <c r="AL187">
        <v>0</v>
      </c>
    </row>
    <row r="188" spans="1:38">
      <c r="A188" t="s">
        <v>510</v>
      </c>
      <c r="B188" s="13">
        <v>45996</v>
      </c>
      <c r="C188" t="s">
        <v>371</v>
      </c>
      <c r="D188" t="s">
        <v>277</v>
      </c>
      <c r="E188" t="s">
        <v>372</v>
      </c>
      <c r="F188" t="s">
        <v>87</v>
      </c>
      <c r="G188" t="s">
        <v>88</v>
      </c>
      <c r="H188" t="s">
        <v>89</v>
      </c>
      <c r="I188">
        <v>1</v>
      </c>
      <c r="J188">
        <v>393.54</v>
      </c>
      <c r="K188">
        <v>0.15</v>
      </c>
      <c r="L188" t="s">
        <v>90</v>
      </c>
      <c r="M188">
        <v>9</v>
      </c>
      <c r="N188" t="s">
        <v>91</v>
      </c>
      <c r="O188" t="s">
        <v>89</v>
      </c>
      <c r="P188" t="s">
        <v>277</v>
      </c>
      <c r="Q188" t="s">
        <v>371</v>
      </c>
      <c r="R188" t="s">
        <v>87</v>
      </c>
      <c r="S188" t="s">
        <v>369</v>
      </c>
      <c r="T188">
        <v>1</v>
      </c>
      <c r="U188" t="s">
        <v>1302</v>
      </c>
      <c r="V188" t="s">
        <v>1260</v>
      </c>
      <c r="W188" t="s">
        <v>1237</v>
      </c>
      <c r="X188" t="s">
        <v>1179</v>
      </c>
      <c r="Y188" t="s">
        <v>1180</v>
      </c>
      <c r="Z188">
        <v>254.6</v>
      </c>
      <c r="AA188">
        <v>393.54</v>
      </c>
      <c r="AB188">
        <v>59.030999999999999</v>
      </c>
      <c r="AC188">
        <v>334.50900000000001</v>
      </c>
      <c r="AD188">
        <v>254.6</v>
      </c>
      <c r="AE188">
        <v>79.90900000000002</v>
      </c>
      <c r="AF188">
        <v>0.23888445452887669</v>
      </c>
      <c r="AG188">
        <v>2025</v>
      </c>
      <c r="AH188">
        <v>12</v>
      </c>
      <c r="AI188" t="s">
        <v>1428</v>
      </c>
      <c r="AJ188" t="s">
        <v>1427</v>
      </c>
      <c r="AK188" t="s">
        <v>1240</v>
      </c>
      <c r="AL188">
        <v>0</v>
      </c>
    </row>
    <row r="189" spans="1:38">
      <c r="A189" t="s">
        <v>511</v>
      </c>
      <c r="B189" s="13">
        <v>45933</v>
      </c>
      <c r="C189" t="s">
        <v>512</v>
      </c>
      <c r="D189" t="s">
        <v>152</v>
      </c>
      <c r="E189" t="s">
        <v>513</v>
      </c>
      <c r="F189" t="s">
        <v>111</v>
      </c>
      <c r="G189" t="s">
        <v>117</v>
      </c>
      <c r="H189" t="s">
        <v>89</v>
      </c>
      <c r="I189">
        <v>5</v>
      </c>
      <c r="J189">
        <v>136.16999999999999</v>
      </c>
      <c r="K189">
        <v>0.15</v>
      </c>
      <c r="L189" t="s">
        <v>106</v>
      </c>
      <c r="M189">
        <v>8</v>
      </c>
      <c r="N189" t="s">
        <v>147</v>
      </c>
      <c r="O189" t="s">
        <v>89</v>
      </c>
      <c r="P189" t="s">
        <v>152</v>
      </c>
      <c r="Q189" t="s">
        <v>512</v>
      </c>
      <c r="R189" t="s">
        <v>111</v>
      </c>
      <c r="S189" t="s">
        <v>106</v>
      </c>
      <c r="T189">
        <v>1</v>
      </c>
      <c r="U189" t="s">
        <v>1273</v>
      </c>
      <c r="V189" t="s">
        <v>1284</v>
      </c>
      <c r="W189" t="s">
        <v>1241</v>
      </c>
      <c r="X189" t="s">
        <v>1191</v>
      </c>
      <c r="Y189" t="s">
        <v>1180</v>
      </c>
      <c r="Z189">
        <v>69</v>
      </c>
      <c r="AA189">
        <v>680.84999999999991</v>
      </c>
      <c r="AB189">
        <v>102.12749999999998</v>
      </c>
      <c r="AC189">
        <v>578.72249999999997</v>
      </c>
      <c r="AD189">
        <v>345</v>
      </c>
      <c r="AE189">
        <v>233.72249999999997</v>
      </c>
      <c r="AF189">
        <v>0.40385936264790118</v>
      </c>
      <c r="AG189">
        <v>2025</v>
      </c>
      <c r="AH189">
        <v>10</v>
      </c>
      <c r="AI189" t="s">
        <v>1431</v>
      </c>
      <c r="AJ189" t="s">
        <v>1427</v>
      </c>
      <c r="AK189" t="s">
        <v>1285</v>
      </c>
      <c r="AL189">
        <v>1</v>
      </c>
    </row>
    <row r="190" spans="1:38">
      <c r="A190" t="s">
        <v>541</v>
      </c>
      <c r="B190" s="13">
        <v>45948</v>
      </c>
      <c r="C190" t="s">
        <v>160</v>
      </c>
      <c r="D190" t="s">
        <v>244</v>
      </c>
      <c r="E190" t="s">
        <v>161</v>
      </c>
      <c r="F190" t="s">
        <v>87</v>
      </c>
      <c r="G190" t="s">
        <v>171</v>
      </c>
      <c r="H190" t="s">
        <v>97</v>
      </c>
      <c r="I190">
        <v>1</v>
      </c>
      <c r="J190">
        <v>252.34</v>
      </c>
      <c r="K190">
        <v>0.2</v>
      </c>
      <c r="L190" t="s">
        <v>90</v>
      </c>
      <c r="M190">
        <v>4</v>
      </c>
      <c r="N190" t="s">
        <v>147</v>
      </c>
      <c r="O190" t="s">
        <v>97</v>
      </c>
      <c r="P190" t="s">
        <v>244</v>
      </c>
      <c r="Q190" t="s">
        <v>160</v>
      </c>
      <c r="R190" t="s">
        <v>87</v>
      </c>
      <c r="S190" t="s">
        <v>369</v>
      </c>
      <c r="T190">
        <v>1</v>
      </c>
      <c r="U190" t="s">
        <v>1321</v>
      </c>
      <c r="V190" t="s">
        <v>1255</v>
      </c>
      <c r="W190" t="s">
        <v>1237</v>
      </c>
      <c r="X190" t="s">
        <v>1188</v>
      </c>
      <c r="Y190" t="s">
        <v>1180</v>
      </c>
      <c r="Z190">
        <v>131.19</v>
      </c>
      <c r="AA190">
        <v>252.34</v>
      </c>
      <c r="AB190">
        <v>50.468000000000004</v>
      </c>
      <c r="AC190">
        <v>201.87200000000001</v>
      </c>
      <c r="AD190">
        <v>131.19</v>
      </c>
      <c r="AE190">
        <v>70.682000000000016</v>
      </c>
      <c r="AF190">
        <v>0.35013275739082195</v>
      </c>
      <c r="AG190">
        <v>2025</v>
      </c>
      <c r="AH190">
        <v>10</v>
      </c>
      <c r="AI190" t="s">
        <v>1431</v>
      </c>
      <c r="AJ190" t="s">
        <v>1427</v>
      </c>
      <c r="AK190" t="s">
        <v>1244</v>
      </c>
      <c r="AL190">
        <v>1</v>
      </c>
    </row>
    <row r="191" spans="1:38">
      <c r="A191" t="s">
        <v>557</v>
      </c>
      <c r="B191" s="13">
        <v>45966</v>
      </c>
      <c r="C191" t="s">
        <v>305</v>
      </c>
      <c r="D191" t="s">
        <v>136</v>
      </c>
      <c r="E191" t="s">
        <v>306</v>
      </c>
      <c r="F191" t="s">
        <v>103</v>
      </c>
      <c r="G191" t="s">
        <v>104</v>
      </c>
      <c r="H191" t="s">
        <v>97</v>
      </c>
      <c r="I191">
        <v>3</v>
      </c>
      <c r="J191">
        <v>163.24</v>
      </c>
      <c r="K191">
        <v>0.2</v>
      </c>
      <c r="L191" t="s">
        <v>106</v>
      </c>
      <c r="M191">
        <v>1</v>
      </c>
      <c r="N191" t="s">
        <v>91</v>
      </c>
      <c r="O191" t="s">
        <v>97</v>
      </c>
      <c r="P191" t="s">
        <v>136</v>
      </c>
      <c r="Q191" t="s">
        <v>305</v>
      </c>
      <c r="R191" t="s">
        <v>103</v>
      </c>
      <c r="S191" t="s">
        <v>106</v>
      </c>
      <c r="T191">
        <v>1</v>
      </c>
      <c r="U191" t="s">
        <v>1307</v>
      </c>
      <c r="V191" t="s">
        <v>1275</v>
      </c>
      <c r="W191" t="s">
        <v>1237</v>
      </c>
      <c r="X191" t="s">
        <v>1184</v>
      </c>
      <c r="Y191" t="s">
        <v>1180</v>
      </c>
      <c r="Z191">
        <v>106.4</v>
      </c>
      <c r="AA191">
        <v>489.72</v>
      </c>
      <c r="AB191">
        <v>97.944000000000017</v>
      </c>
      <c r="AC191">
        <v>391.77600000000001</v>
      </c>
      <c r="AD191">
        <v>319.20000000000005</v>
      </c>
      <c r="AE191">
        <v>72.575999999999965</v>
      </c>
      <c r="AF191">
        <v>0.18524871355060024</v>
      </c>
      <c r="AG191">
        <v>2025</v>
      </c>
      <c r="AH191">
        <v>11</v>
      </c>
      <c r="AI191" t="s">
        <v>1426</v>
      </c>
      <c r="AJ191" t="s">
        <v>1427</v>
      </c>
      <c r="AK191" t="s">
        <v>1258</v>
      </c>
      <c r="AL191">
        <v>0</v>
      </c>
    </row>
    <row r="192" spans="1:38">
      <c r="A192" t="s">
        <v>558</v>
      </c>
      <c r="B192" s="13">
        <v>45962</v>
      </c>
      <c r="C192" t="s">
        <v>330</v>
      </c>
      <c r="D192" t="s">
        <v>190</v>
      </c>
      <c r="E192" t="s">
        <v>424</v>
      </c>
      <c r="F192" t="s">
        <v>87</v>
      </c>
      <c r="G192" t="s">
        <v>96</v>
      </c>
      <c r="H192" t="s">
        <v>89</v>
      </c>
      <c r="I192">
        <v>2</v>
      </c>
      <c r="J192">
        <v>286.33</v>
      </c>
      <c r="K192">
        <v>0</v>
      </c>
      <c r="L192" t="s">
        <v>106</v>
      </c>
      <c r="M192">
        <v>9</v>
      </c>
      <c r="N192" t="s">
        <v>91</v>
      </c>
      <c r="O192" t="s">
        <v>89</v>
      </c>
      <c r="P192" t="s">
        <v>190</v>
      </c>
      <c r="Q192" t="s">
        <v>330</v>
      </c>
      <c r="R192" t="s">
        <v>87</v>
      </c>
      <c r="S192" t="s">
        <v>106</v>
      </c>
      <c r="T192">
        <v>1</v>
      </c>
      <c r="U192" t="s">
        <v>1350</v>
      </c>
      <c r="V192" t="s">
        <v>1275</v>
      </c>
      <c r="W192" t="s">
        <v>1237</v>
      </c>
      <c r="X192" t="s">
        <v>1186</v>
      </c>
      <c r="Y192" t="s">
        <v>1180</v>
      </c>
      <c r="Z192">
        <v>154.72999999999999</v>
      </c>
      <c r="AA192">
        <v>572.66</v>
      </c>
      <c r="AB192">
        <v>0</v>
      </c>
      <c r="AC192">
        <v>572.66</v>
      </c>
      <c r="AD192">
        <v>309.45999999999998</v>
      </c>
      <c r="AE192">
        <v>263.2</v>
      </c>
      <c r="AF192">
        <v>0.45960954143820071</v>
      </c>
      <c r="AG192">
        <v>2025</v>
      </c>
      <c r="AH192">
        <v>11</v>
      </c>
      <c r="AI192" t="s">
        <v>1426</v>
      </c>
      <c r="AJ192" t="s">
        <v>1427</v>
      </c>
      <c r="AK192" t="s">
        <v>1258</v>
      </c>
      <c r="AL192">
        <v>0</v>
      </c>
    </row>
    <row r="193" spans="1:38">
      <c r="A193" t="s">
        <v>566</v>
      </c>
      <c r="B193" s="13">
        <v>45992</v>
      </c>
      <c r="C193" t="s">
        <v>551</v>
      </c>
      <c r="D193" t="s">
        <v>174</v>
      </c>
      <c r="E193" t="s">
        <v>552</v>
      </c>
      <c r="F193" t="s">
        <v>116</v>
      </c>
      <c r="G193" t="s">
        <v>122</v>
      </c>
      <c r="H193" t="s">
        <v>97</v>
      </c>
      <c r="I193">
        <v>2</v>
      </c>
      <c r="J193">
        <v>36.86</v>
      </c>
      <c r="K193">
        <v>0.05</v>
      </c>
      <c r="L193" t="s">
        <v>106</v>
      </c>
      <c r="M193">
        <v>4</v>
      </c>
      <c r="N193" t="s">
        <v>91</v>
      </c>
      <c r="O193" t="s">
        <v>97</v>
      </c>
      <c r="P193" t="s">
        <v>174</v>
      </c>
      <c r="Q193" t="s">
        <v>551</v>
      </c>
      <c r="R193" t="s">
        <v>116</v>
      </c>
      <c r="S193" t="s">
        <v>106</v>
      </c>
      <c r="T193">
        <v>1</v>
      </c>
      <c r="U193" t="s">
        <v>1309</v>
      </c>
      <c r="V193" t="s">
        <v>1260</v>
      </c>
      <c r="W193" t="s">
        <v>1237</v>
      </c>
      <c r="X193" t="s">
        <v>1182</v>
      </c>
      <c r="Y193" t="s">
        <v>1180</v>
      </c>
      <c r="Z193">
        <v>23.5</v>
      </c>
      <c r="AA193">
        <v>73.72</v>
      </c>
      <c r="AB193">
        <v>3.6859999999999999</v>
      </c>
      <c r="AC193">
        <v>70.033999999999992</v>
      </c>
      <c r="AD193">
        <v>47</v>
      </c>
      <c r="AE193">
        <v>23.033999999999992</v>
      </c>
      <c r="AF193">
        <v>0.32889739269497664</v>
      </c>
      <c r="AG193">
        <v>2025</v>
      </c>
      <c r="AH193">
        <v>12</v>
      </c>
      <c r="AI193" t="s">
        <v>1428</v>
      </c>
      <c r="AJ193" t="s">
        <v>1427</v>
      </c>
      <c r="AK193" t="s">
        <v>1240</v>
      </c>
      <c r="AL193">
        <v>0</v>
      </c>
    </row>
    <row r="194" spans="1:38">
      <c r="A194" t="s">
        <v>580</v>
      </c>
      <c r="B194" s="13">
        <v>45895</v>
      </c>
      <c r="C194" t="s">
        <v>374</v>
      </c>
      <c r="D194" t="s">
        <v>277</v>
      </c>
      <c r="E194" t="s">
        <v>375</v>
      </c>
      <c r="F194" t="s">
        <v>111</v>
      </c>
      <c r="G194" t="s">
        <v>96</v>
      </c>
      <c r="H194" t="s">
        <v>89</v>
      </c>
      <c r="I194">
        <v>1</v>
      </c>
      <c r="J194">
        <v>376.44</v>
      </c>
      <c r="K194">
        <v>0</v>
      </c>
      <c r="L194" t="s">
        <v>106</v>
      </c>
      <c r="M194">
        <v>1</v>
      </c>
      <c r="N194" t="s">
        <v>91</v>
      </c>
      <c r="O194" t="s">
        <v>89</v>
      </c>
      <c r="P194" t="s">
        <v>277</v>
      </c>
      <c r="Q194" t="s">
        <v>374</v>
      </c>
      <c r="R194" t="s">
        <v>111</v>
      </c>
      <c r="S194" t="s">
        <v>106</v>
      </c>
      <c r="T194">
        <v>1</v>
      </c>
      <c r="U194" t="s">
        <v>1287</v>
      </c>
      <c r="V194" t="s">
        <v>1288</v>
      </c>
      <c r="W194" t="s">
        <v>1241</v>
      </c>
      <c r="X194" t="s">
        <v>1179</v>
      </c>
      <c r="Y194" t="s">
        <v>1180</v>
      </c>
      <c r="Z194">
        <v>254.6</v>
      </c>
      <c r="AA194">
        <v>376.44</v>
      </c>
      <c r="AB194">
        <v>0</v>
      </c>
      <c r="AC194">
        <v>376.44</v>
      </c>
      <c r="AD194">
        <v>254.6</v>
      </c>
      <c r="AE194">
        <v>121.84</v>
      </c>
      <c r="AF194">
        <v>0.32366379768356179</v>
      </c>
      <c r="AG194">
        <v>2025</v>
      </c>
      <c r="AH194">
        <v>8</v>
      </c>
      <c r="AI194" t="s">
        <v>1417</v>
      </c>
      <c r="AJ194" t="s">
        <v>1418</v>
      </c>
      <c r="AK194" t="s">
        <v>1250</v>
      </c>
      <c r="AL194">
        <v>0</v>
      </c>
    </row>
    <row r="195" spans="1:38">
      <c r="A195" t="s">
        <v>586</v>
      </c>
      <c r="B195" s="13">
        <v>45898</v>
      </c>
      <c r="C195" t="s">
        <v>569</v>
      </c>
      <c r="D195" t="s">
        <v>174</v>
      </c>
      <c r="E195" t="s">
        <v>570</v>
      </c>
      <c r="F195" t="s">
        <v>116</v>
      </c>
      <c r="G195" t="s">
        <v>104</v>
      </c>
      <c r="H195" t="s">
        <v>89</v>
      </c>
      <c r="I195">
        <v>2</v>
      </c>
      <c r="J195">
        <v>37.97</v>
      </c>
      <c r="K195">
        <v>0.1</v>
      </c>
      <c r="L195" t="s">
        <v>90</v>
      </c>
      <c r="M195">
        <v>7</v>
      </c>
      <c r="N195" t="s">
        <v>91</v>
      </c>
      <c r="O195" t="s">
        <v>89</v>
      </c>
      <c r="P195" t="s">
        <v>174</v>
      </c>
      <c r="Q195" t="s">
        <v>569</v>
      </c>
      <c r="R195" t="s">
        <v>116</v>
      </c>
      <c r="S195" t="s">
        <v>369</v>
      </c>
      <c r="T195">
        <v>1</v>
      </c>
      <c r="U195" t="s">
        <v>1334</v>
      </c>
      <c r="V195" t="s">
        <v>1235</v>
      </c>
      <c r="W195" t="s">
        <v>1237</v>
      </c>
      <c r="X195" t="s">
        <v>1182</v>
      </c>
      <c r="Y195" t="s">
        <v>1180</v>
      </c>
      <c r="Z195">
        <v>23.5</v>
      </c>
      <c r="AA195">
        <v>75.94</v>
      </c>
      <c r="AB195">
        <v>7.5940000000000003</v>
      </c>
      <c r="AC195">
        <v>68.346000000000004</v>
      </c>
      <c r="AD195">
        <v>47</v>
      </c>
      <c r="AE195">
        <v>21.346000000000004</v>
      </c>
      <c r="AF195">
        <v>0.31232259386065025</v>
      </c>
      <c r="AG195">
        <v>2025</v>
      </c>
      <c r="AH195">
        <v>8</v>
      </c>
      <c r="AI195" t="s">
        <v>1417</v>
      </c>
      <c r="AJ195" t="s">
        <v>1418</v>
      </c>
      <c r="AK195" t="s">
        <v>1236</v>
      </c>
      <c r="AL195">
        <v>0</v>
      </c>
    </row>
    <row r="196" spans="1:38">
      <c r="A196" t="s">
        <v>591</v>
      </c>
      <c r="B196" s="13">
        <v>45905</v>
      </c>
      <c r="C196" t="s">
        <v>538</v>
      </c>
      <c r="D196" t="s">
        <v>244</v>
      </c>
      <c r="E196" t="s">
        <v>539</v>
      </c>
      <c r="F196" t="s">
        <v>223</v>
      </c>
      <c r="G196" t="s">
        <v>122</v>
      </c>
      <c r="H196" t="s">
        <v>89</v>
      </c>
      <c r="I196">
        <v>2</v>
      </c>
      <c r="J196">
        <v>240.06</v>
      </c>
      <c r="K196">
        <v>0.05</v>
      </c>
      <c r="L196" t="s">
        <v>98</v>
      </c>
      <c r="M196">
        <v>8</v>
      </c>
      <c r="N196" t="s">
        <v>91</v>
      </c>
      <c r="O196" t="s">
        <v>89</v>
      </c>
      <c r="P196" t="s">
        <v>244</v>
      </c>
      <c r="Q196" t="s">
        <v>538</v>
      </c>
      <c r="R196" t="s">
        <v>111</v>
      </c>
      <c r="S196" t="s">
        <v>98</v>
      </c>
      <c r="T196">
        <v>1</v>
      </c>
      <c r="U196" t="s">
        <v>1333</v>
      </c>
      <c r="V196" t="s">
        <v>1284</v>
      </c>
      <c r="W196" t="s">
        <v>1237</v>
      </c>
      <c r="X196" t="s">
        <v>1188</v>
      </c>
      <c r="Y196" t="s">
        <v>1180</v>
      </c>
      <c r="Z196">
        <v>131.19</v>
      </c>
      <c r="AA196">
        <v>480.12</v>
      </c>
      <c r="AB196">
        <v>24.006</v>
      </c>
      <c r="AC196">
        <v>456.11400000000003</v>
      </c>
      <c r="AD196">
        <v>262.38</v>
      </c>
      <c r="AE196">
        <v>193.73400000000004</v>
      </c>
      <c r="AF196">
        <v>0.42474907588892258</v>
      </c>
      <c r="AG196">
        <v>2025</v>
      </c>
      <c r="AH196">
        <v>9</v>
      </c>
      <c r="AI196" t="s">
        <v>1432</v>
      </c>
      <c r="AJ196" t="s">
        <v>1418</v>
      </c>
      <c r="AK196" t="s">
        <v>1285</v>
      </c>
      <c r="AL196">
        <v>0</v>
      </c>
    </row>
    <row r="197" spans="1:38">
      <c r="A197" t="s">
        <v>608</v>
      </c>
      <c r="B197" s="13">
        <v>45862</v>
      </c>
      <c r="C197" t="s">
        <v>491</v>
      </c>
      <c r="D197" t="s">
        <v>152</v>
      </c>
      <c r="E197" t="s">
        <v>492</v>
      </c>
      <c r="F197" t="s">
        <v>103</v>
      </c>
      <c r="G197" t="s">
        <v>96</v>
      </c>
      <c r="H197" t="s">
        <v>105</v>
      </c>
      <c r="I197">
        <v>4</v>
      </c>
      <c r="J197">
        <v>138.33000000000001</v>
      </c>
      <c r="K197">
        <v>0.2</v>
      </c>
      <c r="L197" t="s">
        <v>106</v>
      </c>
      <c r="M197">
        <v>8</v>
      </c>
      <c r="N197" t="s">
        <v>91</v>
      </c>
      <c r="O197" t="s">
        <v>105</v>
      </c>
      <c r="P197" t="s">
        <v>152</v>
      </c>
      <c r="Q197" t="s">
        <v>491</v>
      </c>
      <c r="R197" t="s">
        <v>103</v>
      </c>
      <c r="S197" t="s">
        <v>106</v>
      </c>
      <c r="T197">
        <v>1</v>
      </c>
      <c r="U197" t="s">
        <v>1298</v>
      </c>
      <c r="V197" t="s">
        <v>1243</v>
      </c>
      <c r="W197" t="s">
        <v>1245</v>
      </c>
      <c r="X197" t="s">
        <v>1191</v>
      </c>
      <c r="Y197" t="s">
        <v>1180</v>
      </c>
      <c r="Z197">
        <v>69</v>
      </c>
      <c r="AA197">
        <v>553.32000000000005</v>
      </c>
      <c r="AB197">
        <v>110.66400000000002</v>
      </c>
      <c r="AC197">
        <v>442.65600000000006</v>
      </c>
      <c r="AD197">
        <v>276</v>
      </c>
      <c r="AE197">
        <v>166.65600000000006</v>
      </c>
      <c r="AF197">
        <v>0.37649099978312739</v>
      </c>
      <c r="AG197">
        <v>2025</v>
      </c>
      <c r="AH197">
        <v>7</v>
      </c>
      <c r="AI197" t="s">
        <v>1422</v>
      </c>
      <c r="AJ197" t="s">
        <v>1418</v>
      </c>
      <c r="AK197" t="s">
        <v>1244</v>
      </c>
      <c r="AL197">
        <v>0</v>
      </c>
    </row>
    <row r="198" spans="1:38">
      <c r="A198" t="s">
        <v>617</v>
      </c>
      <c r="B198" s="13">
        <v>45802</v>
      </c>
      <c r="C198" t="s">
        <v>430</v>
      </c>
      <c r="D198" t="s">
        <v>152</v>
      </c>
      <c r="E198" t="s">
        <v>431</v>
      </c>
      <c r="F198" t="s">
        <v>111</v>
      </c>
      <c r="G198" t="s">
        <v>88</v>
      </c>
      <c r="H198" t="s">
        <v>89</v>
      </c>
      <c r="I198">
        <v>1</v>
      </c>
      <c r="J198">
        <v>141.15</v>
      </c>
      <c r="K198">
        <v>0.1</v>
      </c>
      <c r="L198" t="s">
        <v>154</v>
      </c>
      <c r="M198">
        <v>9</v>
      </c>
      <c r="N198" t="s">
        <v>91</v>
      </c>
      <c r="O198" t="s">
        <v>89</v>
      </c>
      <c r="P198" t="s">
        <v>152</v>
      </c>
      <c r="Q198" t="s">
        <v>430</v>
      </c>
      <c r="R198" t="s">
        <v>111</v>
      </c>
      <c r="S198" t="s">
        <v>154</v>
      </c>
      <c r="T198">
        <v>1</v>
      </c>
      <c r="U198" t="s">
        <v>1289</v>
      </c>
      <c r="V198" t="s">
        <v>1235</v>
      </c>
      <c r="W198" t="s">
        <v>1237</v>
      </c>
      <c r="X198" t="s">
        <v>1191</v>
      </c>
      <c r="Y198" t="s">
        <v>1180</v>
      </c>
      <c r="Z198">
        <v>69</v>
      </c>
      <c r="AA198">
        <v>141.15</v>
      </c>
      <c r="AB198">
        <v>14.115000000000002</v>
      </c>
      <c r="AC198">
        <v>127.035</v>
      </c>
      <c r="AD198">
        <v>69</v>
      </c>
      <c r="AE198">
        <v>58.034999999999997</v>
      </c>
      <c r="AF198">
        <v>0.45684260243240049</v>
      </c>
      <c r="AG198">
        <v>2025</v>
      </c>
      <c r="AH198">
        <v>5</v>
      </c>
      <c r="AI198" t="s">
        <v>1419</v>
      </c>
      <c r="AJ198" t="s">
        <v>1420</v>
      </c>
      <c r="AK198" t="s">
        <v>1236</v>
      </c>
      <c r="AL198">
        <v>0</v>
      </c>
    </row>
    <row r="199" spans="1:38">
      <c r="A199" t="s">
        <v>622</v>
      </c>
      <c r="B199" s="13">
        <v>45834</v>
      </c>
      <c r="C199" t="s">
        <v>512</v>
      </c>
      <c r="D199" t="s">
        <v>174</v>
      </c>
      <c r="E199" t="s">
        <v>513</v>
      </c>
      <c r="F199" t="s">
        <v>87</v>
      </c>
      <c r="G199" t="s">
        <v>88</v>
      </c>
      <c r="H199" t="s">
        <v>89</v>
      </c>
      <c r="I199">
        <v>1</v>
      </c>
      <c r="J199">
        <v>40.01</v>
      </c>
      <c r="K199">
        <v>0</v>
      </c>
      <c r="L199" t="s">
        <v>154</v>
      </c>
      <c r="M199">
        <v>8</v>
      </c>
      <c r="N199" t="s">
        <v>91</v>
      </c>
      <c r="O199" t="s">
        <v>89</v>
      </c>
      <c r="P199" t="s">
        <v>174</v>
      </c>
      <c r="Q199" t="s">
        <v>512</v>
      </c>
      <c r="R199" t="s">
        <v>87</v>
      </c>
      <c r="S199" t="s">
        <v>154</v>
      </c>
      <c r="T199">
        <v>1</v>
      </c>
      <c r="U199" t="s">
        <v>1273</v>
      </c>
      <c r="V199" t="s">
        <v>1284</v>
      </c>
      <c r="W199" t="s">
        <v>1241</v>
      </c>
      <c r="X199" t="s">
        <v>1182</v>
      </c>
      <c r="Y199" t="s">
        <v>1180</v>
      </c>
      <c r="Z199">
        <v>23.5</v>
      </c>
      <c r="AA199">
        <v>40.01</v>
      </c>
      <c r="AB199">
        <v>0</v>
      </c>
      <c r="AC199">
        <v>40.01</v>
      </c>
      <c r="AD199">
        <v>23.5</v>
      </c>
      <c r="AE199">
        <v>16.509999999999998</v>
      </c>
      <c r="AF199">
        <v>0.41264683829042736</v>
      </c>
      <c r="AG199">
        <v>2025</v>
      </c>
      <c r="AH199">
        <v>6</v>
      </c>
      <c r="AI199" t="s">
        <v>1429</v>
      </c>
      <c r="AJ199" t="s">
        <v>1420</v>
      </c>
      <c r="AK199" t="s">
        <v>1285</v>
      </c>
      <c r="AL199">
        <v>0</v>
      </c>
    </row>
    <row r="200" spans="1:38">
      <c r="A200" t="s">
        <v>623</v>
      </c>
      <c r="B200" s="13">
        <v>45752</v>
      </c>
      <c r="C200" t="s">
        <v>100</v>
      </c>
      <c r="D200" t="s">
        <v>244</v>
      </c>
      <c r="E200" t="s">
        <v>102</v>
      </c>
      <c r="F200" t="s">
        <v>116</v>
      </c>
      <c r="G200" t="s">
        <v>183</v>
      </c>
      <c r="H200" t="s">
        <v>89</v>
      </c>
      <c r="I200">
        <v>4</v>
      </c>
      <c r="J200">
        <v>236.6</v>
      </c>
      <c r="K200">
        <v>0.1</v>
      </c>
      <c r="L200" t="s">
        <v>90</v>
      </c>
      <c r="M200">
        <v>2</v>
      </c>
      <c r="N200" t="s">
        <v>91</v>
      </c>
      <c r="O200" t="s">
        <v>89</v>
      </c>
      <c r="P200" t="s">
        <v>244</v>
      </c>
      <c r="Q200" t="s">
        <v>100</v>
      </c>
      <c r="R200" t="s">
        <v>116</v>
      </c>
      <c r="S200" t="s">
        <v>369</v>
      </c>
      <c r="T200">
        <v>1</v>
      </c>
      <c r="U200" t="s">
        <v>1242</v>
      </c>
      <c r="V200" t="s">
        <v>1243</v>
      </c>
      <c r="W200" t="s">
        <v>1245</v>
      </c>
      <c r="X200" t="s">
        <v>1188</v>
      </c>
      <c r="Y200" t="s">
        <v>1180</v>
      </c>
      <c r="Z200">
        <v>131.19</v>
      </c>
      <c r="AA200">
        <v>946.4</v>
      </c>
      <c r="AB200">
        <v>94.64</v>
      </c>
      <c r="AC200">
        <v>851.76</v>
      </c>
      <c r="AD200">
        <v>524.76</v>
      </c>
      <c r="AE200">
        <v>327</v>
      </c>
      <c r="AF200">
        <v>0.38391096083403775</v>
      </c>
      <c r="AG200">
        <v>2025</v>
      </c>
      <c r="AH200">
        <v>4</v>
      </c>
      <c r="AI200" t="s">
        <v>1421</v>
      </c>
      <c r="AJ200" t="s">
        <v>1420</v>
      </c>
      <c r="AK200" t="s">
        <v>1244</v>
      </c>
      <c r="AL200">
        <v>0</v>
      </c>
    </row>
    <row r="201" spans="1:38">
      <c r="A201" t="s">
        <v>632</v>
      </c>
      <c r="B201" s="13">
        <v>46013</v>
      </c>
      <c r="C201" t="s">
        <v>283</v>
      </c>
      <c r="D201" t="s">
        <v>181</v>
      </c>
      <c r="E201" t="s">
        <v>284</v>
      </c>
      <c r="F201" t="s">
        <v>116</v>
      </c>
      <c r="G201" t="s">
        <v>130</v>
      </c>
      <c r="H201" t="s">
        <v>89</v>
      </c>
      <c r="I201">
        <v>1</v>
      </c>
      <c r="J201">
        <v>359.5</v>
      </c>
      <c r="K201">
        <v>0</v>
      </c>
      <c r="L201" t="s">
        <v>90</v>
      </c>
      <c r="M201">
        <v>2</v>
      </c>
      <c r="N201" t="s">
        <v>91</v>
      </c>
      <c r="O201" t="s">
        <v>89</v>
      </c>
      <c r="P201" t="s">
        <v>181</v>
      </c>
      <c r="Q201" t="s">
        <v>283</v>
      </c>
      <c r="R201" t="s">
        <v>116</v>
      </c>
      <c r="S201" t="s">
        <v>369</v>
      </c>
      <c r="T201">
        <v>1</v>
      </c>
      <c r="U201" t="s">
        <v>1283</v>
      </c>
      <c r="V201" t="s">
        <v>1284</v>
      </c>
      <c r="W201" t="s">
        <v>1237</v>
      </c>
      <c r="X201" t="s">
        <v>1190</v>
      </c>
      <c r="Y201" t="s">
        <v>1180</v>
      </c>
      <c r="Z201">
        <v>224.47</v>
      </c>
      <c r="AA201">
        <v>359.5</v>
      </c>
      <c r="AB201">
        <v>0</v>
      </c>
      <c r="AC201">
        <v>359.5</v>
      </c>
      <c r="AD201">
        <v>224.47</v>
      </c>
      <c r="AE201">
        <v>135.03</v>
      </c>
      <c r="AF201">
        <v>0.37560500695410293</v>
      </c>
      <c r="AG201">
        <v>2025</v>
      </c>
      <c r="AH201">
        <v>12</v>
      </c>
      <c r="AI201" t="s">
        <v>1428</v>
      </c>
      <c r="AJ201" t="s">
        <v>1427</v>
      </c>
      <c r="AK201" t="s">
        <v>1285</v>
      </c>
      <c r="AL201">
        <v>0</v>
      </c>
    </row>
    <row r="202" spans="1:38">
      <c r="A202" t="s">
        <v>642</v>
      </c>
      <c r="B202" s="13">
        <v>45691</v>
      </c>
      <c r="C202" t="s">
        <v>305</v>
      </c>
      <c r="D202" t="s">
        <v>174</v>
      </c>
      <c r="E202" t="s">
        <v>306</v>
      </c>
      <c r="F202" t="s">
        <v>145</v>
      </c>
      <c r="G202" t="s">
        <v>104</v>
      </c>
      <c r="H202" t="s">
        <v>105</v>
      </c>
      <c r="I202">
        <v>3</v>
      </c>
      <c r="J202">
        <v>36.1</v>
      </c>
      <c r="K202">
        <v>0</v>
      </c>
      <c r="L202" t="s">
        <v>106</v>
      </c>
      <c r="M202">
        <v>8</v>
      </c>
      <c r="N202" t="s">
        <v>91</v>
      </c>
      <c r="O202" t="s">
        <v>105</v>
      </c>
      <c r="P202" t="s">
        <v>174</v>
      </c>
      <c r="Q202" t="s">
        <v>305</v>
      </c>
      <c r="R202" t="s">
        <v>145</v>
      </c>
      <c r="S202" t="s">
        <v>106</v>
      </c>
      <c r="T202">
        <v>1</v>
      </c>
      <c r="U202" t="s">
        <v>1307</v>
      </c>
      <c r="V202" t="s">
        <v>1275</v>
      </c>
      <c r="W202" t="s">
        <v>1237</v>
      </c>
      <c r="X202" t="s">
        <v>1182</v>
      </c>
      <c r="Y202" t="s">
        <v>1180</v>
      </c>
      <c r="Z202">
        <v>23.5</v>
      </c>
      <c r="AA202">
        <v>108.30000000000001</v>
      </c>
      <c r="AB202">
        <v>0</v>
      </c>
      <c r="AC202">
        <v>108.30000000000001</v>
      </c>
      <c r="AD202">
        <v>70.5</v>
      </c>
      <c r="AE202">
        <v>37.800000000000011</v>
      </c>
      <c r="AF202">
        <v>0.34903047091412748</v>
      </c>
      <c r="AG202">
        <v>2025</v>
      </c>
      <c r="AH202">
        <v>2</v>
      </c>
      <c r="AI202" t="s">
        <v>1430</v>
      </c>
      <c r="AJ202" t="s">
        <v>1424</v>
      </c>
      <c r="AK202" t="s">
        <v>1258</v>
      </c>
      <c r="AL202">
        <v>0</v>
      </c>
    </row>
    <row r="203" spans="1:38">
      <c r="A203" t="s">
        <v>643</v>
      </c>
      <c r="B203" s="13">
        <v>45829</v>
      </c>
      <c r="C203" t="s">
        <v>644</v>
      </c>
      <c r="D203" t="s">
        <v>217</v>
      </c>
      <c r="E203" t="s">
        <v>645</v>
      </c>
      <c r="F203" t="s">
        <v>145</v>
      </c>
      <c r="G203" t="s">
        <v>88</v>
      </c>
      <c r="H203" t="s">
        <v>97</v>
      </c>
      <c r="I203">
        <v>1</v>
      </c>
      <c r="J203">
        <v>101.87</v>
      </c>
      <c r="K203">
        <v>0.1</v>
      </c>
      <c r="L203" t="s">
        <v>98</v>
      </c>
      <c r="M203">
        <v>2</v>
      </c>
      <c r="N203" t="s">
        <v>91</v>
      </c>
      <c r="O203" t="s">
        <v>97</v>
      </c>
      <c r="P203" t="s">
        <v>217</v>
      </c>
      <c r="Q203" t="s">
        <v>644</v>
      </c>
      <c r="R203" t="s">
        <v>145</v>
      </c>
      <c r="S203" t="s">
        <v>98</v>
      </c>
      <c r="T203">
        <v>1</v>
      </c>
      <c r="U203" t="s">
        <v>1259</v>
      </c>
      <c r="V203" t="s">
        <v>1260</v>
      </c>
      <c r="W203" t="s">
        <v>1237</v>
      </c>
      <c r="X203" t="s">
        <v>1189</v>
      </c>
      <c r="Y203" t="s">
        <v>1180</v>
      </c>
      <c r="Z203">
        <v>72</v>
      </c>
      <c r="AA203">
        <v>101.87</v>
      </c>
      <c r="AB203">
        <v>10.187000000000001</v>
      </c>
      <c r="AC203">
        <v>91.683000000000007</v>
      </c>
      <c r="AD203">
        <v>72</v>
      </c>
      <c r="AE203">
        <v>19.683000000000007</v>
      </c>
      <c r="AF203">
        <v>0.21468538333169732</v>
      </c>
      <c r="AG203">
        <v>2025</v>
      </c>
      <c r="AH203">
        <v>6</v>
      </c>
      <c r="AI203" t="s">
        <v>1429</v>
      </c>
      <c r="AJ203" t="s">
        <v>1420</v>
      </c>
      <c r="AK203" t="s">
        <v>1240</v>
      </c>
      <c r="AL203">
        <v>0</v>
      </c>
    </row>
    <row r="204" spans="1:38">
      <c r="A204" t="s">
        <v>658</v>
      </c>
      <c r="B204" s="13">
        <v>45685</v>
      </c>
      <c r="C204" t="s">
        <v>569</v>
      </c>
      <c r="D204" t="s">
        <v>217</v>
      </c>
      <c r="E204" t="s">
        <v>570</v>
      </c>
      <c r="F204" t="s">
        <v>116</v>
      </c>
      <c r="G204" t="s">
        <v>122</v>
      </c>
      <c r="H204" t="s">
        <v>97</v>
      </c>
      <c r="I204">
        <v>2</v>
      </c>
      <c r="J204">
        <v>104.7</v>
      </c>
      <c r="K204">
        <v>0.15</v>
      </c>
      <c r="L204" t="s">
        <v>90</v>
      </c>
      <c r="M204">
        <v>0</v>
      </c>
      <c r="N204" t="s">
        <v>91</v>
      </c>
      <c r="O204" t="s">
        <v>97</v>
      </c>
      <c r="P204" t="s">
        <v>217</v>
      </c>
      <c r="Q204" t="s">
        <v>569</v>
      </c>
      <c r="R204" t="s">
        <v>116</v>
      </c>
      <c r="S204" t="s">
        <v>369</v>
      </c>
      <c r="T204">
        <v>1</v>
      </c>
      <c r="U204" t="s">
        <v>1334</v>
      </c>
      <c r="V204" t="s">
        <v>1235</v>
      </c>
      <c r="W204" t="s">
        <v>1237</v>
      </c>
      <c r="X204" t="s">
        <v>1189</v>
      </c>
      <c r="Y204" t="s">
        <v>1180</v>
      </c>
      <c r="Z204">
        <v>72</v>
      </c>
      <c r="AA204">
        <v>209.4</v>
      </c>
      <c r="AB204">
        <v>31.41</v>
      </c>
      <c r="AC204">
        <v>177.99</v>
      </c>
      <c r="AD204">
        <v>144</v>
      </c>
      <c r="AE204">
        <v>33.990000000000009</v>
      </c>
      <c r="AF204">
        <v>0.1909657845946402</v>
      </c>
      <c r="AG204">
        <v>2025</v>
      </c>
      <c r="AH204">
        <v>1</v>
      </c>
      <c r="AI204" t="s">
        <v>1425</v>
      </c>
      <c r="AJ204" t="s">
        <v>1424</v>
      </c>
      <c r="AK204" t="s">
        <v>1236</v>
      </c>
      <c r="AL204">
        <v>0</v>
      </c>
    </row>
    <row r="205" spans="1:38">
      <c r="A205" t="s">
        <v>664</v>
      </c>
      <c r="B205" s="13">
        <v>45945</v>
      </c>
      <c r="C205" t="s">
        <v>316</v>
      </c>
      <c r="D205" t="s">
        <v>136</v>
      </c>
      <c r="E205" t="s">
        <v>317</v>
      </c>
      <c r="F205" t="s">
        <v>111</v>
      </c>
      <c r="G205" t="s">
        <v>183</v>
      </c>
      <c r="H205" t="s">
        <v>97</v>
      </c>
      <c r="I205">
        <v>5</v>
      </c>
      <c r="J205">
        <v>150.72999999999999</v>
      </c>
      <c r="K205">
        <v>0.05</v>
      </c>
      <c r="L205" t="s">
        <v>90</v>
      </c>
      <c r="M205">
        <v>2</v>
      </c>
      <c r="N205" t="s">
        <v>91</v>
      </c>
      <c r="O205" t="s">
        <v>97</v>
      </c>
      <c r="P205" t="s">
        <v>136</v>
      </c>
      <c r="Q205" t="s">
        <v>316</v>
      </c>
      <c r="R205" t="s">
        <v>111</v>
      </c>
      <c r="S205" t="s">
        <v>369</v>
      </c>
      <c r="T205">
        <v>1</v>
      </c>
      <c r="U205" t="s">
        <v>1323</v>
      </c>
      <c r="V205" t="s">
        <v>1297</v>
      </c>
      <c r="W205" t="s">
        <v>1237</v>
      </c>
      <c r="X205" t="s">
        <v>1184</v>
      </c>
      <c r="Y205" t="s">
        <v>1180</v>
      </c>
      <c r="Z205">
        <v>106.4</v>
      </c>
      <c r="AA205">
        <v>753.65</v>
      </c>
      <c r="AB205">
        <v>37.682499999999997</v>
      </c>
      <c r="AC205">
        <v>715.96749999999997</v>
      </c>
      <c r="AD205">
        <v>532</v>
      </c>
      <c r="AE205">
        <v>183.96749999999997</v>
      </c>
      <c r="AF205">
        <v>0.25694951237311747</v>
      </c>
      <c r="AG205">
        <v>2025</v>
      </c>
      <c r="AH205">
        <v>10</v>
      </c>
      <c r="AI205" t="s">
        <v>1431</v>
      </c>
      <c r="AJ205" t="s">
        <v>1427</v>
      </c>
      <c r="AK205" t="s">
        <v>1258</v>
      </c>
      <c r="AL205">
        <v>0</v>
      </c>
    </row>
    <row r="206" spans="1:38">
      <c r="A206" t="s">
        <v>666</v>
      </c>
      <c r="B206" s="13">
        <v>45827</v>
      </c>
      <c r="C206" t="s">
        <v>438</v>
      </c>
      <c r="D206" t="s">
        <v>190</v>
      </c>
      <c r="E206" t="s">
        <v>439</v>
      </c>
      <c r="F206" t="s">
        <v>111</v>
      </c>
      <c r="G206" t="s">
        <v>117</v>
      </c>
      <c r="H206" t="s">
        <v>97</v>
      </c>
      <c r="I206">
        <v>3</v>
      </c>
      <c r="J206">
        <v>275.74</v>
      </c>
      <c r="K206">
        <v>0.1</v>
      </c>
      <c r="L206" t="s">
        <v>353</v>
      </c>
      <c r="M206">
        <v>3</v>
      </c>
      <c r="N206" t="s">
        <v>91</v>
      </c>
      <c r="O206" t="s">
        <v>97</v>
      </c>
      <c r="P206" t="s">
        <v>190</v>
      </c>
      <c r="Q206" t="s">
        <v>438</v>
      </c>
      <c r="R206" t="s">
        <v>111</v>
      </c>
      <c r="S206" t="s">
        <v>106</v>
      </c>
      <c r="T206">
        <v>1</v>
      </c>
      <c r="U206" t="s">
        <v>1278</v>
      </c>
      <c r="V206" t="s">
        <v>1257</v>
      </c>
      <c r="W206" t="s">
        <v>1237</v>
      </c>
      <c r="X206" t="s">
        <v>1186</v>
      </c>
      <c r="Y206" t="s">
        <v>1180</v>
      </c>
      <c r="Z206">
        <v>154.72999999999999</v>
      </c>
      <c r="AA206">
        <v>827.22</v>
      </c>
      <c r="AB206">
        <v>82.722000000000008</v>
      </c>
      <c r="AC206">
        <v>744.49800000000005</v>
      </c>
      <c r="AD206">
        <v>464.18999999999994</v>
      </c>
      <c r="AE206">
        <v>280.30800000000011</v>
      </c>
      <c r="AF206">
        <v>0.37650604837084867</v>
      </c>
      <c r="AG206">
        <v>2025</v>
      </c>
      <c r="AH206">
        <v>6</v>
      </c>
      <c r="AI206" t="s">
        <v>1429</v>
      </c>
      <c r="AJ206" t="s">
        <v>1420</v>
      </c>
      <c r="AK206" t="s">
        <v>1258</v>
      </c>
      <c r="AL206">
        <v>0</v>
      </c>
    </row>
    <row r="207" spans="1:38">
      <c r="A207" t="s">
        <v>680</v>
      </c>
      <c r="B207" s="13">
        <v>45700</v>
      </c>
      <c r="C207" t="s">
        <v>193</v>
      </c>
      <c r="D207" t="s">
        <v>277</v>
      </c>
      <c r="E207" t="s">
        <v>195</v>
      </c>
      <c r="F207" t="s">
        <v>145</v>
      </c>
      <c r="G207" t="s">
        <v>88</v>
      </c>
      <c r="H207" t="s">
        <v>89</v>
      </c>
      <c r="I207">
        <v>2</v>
      </c>
      <c r="J207">
        <v>381.2</v>
      </c>
      <c r="K207">
        <v>0</v>
      </c>
      <c r="L207" t="s">
        <v>106</v>
      </c>
      <c r="M207">
        <v>7</v>
      </c>
      <c r="N207" t="s">
        <v>91</v>
      </c>
      <c r="O207" t="s">
        <v>89</v>
      </c>
      <c r="P207" t="s">
        <v>277</v>
      </c>
      <c r="Q207" t="s">
        <v>193</v>
      </c>
      <c r="R207" t="s">
        <v>145</v>
      </c>
      <c r="S207" t="s">
        <v>106</v>
      </c>
      <c r="T207">
        <v>1</v>
      </c>
      <c r="U207" t="s">
        <v>1272</v>
      </c>
      <c r="V207" t="s">
        <v>1243</v>
      </c>
      <c r="W207" t="s">
        <v>1241</v>
      </c>
      <c r="X207" t="s">
        <v>1179</v>
      </c>
      <c r="Y207" t="s">
        <v>1180</v>
      </c>
      <c r="Z207">
        <v>254.6</v>
      </c>
      <c r="AA207">
        <v>762.4</v>
      </c>
      <c r="AB207">
        <v>0</v>
      </c>
      <c r="AC207">
        <v>762.4</v>
      </c>
      <c r="AD207">
        <v>509.2</v>
      </c>
      <c r="AE207">
        <v>253.2</v>
      </c>
      <c r="AF207">
        <v>0.33210912906610701</v>
      </c>
      <c r="AG207">
        <v>2025</v>
      </c>
      <c r="AH207">
        <v>2</v>
      </c>
      <c r="AI207" t="s">
        <v>1430</v>
      </c>
      <c r="AJ207" t="s">
        <v>1424</v>
      </c>
      <c r="AK207" t="s">
        <v>1244</v>
      </c>
      <c r="AL207">
        <v>0</v>
      </c>
    </row>
    <row r="208" spans="1:38">
      <c r="A208" t="s">
        <v>683</v>
      </c>
      <c r="B208" s="13">
        <v>45660</v>
      </c>
      <c r="C208" t="s">
        <v>209</v>
      </c>
      <c r="D208" t="s">
        <v>152</v>
      </c>
      <c r="E208" t="s">
        <v>211</v>
      </c>
      <c r="F208" t="s">
        <v>655</v>
      </c>
      <c r="G208" t="s">
        <v>130</v>
      </c>
      <c r="H208" t="s">
        <v>97</v>
      </c>
      <c r="I208">
        <v>1</v>
      </c>
      <c r="J208">
        <v>139.33000000000001</v>
      </c>
      <c r="K208">
        <v>0.05</v>
      </c>
      <c r="L208" t="s">
        <v>106</v>
      </c>
      <c r="M208">
        <v>3</v>
      </c>
      <c r="N208" t="s">
        <v>91</v>
      </c>
      <c r="O208" t="s">
        <v>97</v>
      </c>
      <c r="P208" t="s">
        <v>152</v>
      </c>
      <c r="Q208" t="s">
        <v>209</v>
      </c>
      <c r="R208" t="s">
        <v>87</v>
      </c>
      <c r="S208" t="s">
        <v>106</v>
      </c>
      <c r="T208">
        <v>1</v>
      </c>
      <c r="U208" t="s">
        <v>1248</v>
      </c>
      <c r="V208" t="s">
        <v>1249</v>
      </c>
      <c r="W208" t="s">
        <v>1237</v>
      </c>
      <c r="X208" t="s">
        <v>1191</v>
      </c>
      <c r="Y208" t="s">
        <v>1180</v>
      </c>
      <c r="Z208">
        <v>69</v>
      </c>
      <c r="AA208">
        <v>139.33000000000001</v>
      </c>
      <c r="AB208">
        <v>6.9665000000000008</v>
      </c>
      <c r="AC208">
        <v>132.36350000000002</v>
      </c>
      <c r="AD208">
        <v>69</v>
      </c>
      <c r="AE208">
        <v>63.363500000000016</v>
      </c>
      <c r="AF208">
        <v>0.47870825416372342</v>
      </c>
      <c r="AG208">
        <v>2025</v>
      </c>
      <c r="AH208">
        <v>1</v>
      </c>
      <c r="AI208" t="s">
        <v>1425</v>
      </c>
      <c r="AJ208" t="s">
        <v>1424</v>
      </c>
      <c r="AK208" t="s">
        <v>1250</v>
      </c>
      <c r="AL208">
        <v>0</v>
      </c>
    </row>
    <row r="209" spans="1:38">
      <c r="A209" t="s">
        <v>687</v>
      </c>
      <c r="B209" s="13">
        <v>45872</v>
      </c>
      <c r="C209" t="s">
        <v>463</v>
      </c>
      <c r="D209" t="s">
        <v>181</v>
      </c>
      <c r="E209" t="s">
        <v>464</v>
      </c>
      <c r="F209" t="s">
        <v>145</v>
      </c>
      <c r="G209" t="s">
        <v>171</v>
      </c>
      <c r="H209" t="s">
        <v>105</v>
      </c>
      <c r="I209">
        <v>3</v>
      </c>
      <c r="J209">
        <v>359.35</v>
      </c>
      <c r="K209">
        <v>0.2</v>
      </c>
      <c r="L209" t="s">
        <v>106</v>
      </c>
      <c r="M209">
        <v>2</v>
      </c>
      <c r="N209" t="s">
        <v>91</v>
      </c>
      <c r="O209" t="s">
        <v>105</v>
      </c>
      <c r="P209" t="s">
        <v>181</v>
      </c>
      <c r="Q209" t="s">
        <v>463</v>
      </c>
      <c r="R209" t="s">
        <v>145</v>
      </c>
      <c r="S209" t="s">
        <v>106</v>
      </c>
      <c r="T209">
        <v>1</v>
      </c>
      <c r="U209" t="s">
        <v>1280</v>
      </c>
      <c r="V209" t="s">
        <v>1249</v>
      </c>
      <c r="W209" t="s">
        <v>1245</v>
      </c>
      <c r="X209" t="s">
        <v>1190</v>
      </c>
      <c r="Y209" t="s">
        <v>1180</v>
      </c>
      <c r="Z209">
        <v>224.47</v>
      </c>
      <c r="AA209">
        <v>1078.0500000000002</v>
      </c>
      <c r="AB209">
        <v>215.61000000000004</v>
      </c>
      <c r="AC209">
        <v>862.44000000000017</v>
      </c>
      <c r="AD209">
        <v>673.41</v>
      </c>
      <c r="AE209">
        <v>189.0300000000002</v>
      </c>
      <c r="AF209">
        <v>0.21918046472798128</v>
      </c>
      <c r="AG209">
        <v>2025</v>
      </c>
      <c r="AH209">
        <v>8</v>
      </c>
      <c r="AI209" t="s">
        <v>1417</v>
      </c>
      <c r="AJ209" t="s">
        <v>1418</v>
      </c>
      <c r="AK209" t="s">
        <v>1250</v>
      </c>
      <c r="AL209">
        <v>0</v>
      </c>
    </row>
    <row r="210" spans="1:38">
      <c r="A210" t="s">
        <v>702</v>
      </c>
      <c r="B210" s="13">
        <v>45793</v>
      </c>
      <c r="C210" t="s">
        <v>637</v>
      </c>
      <c r="D210" t="s">
        <v>174</v>
      </c>
      <c r="E210" t="s">
        <v>638</v>
      </c>
      <c r="F210" t="s">
        <v>103</v>
      </c>
      <c r="G210" t="s">
        <v>183</v>
      </c>
      <c r="H210" t="s">
        <v>89</v>
      </c>
      <c r="I210">
        <v>1</v>
      </c>
      <c r="J210">
        <v>39.409999999999997</v>
      </c>
      <c r="K210">
        <v>0.25</v>
      </c>
      <c r="L210" t="s">
        <v>98</v>
      </c>
      <c r="M210">
        <v>1</v>
      </c>
      <c r="N210" t="s">
        <v>91</v>
      </c>
      <c r="O210" t="s">
        <v>89</v>
      </c>
      <c r="P210" t="s">
        <v>174</v>
      </c>
      <c r="Q210" t="s">
        <v>637</v>
      </c>
      <c r="R210" t="s">
        <v>103</v>
      </c>
      <c r="S210" t="s">
        <v>98</v>
      </c>
      <c r="T210">
        <v>1</v>
      </c>
      <c r="U210" t="s">
        <v>1273</v>
      </c>
      <c r="V210" t="s">
        <v>1255</v>
      </c>
      <c r="W210" t="s">
        <v>1237</v>
      </c>
      <c r="X210" t="s">
        <v>1182</v>
      </c>
      <c r="Y210" t="s">
        <v>1180</v>
      </c>
      <c r="Z210">
        <v>23.5</v>
      </c>
      <c r="AA210">
        <v>39.409999999999997</v>
      </c>
      <c r="AB210">
        <v>9.8524999999999991</v>
      </c>
      <c r="AC210">
        <v>29.557499999999997</v>
      </c>
      <c r="AD210">
        <v>23.5</v>
      </c>
      <c r="AE210">
        <v>6.0574999999999974</v>
      </c>
      <c r="AF210">
        <v>0.20493952465533274</v>
      </c>
      <c r="AG210">
        <v>2025</v>
      </c>
      <c r="AH210">
        <v>5</v>
      </c>
      <c r="AI210" t="s">
        <v>1419</v>
      </c>
      <c r="AJ210" t="s">
        <v>1420</v>
      </c>
      <c r="AK210" t="s">
        <v>1244</v>
      </c>
      <c r="AL210">
        <v>0</v>
      </c>
    </row>
    <row r="211" spans="1:38">
      <c r="A211" t="s">
        <v>705</v>
      </c>
      <c r="B211" s="13">
        <v>45727</v>
      </c>
      <c r="C211" t="s">
        <v>706</v>
      </c>
      <c r="D211" t="s">
        <v>217</v>
      </c>
      <c r="E211" t="s">
        <v>707</v>
      </c>
      <c r="F211" t="s">
        <v>111</v>
      </c>
      <c r="G211" t="s">
        <v>130</v>
      </c>
      <c r="H211" t="s">
        <v>97</v>
      </c>
      <c r="I211">
        <v>1</v>
      </c>
      <c r="J211">
        <v>100.86</v>
      </c>
      <c r="K211">
        <v>0.2</v>
      </c>
      <c r="L211" t="s">
        <v>98</v>
      </c>
      <c r="M211">
        <v>2</v>
      </c>
      <c r="N211" t="s">
        <v>91</v>
      </c>
      <c r="O211" t="s">
        <v>97</v>
      </c>
      <c r="P211" t="s">
        <v>217</v>
      </c>
      <c r="Q211" t="s">
        <v>706</v>
      </c>
      <c r="R211" t="s">
        <v>111</v>
      </c>
      <c r="S211" t="s">
        <v>98</v>
      </c>
      <c r="T211">
        <v>1</v>
      </c>
      <c r="U211" t="s">
        <v>1251</v>
      </c>
      <c r="V211" t="s">
        <v>1247</v>
      </c>
      <c r="W211" t="s">
        <v>1237</v>
      </c>
      <c r="X211" t="s">
        <v>1189</v>
      </c>
      <c r="Y211" t="s">
        <v>1180</v>
      </c>
      <c r="Z211">
        <v>72</v>
      </c>
      <c r="AA211">
        <v>100.86</v>
      </c>
      <c r="AB211">
        <v>20.172000000000001</v>
      </c>
      <c r="AC211">
        <v>80.688000000000002</v>
      </c>
      <c r="AD211">
        <v>72</v>
      </c>
      <c r="AE211">
        <v>8.6880000000000024</v>
      </c>
      <c r="AF211">
        <v>0.10767400356930401</v>
      </c>
      <c r="AG211">
        <v>2025</v>
      </c>
      <c r="AH211">
        <v>3</v>
      </c>
      <c r="AI211" t="s">
        <v>1423</v>
      </c>
      <c r="AJ211" t="s">
        <v>1424</v>
      </c>
      <c r="AK211" t="s">
        <v>1240</v>
      </c>
      <c r="AL211">
        <v>0</v>
      </c>
    </row>
    <row r="212" spans="1:38">
      <c r="A212" t="s">
        <v>715</v>
      </c>
      <c r="B212" s="13">
        <v>45765</v>
      </c>
      <c r="C212" t="s">
        <v>300</v>
      </c>
      <c r="D212" t="s">
        <v>174</v>
      </c>
      <c r="E212" t="s">
        <v>301</v>
      </c>
      <c r="F212" t="s">
        <v>111</v>
      </c>
      <c r="G212" t="s">
        <v>96</v>
      </c>
      <c r="H212" t="s">
        <v>89</v>
      </c>
      <c r="I212">
        <v>3</v>
      </c>
      <c r="J212">
        <v>40.25</v>
      </c>
      <c r="K212">
        <v>0</v>
      </c>
      <c r="L212" t="s">
        <v>90</v>
      </c>
      <c r="M212">
        <v>1</v>
      </c>
      <c r="N212" t="s">
        <v>91</v>
      </c>
      <c r="O212" t="s">
        <v>89</v>
      </c>
      <c r="P212" t="s">
        <v>174</v>
      </c>
      <c r="Q212" t="s">
        <v>300</v>
      </c>
      <c r="R212" t="s">
        <v>111</v>
      </c>
      <c r="S212" t="s">
        <v>369</v>
      </c>
      <c r="T212">
        <v>1</v>
      </c>
      <c r="U212" t="s">
        <v>1265</v>
      </c>
      <c r="V212" t="s">
        <v>1249</v>
      </c>
      <c r="W212" t="s">
        <v>1237</v>
      </c>
      <c r="X212" t="s">
        <v>1182</v>
      </c>
      <c r="Y212" t="s">
        <v>1180</v>
      </c>
      <c r="Z212">
        <v>23.5</v>
      </c>
      <c r="AA212">
        <v>120.75</v>
      </c>
      <c r="AB212">
        <v>0</v>
      </c>
      <c r="AC212">
        <v>120.75</v>
      </c>
      <c r="AD212">
        <v>70.5</v>
      </c>
      <c r="AE212">
        <v>50.25</v>
      </c>
      <c r="AF212">
        <v>0.41614906832298137</v>
      </c>
      <c r="AG212">
        <v>2025</v>
      </c>
      <c r="AH212">
        <v>4</v>
      </c>
      <c r="AI212" t="s">
        <v>1421</v>
      </c>
      <c r="AJ212" t="s">
        <v>1420</v>
      </c>
      <c r="AK212" t="s">
        <v>1250</v>
      </c>
      <c r="AL212">
        <v>0</v>
      </c>
    </row>
    <row r="213" spans="1:38">
      <c r="A213" t="s">
        <v>741</v>
      </c>
      <c r="B213" s="13">
        <v>45736</v>
      </c>
      <c r="C213" t="s">
        <v>326</v>
      </c>
      <c r="D213" t="s">
        <v>181</v>
      </c>
      <c r="E213" t="s">
        <v>327</v>
      </c>
      <c r="F213" t="s">
        <v>145</v>
      </c>
      <c r="G213" t="s">
        <v>88</v>
      </c>
      <c r="H213" t="s">
        <v>233</v>
      </c>
      <c r="I213">
        <v>5</v>
      </c>
      <c r="J213">
        <v>335.95</v>
      </c>
      <c r="K213">
        <v>0</v>
      </c>
      <c r="L213" t="s">
        <v>98</v>
      </c>
      <c r="M213">
        <v>1</v>
      </c>
      <c r="N213" t="s">
        <v>91</v>
      </c>
      <c r="O213" t="s">
        <v>97</v>
      </c>
      <c r="P213" t="s">
        <v>181</v>
      </c>
      <c r="Q213" t="s">
        <v>326</v>
      </c>
      <c r="R213" t="s">
        <v>145</v>
      </c>
      <c r="S213" t="s">
        <v>98</v>
      </c>
      <c r="T213">
        <v>1</v>
      </c>
      <c r="U213" t="s">
        <v>1338</v>
      </c>
      <c r="V213" t="s">
        <v>1325</v>
      </c>
      <c r="W213" t="s">
        <v>1237</v>
      </c>
      <c r="X213" t="s">
        <v>1190</v>
      </c>
      <c r="Y213" t="s">
        <v>1180</v>
      </c>
      <c r="Z213">
        <v>224.47</v>
      </c>
      <c r="AA213">
        <v>1679.75</v>
      </c>
      <c r="AB213">
        <v>0</v>
      </c>
      <c r="AC213">
        <v>1679.75</v>
      </c>
      <c r="AD213">
        <v>1122.3499999999999</v>
      </c>
      <c r="AE213">
        <v>557.40000000000009</v>
      </c>
      <c r="AF213">
        <v>0.33183509450811138</v>
      </c>
      <c r="AG213">
        <v>2025</v>
      </c>
      <c r="AH213">
        <v>3</v>
      </c>
      <c r="AI213" t="s">
        <v>1423</v>
      </c>
      <c r="AJ213" t="s">
        <v>1424</v>
      </c>
      <c r="AK213" t="s">
        <v>1326</v>
      </c>
      <c r="AL213">
        <v>0</v>
      </c>
    </row>
    <row r="214" spans="1:38">
      <c r="A214" t="s">
        <v>750</v>
      </c>
      <c r="B214" s="13">
        <v>45702</v>
      </c>
      <c r="C214" t="s">
        <v>220</v>
      </c>
      <c r="D214" t="s">
        <v>152</v>
      </c>
      <c r="E214" t="s">
        <v>222</v>
      </c>
      <c r="F214" t="s">
        <v>103</v>
      </c>
      <c r="G214" t="s">
        <v>130</v>
      </c>
      <c r="H214" t="s">
        <v>233</v>
      </c>
      <c r="I214">
        <v>1</v>
      </c>
      <c r="J214">
        <v>141.25</v>
      </c>
      <c r="K214">
        <v>0.15</v>
      </c>
      <c r="L214" t="s">
        <v>90</v>
      </c>
      <c r="M214">
        <v>4</v>
      </c>
      <c r="N214" t="s">
        <v>91</v>
      </c>
      <c r="O214" t="s">
        <v>97</v>
      </c>
      <c r="P214" t="s">
        <v>152</v>
      </c>
      <c r="Q214" t="s">
        <v>220</v>
      </c>
      <c r="R214" t="s">
        <v>103</v>
      </c>
      <c r="S214" t="s">
        <v>369</v>
      </c>
      <c r="T214">
        <v>1</v>
      </c>
      <c r="U214" t="s">
        <v>1315</v>
      </c>
      <c r="V214" t="s">
        <v>1255</v>
      </c>
      <c r="W214" t="s">
        <v>1237</v>
      </c>
      <c r="X214" t="s">
        <v>1191</v>
      </c>
      <c r="Y214" t="s">
        <v>1180</v>
      </c>
      <c r="Z214">
        <v>69</v>
      </c>
      <c r="AA214">
        <v>141.25</v>
      </c>
      <c r="AB214">
        <v>21.1875</v>
      </c>
      <c r="AC214">
        <v>120.0625</v>
      </c>
      <c r="AD214">
        <v>69</v>
      </c>
      <c r="AE214">
        <v>51.0625</v>
      </c>
      <c r="AF214">
        <v>0.42529932326913067</v>
      </c>
      <c r="AG214">
        <v>2025</v>
      </c>
      <c r="AH214">
        <v>2</v>
      </c>
      <c r="AI214" t="s">
        <v>1430</v>
      </c>
      <c r="AJ214" t="s">
        <v>1424</v>
      </c>
      <c r="AK214" t="s">
        <v>1244</v>
      </c>
      <c r="AL214">
        <v>0</v>
      </c>
    </row>
    <row r="215" spans="1:38">
      <c r="A215" t="s">
        <v>753</v>
      </c>
      <c r="B215" s="13">
        <v>45808</v>
      </c>
      <c r="C215" t="s">
        <v>538</v>
      </c>
      <c r="D215" t="s">
        <v>190</v>
      </c>
      <c r="E215" t="s">
        <v>539</v>
      </c>
      <c r="F215" t="s">
        <v>145</v>
      </c>
      <c r="G215" t="s">
        <v>171</v>
      </c>
      <c r="H215" t="s">
        <v>97</v>
      </c>
      <c r="I215">
        <v>3</v>
      </c>
      <c r="J215">
        <v>297.43</v>
      </c>
      <c r="K215">
        <v>0.15</v>
      </c>
      <c r="L215" t="s">
        <v>98</v>
      </c>
      <c r="M215">
        <v>0</v>
      </c>
      <c r="N215" t="s">
        <v>91</v>
      </c>
      <c r="O215" t="s">
        <v>97</v>
      </c>
      <c r="P215" t="s">
        <v>190</v>
      </c>
      <c r="Q215" t="s">
        <v>538</v>
      </c>
      <c r="R215" t="s">
        <v>145</v>
      </c>
      <c r="S215" t="s">
        <v>98</v>
      </c>
      <c r="T215">
        <v>1</v>
      </c>
      <c r="U215" t="s">
        <v>1333</v>
      </c>
      <c r="V215" t="s">
        <v>1284</v>
      </c>
      <c r="W215" t="s">
        <v>1237</v>
      </c>
      <c r="X215" t="s">
        <v>1186</v>
      </c>
      <c r="Y215" t="s">
        <v>1180</v>
      </c>
      <c r="Z215">
        <v>154.72999999999999</v>
      </c>
      <c r="AA215">
        <v>892.29</v>
      </c>
      <c r="AB215">
        <v>133.84349999999998</v>
      </c>
      <c r="AC215">
        <v>758.44650000000001</v>
      </c>
      <c r="AD215">
        <v>464.18999999999994</v>
      </c>
      <c r="AE215">
        <v>294.25650000000007</v>
      </c>
      <c r="AF215">
        <v>0.38797265199325209</v>
      </c>
      <c r="AG215">
        <v>2025</v>
      </c>
      <c r="AH215">
        <v>5</v>
      </c>
      <c r="AI215" t="s">
        <v>1419</v>
      </c>
      <c r="AJ215" t="s">
        <v>1420</v>
      </c>
      <c r="AK215" t="s">
        <v>1285</v>
      </c>
      <c r="AL215">
        <v>0</v>
      </c>
    </row>
    <row r="216" spans="1:38">
      <c r="A216" t="s">
        <v>760</v>
      </c>
      <c r="B216" s="13">
        <v>45884</v>
      </c>
      <c r="C216" t="s">
        <v>637</v>
      </c>
      <c r="D216" t="s">
        <v>217</v>
      </c>
      <c r="E216" t="s">
        <v>638</v>
      </c>
      <c r="F216" t="s">
        <v>103</v>
      </c>
      <c r="G216" t="s">
        <v>96</v>
      </c>
      <c r="H216" t="s">
        <v>89</v>
      </c>
      <c r="I216">
        <v>5</v>
      </c>
      <c r="J216">
        <v>107.3</v>
      </c>
      <c r="K216">
        <v>0</v>
      </c>
      <c r="L216" t="s">
        <v>106</v>
      </c>
      <c r="M216">
        <v>6</v>
      </c>
      <c r="N216" t="s">
        <v>91</v>
      </c>
      <c r="O216" t="s">
        <v>89</v>
      </c>
      <c r="P216" t="s">
        <v>217</v>
      </c>
      <c r="Q216" t="s">
        <v>637</v>
      </c>
      <c r="R216" t="s">
        <v>103</v>
      </c>
      <c r="S216" t="s">
        <v>106</v>
      </c>
      <c r="T216">
        <v>1</v>
      </c>
      <c r="U216" t="s">
        <v>1273</v>
      </c>
      <c r="V216" t="s">
        <v>1255</v>
      </c>
      <c r="W216" t="s">
        <v>1237</v>
      </c>
      <c r="X216" t="s">
        <v>1189</v>
      </c>
      <c r="Y216" t="s">
        <v>1180</v>
      </c>
      <c r="Z216">
        <v>72</v>
      </c>
      <c r="AA216">
        <v>536.5</v>
      </c>
      <c r="AB216">
        <v>0</v>
      </c>
      <c r="AC216">
        <v>536.5</v>
      </c>
      <c r="AD216">
        <v>360</v>
      </c>
      <c r="AE216">
        <v>176.5</v>
      </c>
      <c r="AF216">
        <v>0.32898415657036345</v>
      </c>
      <c r="AG216">
        <v>2025</v>
      </c>
      <c r="AH216">
        <v>8</v>
      </c>
      <c r="AI216" t="s">
        <v>1417</v>
      </c>
      <c r="AJ216" t="s">
        <v>1418</v>
      </c>
      <c r="AK216" t="s">
        <v>1244</v>
      </c>
      <c r="AL216">
        <v>0</v>
      </c>
    </row>
    <row r="217" spans="1:38">
      <c r="A217" t="s">
        <v>765</v>
      </c>
      <c r="B217" s="13">
        <v>45896</v>
      </c>
      <c r="C217" t="s">
        <v>466</v>
      </c>
      <c r="D217" t="s">
        <v>244</v>
      </c>
      <c r="E217" t="s">
        <v>467</v>
      </c>
      <c r="F217" t="s">
        <v>145</v>
      </c>
      <c r="G217" t="s">
        <v>183</v>
      </c>
      <c r="H217" t="s">
        <v>89</v>
      </c>
      <c r="I217">
        <v>1</v>
      </c>
      <c r="J217">
        <v>244.01</v>
      </c>
      <c r="K217">
        <v>0.05</v>
      </c>
      <c r="L217" t="s">
        <v>106</v>
      </c>
      <c r="M217">
        <v>6</v>
      </c>
      <c r="N217" t="s">
        <v>147</v>
      </c>
      <c r="O217" t="s">
        <v>89</v>
      </c>
      <c r="P217" t="s">
        <v>244</v>
      </c>
      <c r="Q217" t="s">
        <v>466</v>
      </c>
      <c r="R217" t="s">
        <v>145</v>
      </c>
      <c r="S217" t="s">
        <v>106</v>
      </c>
      <c r="T217">
        <v>1</v>
      </c>
      <c r="U217" t="s">
        <v>1340</v>
      </c>
      <c r="V217" t="s">
        <v>1247</v>
      </c>
      <c r="W217" t="s">
        <v>1245</v>
      </c>
      <c r="X217" t="s">
        <v>1188</v>
      </c>
      <c r="Y217" t="s">
        <v>1180</v>
      </c>
      <c r="Z217">
        <v>131.19</v>
      </c>
      <c r="AA217">
        <v>244.01</v>
      </c>
      <c r="AB217">
        <v>12.2005</v>
      </c>
      <c r="AC217">
        <v>231.80949999999999</v>
      </c>
      <c r="AD217">
        <v>131.19</v>
      </c>
      <c r="AE217">
        <v>100.61949999999999</v>
      </c>
      <c r="AF217">
        <v>0.4340611579767007</v>
      </c>
      <c r="AG217">
        <v>2025</v>
      </c>
      <c r="AH217">
        <v>8</v>
      </c>
      <c r="AI217" t="s">
        <v>1417</v>
      </c>
      <c r="AJ217" t="s">
        <v>1418</v>
      </c>
      <c r="AK217" t="s">
        <v>1240</v>
      </c>
      <c r="AL217">
        <v>1</v>
      </c>
    </row>
    <row r="218" spans="1:38">
      <c r="A218" t="s">
        <v>767</v>
      </c>
      <c r="B218" s="13">
        <v>45878</v>
      </c>
      <c r="C218" t="s">
        <v>197</v>
      </c>
      <c r="D218" t="s">
        <v>136</v>
      </c>
      <c r="E218" t="s">
        <v>768</v>
      </c>
      <c r="F218" t="s">
        <v>116</v>
      </c>
      <c r="G218" t="s">
        <v>104</v>
      </c>
      <c r="H218" t="s">
        <v>105</v>
      </c>
      <c r="I218">
        <v>2</v>
      </c>
      <c r="J218">
        <v>164.5</v>
      </c>
      <c r="K218">
        <v>0</v>
      </c>
      <c r="L218" t="s">
        <v>90</v>
      </c>
      <c r="M218">
        <v>2</v>
      </c>
      <c r="N218" t="s">
        <v>91</v>
      </c>
      <c r="O218" t="s">
        <v>105</v>
      </c>
      <c r="P218" t="s">
        <v>136</v>
      </c>
      <c r="Q218" t="s">
        <v>197</v>
      </c>
      <c r="R218" t="s">
        <v>116</v>
      </c>
      <c r="S218" t="s">
        <v>369</v>
      </c>
      <c r="T218">
        <v>1</v>
      </c>
      <c r="U218" t="s">
        <v>1337</v>
      </c>
      <c r="V218" t="s">
        <v>1257</v>
      </c>
      <c r="W218" t="s">
        <v>1241</v>
      </c>
      <c r="X218" t="s">
        <v>1184</v>
      </c>
      <c r="Y218" t="s">
        <v>1180</v>
      </c>
      <c r="Z218">
        <v>106.4</v>
      </c>
      <c r="AA218">
        <v>329</v>
      </c>
      <c r="AB218">
        <v>0</v>
      </c>
      <c r="AC218">
        <v>329</v>
      </c>
      <c r="AD218">
        <v>212.8</v>
      </c>
      <c r="AE218">
        <v>116.19999999999999</v>
      </c>
      <c r="AF218">
        <v>0.35319148936170208</v>
      </c>
      <c r="AG218">
        <v>2025</v>
      </c>
      <c r="AH218">
        <v>8</v>
      </c>
      <c r="AI218" t="s">
        <v>1417</v>
      </c>
      <c r="AJ218" t="s">
        <v>1418</v>
      </c>
      <c r="AK218" t="s">
        <v>1258</v>
      </c>
      <c r="AL218">
        <v>0</v>
      </c>
    </row>
    <row r="219" spans="1:38">
      <c r="A219" t="s">
        <v>776</v>
      </c>
      <c r="B219" s="13">
        <v>45825</v>
      </c>
      <c r="C219" t="s">
        <v>356</v>
      </c>
      <c r="D219" t="s">
        <v>181</v>
      </c>
      <c r="E219" t="s">
        <v>357</v>
      </c>
      <c r="F219" t="s">
        <v>116</v>
      </c>
      <c r="G219" t="s">
        <v>117</v>
      </c>
      <c r="H219" t="s">
        <v>89</v>
      </c>
      <c r="I219">
        <v>2</v>
      </c>
      <c r="J219">
        <v>364.57</v>
      </c>
      <c r="K219">
        <v>0.15</v>
      </c>
      <c r="M219">
        <v>1</v>
      </c>
      <c r="N219" t="s">
        <v>91</v>
      </c>
      <c r="O219" t="s">
        <v>89</v>
      </c>
      <c r="P219" t="s">
        <v>181</v>
      </c>
      <c r="Q219" t="s">
        <v>356</v>
      </c>
      <c r="R219" t="s">
        <v>116</v>
      </c>
      <c r="S219" t="s">
        <v>1413</v>
      </c>
      <c r="T219">
        <v>1</v>
      </c>
      <c r="U219" t="s">
        <v>1253</v>
      </c>
      <c r="V219" t="s">
        <v>1249</v>
      </c>
      <c r="W219" t="s">
        <v>1237</v>
      </c>
      <c r="X219" t="s">
        <v>1190</v>
      </c>
      <c r="Y219" t="s">
        <v>1180</v>
      </c>
      <c r="Z219">
        <v>224.47</v>
      </c>
      <c r="AA219">
        <v>729.14</v>
      </c>
      <c r="AB219">
        <v>109.371</v>
      </c>
      <c r="AC219">
        <v>619.76900000000001</v>
      </c>
      <c r="AD219">
        <v>448.94</v>
      </c>
      <c r="AE219">
        <v>170.82900000000001</v>
      </c>
      <c r="AF219">
        <v>0.27563334080923702</v>
      </c>
      <c r="AG219">
        <v>2025</v>
      </c>
      <c r="AH219">
        <v>6</v>
      </c>
      <c r="AI219" t="s">
        <v>1429</v>
      </c>
      <c r="AJ219" t="s">
        <v>1420</v>
      </c>
      <c r="AK219" t="s">
        <v>1250</v>
      </c>
      <c r="AL219">
        <v>0</v>
      </c>
    </row>
    <row r="220" spans="1:38">
      <c r="A220" t="s">
        <v>779</v>
      </c>
      <c r="B220" s="13">
        <v>45664</v>
      </c>
      <c r="C220" t="s">
        <v>438</v>
      </c>
      <c r="D220" t="s">
        <v>152</v>
      </c>
      <c r="E220" t="s">
        <v>439</v>
      </c>
      <c r="F220" t="s">
        <v>116</v>
      </c>
      <c r="G220" t="s">
        <v>130</v>
      </c>
      <c r="H220" t="s">
        <v>89</v>
      </c>
      <c r="I220">
        <v>1</v>
      </c>
      <c r="J220">
        <v>137</v>
      </c>
      <c r="K220">
        <v>0.15</v>
      </c>
      <c r="L220" t="s">
        <v>98</v>
      </c>
      <c r="M220">
        <v>1</v>
      </c>
      <c r="N220" t="s">
        <v>91</v>
      </c>
      <c r="O220" t="s">
        <v>89</v>
      </c>
      <c r="P220" t="s">
        <v>152</v>
      </c>
      <c r="Q220" t="s">
        <v>438</v>
      </c>
      <c r="R220" t="s">
        <v>116</v>
      </c>
      <c r="S220" t="s">
        <v>98</v>
      </c>
      <c r="T220">
        <v>1</v>
      </c>
      <c r="U220" t="s">
        <v>1278</v>
      </c>
      <c r="V220" t="s">
        <v>1257</v>
      </c>
      <c r="W220" t="s">
        <v>1237</v>
      </c>
      <c r="X220" t="s">
        <v>1191</v>
      </c>
      <c r="Y220" t="s">
        <v>1180</v>
      </c>
      <c r="Z220">
        <v>69</v>
      </c>
      <c r="AA220">
        <v>137</v>
      </c>
      <c r="AB220">
        <v>20.55</v>
      </c>
      <c r="AC220">
        <v>116.45</v>
      </c>
      <c r="AD220">
        <v>69</v>
      </c>
      <c r="AE220">
        <v>47.45</v>
      </c>
      <c r="AF220">
        <v>0.40747101760412197</v>
      </c>
      <c r="AG220">
        <v>2025</v>
      </c>
      <c r="AH220">
        <v>1</v>
      </c>
      <c r="AI220" t="s">
        <v>1425</v>
      </c>
      <c r="AJ220" t="s">
        <v>1424</v>
      </c>
      <c r="AK220" t="s">
        <v>1258</v>
      </c>
      <c r="AL220">
        <v>0</v>
      </c>
    </row>
    <row r="221" spans="1:38">
      <c r="A221" t="s">
        <v>781</v>
      </c>
      <c r="B221" s="13">
        <v>45939</v>
      </c>
      <c r="C221" t="s">
        <v>216</v>
      </c>
      <c r="D221" t="s">
        <v>244</v>
      </c>
      <c r="E221" t="s">
        <v>218</v>
      </c>
      <c r="F221" t="s">
        <v>87</v>
      </c>
      <c r="G221" t="s">
        <v>96</v>
      </c>
      <c r="H221" t="s">
        <v>89</v>
      </c>
      <c r="I221">
        <v>1</v>
      </c>
      <c r="J221">
        <v>243.13</v>
      </c>
      <c r="K221">
        <v>0</v>
      </c>
      <c r="L221" t="s">
        <v>90</v>
      </c>
      <c r="M221">
        <v>5</v>
      </c>
      <c r="N221" t="s">
        <v>91</v>
      </c>
      <c r="O221" t="s">
        <v>89</v>
      </c>
      <c r="P221" t="s">
        <v>244</v>
      </c>
      <c r="Q221" t="s">
        <v>216</v>
      </c>
      <c r="R221" t="s">
        <v>87</v>
      </c>
      <c r="S221" t="s">
        <v>369</v>
      </c>
      <c r="T221">
        <v>1</v>
      </c>
      <c r="U221" t="s">
        <v>1253</v>
      </c>
      <c r="V221" t="s">
        <v>1260</v>
      </c>
      <c r="W221" t="s">
        <v>1237</v>
      </c>
      <c r="X221" t="s">
        <v>1188</v>
      </c>
      <c r="Y221" t="s">
        <v>1180</v>
      </c>
      <c r="Z221">
        <v>131.19</v>
      </c>
      <c r="AA221">
        <v>243.13</v>
      </c>
      <c r="AB221">
        <v>0</v>
      </c>
      <c r="AC221">
        <v>243.13</v>
      </c>
      <c r="AD221">
        <v>131.19</v>
      </c>
      <c r="AE221">
        <v>111.94</v>
      </c>
      <c r="AF221">
        <v>0.46041212520051</v>
      </c>
      <c r="AG221">
        <v>2025</v>
      </c>
      <c r="AH221">
        <v>10</v>
      </c>
      <c r="AI221" t="s">
        <v>1431</v>
      </c>
      <c r="AJ221" t="s">
        <v>1427</v>
      </c>
      <c r="AK221" t="s">
        <v>1240</v>
      </c>
      <c r="AL221">
        <v>0</v>
      </c>
    </row>
    <row r="222" spans="1:38">
      <c r="A222" t="s">
        <v>784</v>
      </c>
      <c r="B222" s="13">
        <v>45877</v>
      </c>
      <c r="C222" t="s">
        <v>472</v>
      </c>
      <c r="D222" t="s">
        <v>136</v>
      </c>
      <c r="E222" t="s">
        <v>473</v>
      </c>
      <c r="F222" t="s">
        <v>116</v>
      </c>
      <c r="G222" t="s">
        <v>130</v>
      </c>
      <c r="H222" t="s">
        <v>89</v>
      </c>
      <c r="I222">
        <v>3</v>
      </c>
      <c r="J222">
        <v>165.26</v>
      </c>
      <c r="K222">
        <v>0.05</v>
      </c>
      <c r="L222" t="s">
        <v>106</v>
      </c>
      <c r="M222">
        <v>1</v>
      </c>
      <c r="N222" t="s">
        <v>91</v>
      </c>
      <c r="O222" t="s">
        <v>89</v>
      </c>
      <c r="P222" t="s">
        <v>136</v>
      </c>
      <c r="Q222" t="s">
        <v>472</v>
      </c>
      <c r="R222" t="s">
        <v>116</v>
      </c>
      <c r="S222" t="s">
        <v>106</v>
      </c>
      <c r="T222">
        <v>1</v>
      </c>
      <c r="U222" t="s">
        <v>1267</v>
      </c>
      <c r="V222" t="s">
        <v>1247</v>
      </c>
      <c r="W222" t="s">
        <v>1241</v>
      </c>
      <c r="X222" t="s">
        <v>1184</v>
      </c>
      <c r="Y222" t="s">
        <v>1180</v>
      </c>
      <c r="Z222">
        <v>106.4</v>
      </c>
      <c r="AA222">
        <v>495.78</v>
      </c>
      <c r="AB222">
        <v>24.789000000000001</v>
      </c>
      <c r="AC222">
        <v>470.99099999999999</v>
      </c>
      <c r="AD222">
        <v>319.20000000000005</v>
      </c>
      <c r="AE222">
        <v>151.79099999999994</v>
      </c>
      <c r="AF222">
        <v>0.32228004356771139</v>
      </c>
      <c r="AG222">
        <v>2025</v>
      </c>
      <c r="AH222">
        <v>8</v>
      </c>
      <c r="AI222" t="s">
        <v>1417</v>
      </c>
      <c r="AJ222" t="s">
        <v>1418</v>
      </c>
      <c r="AK222" t="s">
        <v>1240</v>
      </c>
      <c r="AL222">
        <v>0</v>
      </c>
    </row>
    <row r="223" spans="1:38">
      <c r="A223" t="s">
        <v>788</v>
      </c>
      <c r="B223" s="13">
        <v>45816</v>
      </c>
      <c r="C223" t="s">
        <v>197</v>
      </c>
      <c r="D223" t="s">
        <v>217</v>
      </c>
      <c r="E223" t="s">
        <v>198</v>
      </c>
      <c r="F223" t="s">
        <v>145</v>
      </c>
      <c r="G223" t="s">
        <v>183</v>
      </c>
      <c r="H223" t="s">
        <v>97</v>
      </c>
      <c r="I223">
        <v>3</v>
      </c>
      <c r="J223">
        <v>111.59</v>
      </c>
      <c r="K223">
        <v>0.05</v>
      </c>
      <c r="L223" t="s">
        <v>98</v>
      </c>
      <c r="M223">
        <v>1</v>
      </c>
      <c r="N223" t="s">
        <v>147</v>
      </c>
      <c r="O223" t="s">
        <v>97</v>
      </c>
      <c r="P223" t="s">
        <v>217</v>
      </c>
      <c r="Q223" t="s">
        <v>197</v>
      </c>
      <c r="R223" t="s">
        <v>145</v>
      </c>
      <c r="S223" t="s">
        <v>98</v>
      </c>
      <c r="T223">
        <v>1</v>
      </c>
      <c r="U223" t="s">
        <v>1337</v>
      </c>
      <c r="V223" t="s">
        <v>1257</v>
      </c>
      <c r="W223" t="s">
        <v>1241</v>
      </c>
      <c r="X223" t="s">
        <v>1189</v>
      </c>
      <c r="Y223" t="s">
        <v>1180</v>
      </c>
      <c r="Z223">
        <v>72</v>
      </c>
      <c r="AA223">
        <v>334.77</v>
      </c>
      <c r="AB223">
        <v>16.738499999999998</v>
      </c>
      <c r="AC223">
        <v>318.03149999999999</v>
      </c>
      <c r="AD223">
        <v>216</v>
      </c>
      <c r="AE223">
        <v>102.03149999999999</v>
      </c>
      <c r="AF223">
        <v>0.32082199404775941</v>
      </c>
      <c r="AG223">
        <v>2025</v>
      </c>
      <c r="AH223">
        <v>6</v>
      </c>
      <c r="AI223" t="s">
        <v>1429</v>
      </c>
      <c r="AJ223" t="s">
        <v>1420</v>
      </c>
      <c r="AK223" t="s">
        <v>1258</v>
      </c>
      <c r="AL223">
        <v>1</v>
      </c>
    </row>
    <row r="224" spans="1:38">
      <c r="A224" t="s">
        <v>796</v>
      </c>
      <c r="B224" s="13">
        <v>45891</v>
      </c>
      <c r="C224" t="s">
        <v>548</v>
      </c>
      <c r="D224" t="s">
        <v>190</v>
      </c>
      <c r="E224" t="s">
        <v>585</v>
      </c>
      <c r="F224" t="s">
        <v>145</v>
      </c>
      <c r="G224" t="s">
        <v>104</v>
      </c>
      <c r="H224" t="s">
        <v>97</v>
      </c>
      <c r="I224">
        <v>3</v>
      </c>
      <c r="J224">
        <v>277.93</v>
      </c>
      <c r="K224">
        <v>0.05</v>
      </c>
      <c r="M224">
        <v>2</v>
      </c>
      <c r="N224" t="s">
        <v>91</v>
      </c>
      <c r="O224" t="s">
        <v>97</v>
      </c>
      <c r="P224" t="s">
        <v>190</v>
      </c>
      <c r="Q224" t="s">
        <v>548</v>
      </c>
      <c r="R224" t="s">
        <v>145</v>
      </c>
      <c r="S224" t="s">
        <v>1413</v>
      </c>
      <c r="T224">
        <v>1</v>
      </c>
      <c r="U224" t="s">
        <v>1342</v>
      </c>
      <c r="V224" t="s">
        <v>1247</v>
      </c>
      <c r="W224" t="s">
        <v>1241</v>
      </c>
      <c r="X224" t="s">
        <v>1186</v>
      </c>
      <c r="Y224" t="s">
        <v>1180</v>
      </c>
      <c r="Z224">
        <v>154.72999999999999</v>
      </c>
      <c r="AA224">
        <v>833.79</v>
      </c>
      <c r="AB224">
        <v>41.689500000000002</v>
      </c>
      <c r="AC224">
        <v>792.10050000000001</v>
      </c>
      <c r="AD224">
        <v>464.18999999999994</v>
      </c>
      <c r="AE224">
        <v>327.91050000000007</v>
      </c>
      <c r="AF224">
        <v>0.41397587806092795</v>
      </c>
      <c r="AG224">
        <v>2025</v>
      </c>
      <c r="AH224">
        <v>8</v>
      </c>
      <c r="AI224" t="s">
        <v>1417</v>
      </c>
      <c r="AJ224" t="s">
        <v>1418</v>
      </c>
      <c r="AK224" t="s">
        <v>1240</v>
      </c>
      <c r="AL224">
        <v>0</v>
      </c>
    </row>
    <row r="225" spans="1:38">
      <c r="A225" t="s">
        <v>798</v>
      </c>
      <c r="B225" s="13">
        <v>45719</v>
      </c>
      <c r="C225" t="s">
        <v>279</v>
      </c>
      <c r="D225" t="s">
        <v>217</v>
      </c>
      <c r="E225" t="s">
        <v>280</v>
      </c>
      <c r="F225" t="s">
        <v>103</v>
      </c>
      <c r="G225" t="s">
        <v>96</v>
      </c>
      <c r="H225" t="s">
        <v>89</v>
      </c>
      <c r="I225">
        <v>3</v>
      </c>
      <c r="J225">
        <v>102</v>
      </c>
      <c r="K225">
        <v>0</v>
      </c>
      <c r="L225" t="s">
        <v>90</v>
      </c>
      <c r="M225">
        <v>8</v>
      </c>
      <c r="N225" t="s">
        <v>91</v>
      </c>
      <c r="O225" t="s">
        <v>89</v>
      </c>
      <c r="P225" t="s">
        <v>217</v>
      </c>
      <c r="Q225" t="s">
        <v>279</v>
      </c>
      <c r="R225" t="s">
        <v>103</v>
      </c>
      <c r="S225" t="s">
        <v>369</v>
      </c>
      <c r="T225">
        <v>1</v>
      </c>
      <c r="U225" t="s">
        <v>1317</v>
      </c>
      <c r="V225" t="s">
        <v>1243</v>
      </c>
      <c r="W225" t="s">
        <v>1237</v>
      </c>
      <c r="X225" t="s">
        <v>1189</v>
      </c>
      <c r="Y225" t="s">
        <v>1180</v>
      </c>
      <c r="Z225">
        <v>72</v>
      </c>
      <c r="AA225">
        <v>306</v>
      </c>
      <c r="AB225">
        <v>0</v>
      </c>
      <c r="AC225">
        <v>306</v>
      </c>
      <c r="AD225">
        <v>216</v>
      </c>
      <c r="AE225">
        <v>90</v>
      </c>
      <c r="AF225">
        <v>0.29411764705882354</v>
      </c>
      <c r="AG225">
        <v>2025</v>
      </c>
      <c r="AH225">
        <v>3</v>
      </c>
      <c r="AI225" t="s">
        <v>1423</v>
      </c>
      <c r="AJ225" t="s">
        <v>1424</v>
      </c>
      <c r="AK225" t="s">
        <v>1244</v>
      </c>
      <c r="AL225">
        <v>0</v>
      </c>
    </row>
    <row r="226" spans="1:38">
      <c r="A226" t="s">
        <v>801</v>
      </c>
      <c r="B226" s="13">
        <v>45947</v>
      </c>
      <c r="C226" t="s">
        <v>268</v>
      </c>
      <c r="D226" t="s">
        <v>181</v>
      </c>
      <c r="E226" t="s">
        <v>269</v>
      </c>
      <c r="F226" t="s">
        <v>145</v>
      </c>
      <c r="G226" t="s">
        <v>104</v>
      </c>
      <c r="H226" t="s">
        <v>105</v>
      </c>
      <c r="I226">
        <v>2</v>
      </c>
      <c r="J226">
        <v>369.15</v>
      </c>
      <c r="K226">
        <v>0</v>
      </c>
      <c r="L226" t="s">
        <v>90</v>
      </c>
      <c r="M226">
        <v>2</v>
      </c>
      <c r="N226" t="s">
        <v>91</v>
      </c>
      <c r="O226" t="s">
        <v>105</v>
      </c>
      <c r="P226" t="s">
        <v>181</v>
      </c>
      <c r="Q226" t="s">
        <v>268</v>
      </c>
      <c r="R226" t="s">
        <v>145</v>
      </c>
      <c r="S226" t="s">
        <v>369</v>
      </c>
      <c r="T226">
        <v>1</v>
      </c>
      <c r="U226" t="s">
        <v>1295</v>
      </c>
      <c r="V226" t="s">
        <v>1243</v>
      </c>
      <c r="W226" t="s">
        <v>1241</v>
      </c>
      <c r="X226" t="s">
        <v>1190</v>
      </c>
      <c r="Y226" t="s">
        <v>1180</v>
      </c>
      <c r="Z226">
        <v>224.47</v>
      </c>
      <c r="AA226">
        <v>738.3</v>
      </c>
      <c r="AB226">
        <v>0</v>
      </c>
      <c r="AC226">
        <v>738.3</v>
      </c>
      <c r="AD226">
        <v>448.94</v>
      </c>
      <c r="AE226">
        <v>289.35999999999996</v>
      </c>
      <c r="AF226">
        <v>0.39192740078558846</v>
      </c>
      <c r="AG226">
        <v>2025</v>
      </c>
      <c r="AH226">
        <v>10</v>
      </c>
      <c r="AI226" t="s">
        <v>1431</v>
      </c>
      <c r="AJ226" t="s">
        <v>1427</v>
      </c>
      <c r="AK226" t="s">
        <v>1244</v>
      </c>
      <c r="AL226">
        <v>0</v>
      </c>
    </row>
    <row r="227" spans="1:38">
      <c r="A227" t="s">
        <v>807</v>
      </c>
      <c r="B227" s="13">
        <v>46009</v>
      </c>
      <c r="C227" t="s">
        <v>185</v>
      </c>
      <c r="D227" t="s">
        <v>217</v>
      </c>
      <c r="E227" t="s">
        <v>186</v>
      </c>
      <c r="F227" t="s">
        <v>111</v>
      </c>
      <c r="G227" t="s">
        <v>117</v>
      </c>
      <c r="H227" t="s">
        <v>89</v>
      </c>
      <c r="I227">
        <v>1</v>
      </c>
      <c r="J227">
        <v>103.33</v>
      </c>
      <c r="K227">
        <v>0.1</v>
      </c>
      <c r="L227" t="s">
        <v>98</v>
      </c>
      <c r="M227">
        <v>9</v>
      </c>
      <c r="N227" t="s">
        <v>91</v>
      </c>
      <c r="O227" t="s">
        <v>89</v>
      </c>
      <c r="P227" t="s">
        <v>217</v>
      </c>
      <c r="Q227" t="s">
        <v>185</v>
      </c>
      <c r="R227" t="s">
        <v>111</v>
      </c>
      <c r="S227" t="s">
        <v>98</v>
      </c>
      <c r="T227">
        <v>1</v>
      </c>
      <c r="U227" t="s">
        <v>1289</v>
      </c>
      <c r="V227" t="s">
        <v>1239</v>
      </c>
      <c r="W227" t="s">
        <v>1245</v>
      </c>
      <c r="X227" t="s">
        <v>1189</v>
      </c>
      <c r="Y227" t="s">
        <v>1180</v>
      </c>
      <c r="Z227">
        <v>72</v>
      </c>
      <c r="AA227">
        <v>103.33</v>
      </c>
      <c r="AB227">
        <v>10.333</v>
      </c>
      <c r="AC227">
        <v>92.997</v>
      </c>
      <c r="AD227">
        <v>72</v>
      </c>
      <c r="AE227">
        <v>20.997</v>
      </c>
      <c r="AF227">
        <v>0.22578147682183297</v>
      </c>
      <c r="AG227">
        <v>2025</v>
      </c>
      <c r="AH227">
        <v>12</v>
      </c>
      <c r="AI227" t="s">
        <v>1428</v>
      </c>
      <c r="AJ227" t="s">
        <v>1427</v>
      </c>
      <c r="AK227" t="s">
        <v>1240</v>
      </c>
      <c r="AL227">
        <v>0</v>
      </c>
    </row>
    <row r="228" spans="1:38">
      <c r="A228" t="s">
        <v>808</v>
      </c>
      <c r="B228" s="13">
        <v>45911</v>
      </c>
      <c r="C228" t="s">
        <v>809</v>
      </c>
      <c r="D228" t="s">
        <v>136</v>
      </c>
      <c r="E228" t="s">
        <v>810</v>
      </c>
      <c r="F228" t="s">
        <v>111</v>
      </c>
      <c r="G228" t="s">
        <v>122</v>
      </c>
      <c r="H228" t="s">
        <v>97</v>
      </c>
      <c r="I228">
        <v>1</v>
      </c>
      <c r="J228">
        <v>153.69999999999999</v>
      </c>
      <c r="K228">
        <v>0.05</v>
      </c>
      <c r="L228" t="s">
        <v>106</v>
      </c>
      <c r="M228">
        <v>1</v>
      </c>
      <c r="N228" t="s">
        <v>91</v>
      </c>
      <c r="O228" t="s">
        <v>97</v>
      </c>
      <c r="P228" t="s">
        <v>136</v>
      </c>
      <c r="Q228" t="s">
        <v>809</v>
      </c>
      <c r="R228" t="s">
        <v>111</v>
      </c>
      <c r="S228" t="s">
        <v>106</v>
      </c>
      <c r="T228">
        <v>1</v>
      </c>
      <c r="U228" t="s">
        <v>1299</v>
      </c>
      <c r="V228" t="s">
        <v>1247</v>
      </c>
      <c r="W228" t="s">
        <v>1237</v>
      </c>
      <c r="X228" t="s">
        <v>1184</v>
      </c>
      <c r="Y228" t="s">
        <v>1180</v>
      </c>
      <c r="Z228">
        <v>106.4</v>
      </c>
      <c r="AA228">
        <v>153.69999999999999</v>
      </c>
      <c r="AB228">
        <v>7.6849999999999996</v>
      </c>
      <c r="AC228">
        <v>146.01499999999999</v>
      </c>
      <c r="AD228">
        <v>106.4</v>
      </c>
      <c r="AE228">
        <v>39.614999999999981</v>
      </c>
      <c r="AF228">
        <v>0.27130774235523736</v>
      </c>
      <c r="AG228">
        <v>2025</v>
      </c>
      <c r="AH228">
        <v>9</v>
      </c>
      <c r="AI228" t="s">
        <v>1432</v>
      </c>
      <c r="AJ228" t="s">
        <v>1418</v>
      </c>
      <c r="AK228" t="s">
        <v>1240</v>
      </c>
      <c r="AL228">
        <v>0</v>
      </c>
    </row>
    <row r="229" spans="1:38">
      <c r="A229" t="s">
        <v>816</v>
      </c>
      <c r="B229" s="13">
        <v>45786</v>
      </c>
      <c r="C229" t="s">
        <v>487</v>
      </c>
      <c r="D229" t="s">
        <v>277</v>
      </c>
      <c r="E229" t="s">
        <v>806</v>
      </c>
      <c r="F229" t="s">
        <v>103</v>
      </c>
      <c r="G229" t="s">
        <v>117</v>
      </c>
      <c r="H229" t="s">
        <v>97</v>
      </c>
      <c r="I229">
        <v>4</v>
      </c>
      <c r="J229">
        <v>392.12</v>
      </c>
      <c r="K229">
        <v>0.2</v>
      </c>
      <c r="L229" t="s">
        <v>90</v>
      </c>
      <c r="M229">
        <v>1</v>
      </c>
      <c r="N229" t="s">
        <v>91</v>
      </c>
      <c r="O229" t="s">
        <v>97</v>
      </c>
      <c r="P229" t="s">
        <v>277</v>
      </c>
      <c r="Q229" t="s">
        <v>487</v>
      </c>
      <c r="R229" t="s">
        <v>103</v>
      </c>
      <c r="S229" t="s">
        <v>369</v>
      </c>
      <c r="T229">
        <v>1</v>
      </c>
      <c r="U229" t="s">
        <v>1347</v>
      </c>
      <c r="V229" t="s">
        <v>1249</v>
      </c>
      <c r="W229" t="s">
        <v>1237</v>
      </c>
      <c r="X229" t="s">
        <v>1179</v>
      </c>
      <c r="Y229" t="s">
        <v>1180</v>
      </c>
      <c r="Z229">
        <v>254.6</v>
      </c>
      <c r="AA229">
        <v>1568.48</v>
      </c>
      <c r="AB229">
        <v>313.69600000000003</v>
      </c>
      <c r="AC229">
        <v>1254.7840000000001</v>
      </c>
      <c r="AD229">
        <v>1018.4</v>
      </c>
      <c r="AE229">
        <v>236.38400000000013</v>
      </c>
      <c r="AF229">
        <v>0.18838620830358063</v>
      </c>
      <c r="AG229">
        <v>2025</v>
      </c>
      <c r="AH229">
        <v>5</v>
      </c>
      <c r="AI229" t="s">
        <v>1419</v>
      </c>
      <c r="AJ229" t="s">
        <v>1420</v>
      </c>
      <c r="AK229" t="s">
        <v>1250</v>
      </c>
      <c r="AL229">
        <v>0</v>
      </c>
    </row>
    <row r="230" spans="1:38">
      <c r="A230" t="s">
        <v>829</v>
      </c>
      <c r="B230" s="13">
        <v>45988</v>
      </c>
      <c r="C230" t="s">
        <v>706</v>
      </c>
      <c r="D230" t="s">
        <v>136</v>
      </c>
      <c r="E230" t="s">
        <v>707</v>
      </c>
      <c r="F230" t="s">
        <v>87</v>
      </c>
      <c r="G230" t="s">
        <v>183</v>
      </c>
      <c r="H230" t="s">
        <v>89</v>
      </c>
      <c r="I230">
        <v>2</v>
      </c>
      <c r="J230">
        <v>151.38999999999999</v>
      </c>
      <c r="K230">
        <v>0.15</v>
      </c>
      <c r="L230" t="s">
        <v>106</v>
      </c>
      <c r="M230">
        <v>1</v>
      </c>
      <c r="N230" t="s">
        <v>91</v>
      </c>
      <c r="O230" t="s">
        <v>89</v>
      </c>
      <c r="P230" t="s">
        <v>136</v>
      </c>
      <c r="Q230" t="s">
        <v>706</v>
      </c>
      <c r="R230" t="s">
        <v>87</v>
      </c>
      <c r="S230" t="s">
        <v>106</v>
      </c>
      <c r="T230">
        <v>1</v>
      </c>
      <c r="U230" t="s">
        <v>1251</v>
      </c>
      <c r="V230" t="s">
        <v>1247</v>
      </c>
      <c r="W230" t="s">
        <v>1237</v>
      </c>
      <c r="X230" t="s">
        <v>1184</v>
      </c>
      <c r="Y230" t="s">
        <v>1180</v>
      </c>
      <c r="Z230">
        <v>106.4</v>
      </c>
      <c r="AA230">
        <v>302.77999999999997</v>
      </c>
      <c r="AB230">
        <v>45.416999999999994</v>
      </c>
      <c r="AC230">
        <v>257.363</v>
      </c>
      <c r="AD230">
        <v>212.8</v>
      </c>
      <c r="AE230">
        <v>44.562999999999988</v>
      </c>
      <c r="AF230">
        <v>0.17315231793225905</v>
      </c>
      <c r="AG230">
        <v>2025</v>
      </c>
      <c r="AH230">
        <v>11</v>
      </c>
      <c r="AI230" t="s">
        <v>1426</v>
      </c>
      <c r="AJ230" t="s">
        <v>1427</v>
      </c>
      <c r="AK230" t="s">
        <v>1240</v>
      </c>
      <c r="AL230">
        <v>0</v>
      </c>
    </row>
    <row r="231" spans="1:38">
      <c r="A231" t="s">
        <v>856</v>
      </c>
      <c r="B231" s="13">
        <v>45840</v>
      </c>
      <c r="C231" t="s">
        <v>472</v>
      </c>
      <c r="D231" t="s">
        <v>277</v>
      </c>
      <c r="E231" t="s">
        <v>473</v>
      </c>
      <c r="F231" t="s">
        <v>87</v>
      </c>
      <c r="G231" t="s">
        <v>130</v>
      </c>
      <c r="H231" t="s">
        <v>89</v>
      </c>
      <c r="I231">
        <v>2</v>
      </c>
      <c r="J231">
        <v>351.69</v>
      </c>
      <c r="K231">
        <v>0</v>
      </c>
      <c r="L231" t="s">
        <v>106</v>
      </c>
      <c r="M231">
        <v>2</v>
      </c>
      <c r="N231" t="s">
        <v>91</v>
      </c>
      <c r="O231" t="s">
        <v>89</v>
      </c>
      <c r="P231" t="s">
        <v>277</v>
      </c>
      <c r="Q231" t="s">
        <v>472</v>
      </c>
      <c r="R231" t="s">
        <v>87</v>
      </c>
      <c r="S231" t="s">
        <v>106</v>
      </c>
      <c r="T231">
        <v>1</v>
      </c>
      <c r="U231" t="s">
        <v>1267</v>
      </c>
      <c r="V231" t="s">
        <v>1247</v>
      </c>
      <c r="W231" t="s">
        <v>1241</v>
      </c>
      <c r="X231" t="s">
        <v>1179</v>
      </c>
      <c r="Y231" t="s">
        <v>1180</v>
      </c>
      <c r="Z231">
        <v>254.6</v>
      </c>
      <c r="AA231">
        <v>703.38</v>
      </c>
      <c r="AB231">
        <v>0</v>
      </c>
      <c r="AC231">
        <v>703.38</v>
      </c>
      <c r="AD231">
        <v>509.2</v>
      </c>
      <c r="AE231">
        <v>194.18</v>
      </c>
      <c r="AF231">
        <v>0.27606699081577529</v>
      </c>
      <c r="AG231">
        <v>2025</v>
      </c>
      <c r="AH231">
        <v>7</v>
      </c>
      <c r="AI231" t="s">
        <v>1422</v>
      </c>
      <c r="AJ231" t="s">
        <v>1418</v>
      </c>
      <c r="AK231" t="s">
        <v>1240</v>
      </c>
      <c r="AL231">
        <v>0</v>
      </c>
    </row>
    <row r="232" spans="1:38">
      <c r="A232" t="s">
        <v>859</v>
      </c>
      <c r="B232" s="13">
        <v>46004</v>
      </c>
      <c r="C232" t="s">
        <v>610</v>
      </c>
      <c r="D232" t="s">
        <v>190</v>
      </c>
      <c r="E232" t="s">
        <v>611</v>
      </c>
      <c r="F232" t="s">
        <v>145</v>
      </c>
      <c r="G232" t="s">
        <v>183</v>
      </c>
      <c r="H232" t="s">
        <v>89</v>
      </c>
      <c r="I232">
        <v>1</v>
      </c>
      <c r="J232">
        <v>273.05</v>
      </c>
      <c r="K232">
        <v>0</v>
      </c>
      <c r="L232" t="s">
        <v>106</v>
      </c>
      <c r="M232">
        <v>2</v>
      </c>
      <c r="N232" t="s">
        <v>147</v>
      </c>
      <c r="O232" t="s">
        <v>89</v>
      </c>
      <c r="P232" t="s">
        <v>190</v>
      </c>
      <c r="Q232" t="s">
        <v>610</v>
      </c>
      <c r="R232" t="s">
        <v>145</v>
      </c>
      <c r="S232" t="s">
        <v>106</v>
      </c>
      <c r="T232">
        <v>1</v>
      </c>
      <c r="U232" t="s">
        <v>1304</v>
      </c>
      <c r="V232" t="s">
        <v>1297</v>
      </c>
      <c r="W232" t="s">
        <v>1241</v>
      </c>
      <c r="X232" t="s">
        <v>1186</v>
      </c>
      <c r="Y232" t="s">
        <v>1180</v>
      </c>
      <c r="Z232">
        <v>154.72999999999999</v>
      </c>
      <c r="AA232">
        <v>273.05</v>
      </c>
      <c r="AB232">
        <v>0</v>
      </c>
      <c r="AC232">
        <v>273.05</v>
      </c>
      <c r="AD232">
        <v>154.72999999999999</v>
      </c>
      <c r="AE232">
        <v>118.32000000000002</v>
      </c>
      <c r="AF232">
        <v>0.43332722944515661</v>
      </c>
      <c r="AG232">
        <v>2025</v>
      </c>
      <c r="AH232">
        <v>12</v>
      </c>
      <c r="AI232" t="s">
        <v>1428</v>
      </c>
      <c r="AJ232" t="s">
        <v>1427</v>
      </c>
      <c r="AK232" t="s">
        <v>1258</v>
      </c>
      <c r="AL232">
        <v>1</v>
      </c>
    </row>
    <row r="233" spans="1:38">
      <c r="A233" t="s">
        <v>862</v>
      </c>
      <c r="B233" s="13">
        <v>45671</v>
      </c>
      <c r="C233" t="s">
        <v>523</v>
      </c>
      <c r="D233" t="s">
        <v>136</v>
      </c>
      <c r="E233" t="s">
        <v>524</v>
      </c>
      <c r="F233" t="s">
        <v>145</v>
      </c>
      <c r="G233" t="s">
        <v>96</v>
      </c>
      <c r="H233" t="s">
        <v>97</v>
      </c>
      <c r="I233">
        <v>1</v>
      </c>
      <c r="J233">
        <v>161.27000000000001</v>
      </c>
      <c r="K233">
        <v>0</v>
      </c>
      <c r="L233" t="s">
        <v>90</v>
      </c>
      <c r="M233">
        <v>1</v>
      </c>
      <c r="N233" t="s">
        <v>91</v>
      </c>
      <c r="O233" t="s">
        <v>97</v>
      </c>
      <c r="P233" t="s">
        <v>136</v>
      </c>
      <c r="Q233" t="s">
        <v>523</v>
      </c>
      <c r="R233" t="s">
        <v>145</v>
      </c>
      <c r="S233" t="s">
        <v>369</v>
      </c>
      <c r="T233">
        <v>1</v>
      </c>
      <c r="U233" t="s">
        <v>1355</v>
      </c>
      <c r="V233" t="s">
        <v>1249</v>
      </c>
      <c r="W233" t="s">
        <v>1237</v>
      </c>
      <c r="X233" t="s">
        <v>1184</v>
      </c>
      <c r="Y233" t="s">
        <v>1180</v>
      </c>
      <c r="Z233">
        <v>106.4</v>
      </c>
      <c r="AA233">
        <v>161.27000000000001</v>
      </c>
      <c r="AB233">
        <v>0</v>
      </c>
      <c r="AC233">
        <v>161.27000000000001</v>
      </c>
      <c r="AD233">
        <v>106.4</v>
      </c>
      <c r="AE233">
        <v>54.870000000000005</v>
      </c>
      <c r="AF233">
        <v>0.34023686984560053</v>
      </c>
      <c r="AG233">
        <v>2025</v>
      </c>
      <c r="AH233">
        <v>1</v>
      </c>
      <c r="AI233" t="s">
        <v>1425</v>
      </c>
      <c r="AJ233" t="s">
        <v>1424</v>
      </c>
      <c r="AK233" t="s">
        <v>1250</v>
      </c>
      <c r="AL233">
        <v>0</v>
      </c>
    </row>
    <row r="234" spans="1:38">
      <c r="A234" t="s">
        <v>867</v>
      </c>
      <c r="B234" s="13">
        <v>45879</v>
      </c>
      <c r="C234" t="s">
        <v>551</v>
      </c>
      <c r="D234" t="s">
        <v>217</v>
      </c>
      <c r="E234" t="s">
        <v>552</v>
      </c>
      <c r="F234" t="s">
        <v>310</v>
      </c>
      <c r="G234" t="s">
        <v>122</v>
      </c>
      <c r="H234" t="s">
        <v>97</v>
      </c>
      <c r="I234">
        <v>1</v>
      </c>
      <c r="J234">
        <v>99.22</v>
      </c>
      <c r="K234">
        <v>0.05</v>
      </c>
      <c r="L234" t="s">
        <v>154</v>
      </c>
      <c r="M234">
        <v>3</v>
      </c>
      <c r="N234" t="s">
        <v>91</v>
      </c>
      <c r="O234" t="s">
        <v>97</v>
      </c>
      <c r="P234" t="s">
        <v>217</v>
      </c>
      <c r="Q234" t="s">
        <v>551</v>
      </c>
      <c r="R234" t="s">
        <v>116</v>
      </c>
      <c r="S234" t="s">
        <v>154</v>
      </c>
      <c r="T234">
        <v>1</v>
      </c>
      <c r="U234" t="s">
        <v>1309</v>
      </c>
      <c r="V234" t="s">
        <v>1260</v>
      </c>
      <c r="W234" t="s">
        <v>1237</v>
      </c>
      <c r="X234" t="s">
        <v>1189</v>
      </c>
      <c r="Y234" t="s">
        <v>1180</v>
      </c>
      <c r="Z234">
        <v>72</v>
      </c>
      <c r="AA234">
        <v>99.22</v>
      </c>
      <c r="AB234">
        <v>4.9610000000000003</v>
      </c>
      <c r="AC234">
        <v>94.259</v>
      </c>
      <c r="AD234">
        <v>72</v>
      </c>
      <c r="AE234">
        <v>22.259</v>
      </c>
      <c r="AF234">
        <v>0.23614721140686831</v>
      </c>
      <c r="AG234">
        <v>2025</v>
      </c>
      <c r="AH234">
        <v>8</v>
      </c>
      <c r="AI234" t="s">
        <v>1417</v>
      </c>
      <c r="AJ234" t="s">
        <v>1418</v>
      </c>
      <c r="AK234" t="s">
        <v>1240</v>
      </c>
      <c r="AL234">
        <v>0</v>
      </c>
    </row>
    <row r="235" spans="1:38">
      <c r="A235" t="s">
        <v>874</v>
      </c>
      <c r="B235" s="13">
        <v>45939</v>
      </c>
      <c r="C235" t="s">
        <v>466</v>
      </c>
      <c r="D235" t="s">
        <v>244</v>
      </c>
      <c r="E235" t="s">
        <v>467</v>
      </c>
      <c r="F235" t="s">
        <v>116</v>
      </c>
      <c r="G235" t="s">
        <v>96</v>
      </c>
      <c r="H235" t="s">
        <v>97</v>
      </c>
      <c r="I235">
        <v>1</v>
      </c>
      <c r="J235">
        <v>245.43</v>
      </c>
      <c r="K235">
        <v>0.2</v>
      </c>
      <c r="L235" t="s">
        <v>90</v>
      </c>
      <c r="M235">
        <v>2</v>
      </c>
      <c r="N235" t="s">
        <v>147</v>
      </c>
      <c r="O235" t="s">
        <v>97</v>
      </c>
      <c r="P235" t="s">
        <v>244</v>
      </c>
      <c r="Q235" t="s">
        <v>466</v>
      </c>
      <c r="R235" t="s">
        <v>116</v>
      </c>
      <c r="S235" t="s">
        <v>369</v>
      </c>
      <c r="T235">
        <v>1</v>
      </c>
      <c r="U235" t="s">
        <v>1340</v>
      </c>
      <c r="V235" t="s">
        <v>1247</v>
      </c>
      <c r="W235" t="s">
        <v>1245</v>
      </c>
      <c r="X235" t="s">
        <v>1188</v>
      </c>
      <c r="Y235" t="s">
        <v>1180</v>
      </c>
      <c r="Z235">
        <v>131.19</v>
      </c>
      <c r="AA235">
        <v>245.43</v>
      </c>
      <c r="AB235">
        <v>49.086000000000006</v>
      </c>
      <c r="AC235">
        <v>196.34399999999999</v>
      </c>
      <c r="AD235">
        <v>131.19</v>
      </c>
      <c r="AE235">
        <v>65.153999999999996</v>
      </c>
      <c r="AF235">
        <v>0.33183596137391513</v>
      </c>
      <c r="AG235">
        <v>2025</v>
      </c>
      <c r="AH235">
        <v>10</v>
      </c>
      <c r="AI235" t="s">
        <v>1431</v>
      </c>
      <c r="AJ235" t="s">
        <v>1427</v>
      </c>
      <c r="AK235" t="s">
        <v>1240</v>
      </c>
      <c r="AL235">
        <v>1</v>
      </c>
    </row>
    <row r="236" spans="1:38">
      <c r="A236" t="s">
        <v>878</v>
      </c>
      <c r="B236" s="13">
        <v>45924</v>
      </c>
      <c r="C236" t="s">
        <v>142</v>
      </c>
      <c r="D236" t="s">
        <v>217</v>
      </c>
      <c r="E236" t="s">
        <v>144</v>
      </c>
      <c r="F236" t="s">
        <v>116</v>
      </c>
      <c r="G236" t="s">
        <v>171</v>
      </c>
      <c r="H236" t="s">
        <v>105</v>
      </c>
      <c r="I236">
        <v>4</v>
      </c>
      <c r="J236">
        <v>109.34</v>
      </c>
      <c r="K236">
        <v>0.2</v>
      </c>
      <c r="L236" t="s">
        <v>106</v>
      </c>
      <c r="M236">
        <v>7</v>
      </c>
      <c r="N236" t="s">
        <v>91</v>
      </c>
      <c r="O236" t="s">
        <v>105</v>
      </c>
      <c r="P236" t="s">
        <v>217</v>
      </c>
      <c r="Q236" t="s">
        <v>142</v>
      </c>
      <c r="R236" t="s">
        <v>116</v>
      </c>
      <c r="S236" t="s">
        <v>106</v>
      </c>
      <c r="T236">
        <v>1</v>
      </c>
      <c r="U236" t="s">
        <v>1238</v>
      </c>
      <c r="V236" t="s">
        <v>1239</v>
      </c>
      <c r="W236" t="s">
        <v>1241</v>
      </c>
      <c r="X236" t="s">
        <v>1189</v>
      </c>
      <c r="Y236" t="s">
        <v>1180</v>
      </c>
      <c r="Z236">
        <v>72</v>
      </c>
      <c r="AA236">
        <v>437.36</v>
      </c>
      <c r="AB236">
        <v>87.472000000000008</v>
      </c>
      <c r="AC236">
        <v>349.88800000000003</v>
      </c>
      <c r="AD236">
        <v>288</v>
      </c>
      <c r="AE236">
        <v>61.888000000000034</v>
      </c>
      <c r="AF236">
        <v>0.1768794585695995</v>
      </c>
      <c r="AG236">
        <v>2025</v>
      </c>
      <c r="AH236">
        <v>9</v>
      </c>
      <c r="AI236" t="s">
        <v>1432</v>
      </c>
      <c r="AJ236" t="s">
        <v>1418</v>
      </c>
      <c r="AK236" t="s">
        <v>1240</v>
      </c>
      <c r="AL236">
        <v>0</v>
      </c>
    </row>
    <row r="237" spans="1:38">
      <c r="A237" t="s">
        <v>880</v>
      </c>
      <c r="B237" s="13">
        <v>45664</v>
      </c>
      <c r="C237" t="s">
        <v>647</v>
      </c>
      <c r="D237" t="s">
        <v>217</v>
      </c>
      <c r="E237" t="s">
        <v>648</v>
      </c>
      <c r="F237" t="s">
        <v>87</v>
      </c>
      <c r="G237" t="s">
        <v>171</v>
      </c>
      <c r="H237" t="s">
        <v>97</v>
      </c>
      <c r="I237">
        <v>1</v>
      </c>
      <c r="J237">
        <v>102.79</v>
      </c>
      <c r="K237">
        <v>0.05</v>
      </c>
      <c r="L237" t="s">
        <v>106</v>
      </c>
      <c r="M237">
        <v>1</v>
      </c>
      <c r="N237" t="s">
        <v>91</v>
      </c>
      <c r="O237" t="s">
        <v>97</v>
      </c>
      <c r="P237" t="s">
        <v>217</v>
      </c>
      <c r="Q237" t="s">
        <v>647</v>
      </c>
      <c r="R237" t="s">
        <v>87</v>
      </c>
      <c r="S237" t="s">
        <v>106</v>
      </c>
      <c r="T237">
        <v>1</v>
      </c>
      <c r="U237" t="s">
        <v>1303</v>
      </c>
      <c r="V237" t="s">
        <v>1255</v>
      </c>
      <c r="W237" t="s">
        <v>1237</v>
      </c>
      <c r="X237" t="s">
        <v>1189</v>
      </c>
      <c r="Y237" t="s">
        <v>1180</v>
      </c>
      <c r="Z237">
        <v>72</v>
      </c>
      <c r="AA237">
        <v>102.79</v>
      </c>
      <c r="AB237">
        <v>5.1395000000000008</v>
      </c>
      <c r="AC237">
        <v>97.650500000000008</v>
      </c>
      <c r="AD237">
        <v>72</v>
      </c>
      <c r="AE237">
        <v>25.650500000000008</v>
      </c>
      <c r="AF237">
        <v>0.26267658639740715</v>
      </c>
      <c r="AG237">
        <v>2025</v>
      </c>
      <c r="AH237">
        <v>1</v>
      </c>
      <c r="AI237" t="s">
        <v>1425</v>
      </c>
      <c r="AJ237" t="s">
        <v>1424</v>
      </c>
      <c r="AK237" t="s">
        <v>1244</v>
      </c>
      <c r="AL237">
        <v>0</v>
      </c>
    </row>
    <row r="238" spans="1:38">
      <c r="A238" t="s">
        <v>891</v>
      </c>
      <c r="B238" s="13">
        <v>45984</v>
      </c>
      <c r="C238" t="s">
        <v>613</v>
      </c>
      <c r="D238" t="s">
        <v>277</v>
      </c>
      <c r="E238" t="s">
        <v>710</v>
      </c>
      <c r="F238" t="s">
        <v>111</v>
      </c>
      <c r="G238" t="s">
        <v>104</v>
      </c>
      <c r="H238" t="s">
        <v>97</v>
      </c>
      <c r="I238">
        <v>1</v>
      </c>
      <c r="J238">
        <v>392.21</v>
      </c>
      <c r="K238">
        <v>0</v>
      </c>
      <c r="L238" t="s">
        <v>106</v>
      </c>
      <c r="M238">
        <v>1</v>
      </c>
      <c r="N238" t="s">
        <v>91</v>
      </c>
      <c r="O238" t="s">
        <v>97</v>
      </c>
      <c r="P238" t="s">
        <v>277</v>
      </c>
      <c r="Q238" t="s">
        <v>613</v>
      </c>
      <c r="R238" t="s">
        <v>111</v>
      </c>
      <c r="S238" t="s">
        <v>106</v>
      </c>
      <c r="T238">
        <v>1</v>
      </c>
      <c r="U238" t="s">
        <v>1289</v>
      </c>
      <c r="V238" t="s">
        <v>1260</v>
      </c>
      <c r="W238" t="s">
        <v>1245</v>
      </c>
      <c r="X238" t="s">
        <v>1179</v>
      </c>
      <c r="Y238" t="s">
        <v>1180</v>
      </c>
      <c r="Z238">
        <v>254.6</v>
      </c>
      <c r="AA238">
        <v>392.21</v>
      </c>
      <c r="AB238">
        <v>0</v>
      </c>
      <c r="AC238">
        <v>392.21</v>
      </c>
      <c r="AD238">
        <v>254.6</v>
      </c>
      <c r="AE238">
        <v>137.60999999999999</v>
      </c>
      <c r="AF238">
        <v>0.35085795874658982</v>
      </c>
      <c r="AG238">
        <v>2025</v>
      </c>
      <c r="AH238">
        <v>11</v>
      </c>
      <c r="AI238" t="s">
        <v>1426</v>
      </c>
      <c r="AJ238" t="s">
        <v>1427</v>
      </c>
      <c r="AK238" t="s">
        <v>1240</v>
      </c>
      <c r="AL238">
        <v>0</v>
      </c>
    </row>
    <row r="239" spans="1:38">
      <c r="A239" t="s">
        <v>892</v>
      </c>
      <c r="B239" s="13">
        <v>45896</v>
      </c>
      <c r="C239" t="s">
        <v>359</v>
      </c>
      <c r="D239" t="s">
        <v>190</v>
      </c>
      <c r="E239" t="s">
        <v>361</v>
      </c>
      <c r="F239" t="s">
        <v>103</v>
      </c>
      <c r="G239" t="s">
        <v>96</v>
      </c>
      <c r="H239" t="s">
        <v>89</v>
      </c>
      <c r="I239">
        <v>1</v>
      </c>
      <c r="J239">
        <v>279.77</v>
      </c>
      <c r="K239">
        <v>0</v>
      </c>
      <c r="L239" t="s">
        <v>98</v>
      </c>
      <c r="M239">
        <v>4</v>
      </c>
      <c r="N239" t="s">
        <v>91</v>
      </c>
      <c r="O239" t="s">
        <v>89</v>
      </c>
      <c r="P239" t="s">
        <v>190</v>
      </c>
      <c r="Q239" t="s">
        <v>359</v>
      </c>
      <c r="R239" t="s">
        <v>103</v>
      </c>
      <c r="S239" t="s">
        <v>98</v>
      </c>
      <c r="T239">
        <v>1</v>
      </c>
      <c r="U239" t="s">
        <v>1296</v>
      </c>
      <c r="V239" t="s">
        <v>1297</v>
      </c>
      <c r="W239" t="s">
        <v>1245</v>
      </c>
      <c r="X239" t="s">
        <v>1186</v>
      </c>
      <c r="Y239" t="s">
        <v>1180</v>
      </c>
      <c r="Z239">
        <v>154.72999999999999</v>
      </c>
      <c r="AA239">
        <v>279.77</v>
      </c>
      <c r="AB239">
        <v>0</v>
      </c>
      <c r="AC239">
        <v>279.77</v>
      </c>
      <c r="AD239">
        <v>154.72999999999999</v>
      </c>
      <c r="AE239">
        <v>125.03999999999999</v>
      </c>
      <c r="AF239">
        <v>0.44693855667155163</v>
      </c>
      <c r="AG239">
        <v>2025</v>
      </c>
      <c r="AH239">
        <v>8</v>
      </c>
      <c r="AI239" t="s">
        <v>1417</v>
      </c>
      <c r="AJ239" t="s">
        <v>1418</v>
      </c>
      <c r="AK239" t="s">
        <v>1258</v>
      </c>
      <c r="AL239">
        <v>0</v>
      </c>
    </row>
    <row r="240" spans="1:38">
      <c r="A240" t="s">
        <v>899</v>
      </c>
      <c r="B240" s="13">
        <v>45707</v>
      </c>
      <c r="C240" t="s">
        <v>491</v>
      </c>
      <c r="D240" t="s">
        <v>277</v>
      </c>
      <c r="E240" t="s">
        <v>492</v>
      </c>
      <c r="F240" t="s">
        <v>145</v>
      </c>
      <c r="G240" t="s">
        <v>104</v>
      </c>
      <c r="H240" t="s">
        <v>97</v>
      </c>
      <c r="I240">
        <v>1</v>
      </c>
      <c r="J240">
        <v>380.08</v>
      </c>
      <c r="K240">
        <v>0</v>
      </c>
      <c r="L240" t="s">
        <v>90</v>
      </c>
      <c r="M240">
        <v>4</v>
      </c>
      <c r="N240" t="s">
        <v>91</v>
      </c>
      <c r="O240" t="s">
        <v>97</v>
      </c>
      <c r="P240" t="s">
        <v>277</v>
      </c>
      <c r="Q240" t="s">
        <v>491</v>
      </c>
      <c r="R240" t="s">
        <v>145</v>
      </c>
      <c r="S240" t="s">
        <v>369</v>
      </c>
      <c r="T240">
        <v>1</v>
      </c>
      <c r="U240" t="s">
        <v>1298</v>
      </c>
      <c r="V240" t="s">
        <v>1243</v>
      </c>
      <c r="W240" t="s">
        <v>1245</v>
      </c>
      <c r="X240" t="s">
        <v>1179</v>
      </c>
      <c r="Y240" t="s">
        <v>1180</v>
      </c>
      <c r="Z240">
        <v>254.6</v>
      </c>
      <c r="AA240">
        <v>380.08</v>
      </c>
      <c r="AB240">
        <v>0</v>
      </c>
      <c r="AC240">
        <v>380.08</v>
      </c>
      <c r="AD240">
        <v>254.6</v>
      </c>
      <c r="AE240">
        <v>125.47999999999999</v>
      </c>
      <c r="AF240">
        <v>0.33014102294253839</v>
      </c>
      <c r="AG240">
        <v>2025</v>
      </c>
      <c r="AH240">
        <v>2</v>
      </c>
      <c r="AI240" t="s">
        <v>1430</v>
      </c>
      <c r="AJ240" t="s">
        <v>1424</v>
      </c>
      <c r="AK240" t="s">
        <v>1244</v>
      </c>
      <c r="AL240">
        <v>0</v>
      </c>
    </row>
    <row r="241" spans="1:38">
      <c r="A241" t="s">
        <v>902</v>
      </c>
      <c r="B241" s="13">
        <v>45978</v>
      </c>
      <c r="C241" t="s">
        <v>335</v>
      </c>
      <c r="D241" t="s">
        <v>152</v>
      </c>
      <c r="E241" t="s">
        <v>336</v>
      </c>
      <c r="F241" t="s">
        <v>87</v>
      </c>
      <c r="G241" t="s">
        <v>122</v>
      </c>
      <c r="H241" t="s">
        <v>105</v>
      </c>
      <c r="I241">
        <v>1</v>
      </c>
      <c r="J241">
        <v>133.57</v>
      </c>
      <c r="K241">
        <v>0.15</v>
      </c>
      <c r="L241" t="s">
        <v>154</v>
      </c>
      <c r="M241">
        <v>9</v>
      </c>
      <c r="N241" t="s">
        <v>91</v>
      </c>
      <c r="O241" t="s">
        <v>105</v>
      </c>
      <c r="P241" t="s">
        <v>152</v>
      </c>
      <c r="Q241" t="s">
        <v>335</v>
      </c>
      <c r="R241" t="s">
        <v>87</v>
      </c>
      <c r="S241" t="s">
        <v>154</v>
      </c>
      <c r="T241">
        <v>1</v>
      </c>
      <c r="U241" t="s">
        <v>1290</v>
      </c>
      <c r="V241" t="s">
        <v>1257</v>
      </c>
      <c r="W241" t="s">
        <v>1241</v>
      </c>
      <c r="X241" t="s">
        <v>1191</v>
      </c>
      <c r="Y241" t="s">
        <v>1180</v>
      </c>
      <c r="Z241">
        <v>69</v>
      </c>
      <c r="AA241">
        <v>133.57</v>
      </c>
      <c r="AB241">
        <v>20.035499999999999</v>
      </c>
      <c r="AC241">
        <v>113.53449999999999</v>
      </c>
      <c r="AD241">
        <v>69</v>
      </c>
      <c r="AE241">
        <v>44.534499999999994</v>
      </c>
      <c r="AF241">
        <v>0.39225521757703602</v>
      </c>
      <c r="AG241">
        <v>2025</v>
      </c>
      <c r="AH241">
        <v>11</v>
      </c>
      <c r="AI241" t="s">
        <v>1426</v>
      </c>
      <c r="AJ241" t="s">
        <v>1427</v>
      </c>
      <c r="AK241" t="s">
        <v>1258</v>
      </c>
      <c r="AL241">
        <v>0</v>
      </c>
    </row>
    <row r="242" spans="1:38">
      <c r="A242" t="s">
        <v>905</v>
      </c>
      <c r="B242" s="13">
        <v>45896</v>
      </c>
      <c r="C242" t="s">
        <v>551</v>
      </c>
      <c r="D242" t="s">
        <v>217</v>
      </c>
      <c r="E242" t="s">
        <v>552</v>
      </c>
      <c r="F242" t="s">
        <v>116</v>
      </c>
      <c r="G242" t="s">
        <v>117</v>
      </c>
      <c r="H242" t="s">
        <v>89</v>
      </c>
      <c r="I242">
        <v>3</v>
      </c>
      <c r="J242">
        <v>111.3</v>
      </c>
      <c r="K242">
        <v>0.2</v>
      </c>
      <c r="L242" t="s">
        <v>98</v>
      </c>
      <c r="M242">
        <v>4</v>
      </c>
      <c r="N242" t="s">
        <v>91</v>
      </c>
      <c r="O242" t="s">
        <v>89</v>
      </c>
      <c r="P242" t="s">
        <v>217</v>
      </c>
      <c r="Q242" t="s">
        <v>551</v>
      </c>
      <c r="R242" t="s">
        <v>116</v>
      </c>
      <c r="S242" t="s">
        <v>98</v>
      </c>
      <c r="T242">
        <v>1</v>
      </c>
      <c r="U242" t="s">
        <v>1309</v>
      </c>
      <c r="V242" t="s">
        <v>1260</v>
      </c>
      <c r="W242" t="s">
        <v>1237</v>
      </c>
      <c r="X242" t="s">
        <v>1189</v>
      </c>
      <c r="Y242" t="s">
        <v>1180</v>
      </c>
      <c r="Z242">
        <v>72</v>
      </c>
      <c r="AA242">
        <v>333.9</v>
      </c>
      <c r="AB242">
        <v>66.78</v>
      </c>
      <c r="AC242">
        <v>267.12</v>
      </c>
      <c r="AD242">
        <v>216</v>
      </c>
      <c r="AE242">
        <v>51.120000000000005</v>
      </c>
      <c r="AF242">
        <v>0.19137466307277629</v>
      </c>
      <c r="AG242">
        <v>2025</v>
      </c>
      <c r="AH242">
        <v>8</v>
      </c>
      <c r="AI242" t="s">
        <v>1417</v>
      </c>
      <c r="AJ242" t="s">
        <v>1418</v>
      </c>
      <c r="AK242" t="s">
        <v>1240</v>
      </c>
      <c r="AL242">
        <v>0</v>
      </c>
    </row>
    <row r="243" spans="1:38">
      <c r="A243" t="s">
        <v>911</v>
      </c>
      <c r="B243" s="13">
        <v>45956</v>
      </c>
      <c r="C243" t="s">
        <v>283</v>
      </c>
      <c r="D243" t="s">
        <v>152</v>
      </c>
      <c r="E243" t="s">
        <v>284</v>
      </c>
      <c r="F243" t="s">
        <v>187</v>
      </c>
      <c r="G243" t="s">
        <v>130</v>
      </c>
      <c r="H243" t="s">
        <v>89</v>
      </c>
      <c r="I243">
        <v>2</v>
      </c>
      <c r="J243">
        <v>128.86000000000001</v>
      </c>
      <c r="K243">
        <v>0</v>
      </c>
      <c r="L243" t="s">
        <v>106</v>
      </c>
      <c r="M243">
        <v>6</v>
      </c>
      <c r="N243" t="s">
        <v>147</v>
      </c>
      <c r="O243" t="s">
        <v>89</v>
      </c>
      <c r="P243" t="s">
        <v>152</v>
      </c>
      <c r="Q243" t="s">
        <v>283</v>
      </c>
      <c r="R243" t="s">
        <v>103</v>
      </c>
      <c r="S243" t="s">
        <v>106</v>
      </c>
      <c r="T243">
        <v>1</v>
      </c>
      <c r="U243" t="s">
        <v>1283</v>
      </c>
      <c r="V243" t="s">
        <v>1284</v>
      </c>
      <c r="W243" t="s">
        <v>1237</v>
      </c>
      <c r="X243" t="s">
        <v>1191</v>
      </c>
      <c r="Y243" t="s">
        <v>1180</v>
      </c>
      <c r="Z243">
        <v>69</v>
      </c>
      <c r="AA243">
        <v>257.72000000000003</v>
      </c>
      <c r="AB243">
        <v>0</v>
      </c>
      <c r="AC243">
        <v>257.72000000000003</v>
      </c>
      <c r="AD243">
        <v>138</v>
      </c>
      <c r="AE243">
        <v>119.72000000000003</v>
      </c>
      <c r="AF243">
        <v>0.46453515443116566</v>
      </c>
      <c r="AG243">
        <v>2025</v>
      </c>
      <c r="AH243">
        <v>10</v>
      </c>
      <c r="AI243" t="s">
        <v>1431</v>
      </c>
      <c r="AJ243" t="s">
        <v>1427</v>
      </c>
      <c r="AK243" t="s">
        <v>1285</v>
      </c>
      <c r="AL243">
        <v>1</v>
      </c>
    </row>
    <row r="244" spans="1:38">
      <c r="A244" t="s">
        <v>914</v>
      </c>
      <c r="B244" s="13">
        <v>45801</v>
      </c>
      <c r="C244" t="s">
        <v>151</v>
      </c>
      <c r="D244" t="s">
        <v>277</v>
      </c>
      <c r="E244" t="s">
        <v>153</v>
      </c>
      <c r="F244" t="s">
        <v>103</v>
      </c>
      <c r="G244" t="s">
        <v>117</v>
      </c>
      <c r="H244" t="s">
        <v>89</v>
      </c>
      <c r="I244">
        <v>2</v>
      </c>
      <c r="J244">
        <v>375.55</v>
      </c>
      <c r="K244">
        <v>0.05</v>
      </c>
      <c r="L244" t="s">
        <v>106</v>
      </c>
      <c r="M244">
        <v>8</v>
      </c>
      <c r="N244" t="s">
        <v>91</v>
      </c>
      <c r="O244" t="s">
        <v>89</v>
      </c>
      <c r="P244" t="s">
        <v>277</v>
      </c>
      <c r="Q244" t="s">
        <v>151</v>
      </c>
      <c r="R244" t="s">
        <v>103</v>
      </c>
      <c r="S244" t="s">
        <v>106</v>
      </c>
      <c r="T244">
        <v>1</v>
      </c>
      <c r="U244" t="s">
        <v>1263</v>
      </c>
      <c r="V244" t="s">
        <v>1239</v>
      </c>
      <c r="W244" t="s">
        <v>1241</v>
      </c>
      <c r="X244" t="s">
        <v>1179</v>
      </c>
      <c r="Y244" t="s">
        <v>1180</v>
      </c>
      <c r="Z244">
        <v>254.6</v>
      </c>
      <c r="AA244">
        <v>751.1</v>
      </c>
      <c r="AB244">
        <v>37.555</v>
      </c>
      <c r="AC244">
        <v>713.54500000000007</v>
      </c>
      <c r="AD244">
        <v>509.2</v>
      </c>
      <c r="AE244">
        <v>204.34500000000008</v>
      </c>
      <c r="AF244">
        <v>0.28637997603514853</v>
      </c>
      <c r="AG244">
        <v>2025</v>
      </c>
      <c r="AH244">
        <v>5</v>
      </c>
      <c r="AI244" t="s">
        <v>1419</v>
      </c>
      <c r="AJ244" t="s">
        <v>1420</v>
      </c>
      <c r="AK244" t="s">
        <v>1240</v>
      </c>
      <c r="AL244">
        <v>0</v>
      </c>
    </row>
    <row r="245" spans="1:38">
      <c r="A245" t="s">
        <v>924</v>
      </c>
      <c r="B245" s="13">
        <v>45896</v>
      </c>
      <c r="C245" t="s">
        <v>248</v>
      </c>
      <c r="D245" t="s">
        <v>190</v>
      </c>
      <c r="E245" t="s">
        <v>250</v>
      </c>
      <c r="F245" t="s">
        <v>145</v>
      </c>
      <c r="G245" t="s">
        <v>117</v>
      </c>
      <c r="H245" t="s">
        <v>89</v>
      </c>
      <c r="I245">
        <v>3</v>
      </c>
      <c r="J245">
        <v>274.23</v>
      </c>
      <c r="K245">
        <v>0</v>
      </c>
      <c r="L245" t="s">
        <v>90</v>
      </c>
      <c r="M245">
        <v>6</v>
      </c>
      <c r="N245" t="s">
        <v>147</v>
      </c>
      <c r="O245" t="s">
        <v>89</v>
      </c>
      <c r="P245" t="s">
        <v>190</v>
      </c>
      <c r="Q245" t="s">
        <v>248</v>
      </c>
      <c r="R245" t="s">
        <v>145</v>
      </c>
      <c r="S245" t="s">
        <v>369</v>
      </c>
      <c r="T245">
        <v>1</v>
      </c>
      <c r="U245" t="s">
        <v>1261</v>
      </c>
      <c r="V245" t="s">
        <v>1257</v>
      </c>
      <c r="W245" t="s">
        <v>1245</v>
      </c>
      <c r="X245" t="s">
        <v>1186</v>
      </c>
      <c r="Y245" t="s">
        <v>1180</v>
      </c>
      <c r="Z245">
        <v>154.72999999999999</v>
      </c>
      <c r="AA245">
        <v>822.69</v>
      </c>
      <c r="AB245">
        <v>0</v>
      </c>
      <c r="AC245">
        <v>822.69</v>
      </c>
      <c r="AD245">
        <v>464.18999999999994</v>
      </c>
      <c r="AE245">
        <v>358.50000000000011</v>
      </c>
      <c r="AF245">
        <v>0.43576559822047195</v>
      </c>
      <c r="AG245">
        <v>2025</v>
      </c>
      <c r="AH245">
        <v>8</v>
      </c>
      <c r="AI245" t="s">
        <v>1417</v>
      </c>
      <c r="AJ245" t="s">
        <v>1418</v>
      </c>
      <c r="AK245" t="s">
        <v>1258</v>
      </c>
      <c r="AL245">
        <v>1</v>
      </c>
    </row>
    <row r="246" spans="1:38">
      <c r="A246" t="s">
        <v>925</v>
      </c>
      <c r="B246" s="13">
        <v>45704</v>
      </c>
      <c r="C246" t="s">
        <v>463</v>
      </c>
      <c r="D246" t="s">
        <v>181</v>
      </c>
      <c r="E246" t="s">
        <v>464</v>
      </c>
      <c r="F246" t="s">
        <v>116</v>
      </c>
      <c r="G246" t="s">
        <v>122</v>
      </c>
      <c r="H246" t="s">
        <v>97</v>
      </c>
      <c r="I246">
        <v>1</v>
      </c>
      <c r="J246">
        <v>360.8</v>
      </c>
      <c r="K246">
        <v>0</v>
      </c>
      <c r="L246" t="s">
        <v>106</v>
      </c>
      <c r="M246">
        <v>2</v>
      </c>
      <c r="N246" t="s">
        <v>91</v>
      </c>
      <c r="O246" t="s">
        <v>97</v>
      </c>
      <c r="P246" t="s">
        <v>181</v>
      </c>
      <c r="Q246" t="s">
        <v>463</v>
      </c>
      <c r="R246" t="s">
        <v>116</v>
      </c>
      <c r="S246" t="s">
        <v>106</v>
      </c>
      <c r="T246">
        <v>1</v>
      </c>
      <c r="U246" t="s">
        <v>1280</v>
      </c>
      <c r="V246" t="s">
        <v>1249</v>
      </c>
      <c r="W246" t="s">
        <v>1245</v>
      </c>
      <c r="X246" t="s">
        <v>1190</v>
      </c>
      <c r="Y246" t="s">
        <v>1180</v>
      </c>
      <c r="Z246">
        <v>224.47</v>
      </c>
      <c r="AA246">
        <v>360.8</v>
      </c>
      <c r="AB246">
        <v>0</v>
      </c>
      <c r="AC246">
        <v>360.8</v>
      </c>
      <c r="AD246">
        <v>224.47</v>
      </c>
      <c r="AE246">
        <v>136.33000000000001</v>
      </c>
      <c r="AF246">
        <v>0.37785476718403549</v>
      </c>
      <c r="AG246">
        <v>2025</v>
      </c>
      <c r="AH246">
        <v>2</v>
      </c>
      <c r="AI246" t="s">
        <v>1430</v>
      </c>
      <c r="AJ246" t="s">
        <v>1424</v>
      </c>
      <c r="AK246" t="s">
        <v>1250</v>
      </c>
      <c r="AL246">
        <v>0</v>
      </c>
    </row>
    <row r="247" spans="1:38">
      <c r="A247" t="s">
        <v>929</v>
      </c>
      <c r="B247" s="13">
        <v>45665</v>
      </c>
      <c r="C247" t="s">
        <v>349</v>
      </c>
      <c r="D247" t="s">
        <v>152</v>
      </c>
      <c r="E247" t="s">
        <v>350</v>
      </c>
      <c r="F247" t="s">
        <v>111</v>
      </c>
      <c r="G247" t="s">
        <v>171</v>
      </c>
      <c r="H247" t="s">
        <v>89</v>
      </c>
      <c r="I247">
        <v>2</v>
      </c>
      <c r="J247">
        <v>131.4</v>
      </c>
      <c r="K247">
        <v>0</v>
      </c>
      <c r="L247" t="s">
        <v>106</v>
      </c>
      <c r="M247">
        <v>1</v>
      </c>
      <c r="N247" t="s">
        <v>91</v>
      </c>
      <c r="O247" t="s">
        <v>89</v>
      </c>
      <c r="P247" t="s">
        <v>152</v>
      </c>
      <c r="Q247" t="s">
        <v>349</v>
      </c>
      <c r="R247" t="s">
        <v>111</v>
      </c>
      <c r="S247" t="s">
        <v>106</v>
      </c>
      <c r="T247">
        <v>1</v>
      </c>
      <c r="U247" t="s">
        <v>1335</v>
      </c>
      <c r="V247" t="s">
        <v>1297</v>
      </c>
      <c r="W247" t="s">
        <v>1241</v>
      </c>
      <c r="X247" t="s">
        <v>1191</v>
      </c>
      <c r="Y247" t="s">
        <v>1180</v>
      </c>
      <c r="Z247">
        <v>69</v>
      </c>
      <c r="AA247">
        <v>262.8</v>
      </c>
      <c r="AB247">
        <v>0</v>
      </c>
      <c r="AC247">
        <v>262.8</v>
      </c>
      <c r="AD247">
        <v>138</v>
      </c>
      <c r="AE247">
        <v>124.80000000000001</v>
      </c>
      <c r="AF247">
        <v>0.47488584474885848</v>
      </c>
      <c r="AG247">
        <v>2025</v>
      </c>
      <c r="AH247">
        <v>1</v>
      </c>
      <c r="AI247" t="s">
        <v>1425</v>
      </c>
      <c r="AJ247" t="s">
        <v>1424</v>
      </c>
      <c r="AK247" t="s">
        <v>1258</v>
      </c>
      <c r="AL247">
        <v>0</v>
      </c>
    </row>
    <row r="248" spans="1:38">
      <c r="A248" t="s">
        <v>932</v>
      </c>
      <c r="B248" s="13">
        <v>45732</v>
      </c>
      <c r="C248" t="s">
        <v>933</v>
      </c>
      <c r="D248" t="s">
        <v>190</v>
      </c>
      <c r="E248" t="s">
        <v>934</v>
      </c>
      <c r="F248" t="s">
        <v>116</v>
      </c>
      <c r="G248" t="s">
        <v>183</v>
      </c>
      <c r="H248" t="s">
        <v>97</v>
      </c>
      <c r="I248">
        <v>1</v>
      </c>
      <c r="J248">
        <v>282.05</v>
      </c>
      <c r="K248">
        <v>0.2</v>
      </c>
      <c r="L248" t="s">
        <v>98</v>
      </c>
      <c r="M248">
        <v>1</v>
      </c>
      <c r="N248" t="s">
        <v>91</v>
      </c>
      <c r="O248" t="s">
        <v>97</v>
      </c>
      <c r="P248" t="s">
        <v>190</v>
      </c>
      <c r="Q248" t="s">
        <v>933</v>
      </c>
      <c r="R248" t="s">
        <v>116</v>
      </c>
      <c r="S248" t="s">
        <v>98</v>
      </c>
      <c r="T248">
        <v>1</v>
      </c>
      <c r="U248" t="s">
        <v>1330</v>
      </c>
      <c r="V248" t="s">
        <v>1325</v>
      </c>
      <c r="W248" t="s">
        <v>1241</v>
      </c>
      <c r="X248" t="s">
        <v>1186</v>
      </c>
      <c r="Y248" t="s">
        <v>1180</v>
      </c>
      <c r="Z248">
        <v>154.72999999999999</v>
      </c>
      <c r="AA248">
        <v>282.05</v>
      </c>
      <c r="AB248">
        <v>56.410000000000004</v>
      </c>
      <c r="AC248">
        <v>225.64000000000001</v>
      </c>
      <c r="AD248">
        <v>154.72999999999999</v>
      </c>
      <c r="AE248">
        <v>70.910000000000025</v>
      </c>
      <c r="AF248">
        <v>0.31426165573479886</v>
      </c>
      <c r="AG248">
        <v>2025</v>
      </c>
      <c r="AH248">
        <v>3</v>
      </c>
      <c r="AI248" t="s">
        <v>1423</v>
      </c>
      <c r="AJ248" t="s">
        <v>1424</v>
      </c>
      <c r="AK248" t="s">
        <v>1326</v>
      </c>
      <c r="AL248">
        <v>0</v>
      </c>
    </row>
    <row r="249" spans="1:38">
      <c r="A249" t="s">
        <v>947</v>
      </c>
      <c r="B249" s="13">
        <v>45851</v>
      </c>
      <c r="C249" t="s">
        <v>410</v>
      </c>
      <c r="D249" t="s">
        <v>190</v>
      </c>
      <c r="E249" t="s">
        <v>411</v>
      </c>
      <c r="F249" t="s">
        <v>655</v>
      </c>
      <c r="G249" t="s">
        <v>117</v>
      </c>
      <c r="H249" t="s">
        <v>97</v>
      </c>
      <c r="I249">
        <v>1</v>
      </c>
      <c r="J249">
        <v>277.89999999999998</v>
      </c>
      <c r="K249">
        <v>0.1</v>
      </c>
      <c r="L249" t="s">
        <v>98</v>
      </c>
      <c r="M249">
        <v>1</v>
      </c>
      <c r="N249" t="s">
        <v>147</v>
      </c>
      <c r="O249" t="s">
        <v>97</v>
      </c>
      <c r="P249" t="s">
        <v>190</v>
      </c>
      <c r="Q249" t="s">
        <v>410</v>
      </c>
      <c r="R249" t="s">
        <v>87</v>
      </c>
      <c r="S249" t="s">
        <v>98</v>
      </c>
      <c r="T249">
        <v>1</v>
      </c>
      <c r="U249" t="s">
        <v>1234</v>
      </c>
      <c r="V249" t="s">
        <v>1284</v>
      </c>
      <c r="W249" t="s">
        <v>1237</v>
      </c>
      <c r="X249" t="s">
        <v>1186</v>
      </c>
      <c r="Y249" t="s">
        <v>1180</v>
      </c>
      <c r="Z249">
        <v>154.72999999999999</v>
      </c>
      <c r="AA249">
        <v>277.89999999999998</v>
      </c>
      <c r="AB249">
        <v>27.79</v>
      </c>
      <c r="AC249">
        <v>250.10999999999999</v>
      </c>
      <c r="AD249">
        <v>154.72999999999999</v>
      </c>
      <c r="AE249">
        <v>95.38</v>
      </c>
      <c r="AF249">
        <v>0.38135220502978689</v>
      </c>
      <c r="AG249">
        <v>2025</v>
      </c>
      <c r="AH249">
        <v>7</v>
      </c>
      <c r="AI249" t="s">
        <v>1422</v>
      </c>
      <c r="AJ249" t="s">
        <v>1418</v>
      </c>
      <c r="AK249" t="s">
        <v>1285</v>
      </c>
      <c r="AL249">
        <v>1</v>
      </c>
    </row>
    <row r="250" spans="1:38">
      <c r="A250" t="s">
        <v>951</v>
      </c>
      <c r="B250" s="13">
        <v>45973</v>
      </c>
      <c r="C250" t="s">
        <v>108</v>
      </c>
      <c r="D250" t="s">
        <v>181</v>
      </c>
      <c r="E250" t="s">
        <v>110</v>
      </c>
      <c r="F250" t="s">
        <v>111</v>
      </c>
      <c r="G250" t="s">
        <v>130</v>
      </c>
      <c r="H250" t="s">
        <v>97</v>
      </c>
      <c r="I250">
        <v>4</v>
      </c>
      <c r="J250">
        <v>374.13</v>
      </c>
      <c r="K250">
        <v>0.05</v>
      </c>
      <c r="L250" t="s">
        <v>106</v>
      </c>
      <c r="M250">
        <v>0</v>
      </c>
      <c r="N250" t="s">
        <v>91</v>
      </c>
      <c r="O250" t="s">
        <v>97</v>
      </c>
      <c r="P250" t="s">
        <v>181</v>
      </c>
      <c r="Q250" t="s">
        <v>108</v>
      </c>
      <c r="R250" t="s">
        <v>111</v>
      </c>
      <c r="S250" t="s">
        <v>106</v>
      </c>
      <c r="T250">
        <v>1</v>
      </c>
      <c r="U250" t="s">
        <v>1319</v>
      </c>
      <c r="V250" t="s">
        <v>1275</v>
      </c>
      <c r="W250" t="s">
        <v>1237</v>
      </c>
      <c r="X250" t="s">
        <v>1190</v>
      </c>
      <c r="Y250" t="s">
        <v>1180</v>
      </c>
      <c r="Z250">
        <v>224.47</v>
      </c>
      <c r="AA250">
        <v>1496.52</v>
      </c>
      <c r="AB250">
        <v>74.826000000000008</v>
      </c>
      <c r="AC250">
        <v>1421.694</v>
      </c>
      <c r="AD250">
        <v>897.88</v>
      </c>
      <c r="AE250">
        <v>523.81399999999996</v>
      </c>
      <c r="AF250">
        <v>0.36844356099132441</v>
      </c>
      <c r="AG250">
        <v>2025</v>
      </c>
      <c r="AH250">
        <v>11</v>
      </c>
      <c r="AI250" t="s">
        <v>1426</v>
      </c>
      <c r="AJ250" t="s">
        <v>1427</v>
      </c>
      <c r="AK250" t="s">
        <v>1258</v>
      </c>
      <c r="AL250">
        <v>0</v>
      </c>
    </row>
    <row r="251" spans="1:38">
      <c r="A251" t="s">
        <v>958</v>
      </c>
      <c r="B251" s="13">
        <v>45980</v>
      </c>
      <c r="C251" t="s">
        <v>335</v>
      </c>
      <c r="D251" t="s">
        <v>217</v>
      </c>
      <c r="E251" t="s">
        <v>336</v>
      </c>
      <c r="F251" t="s">
        <v>111</v>
      </c>
      <c r="G251" t="s">
        <v>171</v>
      </c>
      <c r="H251" t="s">
        <v>89</v>
      </c>
      <c r="I251">
        <v>1</v>
      </c>
      <c r="J251">
        <v>106.25</v>
      </c>
      <c r="K251">
        <v>0.05</v>
      </c>
      <c r="L251" t="s">
        <v>504</v>
      </c>
      <c r="M251">
        <v>3</v>
      </c>
      <c r="N251" t="s">
        <v>91</v>
      </c>
      <c r="O251" t="s">
        <v>89</v>
      </c>
      <c r="P251" t="s">
        <v>217</v>
      </c>
      <c r="Q251" t="s">
        <v>335</v>
      </c>
      <c r="R251" t="s">
        <v>111</v>
      </c>
      <c r="S251" t="s">
        <v>98</v>
      </c>
      <c r="T251">
        <v>1</v>
      </c>
      <c r="U251" t="s">
        <v>1290</v>
      </c>
      <c r="V251" t="s">
        <v>1257</v>
      </c>
      <c r="W251" t="s">
        <v>1241</v>
      </c>
      <c r="X251" t="s">
        <v>1189</v>
      </c>
      <c r="Y251" t="s">
        <v>1180</v>
      </c>
      <c r="Z251">
        <v>72</v>
      </c>
      <c r="AA251">
        <v>106.25</v>
      </c>
      <c r="AB251">
        <v>5.3125</v>
      </c>
      <c r="AC251">
        <v>100.9375</v>
      </c>
      <c r="AD251">
        <v>72</v>
      </c>
      <c r="AE251">
        <v>28.9375</v>
      </c>
      <c r="AF251">
        <v>0.286687306501548</v>
      </c>
      <c r="AG251">
        <v>2025</v>
      </c>
      <c r="AH251">
        <v>11</v>
      </c>
      <c r="AI251" t="s">
        <v>1426</v>
      </c>
      <c r="AJ251" t="s">
        <v>1427</v>
      </c>
      <c r="AK251" t="s">
        <v>1258</v>
      </c>
      <c r="AL251">
        <v>0</v>
      </c>
    </row>
    <row r="252" spans="1:38">
      <c r="A252" t="s">
        <v>968</v>
      </c>
      <c r="B252" s="13">
        <v>45837</v>
      </c>
      <c r="C252" t="s">
        <v>113</v>
      </c>
      <c r="D252" t="s">
        <v>174</v>
      </c>
      <c r="E252" t="s">
        <v>115</v>
      </c>
      <c r="F252" t="s">
        <v>145</v>
      </c>
      <c r="G252" t="s">
        <v>104</v>
      </c>
      <c r="H252" t="s">
        <v>89</v>
      </c>
      <c r="I252">
        <v>3</v>
      </c>
      <c r="J252">
        <v>39.380000000000003</v>
      </c>
      <c r="K252">
        <v>0.15</v>
      </c>
      <c r="L252" t="s">
        <v>98</v>
      </c>
      <c r="M252">
        <v>2</v>
      </c>
      <c r="N252" t="s">
        <v>91</v>
      </c>
      <c r="O252" t="s">
        <v>89</v>
      </c>
      <c r="P252" t="s">
        <v>174</v>
      </c>
      <c r="Q252" t="s">
        <v>113</v>
      </c>
      <c r="R252" t="s">
        <v>145</v>
      </c>
      <c r="S252" t="s">
        <v>98</v>
      </c>
      <c r="T252">
        <v>1</v>
      </c>
      <c r="U252" t="s">
        <v>1300</v>
      </c>
      <c r="V252" t="s">
        <v>1288</v>
      </c>
      <c r="W252" t="s">
        <v>1237</v>
      </c>
      <c r="X252" t="s">
        <v>1182</v>
      </c>
      <c r="Y252" t="s">
        <v>1180</v>
      </c>
      <c r="Z252">
        <v>23.5</v>
      </c>
      <c r="AA252">
        <v>118.14000000000001</v>
      </c>
      <c r="AB252">
        <v>17.721</v>
      </c>
      <c r="AC252">
        <v>100.41900000000001</v>
      </c>
      <c r="AD252">
        <v>70.5</v>
      </c>
      <c r="AE252">
        <v>29.919000000000011</v>
      </c>
      <c r="AF252">
        <v>0.29794162459295559</v>
      </c>
      <c r="AG252">
        <v>2025</v>
      </c>
      <c r="AH252">
        <v>6</v>
      </c>
      <c r="AI252" t="s">
        <v>1429</v>
      </c>
      <c r="AJ252" t="s">
        <v>1420</v>
      </c>
      <c r="AK252" t="s">
        <v>1250</v>
      </c>
      <c r="AL252">
        <v>0</v>
      </c>
    </row>
    <row r="253" spans="1:38">
      <c r="A253" t="s">
        <v>969</v>
      </c>
      <c r="B253" s="13">
        <v>45806</v>
      </c>
      <c r="C253" t="s">
        <v>597</v>
      </c>
      <c r="D253" t="s">
        <v>174</v>
      </c>
      <c r="E253" t="s">
        <v>598</v>
      </c>
      <c r="F253" t="s">
        <v>116</v>
      </c>
      <c r="G253" t="s">
        <v>117</v>
      </c>
      <c r="H253" t="s">
        <v>89</v>
      </c>
      <c r="I253">
        <v>3</v>
      </c>
      <c r="J253">
        <v>38.880000000000003</v>
      </c>
      <c r="K253">
        <v>0</v>
      </c>
      <c r="L253" t="s">
        <v>90</v>
      </c>
      <c r="M253">
        <v>7</v>
      </c>
      <c r="N253" t="s">
        <v>91</v>
      </c>
      <c r="O253" t="s">
        <v>89</v>
      </c>
      <c r="P253" t="s">
        <v>174</v>
      </c>
      <c r="Q253" t="s">
        <v>597</v>
      </c>
      <c r="R253" t="s">
        <v>116</v>
      </c>
      <c r="S253" t="s">
        <v>369</v>
      </c>
      <c r="T253">
        <v>1</v>
      </c>
      <c r="U253" t="s">
        <v>1246</v>
      </c>
      <c r="V253" t="s">
        <v>1247</v>
      </c>
      <c r="W253" t="s">
        <v>1237</v>
      </c>
      <c r="X253" t="s">
        <v>1182</v>
      </c>
      <c r="Y253" t="s">
        <v>1180</v>
      </c>
      <c r="Z253">
        <v>23.5</v>
      </c>
      <c r="AA253">
        <v>116.64000000000001</v>
      </c>
      <c r="AB253">
        <v>0</v>
      </c>
      <c r="AC253">
        <v>116.64000000000001</v>
      </c>
      <c r="AD253">
        <v>70.5</v>
      </c>
      <c r="AE253">
        <v>46.140000000000015</v>
      </c>
      <c r="AF253">
        <v>0.39557613168724287</v>
      </c>
      <c r="AG253">
        <v>2025</v>
      </c>
      <c r="AH253">
        <v>5</v>
      </c>
      <c r="AI253" t="s">
        <v>1419</v>
      </c>
      <c r="AJ253" t="s">
        <v>1420</v>
      </c>
      <c r="AK253" t="s">
        <v>1240</v>
      </c>
      <c r="AL253">
        <v>0</v>
      </c>
    </row>
    <row r="254" spans="1:38">
      <c r="A254" t="s">
        <v>974</v>
      </c>
      <c r="B254" s="13">
        <v>45722</v>
      </c>
      <c r="C254" t="s">
        <v>164</v>
      </c>
      <c r="D254" t="s">
        <v>152</v>
      </c>
      <c r="E254" t="s">
        <v>166</v>
      </c>
      <c r="F254" t="s">
        <v>87</v>
      </c>
      <c r="G254" t="s">
        <v>104</v>
      </c>
      <c r="H254" t="s">
        <v>89</v>
      </c>
      <c r="I254">
        <v>2</v>
      </c>
      <c r="J254">
        <v>136.83000000000001</v>
      </c>
      <c r="K254">
        <v>0.15</v>
      </c>
      <c r="L254" t="s">
        <v>90</v>
      </c>
      <c r="M254">
        <v>3</v>
      </c>
      <c r="N254" t="s">
        <v>91</v>
      </c>
      <c r="O254" t="s">
        <v>89</v>
      </c>
      <c r="P254" t="s">
        <v>152</v>
      </c>
      <c r="Q254" t="s">
        <v>164</v>
      </c>
      <c r="R254" t="s">
        <v>87</v>
      </c>
      <c r="S254" t="s">
        <v>369</v>
      </c>
      <c r="T254">
        <v>1</v>
      </c>
      <c r="U254" t="s">
        <v>1282</v>
      </c>
      <c r="V254" t="s">
        <v>1275</v>
      </c>
      <c r="W254" t="s">
        <v>1237</v>
      </c>
      <c r="X254" t="s">
        <v>1191</v>
      </c>
      <c r="Y254" t="s">
        <v>1180</v>
      </c>
      <c r="Z254">
        <v>69</v>
      </c>
      <c r="AA254">
        <v>273.66000000000003</v>
      </c>
      <c r="AB254">
        <v>41.048999999999999</v>
      </c>
      <c r="AC254">
        <v>232.61100000000002</v>
      </c>
      <c r="AD254">
        <v>138</v>
      </c>
      <c r="AE254">
        <v>94.611000000000018</v>
      </c>
      <c r="AF254">
        <v>0.406734849168784</v>
      </c>
      <c r="AG254">
        <v>2025</v>
      </c>
      <c r="AH254">
        <v>3</v>
      </c>
      <c r="AI254" t="s">
        <v>1423</v>
      </c>
      <c r="AJ254" t="s">
        <v>1424</v>
      </c>
      <c r="AK254" t="s">
        <v>1258</v>
      </c>
      <c r="AL254">
        <v>0</v>
      </c>
    </row>
    <row r="255" spans="1:38">
      <c r="A255" t="s">
        <v>983</v>
      </c>
      <c r="B255" s="13">
        <v>45680</v>
      </c>
      <c r="C255" t="s">
        <v>417</v>
      </c>
      <c r="D255" t="s">
        <v>217</v>
      </c>
      <c r="E255" t="s">
        <v>419</v>
      </c>
      <c r="F255" t="s">
        <v>116</v>
      </c>
      <c r="G255" t="s">
        <v>117</v>
      </c>
      <c r="H255" t="s">
        <v>105</v>
      </c>
      <c r="I255">
        <v>1</v>
      </c>
      <c r="J255">
        <v>100.86</v>
      </c>
      <c r="K255">
        <v>0.15</v>
      </c>
      <c r="L255" t="s">
        <v>98</v>
      </c>
      <c r="M255">
        <v>5</v>
      </c>
      <c r="N255" t="s">
        <v>91</v>
      </c>
      <c r="O255" t="s">
        <v>105</v>
      </c>
      <c r="P255" t="s">
        <v>217</v>
      </c>
      <c r="Q255" t="s">
        <v>417</v>
      </c>
      <c r="R255" t="s">
        <v>116</v>
      </c>
      <c r="S255" t="s">
        <v>98</v>
      </c>
      <c r="T255">
        <v>1</v>
      </c>
      <c r="U255" t="s">
        <v>1329</v>
      </c>
      <c r="V255" t="s">
        <v>1243</v>
      </c>
      <c r="W255" t="s">
        <v>1237</v>
      </c>
      <c r="X255" t="s">
        <v>1189</v>
      </c>
      <c r="Y255" t="s">
        <v>1180</v>
      </c>
      <c r="Z255">
        <v>72</v>
      </c>
      <c r="AA255">
        <v>100.86</v>
      </c>
      <c r="AB255">
        <v>15.129</v>
      </c>
      <c r="AC255">
        <v>85.730999999999995</v>
      </c>
      <c r="AD255">
        <v>72</v>
      </c>
      <c r="AE255">
        <v>13.730999999999995</v>
      </c>
      <c r="AF255">
        <v>0.16016376806522722</v>
      </c>
      <c r="AG255">
        <v>2025</v>
      </c>
      <c r="AH255">
        <v>1</v>
      </c>
      <c r="AI255" t="s">
        <v>1425</v>
      </c>
      <c r="AJ255" t="s">
        <v>1424</v>
      </c>
      <c r="AK255" t="s">
        <v>1244</v>
      </c>
      <c r="AL255">
        <v>0</v>
      </c>
    </row>
    <row r="256" spans="1:38">
      <c r="A256" t="s">
        <v>986</v>
      </c>
      <c r="B256" s="13">
        <v>45824</v>
      </c>
      <c r="C256" t="s">
        <v>200</v>
      </c>
      <c r="D256" t="s">
        <v>174</v>
      </c>
      <c r="E256" t="s">
        <v>201</v>
      </c>
      <c r="F256" t="s">
        <v>116</v>
      </c>
      <c r="G256" t="s">
        <v>117</v>
      </c>
      <c r="H256" t="s">
        <v>105</v>
      </c>
      <c r="I256">
        <v>1</v>
      </c>
      <c r="J256">
        <v>36.26</v>
      </c>
      <c r="K256">
        <v>0.05</v>
      </c>
      <c r="L256" t="s">
        <v>98</v>
      </c>
      <c r="M256">
        <v>1</v>
      </c>
      <c r="N256" t="s">
        <v>147</v>
      </c>
      <c r="O256" t="s">
        <v>105</v>
      </c>
      <c r="P256" t="s">
        <v>174</v>
      </c>
      <c r="Q256" t="s">
        <v>200</v>
      </c>
      <c r="R256" t="s">
        <v>116</v>
      </c>
      <c r="S256" t="s">
        <v>98</v>
      </c>
      <c r="T256">
        <v>1</v>
      </c>
      <c r="U256" t="s">
        <v>1357</v>
      </c>
      <c r="V256" t="s">
        <v>1257</v>
      </c>
      <c r="W256" t="s">
        <v>1241</v>
      </c>
      <c r="X256" t="s">
        <v>1182</v>
      </c>
      <c r="Y256" t="s">
        <v>1180</v>
      </c>
      <c r="Z256">
        <v>23.5</v>
      </c>
      <c r="AA256">
        <v>36.26</v>
      </c>
      <c r="AB256">
        <v>1.8129999999999999</v>
      </c>
      <c r="AC256">
        <v>34.446999999999996</v>
      </c>
      <c r="AD256">
        <v>23.5</v>
      </c>
      <c r="AE256">
        <v>10.946999999999996</v>
      </c>
      <c r="AF256">
        <v>0.31779255087525754</v>
      </c>
      <c r="AG256">
        <v>2025</v>
      </c>
      <c r="AH256">
        <v>6</v>
      </c>
      <c r="AI256" t="s">
        <v>1429</v>
      </c>
      <c r="AJ256" t="s">
        <v>1420</v>
      </c>
      <c r="AK256" t="s">
        <v>1258</v>
      </c>
      <c r="AL256">
        <v>1</v>
      </c>
    </row>
    <row r="257" spans="1:38">
      <c r="A257" t="s">
        <v>988</v>
      </c>
      <c r="B257" s="13">
        <v>45965</v>
      </c>
      <c r="C257" t="s">
        <v>363</v>
      </c>
      <c r="D257" t="s">
        <v>190</v>
      </c>
      <c r="E257" t="s">
        <v>364</v>
      </c>
      <c r="F257" t="s">
        <v>103</v>
      </c>
      <c r="G257" t="s">
        <v>88</v>
      </c>
      <c r="H257" t="s">
        <v>89</v>
      </c>
      <c r="I257">
        <v>1</v>
      </c>
      <c r="J257">
        <v>291.87</v>
      </c>
      <c r="K257">
        <v>0.05</v>
      </c>
      <c r="L257" t="s">
        <v>98</v>
      </c>
      <c r="M257">
        <v>9</v>
      </c>
      <c r="N257" t="s">
        <v>91</v>
      </c>
      <c r="O257" t="s">
        <v>89</v>
      </c>
      <c r="P257" t="s">
        <v>190</v>
      </c>
      <c r="Q257" t="s">
        <v>363</v>
      </c>
      <c r="R257" t="s">
        <v>103</v>
      </c>
      <c r="S257" t="s">
        <v>98</v>
      </c>
      <c r="T257">
        <v>1</v>
      </c>
      <c r="U257" t="s">
        <v>1274</v>
      </c>
      <c r="V257" t="s">
        <v>1275</v>
      </c>
      <c r="W257" t="s">
        <v>1245</v>
      </c>
      <c r="X257" t="s">
        <v>1186</v>
      </c>
      <c r="Y257" t="s">
        <v>1180</v>
      </c>
      <c r="Z257">
        <v>154.72999999999999</v>
      </c>
      <c r="AA257">
        <v>291.87</v>
      </c>
      <c r="AB257">
        <v>14.593500000000001</v>
      </c>
      <c r="AC257">
        <v>277.2765</v>
      </c>
      <c r="AD257">
        <v>154.72999999999999</v>
      </c>
      <c r="AE257">
        <v>122.54650000000001</v>
      </c>
      <c r="AF257">
        <v>0.44196496998483464</v>
      </c>
      <c r="AG257">
        <v>2025</v>
      </c>
      <c r="AH257">
        <v>11</v>
      </c>
      <c r="AI257" t="s">
        <v>1426</v>
      </c>
      <c r="AJ257" t="s">
        <v>1427</v>
      </c>
      <c r="AK257" t="s">
        <v>1258</v>
      </c>
      <c r="AL257">
        <v>0</v>
      </c>
    </row>
    <row r="258" spans="1:38">
      <c r="A258" t="s">
        <v>990</v>
      </c>
      <c r="B258" s="13">
        <v>45684</v>
      </c>
      <c r="C258" t="s">
        <v>487</v>
      </c>
      <c r="D258" t="s">
        <v>244</v>
      </c>
      <c r="E258" t="s">
        <v>488</v>
      </c>
      <c r="F258" t="s">
        <v>87</v>
      </c>
      <c r="G258" t="s">
        <v>171</v>
      </c>
      <c r="H258" t="s">
        <v>105</v>
      </c>
      <c r="I258">
        <v>1</v>
      </c>
      <c r="J258">
        <v>250.61</v>
      </c>
      <c r="K258">
        <v>0</v>
      </c>
      <c r="L258" t="s">
        <v>98</v>
      </c>
      <c r="M258">
        <v>2</v>
      </c>
      <c r="N258" t="s">
        <v>91</v>
      </c>
      <c r="O258" t="s">
        <v>105</v>
      </c>
      <c r="P258" t="s">
        <v>244</v>
      </c>
      <c r="Q258" t="s">
        <v>487</v>
      </c>
      <c r="R258" t="s">
        <v>87</v>
      </c>
      <c r="S258" t="s">
        <v>98</v>
      </c>
      <c r="T258">
        <v>1</v>
      </c>
      <c r="U258" t="s">
        <v>1347</v>
      </c>
      <c r="V258" t="s">
        <v>1249</v>
      </c>
      <c r="W258" t="s">
        <v>1237</v>
      </c>
      <c r="X258" t="s">
        <v>1188</v>
      </c>
      <c r="Y258" t="s">
        <v>1180</v>
      </c>
      <c r="Z258">
        <v>131.19</v>
      </c>
      <c r="AA258">
        <v>250.61</v>
      </c>
      <c r="AB258">
        <v>0</v>
      </c>
      <c r="AC258">
        <v>250.61</v>
      </c>
      <c r="AD258">
        <v>131.19</v>
      </c>
      <c r="AE258">
        <v>119.42000000000002</v>
      </c>
      <c r="AF258">
        <v>0.4765172977933842</v>
      </c>
      <c r="AG258">
        <v>2025</v>
      </c>
      <c r="AH258">
        <v>1</v>
      </c>
      <c r="AI258" t="s">
        <v>1425</v>
      </c>
      <c r="AJ258" t="s">
        <v>1424</v>
      </c>
      <c r="AK258" t="s">
        <v>1250</v>
      </c>
      <c r="AL258">
        <v>0</v>
      </c>
    </row>
    <row r="259" spans="1:38">
      <c r="A259" t="s">
        <v>1000</v>
      </c>
      <c r="B259" s="13">
        <v>45697</v>
      </c>
      <c r="C259" t="s">
        <v>695</v>
      </c>
      <c r="D259" t="s">
        <v>181</v>
      </c>
      <c r="E259" t="s">
        <v>696</v>
      </c>
      <c r="F259" t="s">
        <v>87</v>
      </c>
      <c r="G259" t="s">
        <v>183</v>
      </c>
      <c r="H259" t="s">
        <v>89</v>
      </c>
      <c r="I259">
        <v>2</v>
      </c>
      <c r="J259">
        <v>367.23</v>
      </c>
      <c r="K259">
        <v>0.05</v>
      </c>
      <c r="L259" t="s">
        <v>90</v>
      </c>
      <c r="M259">
        <v>6</v>
      </c>
      <c r="N259" t="s">
        <v>91</v>
      </c>
      <c r="O259" t="s">
        <v>89</v>
      </c>
      <c r="P259" t="s">
        <v>181</v>
      </c>
      <c r="Q259" t="s">
        <v>695</v>
      </c>
      <c r="R259" t="s">
        <v>87</v>
      </c>
      <c r="S259" t="s">
        <v>369</v>
      </c>
      <c r="T259">
        <v>1</v>
      </c>
      <c r="U259" t="s">
        <v>1268</v>
      </c>
      <c r="V259" t="s">
        <v>1239</v>
      </c>
      <c r="W259" t="s">
        <v>1241</v>
      </c>
      <c r="X259" t="s">
        <v>1190</v>
      </c>
      <c r="Y259" t="s">
        <v>1180</v>
      </c>
      <c r="Z259">
        <v>224.47</v>
      </c>
      <c r="AA259">
        <v>734.46</v>
      </c>
      <c r="AB259">
        <v>36.723000000000006</v>
      </c>
      <c r="AC259">
        <v>697.73700000000008</v>
      </c>
      <c r="AD259">
        <v>448.94</v>
      </c>
      <c r="AE259">
        <v>248.79700000000008</v>
      </c>
      <c r="AF259">
        <v>0.35657704837209442</v>
      </c>
      <c r="AG259">
        <v>2025</v>
      </c>
      <c r="AH259">
        <v>2</v>
      </c>
      <c r="AI259" t="s">
        <v>1430</v>
      </c>
      <c r="AJ259" t="s">
        <v>1424</v>
      </c>
      <c r="AK259" t="s">
        <v>1240</v>
      </c>
      <c r="AL259">
        <v>0</v>
      </c>
    </row>
    <row r="260" spans="1:38">
      <c r="A260" t="s">
        <v>1008</v>
      </c>
      <c r="B260" s="13">
        <v>45817</v>
      </c>
      <c r="C260" t="s">
        <v>594</v>
      </c>
      <c r="D260" t="s">
        <v>174</v>
      </c>
      <c r="E260" t="s">
        <v>595</v>
      </c>
      <c r="F260" t="s">
        <v>87</v>
      </c>
      <c r="G260" t="s">
        <v>117</v>
      </c>
      <c r="H260" t="s">
        <v>89</v>
      </c>
      <c r="I260">
        <v>3</v>
      </c>
      <c r="J260">
        <v>39.950000000000003</v>
      </c>
      <c r="K260">
        <v>0</v>
      </c>
      <c r="L260" t="s">
        <v>154</v>
      </c>
      <c r="M260">
        <v>8</v>
      </c>
      <c r="N260" t="s">
        <v>91</v>
      </c>
      <c r="O260" t="s">
        <v>89</v>
      </c>
      <c r="P260" t="s">
        <v>174</v>
      </c>
      <c r="Q260" t="s">
        <v>594</v>
      </c>
      <c r="R260" t="s">
        <v>87</v>
      </c>
      <c r="S260" t="s">
        <v>154</v>
      </c>
      <c r="T260">
        <v>1</v>
      </c>
      <c r="U260" t="s">
        <v>1251</v>
      </c>
      <c r="V260" t="s">
        <v>1277</v>
      </c>
      <c r="W260" t="s">
        <v>1241</v>
      </c>
      <c r="X260" t="s">
        <v>1182</v>
      </c>
      <c r="Y260" t="s">
        <v>1180</v>
      </c>
      <c r="Z260">
        <v>23.5</v>
      </c>
      <c r="AA260">
        <v>119.85000000000001</v>
      </c>
      <c r="AB260">
        <v>0</v>
      </c>
      <c r="AC260">
        <v>119.85000000000001</v>
      </c>
      <c r="AD260">
        <v>70.5</v>
      </c>
      <c r="AE260">
        <v>49.350000000000009</v>
      </c>
      <c r="AF260">
        <v>0.41176470588235298</v>
      </c>
      <c r="AG260">
        <v>2025</v>
      </c>
      <c r="AH260">
        <v>6</v>
      </c>
      <c r="AI260" t="s">
        <v>1429</v>
      </c>
      <c r="AJ260" t="s">
        <v>1420</v>
      </c>
      <c r="AK260" t="s">
        <v>1244</v>
      </c>
      <c r="AL260">
        <v>0</v>
      </c>
    </row>
    <row r="261" spans="1:38">
      <c r="A261" t="s">
        <v>1014</v>
      </c>
      <c r="B261" s="13">
        <v>45704</v>
      </c>
      <c r="C261" t="s">
        <v>406</v>
      </c>
      <c r="D261" t="s">
        <v>244</v>
      </c>
      <c r="E261" t="s">
        <v>407</v>
      </c>
      <c r="F261" t="s">
        <v>145</v>
      </c>
      <c r="G261" t="s">
        <v>130</v>
      </c>
      <c r="H261" t="s">
        <v>97</v>
      </c>
      <c r="I261">
        <v>3</v>
      </c>
      <c r="J261">
        <v>248.18</v>
      </c>
      <c r="K261">
        <v>0.05</v>
      </c>
      <c r="L261" t="s">
        <v>106</v>
      </c>
      <c r="M261">
        <v>2</v>
      </c>
      <c r="N261" t="s">
        <v>91</v>
      </c>
      <c r="O261" t="s">
        <v>97</v>
      </c>
      <c r="P261" t="s">
        <v>244</v>
      </c>
      <c r="Q261" t="s">
        <v>406</v>
      </c>
      <c r="R261" t="s">
        <v>145</v>
      </c>
      <c r="S261" t="s">
        <v>106</v>
      </c>
      <c r="T261">
        <v>1</v>
      </c>
      <c r="U261" t="s">
        <v>1291</v>
      </c>
      <c r="V261" t="s">
        <v>1239</v>
      </c>
      <c r="W261" t="s">
        <v>1237</v>
      </c>
      <c r="X261" t="s">
        <v>1188</v>
      </c>
      <c r="Y261" t="s">
        <v>1180</v>
      </c>
      <c r="Z261">
        <v>131.19</v>
      </c>
      <c r="AA261">
        <v>744.54</v>
      </c>
      <c r="AB261">
        <v>37.226999999999997</v>
      </c>
      <c r="AC261">
        <v>707.31299999999999</v>
      </c>
      <c r="AD261">
        <v>393.57</v>
      </c>
      <c r="AE261">
        <v>313.74299999999999</v>
      </c>
      <c r="AF261">
        <v>0.44357024400795686</v>
      </c>
      <c r="AG261">
        <v>2025</v>
      </c>
      <c r="AH261">
        <v>2</v>
      </c>
      <c r="AI261" t="s">
        <v>1430</v>
      </c>
      <c r="AJ261" t="s">
        <v>1424</v>
      </c>
      <c r="AK261" t="s">
        <v>1240</v>
      </c>
      <c r="AL261">
        <v>0</v>
      </c>
    </row>
    <row r="262" spans="1:38">
      <c r="A262" t="s">
        <v>1016</v>
      </c>
      <c r="B262" s="13">
        <v>45911</v>
      </c>
      <c r="C262" t="s">
        <v>371</v>
      </c>
      <c r="D262" t="s">
        <v>136</v>
      </c>
      <c r="E262" t="s">
        <v>372</v>
      </c>
      <c r="F262" t="s">
        <v>187</v>
      </c>
      <c r="G262" t="s">
        <v>88</v>
      </c>
      <c r="H262" t="s">
        <v>97</v>
      </c>
      <c r="I262">
        <v>4</v>
      </c>
      <c r="J262">
        <v>158.27000000000001</v>
      </c>
      <c r="K262">
        <v>0.15</v>
      </c>
      <c r="L262" t="s">
        <v>98</v>
      </c>
      <c r="M262">
        <v>2</v>
      </c>
      <c r="N262" t="s">
        <v>91</v>
      </c>
      <c r="O262" t="s">
        <v>97</v>
      </c>
      <c r="P262" t="s">
        <v>136</v>
      </c>
      <c r="Q262" t="s">
        <v>371</v>
      </c>
      <c r="R262" t="s">
        <v>103</v>
      </c>
      <c r="S262" t="s">
        <v>98</v>
      </c>
      <c r="T262">
        <v>1</v>
      </c>
      <c r="U262" t="s">
        <v>1302</v>
      </c>
      <c r="V262" t="s">
        <v>1260</v>
      </c>
      <c r="W262" t="s">
        <v>1237</v>
      </c>
      <c r="X262" t="s">
        <v>1184</v>
      </c>
      <c r="Y262" t="s">
        <v>1180</v>
      </c>
      <c r="Z262">
        <v>106.4</v>
      </c>
      <c r="AA262">
        <v>633.08000000000004</v>
      </c>
      <c r="AB262">
        <v>94.962000000000003</v>
      </c>
      <c r="AC262">
        <v>538.11800000000005</v>
      </c>
      <c r="AD262">
        <v>425.6</v>
      </c>
      <c r="AE262">
        <v>112.51800000000003</v>
      </c>
      <c r="AF262">
        <v>0.20909540286702921</v>
      </c>
      <c r="AG262">
        <v>2025</v>
      </c>
      <c r="AH262">
        <v>9</v>
      </c>
      <c r="AI262" t="s">
        <v>1432</v>
      </c>
      <c r="AJ262" t="s">
        <v>1418</v>
      </c>
      <c r="AK262" t="s">
        <v>1240</v>
      </c>
      <c r="AL262">
        <v>0</v>
      </c>
    </row>
    <row r="263" spans="1:38">
      <c r="A263" t="s">
        <v>1017</v>
      </c>
      <c r="B263" s="13">
        <v>45943</v>
      </c>
      <c r="C263" t="s">
        <v>248</v>
      </c>
      <c r="D263" t="s">
        <v>244</v>
      </c>
      <c r="E263" t="s">
        <v>250</v>
      </c>
      <c r="F263" t="s">
        <v>116</v>
      </c>
      <c r="G263" t="s">
        <v>88</v>
      </c>
      <c r="H263" t="s">
        <v>89</v>
      </c>
      <c r="I263">
        <v>1</v>
      </c>
      <c r="J263">
        <v>237.69</v>
      </c>
      <c r="K263">
        <v>0.2</v>
      </c>
      <c r="L263" t="s">
        <v>106</v>
      </c>
      <c r="M263">
        <v>7</v>
      </c>
      <c r="N263" t="s">
        <v>147</v>
      </c>
      <c r="O263" t="s">
        <v>89</v>
      </c>
      <c r="P263" t="s">
        <v>244</v>
      </c>
      <c r="Q263" t="s">
        <v>248</v>
      </c>
      <c r="R263" t="s">
        <v>116</v>
      </c>
      <c r="S263" t="s">
        <v>106</v>
      </c>
      <c r="T263">
        <v>1</v>
      </c>
      <c r="U263" t="s">
        <v>1261</v>
      </c>
      <c r="V263" t="s">
        <v>1257</v>
      </c>
      <c r="W263" t="s">
        <v>1245</v>
      </c>
      <c r="X263" t="s">
        <v>1188</v>
      </c>
      <c r="Y263" t="s">
        <v>1180</v>
      </c>
      <c r="Z263">
        <v>131.19</v>
      </c>
      <c r="AA263">
        <v>237.69</v>
      </c>
      <c r="AB263">
        <v>47.538000000000004</v>
      </c>
      <c r="AC263">
        <v>190.15199999999999</v>
      </c>
      <c r="AD263">
        <v>131.19</v>
      </c>
      <c r="AE263">
        <v>58.961999999999989</v>
      </c>
      <c r="AF263">
        <v>0.31007825318692411</v>
      </c>
      <c r="AG263">
        <v>2025</v>
      </c>
      <c r="AH263">
        <v>10</v>
      </c>
      <c r="AI263" t="s">
        <v>1431</v>
      </c>
      <c r="AJ263" t="s">
        <v>1427</v>
      </c>
      <c r="AK263" t="s">
        <v>1258</v>
      </c>
      <c r="AL263">
        <v>1</v>
      </c>
    </row>
    <row r="264" spans="1:38">
      <c r="A264" t="s">
        <v>1018</v>
      </c>
      <c r="B264" s="13">
        <v>46001</v>
      </c>
      <c r="C264" t="s">
        <v>410</v>
      </c>
      <c r="D264" t="s">
        <v>190</v>
      </c>
      <c r="E264" t="s">
        <v>411</v>
      </c>
      <c r="F264" t="s">
        <v>116</v>
      </c>
      <c r="G264" t="s">
        <v>183</v>
      </c>
      <c r="H264" t="s">
        <v>89</v>
      </c>
      <c r="I264">
        <v>1</v>
      </c>
      <c r="J264">
        <v>270.91000000000003</v>
      </c>
      <c r="K264">
        <v>0.2</v>
      </c>
      <c r="L264" t="s">
        <v>106</v>
      </c>
      <c r="M264">
        <v>3</v>
      </c>
      <c r="N264" t="s">
        <v>91</v>
      </c>
      <c r="O264" t="s">
        <v>89</v>
      </c>
      <c r="P264" t="s">
        <v>190</v>
      </c>
      <c r="Q264" t="s">
        <v>410</v>
      </c>
      <c r="R264" t="s">
        <v>116</v>
      </c>
      <c r="S264" t="s">
        <v>106</v>
      </c>
      <c r="T264">
        <v>1</v>
      </c>
      <c r="U264" t="s">
        <v>1234</v>
      </c>
      <c r="V264" t="s">
        <v>1284</v>
      </c>
      <c r="W264" t="s">
        <v>1237</v>
      </c>
      <c r="X264" t="s">
        <v>1186</v>
      </c>
      <c r="Y264" t="s">
        <v>1180</v>
      </c>
      <c r="Z264">
        <v>154.72999999999999</v>
      </c>
      <c r="AA264">
        <v>270.91000000000003</v>
      </c>
      <c r="AB264">
        <v>54.182000000000009</v>
      </c>
      <c r="AC264">
        <v>216.72800000000001</v>
      </c>
      <c r="AD264">
        <v>154.72999999999999</v>
      </c>
      <c r="AE264">
        <v>61.998000000000019</v>
      </c>
      <c r="AF264">
        <v>0.28606363737034446</v>
      </c>
      <c r="AG264">
        <v>2025</v>
      </c>
      <c r="AH264">
        <v>12</v>
      </c>
      <c r="AI264" t="s">
        <v>1428</v>
      </c>
      <c r="AJ264" t="s">
        <v>1427</v>
      </c>
      <c r="AK264" t="s">
        <v>1285</v>
      </c>
      <c r="AL264">
        <v>0</v>
      </c>
    </row>
    <row r="265" spans="1:38">
      <c r="A265" t="s">
        <v>1022</v>
      </c>
      <c r="B265" s="13">
        <v>46018</v>
      </c>
      <c r="C265" t="s">
        <v>343</v>
      </c>
      <c r="D265" t="s">
        <v>174</v>
      </c>
      <c r="E265" t="s">
        <v>344</v>
      </c>
      <c r="F265" t="s">
        <v>145</v>
      </c>
      <c r="G265" t="s">
        <v>171</v>
      </c>
      <c r="H265" t="s">
        <v>97</v>
      </c>
      <c r="I265">
        <v>1</v>
      </c>
      <c r="J265">
        <v>39.03</v>
      </c>
      <c r="K265">
        <v>0.2</v>
      </c>
      <c r="L265" t="s">
        <v>106</v>
      </c>
      <c r="M265">
        <v>0</v>
      </c>
      <c r="N265" t="s">
        <v>91</v>
      </c>
      <c r="O265" t="s">
        <v>97</v>
      </c>
      <c r="P265" t="s">
        <v>174</v>
      </c>
      <c r="Q265" t="s">
        <v>343</v>
      </c>
      <c r="R265" t="s">
        <v>145</v>
      </c>
      <c r="S265" t="s">
        <v>106</v>
      </c>
      <c r="T265">
        <v>1</v>
      </c>
      <c r="U265" t="s">
        <v>1354</v>
      </c>
      <c r="V265" t="s">
        <v>1243</v>
      </c>
      <c r="W265" t="s">
        <v>1237</v>
      </c>
      <c r="X265" t="s">
        <v>1182</v>
      </c>
      <c r="Y265" t="s">
        <v>1180</v>
      </c>
      <c r="Z265">
        <v>23.5</v>
      </c>
      <c r="AA265">
        <v>39.03</v>
      </c>
      <c r="AB265">
        <v>7.8060000000000009</v>
      </c>
      <c r="AC265">
        <v>31.224</v>
      </c>
      <c r="AD265">
        <v>23.5</v>
      </c>
      <c r="AE265">
        <v>7.7240000000000002</v>
      </c>
      <c r="AF265">
        <v>0.24737381501409172</v>
      </c>
      <c r="AG265">
        <v>2025</v>
      </c>
      <c r="AH265">
        <v>12</v>
      </c>
      <c r="AI265" t="s">
        <v>1428</v>
      </c>
      <c r="AJ265" t="s">
        <v>1427</v>
      </c>
      <c r="AK265" t="s">
        <v>1244</v>
      </c>
      <c r="AL265">
        <v>0</v>
      </c>
    </row>
    <row r="266" spans="1:38">
      <c r="A266" t="s">
        <v>1025</v>
      </c>
      <c r="B266" s="13">
        <v>45718</v>
      </c>
      <c r="C266" t="s">
        <v>414</v>
      </c>
      <c r="D266" t="s">
        <v>174</v>
      </c>
      <c r="E266" t="s">
        <v>415</v>
      </c>
      <c r="F266" t="s">
        <v>145</v>
      </c>
      <c r="G266" t="s">
        <v>171</v>
      </c>
      <c r="H266" t="s">
        <v>89</v>
      </c>
      <c r="I266">
        <v>1</v>
      </c>
      <c r="J266">
        <v>36.51</v>
      </c>
      <c r="K266">
        <v>0</v>
      </c>
      <c r="L266" t="s">
        <v>90</v>
      </c>
      <c r="M266">
        <v>9</v>
      </c>
      <c r="N266" t="s">
        <v>91</v>
      </c>
      <c r="O266" t="s">
        <v>89</v>
      </c>
      <c r="P266" t="s">
        <v>174</v>
      </c>
      <c r="Q266" t="s">
        <v>414</v>
      </c>
      <c r="R266" t="s">
        <v>145</v>
      </c>
      <c r="S266" t="s">
        <v>369</v>
      </c>
      <c r="T266">
        <v>1</v>
      </c>
      <c r="U266" t="s">
        <v>1305</v>
      </c>
      <c r="V266" t="s">
        <v>1288</v>
      </c>
      <c r="W266" t="s">
        <v>1245</v>
      </c>
      <c r="X266" t="s">
        <v>1182</v>
      </c>
      <c r="Y266" t="s">
        <v>1180</v>
      </c>
      <c r="Z266">
        <v>23.5</v>
      </c>
      <c r="AA266">
        <v>36.51</v>
      </c>
      <c r="AB266">
        <v>0</v>
      </c>
      <c r="AC266">
        <v>36.51</v>
      </c>
      <c r="AD266">
        <v>23.5</v>
      </c>
      <c r="AE266">
        <v>13.009999999999998</v>
      </c>
      <c r="AF266">
        <v>0.3563407285675157</v>
      </c>
      <c r="AG266">
        <v>2025</v>
      </c>
      <c r="AH266">
        <v>3</v>
      </c>
      <c r="AI266" t="s">
        <v>1423</v>
      </c>
      <c r="AJ266" t="s">
        <v>1424</v>
      </c>
      <c r="AK266" t="s">
        <v>1250</v>
      </c>
      <c r="AL266">
        <v>0</v>
      </c>
    </row>
    <row r="267" spans="1:38">
      <c r="A267" t="s">
        <v>1026</v>
      </c>
      <c r="B267" s="13">
        <v>45993</v>
      </c>
      <c r="C267" t="s">
        <v>371</v>
      </c>
      <c r="D267" t="s">
        <v>136</v>
      </c>
      <c r="E267" t="s">
        <v>372</v>
      </c>
      <c r="F267" t="s">
        <v>145</v>
      </c>
      <c r="G267" t="s">
        <v>88</v>
      </c>
      <c r="H267" t="s">
        <v>89</v>
      </c>
      <c r="I267">
        <v>1</v>
      </c>
      <c r="J267">
        <v>165.55</v>
      </c>
      <c r="K267">
        <v>0.05</v>
      </c>
      <c r="L267" t="s">
        <v>106</v>
      </c>
      <c r="M267">
        <v>7</v>
      </c>
      <c r="N267" t="s">
        <v>91</v>
      </c>
      <c r="O267" t="s">
        <v>89</v>
      </c>
      <c r="P267" t="s">
        <v>136</v>
      </c>
      <c r="Q267" t="s">
        <v>371</v>
      </c>
      <c r="R267" t="s">
        <v>145</v>
      </c>
      <c r="S267" t="s">
        <v>106</v>
      </c>
      <c r="T267">
        <v>1</v>
      </c>
      <c r="U267" t="s">
        <v>1302</v>
      </c>
      <c r="V267" t="s">
        <v>1260</v>
      </c>
      <c r="W267" t="s">
        <v>1237</v>
      </c>
      <c r="X267" t="s">
        <v>1184</v>
      </c>
      <c r="Y267" t="s">
        <v>1180</v>
      </c>
      <c r="Z267">
        <v>106.4</v>
      </c>
      <c r="AA267">
        <v>165.55</v>
      </c>
      <c r="AB267">
        <v>8.2775000000000016</v>
      </c>
      <c r="AC267">
        <v>157.27250000000001</v>
      </c>
      <c r="AD267">
        <v>106.4</v>
      </c>
      <c r="AE267">
        <v>50.872500000000002</v>
      </c>
      <c r="AF267">
        <v>0.32346723044397463</v>
      </c>
      <c r="AG267">
        <v>2025</v>
      </c>
      <c r="AH267">
        <v>12</v>
      </c>
      <c r="AI267" t="s">
        <v>1428</v>
      </c>
      <c r="AJ267" t="s">
        <v>1427</v>
      </c>
      <c r="AK267" t="s">
        <v>1240</v>
      </c>
      <c r="AL267">
        <v>0</v>
      </c>
    </row>
    <row r="268" spans="1:38">
      <c r="A268" t="s">
        <v>1033</v>
      </c>
      <c r="B268" s="13">
        <v>45849</v>
      </c>
      <c r="C268" t="s">
        <v>239</v>
      </c>
      <c r="D268" t="s">
        <v>190</v>
      </c>
      <c r="E268" t="s">
        <v>240</v>
      </c>
      <c r="F268" t="s">
        <v>87</v>
      </c>
      <c r="G268" t="s">
        <v>88</v>
      </c>
      <c r="H268" t="s">
        <v>89</v>
      </c>
      <c r="I268">
        <v>3</v>
      </c>
      <c r="J268">
        <v>286.7</v>
      </c>
      <c r="K268">
        <v>0</v>
      </c>
      <c r="L268" t="s">
        <v>90</v>
      </c>
      <c r="M268">
        <v>6</v>
      </c>
      <c r="N268" t="s">
        <v>91</v>
      </c>
      <c r="O268" t="s">
        <v>89</v>
      </c>
      <c r="P268" t="s">
        <v>190</v>
      </c>
      <c r="Q268" t="s">
        <v>239</v>
      </c>
      <c r="R268" t="s">
        <v>87</v>
      </c>
      <c r="S268" t="s">
        <v>369</v>
      </c>
      <c r="T268">
        <v>1</v>
      </c>
      <c r="U268" t="s">
        <v>1336</v>
      </c>
      <c r="V268" t="s">
        <v>1297</v>
      </c>
      <c r="W268" t="s">
        <v>1237</v>
      </c>
      <c r="X268" t="s">
        <v>1186</v>
      </c>
      <c r="Y268" t="s">
        <v>1180</v>
      </c>
      <c r="Z268">
        <v>154.72999999999999</v>
      </c>
      <c r="AA268">
        <v>860.09999999999991</v>
      </c>
      <c r="AB268">
        <v>0</v>
      </c>
      <c r="AC268">
        <v>860.09999999999991</v>
      </c>
      <c r="AD268">
        <v>464.18999999999994</v>
      </c>
      <c r="AE268">
        <v>395.90999999999997</v>
      </c>
      <c r="AF268">
        <v>0.46030694105336589</v>
      </c>
      <c r="AG268">
        <v>2025</v>
      </c>
      <c r="AH268">
        <v>7</v>
      </c>
      <c r="AI268" t="s">
        <v>1422</v>
      </c>
      <c r="AJ268" t="s">
        <v>1418</v>
      </c>
      <c r="AK268" t="s">
        <v>1258</v>
      </c>
      <c r="AL268">
        <v>0</v>
      </c>
    </row>
    <row r="269" spans="1:38">
      <c r="A269" t="s">
        <v>1036</v>
      </c>
      <c r="B269" s="13">
        <v>45728</v>
      </c>
      <c r="C269" t="s">
        <v>389</v>
      </c>
      <c r="D269" t="s">
        <v>244</v>
      </c>
      <c r="E269" t="s">
        <v>390</v>
      </c>
      <c r="F269" t="s">
        <v>116</v>
      </c>
      <c r="G269" t="s">
        <v>122</v>
      </c>
      <c r="H269" t="s">
        <v>89</v>
      </c>
      <c r="I269">
        <v>1</v>
      </c>
      <c r="J269">
        <v>247.8</v>
      </c>
      <c r="K269">
        <v>0.2</v>
      </c>
      <c r="L269" t="s">
        <v>90</v>
      </c>
      <c r="M269">
        <v>3</v>
      </c>
      <c r="N269" t="s">
        <v>91</v>
      </c>
      <c r="O269" t="s">
        <v>89</v>
      </c>
      <c r="P269" t="s">
        <v>244</v>
      </c>
      <c r="Q269" t="s">
        <v>389</v>
      </c>
      <c r="R269" t="s">
        <v>116</v>
      </c>
      <c r="S269" t="s">
        <v>369</v>
      </c>
      <c r="T269">
        <v>1</v>
      </c>
      <c r="U269" t="s">
        <v>1264</v>
      </c>
      <c r="V269" t="s">
        <v>1325</v>
      </c>
      <c r="W269" t="s">
        <v>1245</v>
      </c>
      <c r="X269" t="s">
        <v>1188</v>
      </c>
      <c r="Y269" t="s">
        <v>1180</v>
      </c>
      <c r="Z269">
        <v>131.19</v>
      </c>
      <c r="AA269">
        <v>247.8</v>
      </c>
      <c r="AB269">
        <v>49.56</v>
      </c>
      <c r="AC269">
        <v>198.24</v>
      </c>
      <c r="AD269">
        <v>131.19</v>
      </c>
      <c r="AE269">
        <v>67.050000000000011</v>
      </c>
      <c r="AF269">
        <v>0.338226392251816</v>
      </c>
      <c r="AG269">
        <v>2025</v>
      </c>
      <c r="AH269">
        <v>3</v>
      </c>
      <c r="AI269" t="s">
        <v>1423</v>
      </c>
      <c r="AJ269" t="s">
        <v>1424</v>
      </c>
      <c r="AK269" t="s">
        <v>1326</v>
      </c>
      <c r="AL269">
        <v>0</v>
      </c>
    </row>
    <row r="270" spans="1:38">
      <c r="A270" t="s">
        <v>1037</v>
      </c>
      <c r="B270" s="13">
        <v>45756</v>
      </c>
      <c r="C270" t="s">
        <v>417</v>
      </c>
      <c r="D270" t="s">
        <v>181</v>
      </c>
      <c r="E270" t="s">
        <v>419</v>
      </c>
      <c r="F270" t="s">
        <v>111</v>
      </c>
      <c r="G270" t="s">
        <v>88</v>
      </c>
      <c r="H270" t="s">
        <v>89</v>
      </c>
      <c r="I270">
        <v>1</v>
      </c>
      <c r="J270">
        <v>347.2</v>
      </c>
      <c r="K270">
        <v>0.25</v>
      </c>
      <c r="L270" t="s">
        <v>106</v>
      </c>
      <c r="M270">
        <v>3</v>
      </c>
      <c r="N270" t="s">
        <v>91</v>
      </c>
      <c r="O270" t="s">
        <v>89</v>
      </c>
      <c r="P270" t="s">
        <v>181</v>
      </c>
      <c r="Q270" t="s">
        <v>417</v>
      </c>
      <c r="R270" t="s">
        <v>111</v>
      </c>
      <c r="S270" t="s">
        <v>106</v>
      </c>
      <c r="T270">
        <v>1</v>
      </c>
      <c r="U270" t="s">
        <v>1329</v>
      </c>
      <c r="V270" t="s">
        <v>1243</v>
      </c>
      <c r="W270" t="s">
        <v>1237</v>
      </c>
      <c r="X270" t="s">
        <v>1190</v>
      </c>
      <c r="Y270" t="s">
        <v>1180</v>
      </c>
      <c r="Z270">
        <v>224.47</v>
      </c>
      <c r="AA270">
        <v>347.2</v>
      </c>
      <c r="AB270">
        <v>86.8</v>
      </c>
      <c r="AC270">
        <v>260.39999999999998</v>
      </c>
      <c r="AD270">
        <v>224.47</v>
      </c>
      <c r="AE270">
        <v>35.929999999999978</v>
      </c>
      <c r="AF270">
        <v>0.13798003072196613</v>
      </c>
      <c r="AG270">
        <v>2025</v>
      </c>
      <c r="AH270">
        <v>4</v>
      </c>
      <c r="AI270" t="s">
        <v>1421</v>
      </c>
      <c r="AJ270" t="s">
        <v>1420</v>
      </c>
      <c r="AK270" t="s">
        <v>1244</v>
      </c>
      <c r="AL270">
        <v>0</v>
      </c>
    </row>
    <row r="271" spans="1:38">
      <c r="A271" t="s">
        <v>1044</v>
      </c>
      <c r="B271" s="13">
        <v>45957</v>
      </c>
      <c r="C271" t="s">
        <v>371</v>
      </c>
      <c r="D271" t="s">
        <v>277</v>
      </c>
      <c r="E271" t="s">
        <v>372</v>
      </c>
      <c r="F271" t="s">
        <v>103</v>
      </c>
      <c r="G271" t="s">
        <v>130</v>
      </c>
      <c r="H271" t="s">
        <v>89</v>
      </c>
      <c r="I271">
        <v>1</v>
      </c>
      <c r="J271">
        <v>355.43</v>
      </c>
      <c r="K271">
        <v>0.05</v>
      </c>
      <c r="L271" t="s">
        <v>90</v>
      </c>
      <c r="M271">
        <v>4</v>
      </c>
      <c r="N271" t="s">
        <v>91</v>
      </c>
      <c r="O271" t="s">
        <v>89</v>
      </c>
      <c r="P271" t="s">
        <v>277</v>
      </c>
      <c r="Q271" t="s">
        <v>371</v>
      </c>
      <c r="R271" t="s">
        <v>103</v>
      </c>
      <c r="S271" t="s">
        <v>369</v>
      </c>
      <c r="T271">
        <v>1</v>
      </c>
      <c r="U271" t="s">
        <v>1302</v>
      </c>
      <c r="V271" t="s">
        <v>1260</v>
      </c>
      <c r="W271" t="s">
        <v>1237</v>
      </c>
      <c r="X271" t="s">
        <v>1179</v>
      </c>
      <c r="Y271" t="s">
        <v>1180</v>
      </c>
      <c r="Z271">
        <v>254.6</v>
      </c>
      <c r="AA271">
        <v>355.43</v>
      </c>
      <c r="AB271">
        <v>17.7715</v>
      </c>
      <c r="AC271">
        <v>337.6585</v>
      </c>
      <c r="AD271">
        <v>254.6</v>
      </c>
      <c r="AE271">
        <v>83.058500000000009</v>
      </c>
      <c r="AF271">
        <v>0.24598373800748391</v>
      </c>
      <c r="AG271">
        <v>2025</v>
      </c>
      <c r="AH271">
        <v>10</v>
      </c>
      <c r="AI271" t="s">
        <v>1431</v>
      </c>
      <c r="AJ271" t="s">
        <v>1427</v>
      </c>
      <c r="AK271" t="s">
        <v>1240</v>
      </c>
      <c r="AL271">
        <v>0</v>
      </c>
    </row>
    <row r="272" spans="1:38">
      <c r="A272" t="s">
        <v>1055</v>
      </c>
      <c r="B272" s="13">
        <v>45946</v>
      </c>
      <c r="C272" t="s">
        <v>209</v>
      </c>
      <c r="D272" t="s">
        <v>217</v>
      </c>
      <c r="E272" t="s">
        <v>211</v>
      </c>
      <c r="F272" t="s">
        <v>116</v>
      </c>
      <c r="G272" t="s">
        <v>104</v>
      </c>
      <c r="H272" t="s">
        <v>97</v>
      </c>
      <c r="I272">
        <v>4</v>
      </c>
      <c r="J272">
        <v>100.23</v>
      </c>
      <c r="K272">
        <v>0.05</v>
      </c>
      <c r="L272" t="s">
        <v>98</v>
      </c>
      <c r="M272">
        <v>0</v>
      </c>
      <c r="N272" t="s">
        <v>91</v>
      </c>
      <c r="O272" t="s">
        <v>97</v>
      </c>
      <c r="P272" t="s">
        <v>217</v>
      </c>
      <c r="Q272" t="s">
        <v>209</v>
      </c>
      <c r="R272" t="s">
        <v>116</v>
      </c>
      <c r="S272" t="s">
        <v>98</v>
      </c>
      <c r="T272">
        <v>1</v>
      </c>
      <c r="U272" t="s">
        <v>1248</v>
      </c>
      <c r="V272" t="s">
        <v>1249</v>
      </c>
      <c r="W272" t="s">
        <v>1237</v>
      </c>
      <c r="X272" t="s">
        <v>1189</v>
      </c>
      <c r="Y272" t="s">
        <v>1180</v>
      </c>
      <c r="Z272">
        <v>72</v>
      </c>
      <c r="AA272">
        <v>400.92</v>
      </c>
      <c r="AB272">
        <v>20.046000000000003</v>
      </c>
      <c r="AC272">
        <v>380.87400000000002</v>
      </c>
      <c r="AD272">
        <v>288</v>
      </c>
      <c r="AE272">
        <v>92.874000000000024</v>
      </c>
      <c r="AF272">
        <v>0.24384442098961867</v>
      </c>
      <c r="AG272">
        <v>2025</v>
      </c>
      <c r="AH272">
        <v>10</v>
      </c>
      <c r="AI272" t="s">
        <v>1431</v>
      </c>
      <c r="AJ272" t="s">
        <v>1427</v>
      </c>
      <c r="AK272" t="s">
        <v>1250</v>
      </c>
      <c r="AL272">
        <v>0</v>
      </c>
    </row>
    <row r="273" spans="1:38">
      <c r="A273" t="s">
        <v>1057</v>
      </c>
      <c r="B273" s="13">
        <v>45728</v>
      </c>
      <c r="C273" t="s">
        <v>379</v>
      </c>
      <c r="D273" t="s">
        <v>190</v>
      </c>
      <c r="E273" t="s">
        <v>380</v>
      </c>
      <c r="F273" t="s">
        <v>111</v>
      </c>
      <c r="G273" t="s">
        <v>117</v>
      </c>
      <c r="H273" t="s">
        <v>97</v>
      </c>
      <c r="I273">
        <v>1</v>
      </c>
      <c r="J273">
        <v>286.02</v>
      </c>
      <c r="K273">
        <v>0.25</v>
      </c>
      <c r="L273" t="s">
        <v>106</v>
      </c>
      <c r="M273">
        <v>0</v>
      </c>
      <c r="N273" t="s">
        <v>91</v>
      </c>
      <c r="O273" t="s">
        <v>97</v>
      </c>
      <c r="P273" t="s">
        <v>190</v>
      </c>
      <c r="Q273" t="s">
        <v>379</v>
      </c>
      <c r="R273" t="s">
        <v>111</v>
      </c>
      <c r="S273" t="s">
        <v>106</v>
      </c>
      <c r="T273">
        <v>1</v>
      </c>
      <c r="U273" t="s">
        <v>1320</v>
      </c>
      <c r="V273" t="s">
        <v>1239</v>
      </c>
      <c r="W273" t="s">
        <v>1245</v>
      </c>
      <c r="X273" t="s">
        <v>1186</v>
      </c>
      <c r="Y273" t="s">
        <v>1180</v>
      </c>
      <c r="Z273">
        <v>154.72999999999999</v>
      </c>
      <c r="AA273">
        <v>286.02</v>
      </c>
      <c r="AB273">
        <v>71.504999999999995</v>
      </c>
      <c r="AC273">
        <v>214.51499999999999</v>
      </c>
      <c r="AD273">
        <v>154.72999999999999</v>
      </c>
      <c r="AE273">
        <v>59.784999999999997</v>
      </c>
      <c r="AF273">
        <v>0.27869845931519943</v>
      </c>
      <c r="AG273">
        <v>2025</v>
      </c>
      <c r="AH273">
        <v>3</v>
      </c>
      <c r="AI273" t="s">
        <v>1423</v>
      </c>
      <c r="AJ273" t="s">
        <v>1424</v>
      </c>
      <c r="AK273" t="s">
        <v>1240</v>
      </c>
      <c r="AL273">
        <v>0</v>
      </c>
    </row>
    <row r="274" spans="1:38">
      <c r="A274" t="s">
        <v>1059</v>
      </c>
      <c r="B274" s="13">
        <v>45986</v>
      </c>
      <c r="C274" t="s">
        <v>156</v>
      </c>
      <c r="D274" t="s">
        <v>277</v>
      </c>
      <c r="E274" t="s">
        <v>158</v>
      </c>
      <c r="F274" t="s">
        <v>87</v>
      </c>
      <c r="G274" t="s">
        <v>96</v>
      </c>
      <c r="H274" t="s">
        <v>97</v>
      </c>
      <c r="I274">
        <v>2</v>
      </c>
      <c r="J274">
        <v>375.13</v>
      </c>
      <c r="K274">
        <v>0.1</v>
      </c>
      <c r="L274" t="s">
        <v>106</v>
      </c>
      <c r="M274">
        <v>1</v>
      </c>
      <c r="N274" t="s">
        <v>91</v>
      </c>
      <c r="O274" t="s">
        <v>97</v>
      </c>
      <c r="P274" t="s">
        <v>277</v>
      </c>
      <c r="Q274" t="s">
        <v>156</v>
      </c>
      <c r="R274" t="s">
        <v>87</v>
      </c>
      <c r="S274" t="s">
        <v>106</v>
      </c>
      <c r="T274">
        <v>1</v>
      </c>
      <c r="U274" t="s">
        <v>1353</v>
      </c>
      <c r="V274" t="s">
        <v>1235</v>
      </c>
      <c r="W274" t="s">
        <v>1237</v>
      </c>
      <c r="X274" t="s">
        <v>1179</v>
      </c>
      <c r="Y274" t="s">
        <v>1180</v>
      </c>
      <c r="Z274">
        <v>254.6</v>
      </c>
      <c r="AA274">
        <v>750.26</v>
      </c>
      <c r="AB274">
        <v>75.025999999999996</v>
      </c>
      <c r="AC274">
        <v>675.23400000000004</v>
      </c>
      <c r="AD274">
        <v>509.2</v>
      </c>
      <c r="AE274">
        <v>166.03400000000005</v>
      </c>
      <c r="AF274">
        <v>0.24589105406422077</v>
      </c>
      <c r="AG274">
        <v>2025</v>
      </c>
      <c r="AH274">
        <v>11</v>
      </c>
      <c r="AI274" t="s">
        <v>1426</v>
      </c>
      <c r="AJ274" t="s">
        <v>1427</v>
      </c>
      <c r="AK274" t="s">
        <v>1236</v>
      </c>
      <c r="AL274">
        <v>0</v>
      </c>
    </row>
    <row r="275" spans="1:38">
      <c r="A275" t="s">
        <v>1065</v>
      </c>
      <c r="B275" s="13">
        <v>46010</v>
      </c>
      <c r="C275" t="s">
        <v>216</v>
      </c>
      <c r="D275" t="s">
        <v>174</v>
      </c>
      <c r="E275" t="s">
        <v>218</v>
      </c>
      <c r="F275" t="s">
        <v>87</v>
      </c>
      <c r="G275" t="s">
        <v>96</v>
      </c>
      <c r="H275" t="s">
        <v>89</v>
      </c>
      <c r="I275">
        <v>2</v>
      </c>
      <c r="J275">
        <v>38.06</v>
      </c>
      <c r="K275">
        <v>0</v>
      </c>
      <c r="L275" t="s">
        <v>146</v>
      </c>
      <c r="M275">
        <v>5</v>
      </c>
      <c r="N275" t="s">
        <v>91</v>
      </c>
      <c r="O275" t="s">
        <v>89</v>
      </c>
      <c r="P275" t="s">
        <v>174</v>
      </c>
      <c r="Q275" t="s">
        <v>216</v>
      </c>
      <c r="R275" t="s">
        <v>87</v>
      </c>
      <c r="S275" t="s">
        <v>154</v>
      </c>
      <c r="T275">
        <v>1</v>
      </c>
      <c r="U275" t="s">
        <v>1253</v>
      </c>
      <c r="V275" t="s">
        <v>1260</v>
      </c>
      <c r="W275" t="s">
        <v>1237</v>
      </c>
      <c r="X275" t="s">
        <v>1182</v>
      </c>
      <c r="Y275" t="s">
        <v>1180</v>
      </c>
      <c r="Z275">
        <v>23.5</v>
      </c>
      <c r="AA275">
        <v>76.12</v>
      </c>
      <c r="AB275">
        <v>0</v>
      </c>
      <c r="AC275">
        <v>76.12</v>
      </c>
      <c r="AD275">
        <v>47</v>
      </c>
      <c r="AE275">
        <v>29.120000000000005</v>
      </c>
      <c r="AF275">
        <v>0.38255386232264849</v>
      </c>
      <c r="AG275">
        <v>2025</v>
      </c>
      <c r="AH275">
        <v>12</v>
      </c>
      <c r="AI275" t="s">
        <v>1428</v>
      </c>
      <c r="AJ275" t="s">
        <v>1427</v>
      </c>
      <c r="AK275" t="s">
        <v>1240</v>
      </c>
      <c r="AL275">
        <v>0</v>
      </c>
    </row>
    <row r="276" spans="1:38">
      <c r="A276" t="s">
        <v>1066</v>
      </c>
      <c r="B276" s="13">
        <v>45662</v>
      </c>
      <c r="C276" t="s">
        <v>156</v>
      </c>
      <c r="D276" t="s">
        <v>136</v>
      </c>
      <c r="E276" t="s">
        <v>973</v>
      </c>
      <c r="F276" t="s">
        <v>145</v>
      </c>
      <c r="G276" t="s">
        <v>104</v>
      </c>
      <c r="H276" t="s">
        <v>97</v>
      </c>
      <c r="I276">
        <v>4</v>
      </c>
      <c r="J276">
        <v>155.75</v>
      </c>
      <c r="K276">
        <v>0.1</v>
      </c>
      <c r="L276" t="s">
        <v>106</v>
      </c>
      <c r="M276">
        <v>1</v>
      </c>
      <c r="N276" t="s">
        <v>91</v>
      </c>
      <c r="O276" t="s">
        <v>97</v>
      </c>
      <c r="P276" t="s">
        <v>136</v>
      </c>
      <c r="Q276" t="s">
        <v>156</v>
      </c>
      <c r="R276" t="s">
        <v>145</v>
      </c>
      <c r="S276" t="s">
        <v>106</v>
      </c>
      <c r="T276">
        <v>1</v>
      </c>
      <c r="U276" t="s">
        <v>1353</v>
      </c>
      <c r="V276" t="s">
        <v>1235</v>
      </c>
      <c r="W276" t="s">
        <v>1237</v>
      </c>
      <c r="X276" t="s">
        <v>1184</v>
      </c>
      <c r="Y276" t="s">
        <v>1180</v>
      </c>
      <c r="Z276">
        <v>106.4</v>
      </c>
      <c r="AA276">
        <v>623</v>
      </c>
      <c r="AB276">
        <v>62.300000000000004</v>
      </c>
      <c r="AC276">
        <v>560.70000000000005</v>
      </c>
      <c r="AD276">
        <v>425.6</v>
      </c>
      <c r="AE276">
        <v>135.10000000000002</v>
      </c>
      <c r="AF276">
        <v>0.24094881398252188</v>
      </c>
      <c r="AG276">
        <v>2025</v>
      </c>
      <c r="AH276">
        <v>1</v>
      </c>
      <c r="AI276" t="s">
        <v>1425</v>
      </c>
      <c r="AJ276" t="s">
        <v>1424</v>
      </c>
      <c r="AK276" t="s">
        <v>1236</v>
      </c>
      <c r="AL276">
        <v>0</v>
      </c>
    </row>
    <row r="277" spans="1:38">
      <c r="A277" t="s">
        <v>1068</v>
      </c>
      <c r="B277" s="13">
        <v>45893</v>
      </c>
      <c r="C277" t="s">
        <v>564</v>
      </c>
      <c r="D277" t="s">
        <v>190</v>
      </c>
      <c r="E277" t="s">
        <v>1069</v>
      </c>
      <c r="F277" t="s">
        <v>111</v>
      </c>
      <c r="G277" t="s">
        <v>122</v>
      </c>
      <c r="H277" t="s">
        <v>89</v>
      </c>
      <c r="I277">
        <v>2</v>
      </c>
      <c r="J277">
        <v>296.08</v>
      </c>
      <c r="K277">
        <v>0</v>
      </c>
      <c r="L277" t="s">
        <v>106</v>
      </c>
      <c r="M277">
        <v>1</v>
      </c>
      <c r="N277" t="s">
        <v>91</v>
      </c>
      <c r="O277" t="s">
        <v>89</v>
      </c>
      <c r="P277" t="s">
        <v>190</v>
      </c>
      <c r="Q277" t="s">
        <v>564</v>
      </c>
      <c r="R277" t="s">
        <v>111</v>
      </c>
      <c r="S277" t="s">
        <v>106</v>
      </c>
      <c r="T277">
        <v>1</v>
      </c>
      <c r="U277" t="s">
        <v>1339</v>
      </c>
      <c r="V277" t="s">
        <v>1260</v>
      </c>
      <c r="W277" t="s">
        <v>1245</v>
      </c>
      <c r="X277" t="s">
        <v>1186</v>
      </c>
      <c r="Y277" t="s">
        <v>1180</v>
      </c>
      <c r="Z277">
        <v>154.72999999999999</v>
      </c>
      <c r="AA277">
        <v>592.16</v>
      </c>
      <c r="AB277">
        <v>0</v>
      </c>
      <c r="AC277">
        <v>592.16</v>
      </c>
      <c r="AD277">
        <v>309.45999999999998</v>
      </c>
      <c r="AE277">
        <v>282.7</v>
      </c>
      <c r="AF277">
        <v>0.47740475547149419</v>
      </c>
      <c r="AG277">
        <v>2025</v>
      </c>
      <c r="AH277">
        <v>8</v>
      </c>
      <c r="AI277" t="s">
        <v>1417</v>
      </c>
      <c r="AJ277" t="s">
        <v>1418</v>
      </c>
      <c r="AK277" t="s">
        <v>1240</v>
      </c>
      <c r="AL277">
        <v>0</v>
      </c>
    </row>
    <row r="278" spans="1:38">
      <c r="A278" t="s">
        <v>1070</v>
      </c>
      <c r="B278" s="13">
        <v>45780</v>
      </c>
      <c r="C278" t="s">
        <v>613</v>
      </c>
      <c r="D278" t="s">
        <v>277</v>
      </c>
      <c r="E278" t="s">
        <v>710</v>
      </c>
      <c r="F278" t="s">
        <v>103</v>
      </c>
      <c r="G278" t="s">
        <v>130</v>
      </c>
      <c r="H278" t="s">
        <v>97</v>
      </c>
      <c r="I278">
        <v>1</v>
      </c>
      <c r="J278">
        <v>376.61</v>
      </c>
      <c r="K278">
        <v>0.05</v>
      </c>
      <c r="L278" t="s">
        <v>98</v>
      </c>
      <c r="M278">
        <v>1</v>
      </c>
      <c r="N278" t="s">
        <v>91</v>
      </c>
      <c r="O278" t="s">
        <v>97</v>
      </c>
      <c r="P278" t="s">
        <v>277</v>
      </c>
      <c r="Q278" t="s">
        <v>613</v>
      </c>
      <c r="R278" t="s">
        <v>103</v>
      </c>
      <c r="S278" t="s">
        <v>98</v>
      </c>
      <c r="T278">
        <v>1</v>
      </c>
      <c r="U278" t="s">
        <v>1289</v>
      </c>
      <c r="V278" t="s">
        <v>1260</v>
      </c>
      <c r="W278" t="s">
        <v>1245</v>
      </c>
      <c r="X278" t="s">
        <v>1179</v>
      </c>
      <c r="Y278" t="s">
        <v>1180</v>
      </c>
      <c r="Z278">
        <v>254.6</v>
      </c>
      <c r="AA278">
        <v>376.61</v>
      </c>
      <c r="AB278">
        <v>18.830500000000001</v>
      </c>
      <c r="AC278">
        <v>357.77949999999998</v>
      </c>
      <c r="AD278">
        <v>254.6</v>
      </c>
      <c r="AE278">
        <v>103.17949999999999</v>
      </c>
      <c r="AF278">
        <v>0.28838851862669601</v>
      </c>
      <c r="AG278">
        <v>2025</v>
      </c>
      <c r="AH278">
        <v>5</v>
      </c>
      <c r="AI278" t="s">
        <v>1419</v>
      </c>
      <c r="AJ278" t="s">
        <v>1420</v>
      </c>
      <c r="AK278" t="s">
        <v>1240</v>
      </c>
      <c r="AL278">
        <v>0</v>
      </c>
    </row>
    <row r="279" spans="1:38">
      <c r="A279" t="s">
        <v>1082</v>
      </c>
      <c r="B279" s="13">
        <v>45853</v>
      </c>
      <c r="C279" t="s">
        <v>494</v>
      </c>
      <c r="D279" t="s">
        <v>152</v>
      </c>
      <c r="E279" t="s">
        <v>495</v>
      </c>
      <c r="F279" t="s">
        <v>103</v>
      </c>
      <c r="G279" t="s">
        <v>171</v>
      </c>
      <c r="H279" t="s">
        <v>89</v>
      </c>
      <c r="I279">
        <v>1</v>
      </c>
      <c r="J279">
        <v>139.57</v>
      </c>
      <c r="K279">
        <v>0.25</v>
      </c>
      <c r="L279" t="s">
        <v>106</v>
      </c>
      <c r="M279">
        <v>7</v>
      </c>
      <c r="N279" t="s">
        <v>91</v>
      </c>
      <c r="O279" t="s">
        <v>89</v>
      </c>
      <c r="P279" t="s">
        <v>152</v>
      </c>
      <c r="Q279" t="s">
        <v>494</v>
      </c>
      <c r="R279" t="s">
        <v>103</v>
      </c>
      <c r="S279" t="s">
        <v>106</v>
      </c>
      <c r="T279">
        <v>1</v>
      </c>
      <c r="U279" t="s">
        <v>1266</v>
      </c>
      <c r="V279" t="s">
        <v>1255</v>
      </c>
      <c r="W279" t="s">
        <v>1245</v>
      </c>
      <c r="X279" t="s">
        <v>1191</v>
      </c>
      <c r="Y279" t="s">
        <v>1180</v>
      </c>
      <c r="Z279">
        <v>69</v>
      </c>
      <c r="AA279">
        <v>139.57</v>
      </c>
      <c r="AB279">
        <v>34.892499999999998</v>
      </c>
      <c r="AC279">
        <v>104.67749999999999</v>
      </c>
      <c r="AD279">
        <v>69</v>
      </c>
      <c r="AE279">
        <v>35.677499999999995</v>
      </c>
      <c r="AF279">
        <v>0.34083255713978644</v>
      </c>
      <c r="AG279">
        <v>2025</v>
      </c>
      <c r="AH279">
        <v>7</v>
      </c>
      <c r="AI279" t="s">
        <v>1422</v>
      </c>
      <c r="AJ279" t="s">
        <v>1418</v>
      </c>
      <c r="AK279" t="s">
        <v>1244</v>
      </c>
      <c r="AL279">
        <v>0</v>
      </c>
    </row>
    <row r="280" spans="1:38">
      <c r="A280" t="s">
        <v>1083</v>
      </c>
      <c r="B280" s="13">
        <v>45946</v>
      </c>
      <c r="C280" t="s">
        <v>371</v>
      </c>
      <c r="D280" t="s">
        <v>152</v>
      </c>
      <c r="E280" t="s">
        <v>372</v>
      </c>
      <c r="F280" t="s">
        <v>111</v>
      </c>
      <c r="G280" t="s">
        <v>122</v>
      </c>
      <c r="H280" t="s">
        <v>89</v>
      </c>
      <c r="I280">
        <v>3</v>
      </c>
      <c r="J280">
        <v>138.75</v>
      </c>
      <c r="K280">
        <v>0.25</v>
      </c>
      <c r="L280" t="s">
        <v>106</v>
      </c>
      <c r="M280">
        <v>8</v>
      </c>
      <c r="N280" t="s">
        <v>147</v>
      </c>
      <c r="O280" t="s">
        <v>89</v>
      </c>
      <c r="P280" t="s">
        <v>152</v>
      </c>
      <c r="Q280" t="s">
        <v>371</v>
      </c>
      <c r="R280" t="s">
        <v>111</v>
      </c>
      <c r="S280" t="s">
        <v>106</v>
      </c>
      <c r="T280">
        <v>1</v>
      </c>
      <c r="U280" t="s">
        <v>1302</v>
      </c>
      <c r="V280" t="s">
        <v>1260</v>
      </c>
      <c r="W280" t="s">
        <v>1237</v>
      </c>
      <c r="X280" t="s">
        <v>1191</v>
      </c>
      <c r="Y280" t="s">
        <v>1180</v>
      </c>
      <c r="Z280">
        <v>69</v>
      </c>
      <c r="AA280">
        <v>416.25</v>
      </c>
      <c r="AB280">
        <v>104.0625</v>
      </c>
      <c r="AC280">
        <v>312.1875</v>
      </c>
      <c r="AD280">
        <v>207</v>
      </c>
      <c r="AE280">
        <v>105.1875</v>
      </c>
      <c r="AF280">
        <v>0.33693693693693694</v>
      </c>
      <c r="AG280">
        <v>2025</v>
      </c>
      <c r="AH280">
        <v>10</v>
      </c>
      <c r="AI280" t="s">
        <v>1431</v>
      </c>
      <c r="AJ280" t="s">
        <v>1427</v>
      </c>
      <c r="AK280" t="s">
        <v>1240</v>
      </c>
      <c r="AL280">
        <v>1</v>
      </c>
    </row>
    <row r="281" spans="1:38">
      <c r="A281" t="s">
        <v>1089</v>
      </c>
      <c r="B281" s="13">
        <v>46005</v>
      </c>
      <c r="C281" t="s">
        <v>236</v>
      </c>
      <c r="D281" t="s">
        <v>277</v>
      </c>
      <c r="E281" t="s">
        <v>1090</v>
      </c>
      <c r="F281" t="s">
        <v>111</v>
      </c>
      <c r="G281" t="s">
        <v>104</v>
      </c>
      <c r="H281" t="s">
        <v>89</v>
      </c>
      <c r="I281">
        <v>1</v>
      </c>
      <c r="J281">
        <v>379.66</v>
      </c>
      <c r="K281">
        <v>0</v>
      </c>
      <c r="L281" t="s">
        <v>90</v>
      </c>
      <c r="M281">
        <v>5</v>
      </c>
      <c r="N281" t="s">
        <v>91</v>
      </c>
      <c r="O281" t="s">
        <v>89</v>
      </c>
      <c r="P281" t="s">
        <v>277</v>
      </c>
      <c r="Q281" t="s">
        <v>236</v>
      </c>
      <c r="R281" t="s">
        <v>111</v>
      </c>
      <c r="S281" t="s">
        <v>369</v>
      </c>
      <c r="T281">
        <v>1</v>
      </c>
      <c r="U281" t="s">
        <v>1345</v>
      </c>
      <c r="V281" t="s">
        <v>1288</v>
      </c>
      <c r="W281" t="s">
        <v>1245</v>
      </c>
      <c r="X281" t="s">
        <v>1179</v>
      </c>
      <c r="Y281" t="s">
        <v>1180</v>
      </c>
      <c r="Z281">
        <v>254.6</v>
      </c>
      <c r="AA281">
        <v>379.66</v>
      </c>
      <c r="AB281">
        <v>0</v>
      </c>
      <c r="AC281">
        <v>379.66</v>
      </c>
      <c r="AD281">
        <v>254.6</v>
      </c>
      <c r="AE281">
        <v>125.06000000000003</v>
      </c>
      <c r="AF281">
        <v>0.32939998946425753</v>
      </c>
      <c r="AG281">
        <v>2025</v>
      </c>
      <c r="AH281">
        <v>12</v>
      </c>
      <c r="AI281" t="s">
        <v>1428</v>
      </c>
      <c r="AJ281" t="s">
        <v>1427</v>
      </c>
      <c r="AK281" t="s">
        <v>1250</v>
      </c>
      <c r="AL281">
        <v>0</v>
      </c>
    </row>
    <row r="282" spans="1:38">
      <c r="A282" t="s">
        <v>1091</v>
      </c>
      <c r="B282" s="13">
        <v>45685</v>
      </c>
      <c r="C282" t="s">
        <v>543</v>
      </c>
      <c r="D282" t="s">
        <v>136</v>
      </c>
      <c r="E282" t="s">
        <v>589</v>
      </c>
      <c r="F282" t="s">
        <v>116</v>
      </c>
      <c r="G282" t="s">
        <v>96</v>
      </c>
      <c r="H282" t="s">
        <v>89</v>
      </c>
      <c r="I282">
        <v>2</v>
      </c>
      <c r="J282">
        <v>164.07</v>
      </c>
      <c r="K282">
        <v>0</v>
      </c>
      <c r="L282" t="s">
        <v>106</v>
      </c>
      <c r="M282">
        <v>5</v>
      </c>
      <c r="N282" t="s">
        <v>91</v>
      </c>
      <c r="O282" t="s">
        <v>89</v>
      </c>
      <c r="P282" t="s">
        <v>136</v>
      </c>
      <c r="Q282" t="s">
        <v>543</v>
      </c>
      <c r="R282" t="s">
        <v>116</v>
      </c>
      <c r="S282" t="s">
        <v>106</v>
      </c>
      <c r="T282">
        <v>1</v>
      </c>
      <c r="U282" t="s">
        <v>1281</v>
      </c>
      <c r="V282" t="s">
        <v>1275</v>
      </c>
      <c r="W282" t="s">
        <v>1241</v>
      </c>
      <c r="X282" t="s">
        <v>1184</v>
      </c>
      <c r="Y282" t="s">
        <v>1180</v>
      </c>
      <c r="Z282">
        <v>106.4</v>
      </c>
      <c r="AA282">
        <v>328.14</v>
      </c>
      <c r="AB282">
        <v>0</v>
      </c>
      <c r="AC282">
        <v>328.14</v>
      </c>
      <c r="AD282">
        <v>212.8</v>
      </c>
      <c r="AE282">
        <v>115.33999999999997</v>
      </c>
      <c r="AF282">
        <v>0.35149631254952146</v>
      </c>
      <c r="AG282">
        <v>2025</v>
      </c>
      <c r="AH282">
        <v>1</v>
      </c>
      <c r="AI282" t="s">
        <v>1425</v>
      </c>
      <c r="AJ282" t="s">
        <v>1424</v>
      </c>
      <c r="AK282" t="s">
        <v>1258</v>
      </c>
      <c r="AL282">
        <v>0</v>
      </c>
    </row>
    <row r="283" spans="1:38">
      <c r="A283" t="s">
        <v>1093</v>
      </c>
      <c r="B283" s="13">
        <v>45906</v>
      </c>
      <c r="C283" t="s">
        <v>93</v>
      </c>
      <c r="D283" t="s">
        <v>136</v>
      </c>
      <c r="E283" t="s">
        <v>95</v>
      </c>
      <c r="F283" t="s">
        <v>103</v>
      </c>
      <c r="G283" t="s">
        <v>96</v>
      </c>
      <c r="H283" t="s">
        <v>89</v>
      </c>
      <c r="I283">
        <v>2</v>
      </c>
      <c r="J283">
        <v>163.54</v>
      </c>
      <c r="K283">
        <v>0.1</v>
      </c>
      <c r="L283" t="s">
        <v>98</v>
      </c>
      <c r="M283">
        <v>4</v>
      </c>
      <c r="N283" t="s">
        <v>91</v>
      </c>
      <c r="O283" t="s">
        <v>89</v>
      </c>
      <c r="P283" t="s">
        <v>136</v>
      </c>
      <c r="Q283" t="s">
        <v>93</v>
      </c>
      <c r="R283" t="s">
        <v>103</v>
      </c>
      <c r="S283" t="s">
        <v>98</v>
      </c>
      <c r="T283">
        <v>1</v>
      </c>
      <c r="U283" t="s">
        <v>1331</v>
      </c>
      <c r="V283" t="s">
        <v>1239</v>
      </c>
      <c r="W283" t="s">
        <v>1245</v>
      </c>
      <c r="X283" t="s">
        <v>1184</v>
      </c>
      <c r="Y283" t="s">
        <v>1180</v>
      </c>
      <c r="Z283">
        <v>106.4</v>
      </c>
      <c r="AA283">
        <v>327.08</v>
      </c>
      <c r="AB283">
        <v>32.707999999999998</v>
      </c>
      <c r="AC283">
        <v>294.37199999999996</v>
      </c>
      <c r="AD283">
        <v>212.8</v>
      </c>
      <c r="AE283">
        <v>81.571999999999946</v>
      </c>
      <c r="AF283">
        <v>0.27710515945810049</v>
      </c>
      <c r="AG283">
        <v>2025</v>
      </c>
      <c r="AH283">
        <v>9</v>
      </c>
      <c r="AI283" t="s">
        <v>1432</v>
      </c>
      <c r="AJ283" t="s">
        <v>1418</v>
      </c>
      <c r="AK283" t="s">
        <v>1240</v>
      </c>
      <c r="AL283">
        <v>0</v>
      </c>
    </row>
    <row r="284" spans="1:38">
      <c r="A284" t="s">
        <v>1102</v>
      </c>
      <c r="B284" s="13">
        <v>45792</v>
      </c>
      <c r="C284" t="s">
        <v>326</v>
      </c>
      <c r="D284" t="s">
        <v>277</v>
      </c>
      <c r="E284" t="s">
        <v>327</v>
      </c>
      <c r="F284" t="s">
        <v>87</v>
      </c>
      <c r="G284" t="s">
        <v>122</v>
      </c>
      <c r="H284" t="s">
        <v>89</v>
      </c>
      <c r="I284">
        <v>3</v>
      </c>
      <c r="J284">
        <v>354.76</v>
      </c>
      <c r="K284">
        <v>0.15</v>
      </c>
      <c r="L284" t="s">
        <v>106</v>
      </c>
      <c r="M284">
        <v>3</v>
      </c>
      <c r="N284" t="s">
        <v>91</v>
      </c>
      <c r="O284" t="s">
        <v>89</v>
      </c>
      <c r="P284" t="s">
        <v>277</v>
      </c>
      <c r="Q284" t="s">
        <v>326</v>
      </c>
      <c r="R284" t="s">
        <v>87</v>
      </c>
      <c r="S284" t="s">
        <v>106</v>
      </c>
      <c r="T284">
        <v>1</v>
      </c>
      <c r="U284" t="s">
        <v>1338</v>
      </c>
      <c r="V284" t="s">
        <v>1325</v>
      </c>
      <c r="W284" t="s">
        <v>1237</v>
      </c>
      <c r="X284" t="s">
        <v>1179</v>
      </c>
      <c r="Y284" t="s">
        <v>1180</v>
      </c>
      <c r="Z284">
        <v>254.6</v>
      </c>
      <c r="AA284">
        <v>1064.28</v>
      </c>
      <c r="AB284">
        <v>159.642</v>
      </c>
      <c r="AC284">
        <v>904.63799999999992</v>
      </c>
      <c r="AD284">
        <v>763.8</v>
      </c>
      <c r="AE284">
        <v>140.83799999999997</v>
      </c>
      <c r="AF284">
        <v>0.15568437319679251</v>
      </c>
      <c r="AG284">
        <v>2025</v>
      </c>
      <c r="AH284">
        <v>5</v>
      </c>
      <c r="AI284" t="s">
        <v>1419</v>
      </c>
      <c r="AJ284" t="s">
        <v>1420</v>
      </c>
      <c r="AK284" t="s">
        <v>1326</v>
      </c>
      <c r="AL284">
        <v>0</v>
      </c>
    </row>
    <row r="285" spans="1:38">
      <c r="A285" t="s">
        <v>1103</v>
      </c>
      <c r="B285" s="13">
        <v>45747</v>
      </c>
      <c r="C285" t="s">
        <v>338</v>
      </c>
      <c r="D285" t="s">
        <v>190</v>
      </c>
      <c r="E285" t="s">
        <v>339</v>
      </c>
      <c r="F285" t="s">
        <v>111</v>
      </c>
      <c r="G285" t="s">
        <v>104</v>
      </c>
      <c r="H285" t="s">
        <v>97</v>
      </c>
      <c r="I285">
        <v>1</v>
      </c>
      <c r="J285">
        <v>272.07</v>
      </c>
      <c r="K285">
        <v>0</v>
      </c>
      <c r="L285" t="s">
        <v>106</v>
      </c>
      <c r="M285">
        <v>3</v>
      </c>
      <c r="N285" t="s">
        <v>91</v>
      </c>
      <c r="O285" t="s">
        <v>97</v>
      </c>
      <c r="P285" t="s">
        <v>190</v>
      </c>
      <c r="Q285" t="s">
        <v>338</v>
      </c>
      <c r="R285" t="s">
        <v>111</v>
      </c>
      <c r="S285" t="s">
        <v>106</v>
      </c>
      <c r="T285">
        <v>1</v>
      </c>
      <c r="U285" t="s">
        <v>1300</v>
      </c>
      <c r="V285" t="s">
        <v>1257</v>
      </c>
      <c r="W285" t="s">
        <v>1237</v>
      </c>
      <c r="X285" t="s">
        <v>1186</v>
      </c>
      <c r="Y285" t="s">
        <v>1180</v>
      </c>
      <c r="Z285">
        <v>154.72999999999999</v>
      </c>
      <c r="AA285">
        <v>272.07</v>
      </c>
      <c r="AB285">
        <v>0</v>
      </c>
      <c r="AC285">
        <v>272.07</v>
      </c>
      <c r="AD285">
        <v>154.72999999999999</v>
      </c>
      <c r="AE285">
        <v>117.34</v>
      </c>
      <c r="AF285">
        <v>0.43128606608593378</v>
      </c>
      <c r="AG285">
        <v>2025</v>
      </c>
      <c r="AH285">
        <v>3</v>
      </c>
      <c r="AI285" t="s">
        <v>1423</v>
      </c>
      <c r="AJ285" t="s">
        <v>1424</v>
      </c>
      <c r="AK285" t="s">
        <v>1258</v>
      </c>
      <c r="AL285">
        <v>0</v>
      </c>
    </row>
    <row r="286" spans="1:38">
      <c r="A286" t="s">
        <v>1104</v>
      </c>
      <c r="B286" s="13">
        <v>45735</v>
      </c>
      <c r="C286" t="s">
        <v>389</v>
      </c>
      <c r="D286" t="s">
        <v>174</v>
      </c>
      <c r="E286" t="s">
        <v>390</v>
      </c>
      <c r="F286" t="s">
        <v>145</v>
      </c>
      <c r="G286" t="s">
        <v>104</v>
      </c>
      <c r="H286" t="s">
        <v>89</v>
      </c>
      <c r="I286">
        <v>1</v>
      </c>
      <c r="J286">
        <v>38.159999999999997</v>
      </c>
      <c r="K286">
        <v>0</v>
      </c>
      <c r="L286" t="s">
        <v>90</v>
      </c>
      <c r="M286">
        <v>5</v>
      </c>
      <c r="N286" t="s">
        <v>91</v>
      </c>
      <c r="O286" t="s">
        <v>89</v>
      </c>
      <c r="P286" t="s">
        <v>174</v>
      </c>
      <c r="Q286" t="s">
        <v>389</v>
      </c>
      <c r="R286" t="s">
        <v>145</v>
      </c>
      <c r="S286" t="s">
        <v>369</v>
      </c>
      <c r="T286">
        <v>1</v>
      </c>
      <c r="U286" t="s">
        <v>1264</v>
      </c>
      <c r="V286" t="s">
        <v>1325</v>
      </c>
      <c r="W286" t="s">
        <v>1245</v>
      </c>
      <c r="X286" t="s">
        <v>1182</v>
      </c>
      <c r="Y286" t="s">
        <v>1180</v>
      </c>
      <c r="Z286">
        <v>23.5</v>
      </c>
      <c r="AA286">
        <v>38.159999999999997</v>
      </c>
      <c r="AB286">
        <v>0</v>
      </c>
      <c r="AC286">
        <v>38.159999999999997</v>
      </c>
      <c r="AD286">
        <v>23.5</v>
      </c>
      <c r="AE286">
        <v>14.659999999999997</v>
      </c>
      <c r="AF286">
        <v>0.38417190775681337</v>
      </c>
      <c r="AG286">
        <v>2025</v>
      </c>
      <c r="AH286">
        <v>3</v>
      </c>
      <c r="AI286" t="s">
        <v>1423</v>
      </c>
      <c r="AJ286" t="s">
        <v>1424</v>
      </c>
      <c r="AK286" t="s">
        <v>1326</v>
      </c>
      <c r="AL286">
        <v>0</v>
      </c>
    </row>
    <row r="287" spans="1:38">
      <c r="A287" t="s">
        <v>1106</v>
      </c>
      <c r="B287" s="13">
        <v>46006</v>
      </c>
      <c r="C287" t="s">
        <v>699</v>
      </c>
      <c r="D287" t="s">
        <v>181</v>
      </c>
      <c r="E287" t="s">
        <v>700</v>
      </c>
      <c r="F287" t="s">
        <v>111</v>
      </c>
      <c r="G287" t="s">
        <v>130</v>
      </c>
      <c r="H287" t="s">
        <v>89</v>
      </c>
      <c r="I287">
        <v>2</v>
      </c>
      <c r="J287">
        <v>373.93</v>
      </c>
      <c r="K287">
        <v>0</v>
      </c>
      <c r="L287" t="s">
        <v>106</v>
      </c>
      <c r="M287">
        <v>1</v>
      </c>
      <c r="N287" t="s">
        <v>91</v>
      </c>
      <c r="O287" t="s">
        <v>89</v>
      </c>
      <c r="P287" t="s">
        <v>181</v>
      </c>
      <c r="Q287" t="s">
        <v>699</v>
      </c>
      <c r="R287" t="s">
        <v>111</v>
      </c>
      <c r="S287" t="s">
        <v>106</v>
      </c>
      <c r="T287">
        <v>1</v>
      </c>
      <c r="U287" t="s">
        <v>1341</v>
      </c>
      <c r="V287" t="s">
        <v>1239</v>
      </c>
      <c r="W287" t="s">
        <v>1237</v>
      </c>
      <c r="X287" t="s">
        <v>1190</v>
      </c>
      <c r="Y287" t="s">
        <v>1180</v>
      </c>
      <c r="Z287">
        <v>224.47</v>
      </c>
      <c r="AA287">
        <v>747.86</v>
      </c>
      <c r="AB287">
        <v>0</v>
      </c>
      <c r="AC287">
        <v>747.86</v>
      </c>
      <c r="AD287">
        <v>448.94</v>
      </c>
      <c r="AE287">
        <v>298.92</v>
      </c>
      <c r="AF287">
        <v>0.39970047869922182</v>
      </c>
      <c r="AG287">
        <v>2025</v>
      </c>
      <c r="AH287">
        <v>12</v>
      </c>
      <c r="AI287" t="s">
        <v>1428</v>
      </c>
      <c r="AJ287" t="s">
        <v>1427</v>
      </c>
      <c r="AK287" t="s">
        <v>1240</v>
      </c>
      <c r="AL287">
        <v>0</v>
      </c>
    </row>
    <row r="288" spans="1:38">
      <c r="A288" t="s">
        <v>1112</v>
      </c>
      <c r="B288" s="13">
        <v>45775</v>
      </c>
      <c r="C288" t="s">
        <v>406</v>
      </c>
      <c r="D288" t="s">
        <v>217</v>
      </c>
      <c r="E288" t="s">
        <v>407</v>
      </c>
      <c r="F288" t="s">
        <v>103</v>
      </c>
      <c r="G288" t="s">
        <v>117</v>
      </c>
      <c r="H288" t="s">
        <v>89</v>
      </c>
      <c r="I288">
        <v>1</v>
      </c>
      <c r="J288">
        <v>99.27</v>
      </c>
      <c r="K288">
        <v>0</v>
      </c>
      <c r="L288" t="s">
        <v>106</v>
      </c>
      <c r="M288">
        <v>5</v>
      </c>
      <c r="N288" t="s">
        <v>91</v>
      </c>
      <c r="O288" t="s">
        <v>89</v>
      </c>
      <c r="P288" t="s">
        <v>217</v>
      </c>
      <c r="Q288" t="s">
        <v>406</v>
      </c>
      <c r="R288" t="s">
        <v>103</v>
      </c>
      <c r="S288" t="s">
        <v>106</v>
      </c>
      <c r="T288">
        <v>1</v>
      </c>
      <c r="U288" t="s">
        <v>1291</v>
      </c>
      <c r="V288" t="s">
        <v>1239</v>
      </c>
      <c r="W288" t="s">
        <v>1237</v>
      </c>
      <c r="X288" t="s">
        <v>1189</v>
      </c>
      <c r="Y288" t="s">
        <v>1180</v>
      </c>
      <c r="Z288">
        <v>72</v>
      </c>
      <c r="AA288">
        <v>99.27</v>
      </c>
      <c r="AB288">
        <v>0</v>
      </c>
      <c r="AC288">
        <v>99.27</v>
      </c>
      <c r="AD288">
        <v>72</v>
      </c>
      <c r="AE288">
        <v>27.269999999999996</v>
      </c>
      <c r="AF288">
        <v>0.27470534904805072</v>
      </c>
      <c r="AG288">
        <v>2025</v>
      </c>
      <c r="AH288">
        <v>4</v>
      </c>
      <c r="AI288" t="s">
        <v>1421</v>
      </c>
      <c r="AJ288" t="s">
        <v>1420</v>
      </c>
      <c r="AK288" t="s">
        <v>1240</v>
      </c>
      <c r="AL288">
        <v>0</v>
      </c>
    </row>
    <row r="289" spans="1:38">
      <c r="A289" t="s">
        <v>1118</v>
      </c>
      <c r="B289" s="13">
        <v>45971</v>
      </c>
      <c r="C289" t="s">
        <v>230</v>
      </c>
      <c r="D289" t="s">
        <v>277</v>
      </c>
      <c r="E289" t="s">
        <v>232</v>
      </c>
      <c r="F289" t="s">
        <v>145</v>
      </c>
      <c r="G289" t="s">
        <v>171</v>
      </c>
      <c r="H289" t="s">
        <v>89</v>
      </c>
      <c r="I289">
        <v>5</v>
      </c>
      <c r="J289">
        <v>377.75</v>
      </c>
      <c r="K289">
        <v>0.1</v>
      </c>
      <c r="L289" t="s">
        <v>98</v>
      </c>
      <c r="M289">
        <v>7</v>
      </c>
      <c r="N289" t="s">
        <v>91</v>
      </c>
      <c r="O289" t="s">
        <v>89</v>
      </c>
      <c r="P289" t="s">
        <v>277</v>
      </c>
      <c r="Q289" t="s">
        <v>230</v>
      </c>
      <c r="R289" t="s">
        <v>145</v>
      </c>
      <c r="S289" t="s">
        <v>98</v>
      </c>
      <c r="T289">
        <v>1</v>
      </c>
      <c r="U289" t="s">
        <v>1312</v>
      </c>
      <c r="V289" t="s">
        <v>1247</v>
      </c>
      <c r="W289" t="s">
        <v>1241</v>
      </c>
      <c r="X289" t="s">
        <v>1179</v>
      </c>
      <c r="Y289" t="s">
        <v>1180</v>
      </c>
      <c r="Z289">
        <v>254.6</v>
      </c>
      <c r="AA289">
        <v>1888.75</v>
      </c>
      <c r="AB289">
        <v>188.875</v>
      </c>
      <c r="AC289">
        <v>1699.875</v>
      </c>
      <c r="AD289">
        <v>1273</v>
      </c>
      <c r="AE289">
        <v>426.875</v>
      </c>
      <c r="AF289">
        <v>0.25112140598573424</v>
      </c>
      <c r="AG289">
        <v>2025</v>
      </c>
      <c r="AH289">
        <v>11</v>
      </c>
      <c r="AI289" t="s">
        <v>1426</v>
      </c>
      <c r="AJ289" t="s">
        <v>1427</v>
      </c>
      <c r="AK289" t="s">
        <v>1240</v>
      </c>
      <c r="AL289">
        <v>0</v>
      </c>
    </row>
    <row r="290" spans="1:38">
      <c r="A290" t="s">
        <v>1127</v>
      </c>
      <c r="B290" s="13">
        <v>45665</v>
      </c>
      <c r="C290" t="s">
        <v>180</v>
      </c>
      <c r="D290" t="s">
        <v>244</v>
      </c>
      <c r="E290" t="s">
        <v>182</v>
      </c>
      <c r="F290" t="s">
        <v>145</v>
      </c>
      <c r="G290" t="s">
        <v>171</v>
      </c>
      <c r="H290" t="s">
        <v>89</v>
      </c>
      <c r="I290">
        <v>2</v>
      </c>
      <c r="J290">
        <v>232.33</v>
      </c>
      <c r="K290">
        <v>0.15</v>
      </c>
      <c r="L290" t="s">
        <v>90</v>
      </c>
      <c r="M290">
        <v>5</v>
      </c>
      <c r="N290" t="s">
        <v>91</v>
      </c>
      <c r="O290" t="s">
        <v>89</v>
      </c>
      <c r="P290" t="s">
        <v>244</v>
      </c>
      <c r="Q290" t="s">
        <v>180</v>
      </c>
      <c r="R290" t="s">
        <v>145</v>
      </c>
      <c r="S290" t="s">
        <v>369</v>
      </c>
      <c r="T290">
        <v>1</v>
      </c>
      <c r="U290" t="s">
        <v>1332</v>
      </c>
      <c r="V290" t="s">
        <v>1249</v>
      </c>
      <c r="W290" t="s">
        <v>1237</v>
      </c>
      <c r="X290" t="s">
        <v>1188</v>
      </c>
      <c r="Y290" t="s">
        <v>1180</v>
      </c>
      <c r="Z290">
        <v>131.19</v>
      </c>
      <c r="AA290">
        <v>464.66</v>
      </c>
      <c r="AB290">
        <v>69.698999999999998</v>
      </c>
      <c r="AC290">
        <v>394.96100000000001</v>
      </c>
      <c r="AD290">
        <v>262.38</v>
      </c>
      <c r="AE290">
        <v>132.58100000000002</v>
      </c>
      <c r="AF290">
        <v>0.33568124447730285</v>
      </c>
      <c r="AG290">
        <v>2025</v>
      </c>
      <c r="AH290">
        <v>1</v>
      </c>
      <c r="AI290" t="s">
        <v>1425</v>
      </c>
      <c r="AJ290" t="s">
        <v>1424</v>
      </c>
      <c r="AK290" t="s">
        <v>1250</v>
      </c>
      <c r="AL290">
        <v>0</v>
      </c>
    </row>
    <row r="291" spans="1:38">
      <c r="A291" t="s">
        <v>1137</v>
      </c>
      <c r="B291" s="13">
        <v>45797</v>
      </c>
      <c r="C291" t="s">
        <v>239</v>
      </c>
      <c r="D291" t="s">
        <v>277</v>
      </c>
      <c r="E291" t="s">
        <v>240</v>
      </c>
      <c r="F291" t="s">
        <v>87</v>
      </c>
      <c r="G291" t="s">
        <v>88</v>
      </c>
      <c r="H291" t="s">
        <v>89</v>
      </c>
      <c r="I291">
        <v>2</v>
      </c>
      <c r="J291">
        <v>350.77</v>
      </c>
      <c r="K291">
        <v>0.1</v>
      </c>
      <c r="L291" t="s">
        <v>90</v>
      </c>
      <c r="M291">
        <v>9</v>
      </c>
      <c r="N291" t="s">
        <v>91</v>
      </c>
      <c r="O291" t="s">
        <v>89</v>
      </c>
      <c r="P291" t="s">
        <v>277</v>
      </c>
      <c r="Q291" t="s">
        <v>239</v>
      </c>
      <c r="R291" t="s">
        <v>87</v>
      </c>
      <c r="S291" t="s">
        <v>369</v>
      </c>
      <c r="T291">
        <v>1</v>
      </c>
      <c r="U291" t="s">
        <v>1336</v>
      </c>
      <c r="V291" t="s">
        <v>1297</v>
      </c>
      <c r="W291" t="s">
        <v>1237</v>
      </c>
      <c r="X291" t="s">
        <v>1179</v>
      </c>
      <c r="Y291" t="s">
        <v>1180</v>
      </c>
      <c r="Z291">
        <v>254.6</v>
      </c>
      <c r="AA291">
        <v>701.54</v>
      </c>
      <c r="AB291">
        <v>70.153999999999996</v>
      </c>
      <c r="AC291">
        <v>631.38599999999997</v>
      </c>
      <c r="AD291">
        <v>509.2</v>
      </c>
      <c r="AE291">
        <v>122.18599999999998</v>
      </c>
      <c r="AF291">
        <v>0.19352028711438007</v>
      </c>
      <c r="AG291">
        <v>2025</v>
      </c>
      <c r="AH291">
        <v>5</v>
      </c>
      <c r="AI291" t="s">
        <v>1419</v>
      </c>
      <c r="AJ291" t="s">
        <v>1420</v>
      </c>
      <c r="AK291" t="s">
        <v>1258</v>
      </c>
      <c r="AL291">
        <v>0</v>
      </c>
    </row>
    <row r="292" spans="1:38">
      <c r="A292" t="s">
        <v>1143</v>
      </c>
      <c r="B292" s="13">
        <v>45796</v>
      </c>
      <c r="C292" t="s">
        <v>257</v>
      </c>
      <c r="D292" t="s">
        <v>181</v>
      </c>
      <c r="E292" t="s">
        <v>258</v>
      </c>
      <c r="F292" t="s">
        <v>145</v>
      </c>
      <c r="G292" t="s">
        <v>130</v>
      </c>
      <c r="H292" t="s">
        <v>89</v>
      </c>
      <c r="I292">
        <v>3</v>
      </c>
      <c r="J292">
        <v>367.91</v>
      </c>
      <c r="K292">
        <v>0</v>
      </c>
      <c r="L292" t="s">
        <v>106</v>
      </c>
      <c r="M292">
        <v>8</v>
      </c>
      <c r="N292" t="s">
        <v>91</v>
      </c>
      <c r="O292" t="s">
        <v>89</v>
      </c>
      <c r="P292" t="s">
        <v>181</v>
      </c>
      <c r="Q292" t="s">
        <v>257</v>
      </c>
      <c r="R292" t="s">
        <v>145</v>
      </c>
      <c r="S292" t="s">
        <v>106</v>
      </c>
      <c r="T292">
        <v>1</v>
      </c>
      <c r="U292" t="s">
        <v>1316</v>
      </c>
      <c r="V292" t="s">
        <v>1249</v>
      </c>
      <c r="W292" t="s">
        <v>1237</v>
      </c>
      <c r="X292" t="s">
        <v>1190</v>
      </c>
      <c r="Y292" t="s">
        <v>1180</v>
      </c>
      <c r="Z292">
        <v>224.47</v>
      </c>
      <c r="AA292">
        <v>1103.73</v>
      </c>
      <c r="AB292">
        <v>0</v>
      </c>
      <c r="AC292">
        <v>1103.73</v>
      </c>
      <c r="AD292">
        <v>673.41</v>
      </c>
      <c r="AE292">
        <v>430.32000000000005</v>
      </c>
      <c r="AF292">
        <v>0.38987795928352048</v>
      </c>
      <c r="AG292">
        <v>2025</v>
      </c>
      <c r="AH292">
        <v>5</v>
      </c>
      <c r="AI292" t="s">
        <v>1419</v>
      </c>
      <c r="AJ292" t="s">
        <v>1420</v>
      </c>
      <c r="AK292" t="s">
        <v>1250</v>
      </c>
      <c r="AL292">
        <v>0</v>
      </c>
    </row>
    <row r="293" spans="1:38">
      <c r="A293" t="s">
        <v>1152</v>
      </c>
      <c r="B293" s="13">
        <v>45703</v>
      </c>
      <c r="C293" t="s">
        <v>379</v>
      </c>
      <c r="D293" t="s">
        <v>190</v>
      </c>
      <c r="E293" t="s">
        <v>380</v>
      </c>
      <c r="F293" t="s">
        <v>103</v>
      </c>
      <c r="G293" t="s">
        <v>122</v>
      </c>
      <c r="H293" t="s">
        <v>89</v>
      </c>
      <c r="I293">
        <v>2</v>
      </c>
      <c r="J293">
        <v>274.38</v>
      </c>
      <c r="K293">
        <v>0.15</v>
      </c>
      <c r="L293" t="s">
        <v>98</v>
      </c>
      <c r="M293">
        <v>4</v>
      </c>
      <c r="N293" t="s">
        <v>91</v>
      </c>
      <c r="O293" t="s">
        <v>89</v>
      </c>
      <c r="P293" t="s">
        <v>190</v>
      </c>
      <c r="Q293" t="s">
        <v>379</v>
      </c>
      <c r="R293" t="s">
        <v>103</v>
      </c>
      <c r="S293" t="s">
        <v>98</v>
      </c>
      <c r="T293">
        <v>1</v>
      </c>
      <c r="U293" t="s">
        <v>1320</v>
      </c>
      <c r="V293" t="s">
        <v>1239</v>
      </c>
      <c r="W293" t="s">
        <v>1245</v>
      </c>
      <c r="X293" t="s">
        <v>1186</v>
      </c>
      <c r="Y293" t="s">
        <v>1180</v>
      </c>
      <c r="Z293">
        <v>154.72999999999999</v>
      </c>
      <c r="AA293">
        <v>548.76</v>
      </c>
      <c r="AB293">
        <v>82.313999999999993</v>
      </c>
      <c r="AC293">
        <v>466.44600000000003</v>
      </c>
      <c r="AD293">
        <v>309.45999999999998</v>
      </c>
      <c r="AE293">
        <v>156.98600000000005</v>
      </c>
      <c r="AF293">
        <v>0.33655771514816302</v>
      </c>
      <c r="AG293">
        <v>2025</v>
      </c>
      <c r="AH293">
        <v>2</v>
      </c>
      <c r="AI293" t="s">
        <v>1430</v>
      </c>
      <c r="AJ293" t="s">
        <v>1424</v>
      </c>
      <c r="AK293" t="s">
        <v>1240</v>
      </c>
      <c r="AL293">
        <v>0</v>
      </c>
    </row>
    <row r="294" spans="1:38">
      <c r="A294" t="s">
        <v>1160</v>
      </c>
      <c r="B294" s="13">
        <v>45720</v>
      </c>
      <c r="C294" t="s">
        <v>326</v>
      </c>
      <c r="D294" t="s">
        <v>152</v>
      </c>
      <c r="E294" t="s">
        <v>327</v>
      </c>
      <c r="F294" t="s">
        <v>103</v>
      </c>
      <c r="G294" t="s">
        <v>130</v>
      </c>
      <c r="H294" t="s">
        <v>97</v>
      </c>
      <c r="I294">
        <v>1</v>
      </c>
      <c r="J294">
        <v>128.07</v>
      </c>
      <c r="K294">
        <v>0.1</v>
      </c>
      <c r="L294" t="s">
        <v>106</v>
      </c>
      <c r="M294">
        <v>0</v>
      </c>
      <c r="N294" t="s">
        <v>91</v>
      </c>
      <c r="O294" t="s">
        <v>97</v>
      </c>
      <c r="P294" t="s">
        <v>152</v>
      </c>
      <c r="Q294" t="s">
        <v>326</v>
      </c>
      <c r="R294" t="s">
        <v>103</v>
      </c>
      <c r="S294" t="s">
        <v>106</v>
      </c>
      <c r="T294">
        <v>1</v>
      </c>
      <c r="U294" t="s">
        <v>1338</v>
      </c>
      <c r="V294" t="s">
        <v>1325</v>
      </c>
      <c r="W294" t="s">
        <v>1237</v>
      </c>
      <c r="X294" t="s">
        <v>1191</v>
      </c>
      <c r="Y294" t="s">
        <v>1180</v>
      </c>
      <c r="Z294">
        <v>69</v>
      </c>
      <c r="AA294">
        <v>128.07</v>
      </c>
      <c r="AB294">
        <v>12.807</v>
      </c>
      <c r="AC294">
        <v>115.26299999999999</v>
      </c>
      <c r="AD294">
        <v>69</v>
      </c>
      <c r="AE294">
        <v>46.262999999999991</v>
      </c>
      <c r="AF294">
        <v>0.40136904297129167</v>
      </c>
      <c r="AG294">
        <v>2025</v>
      </c>
      <c r="AH294">
        <v>3</v>
      </c>
      <c r="AI294" t="s">
        <v>1423</v>
      </c>
      <c r="AJ294" t="s">
        <v>1424</v>
      </c>
      <c r="AK294" t="s">
        <v>1326</v>
      </c>
      <c r="AL294">
        <v>0</v>
      </c>
    </row>
    <row r="295" spans="1:38">
      <c r="A295" t="s">
        <v>1163</v>
      </c>
      <c r="B295" s="13">
        <v>45750</v>
      </c>
      <c r="C295" t="s">
        <v>706</v>
      </c>
      <c r="D295" t="s">
        <v>136</v>
      </c>
      <c r="E295" t="s">
        <v>707</v>
      </c>
      <c r="F295" t="s">
        <v>111</v>
      </c>
      <c r="G295" t="s">
        <v>130</v>
      </c>
      <c r="H295" t="s">
        <v>89</v>
      </c>
      <c r="I295">
        <v>1</v>
      </c>
      <c r="J295">
        <v>153</v>
      </c>
      <c r="K295">
        <v>0</v>
      </c>
      <c r="L295" t="s">
        <v>90</v>
      </c>
      <c r="M295">
        <v>6</v>
      </c>
      <c r="N295" t="s">
        <v>91</v>
      </c>
      <c r="O295" t="s">
        <v>89</v>
      </c>
      <c r="P295" t="s">
        <v>136</v>
      </c>
      <c r="Q295" t="s">
        <v>706</v>
      </c>
      <c r="R295" t="s">
        <v>111</v>
      </c>
      <c r="S295" t="s">
        <v>369</v>
      </c>
      <c r="T295">
        <v>1</v>
      </c>
      <c r="U295" t="s">
        <v>1251</v>
      </c>
      <c r="V295" t="s">
        <v>1247</v>
      </c>
      <c r="W295" t="s">
        <v>1237</v>
      </c>
      <c r="X295" t="s">
        <v>1184</v>
      </c>
      <c r="Y295" t="s">
        <v>1180</v>
      </c>
      <c r="Z295">
        <v>106.4</v>
      </c>
      <c r="AA295">
        <v>153</v>
      </c>
      <c r="AB295">
        <v>0</v>
      </c>
      <c r="AC295">
        <v>153</v>
      </c>
      <c r="AD295">
        <v>106.4</v>
      </c>
      <c r="AE295">
        <v>46.599999999999994</v>
      </c>
      <c r="AF295">
        <v>0.30457516339869278</v>
      </c>
      <c r="AG295">
        <v>2025</v>
      </c>
      <c r="AH295">
        <v>4</v>
      </c>
      <c r="AI295" t="s">
        <v>1421</v>
      </c>
      <c r="AJ295" t="s">
        <v>1420</v>
      </c>
      <c r="AK295" t="s">
        <v>1240</v>
      </c>
      <c r="AL295">
        <v>0</v>
      </c>
    </row>
    <row r="296" spans="1:38">
      <c r="A296" t="s">
        <v>1170</v>
      </c>
      <c r="B296" s="13">
        <v>45743</v>
      </c>
      <c r="C296" t="s">
        <v>343</v>
      </c>
      <c r="D296" t="s">
        <v>190</v>
      </c>
      <c r="E296" t="s">
        <v>344</v>
      </c>
      <c r="F296" t="s">
        <v>145</v>
      </c>
      <c r="G296" t="s">
        <v>130</v>
      </c>
      <c r="H296" t="s">
        <v>97</v>
      </c>
      <c r="I296">
        <v>1</v>
      </c>
      <c r="J296">
        <v>299.10000000000002</v>
      </c>
      <c r="K296">
        <v>0</v>
      </c>
      <c r="L296" t="s">
        <v>106</v>
      </c>
      <c r="M296">
        <v>3</v>
      </c>
      <c r="N296" t="s">
        <v>91</v>
      </c>
      <c r="O296" t="s">
        <v>97</v>
      </c>
      <c r="P296" t="s">
        <v>190</v>
      </c>
      <c r="Q296" t="s">
        <v>343</v>
      </c>
      <c r="R296" t="s">
        <v>145</v>
      </c>
      <c r="S296" t="s">
        <v>106</v>
      </c>
      <c r="T296">
        <v>1</v>
      </c>
      <c r="U296" t="s">
        <v>1354</v>
      </c>
      <c r="V296" t="s">
        <v>1243</v>
      </c>
      <c r="W296" t="s">
        <v>1237</v>
      </c>
      <c r="X296" t="s">
        <v>1186</v>
      </c>
      <c r="Y296" t="s">
        <v>1180</v>
      </c>
      <c r="Z296">
        <v>154.72999999999999</v>
      </c>
      <c r="AA296">
        <v>299.10000000000002</v>
      </c>
      <c r="AB296">
        <v>0</v>
      </c>
      <c r="AC296">
        <v>299.10000000000002</v>
      </c>
      <c r="AD296">
        <v>154.72999999999999</v>
      </c>
      <c r="AE296">
        <v>144.37000000000003</v>
      </c>
      <c r="AF296">
        <v>0.48268137746573059</v>
      </c>
      <c r="AG296">
        <v>2025</v>
      </c>
      <c r="AH296">
        <v>3</v>
      </c>
      <c r="AI296" t="s">
        <v>1423</v>
      </c>
      <c r="AJ296" t="s">
        <v>1424</v>
      </c>
      <c r="AK296" t="s">
        <v>1244</v>
      </c>
      <c r="AL296">
        <v>0</v>
      </c>
    </row>
    <row r="297" spans="1:38">
      <c r="A297" t="s">
        <v>83</v>
      </c>
      <c r="B297" s="13">
        <v>45921</v>
      </c>
      <c r="C297" t="s">
        <v>84</v>
      </c>
      <c r="D297" t="s">
        <v>85</v>
      </c>
      <c r="E297" t="s">
        <v>86</v>
      </c>
      <c r="F297" t="s">
        <v>87</v>
      </c>
      <c r="G297" t="s">
        <v>88</v>
      </c>
      <c r="H297" t="s">
        <v>89</v>
      </c>
      <c r="I297">
        <v>1</v>
      </c>
      <c r="J297">
        <v>321.89</v>
      </c>
      <c r="K297">
        <v>0</v>
      </c>
      <c r="L297" t="s">
        <v>90</v>
      </c>
      <c r="M297">
        <v>1</v>
      </c>
      <c r="N297" t="s">
        <v>91</v>
      </c>
      <c r="O297" t="s">
        <v>89</v>
      </c>
      <c r="P297" t="s">
        <v>85</v>
      </c>
      <c r="Q297" t="s">
        <v>84</v>
      </c>
      <c r="R297" t="s">
        <v>87</v>
      </c>
      <c r="S297" t="s">
        <v>369</v>
      </c>
      <c r="T297">
        <v>1</v>
      </c>
      <c r="U297" t="s">
        <v>1354</v>
      </c>
      <c r="V297" t="s">
        <v>1275</v>
      </c>
      <c r="W297" t="s">
        <v>1237</v>
      </c>
      <c r="X297" t="s">
        <v>1211</v>
      </c>
      <c r="Y297" t="s">
        <v>1212</v>
      </c>
      <c r="Z297">
        <v>197.33</v>
      </c>
      <c r="AA297">
        <v>321.89</v>
      </c>
      <c r="AB297">
        <v>0</v>
      </c>
      <c r="AC297">
        <v>321.89</v>
      </c>
      <c r="AD297">
        <v>197.33</v>
      </c>
      <c r="AE297">
        <v>124.55999999999997</v>
      </c>
      <c r="AF297">
        <v>0.38696449097517777</v>
      </c>
      <c r="AG297">
        <v>2025</v>
      </c>
      <c r="AH297">
        <v>9</v>
      </c>
      <c r="AI297" t="s">
        <v>1432</v>
      </c>
      <c r="AJ297" t="s">
        <v>1418</v>
      </c>
      <c r="AK297" t="s">
        <v>1258</v>
      </c>
      <c r="AL297">
        <v>0</v>
      </c>
    </row>
    <row r="298" spans="1:38">
      <c r="A298" t="s">
        <v>107</v>
      </c>
      <c r="B298" s="13">
        <v>45687</v>
      </c>
      <c r="C298" t="s">
        <v>108</v>
      </c>
      <c r="D298" t="s">
        <v>109</v>
      </c>
      <c r="E298" t="s">
        <v>110</v>
      </c>
      <c r="F298" t="s">
        <v>111</v>
      </c>
      <c r="G298" t="s">
        <v>88</v>
      </c>
      <c r="H298" t="s">
        <v>89</v>
      </c>
      <c r="I298">
        <v>1</v>
      </c>
      <c r="J298">
        <v>197.68</v>
      </c>
      <c r="K298">
        <v>0.1</v>
      </c>
      <c r="L298" t="s">
        <v>90</v>
      </c>
      <c r="M298">
        <v>3</v>
      </c>
      <c r="N298" t="s">
        <v>91</v>
      </c>
      <c r="O298" t="s">
        <v>89</v>
      </c>
      <c r="P298" t="s">
        <v>109</v>
      </c>
      <c r="Q298" t="s">
        <v>108</v>
      </c>
      <c r="R298" t="s">
        <v>111</v>
      </c>
      <c r="S298" t="s">
        <v>369</v>
      </c>
      <c r="T298">
        <v>1</v>
      </c>
      <c r="U298" t="s">
        <v>1319</v>
      </c>
      <c r="V298" t="s">
        <v>1275</v>
      </c>
      <c r="W298" t="s">
        <v>1237</v>
      </c>
      <c r="X298" t="s">
        <v>1219</v>
      </c>
      <c r="Y298" t="s">
        <v>1212</v>
      </c>
      <c r="Z298">
        <v>132.72</v>
      </c>
      <c r="AA298">
        <v>197.68</v>
      </c>
      <c r="AB298">
        <v>19.768000000000001</v>
      </c>
      <c r="AC298">
        <v>177.91200000000001</v>
      </c>
      <c r="AD298">
        <v>132.72</v>
      </c>
      <c r="AE298">
        <v>45.192000000000007</v>
      </c>
      <c r="AF298">
        <v>0.25401322001888577</v>
      </c>
      <c r="AG298">
        <v>2025</v>
      </c>
      <c r="AH298">
        <v>1</v>
      </c>
      <c r="AI298" t="s">
        <v>1425</v>
      </c>
      <c r="AJ298" t="s">
        <v>1424</v>
      </c>
      <c r="AK298" t="s">
        <v>1258</v>
      </c>
      <c r="AL298">
        <v>0</v>
      </c>
    </row>
    <row r="299" spans="1:38">
      <c r="A299" t="s">
        <v>123</v>
      </c>
      <c r="B299" s="13">
        <v>45830</v>
      </c>
      <c r="C299" t="s">
        <v>124</v>
      </c>
      <c r="D299" t="s">
        <v>125</v>
      </c>
      <c r="E299" t="s">
        <v>126</v>
      </c>
      <c r="F299" t="s">
        <v>111</v>
      </c>
      <c r="G299" t="s">
        <v>88</v>
      </c>
      <c r="H299" t="s">
        <v>97</v>
      </c>
      <c r="I299">
        <v>3</v>
      </c>
      <c r="J299">
        <v>55.05</v>
      </c>
      <c r="K299">
        <v>0.15</v>
      </c>
      <c r="L299" t="s">
        <v>98</v>
      </c>
      <c r="M299">
        <v>1</v>
      </c>
      <c r="N299" t="s">
        <v>91</v>
      </c>
      <c r="O299" t="s">
        <v>97</v>
      </c>
      <c r="P299" t="s">
        <v>125</v>
      </c>
      <c r="Q299" t="s">
        <v>124</v>
      </c>
      <c r="R299" t="s">
        <v>111</v>
      </c>
      <c r="S299" t="s">
        <v>98</v>
      </c>
      <c r="T299">
        <v>1</v>
      </c>
      <c r="U299" t="s">
        <v>1270</v>
      </c>
      <c r="V299" t="s">
        <v>1235</v>
      </c>
      <c r="W299" t="s">
        <v>1245</v>
      </c>
      <c r="X299" t="s">
        <v>1214</v>
      </c>
      <c r="Y299" t="s">
        <v>1212</v>
      </c>
      <c r="Z299">
        <v>25.97</v>
      </c>
      <c r="AA299">
        <v>165.14999999999998</v>
      </c>
      <c r="AB299">
        <v>24.772499999999997</v>
      </c>
      <c r="AC299">
        <v>140.37749999999997</v>
      </c>
      <c r="AD299">
        <v>77.91</v>
      </c>
      <c r="AE299">
        <v>62.467499999999973</v>
      </c>
      <c r="AF299">
        <v>0.44499652722124261</v>
      </c>
      <c r="AG299">
        <v>2025</v>
      </c>
      <c r="AH299">
        <v>6</v>
      </c>
      <c r="AI299" t="s">
        <v>1429</v>
      </c>
      <c r="AJ299" t="s">
        <v>1420</v>
      </c>
      <c r="AK299" t="s">
        <v>1236</v>
      </c>
      <c r="AL299">
        <v>0</v>
      </c>
    </row>
    <row r="300" spans="1:38">
      <c r="A300" t="s">
        <v>192</v>
      </c>
      <c r="B300" s="13">
        <v>45852</v>
      </c>
      <c r="C300" t="s">
        <v>193</v>
      </c>
      <c r="D300" t="s">
        <v>194</v>
      </c>
      <c r="E300" t="s">
        <v>195</v>
      </c>
      <c r="F300" t="s">
        <v>116</v>
      </c>
      <c r="G300" t="s">
        <v>117</v>
      </c>
      <c r="H300" t="s">
        <v>97</v>
      </c>
      <c r="I300">
        <v>2</v>
      </c>
      <c r="J300">
        <v>193.9</v>
      </c>
      <c r="K300">
        <v>0</v>
      </c>
      <c r="L300" t="s">
        <v>106</v>
      </c>
      <c r="M300">
        <v>4</v>
      </c>
      <c r="N300" t="s">
        <v>91</v>
      </c>
      <c r="O300" t="s">
        <v>97</v>
      </c>
      <c r="P300" t="s">
        <v>194</v>
      </c>
      <c r="Q300" t="s">
        <v>193</v>
      </c>
      <c r="R300" t="s">
        <v>116</v>
      </c>
      <c r="S300" t="s">
        <v>106</v>
      </c>
      <c r="T300">
        <v>1</v>
      </c>
      <c r="U300" t="s">
        <v>1272</v>
      </c>
      <c r="V300" t="s">
        <v>1243</v>
      </c>
      <c r="W300" t="s">
        <v>1241</v>
      </c>
      <c r="X300" t="s">
        <v>1216</v>
      </c>
      <c r="Y300" t="s">
        <v>1212</v>
      </c>
      <c r="Z300">
        <v>101</v>
      </c>
      <c r="AA300">
        <v>387.8</v>
      </c>
      <c r="AB300">
        <v>0</v>
      </c>
      <c r="AC300">
        <v>387.8</v>
      </c>
      <c r="AD300">
        <v>202</v>
      </c>
      <c r="AE300">
        <v>185.8</v>
      </c>
      <c r="AF300">
        <v>0.47911294481691596</v>
      </c>
      <c r="AG300">
        <v>2025</v>
      </c>
      <c r="AH300">
        <v>7</v>
      </c>
      <c r="AI300" t="s">
        <v>1422</v>
      </c>
      <c r="AJ300" t="s">
        <v>1418</v>
      </c>
      <c r="AK300" t="s">
        <v>1244</v>
      </c>
      <c r="AL300">
        <v>0</v>
      </c>
    </row>
    <row r="301" spans="1:38">
      <c r="A301" t="s">
        <v>259</v>
      </c>
      <c r="B301" s="13">
        <v>45714</v>
      </c>
      <c r="C301" t="s">
        <v>260</v>
      </c>
      <c r="D301" t="s">
        <v>261</v>
      </c>
      <c r="E301" t="s">
        <v>262</v>
      </c>
      <c r="F301" t="s">
        <v>87</v>
      </c>
      <c r="G301" t="s">
        <v>96</v>
      </c>
      <c r="H301" t="s">
        <v>89</v>
      </c>
      <c r="I301">
        <v>4</v>
      </c>
      <c r="J301">
        <v>247.77</v>
      </c>
      <c r="K301">
        <v>0.1</v>
      </c>
      <c r="L301" t="s">
        <v>106</v>
      </c>
      <c r="M301">
        <v>5</v>
      </c>
      <c r="N301" t="s">
        <v>147</v>
      </c>
      <c r="O301" t="s">
        <v>89</v>
      </c>
      <c r="P301" t="s">
        <v>261</v>
      </c>
      <c r="Q301" t="s">
        <v>260</v>
      </c>
      <c r="R301" t="s">
        <v>87</v>
      </c>
      <c r="S301" t="s">
        <v>106</v>
      </c>
      <c r="T301">
        <v>1</v>
      </c>
      <c r="U301" t="s">
        <v>1324</v>
      </c>
      <c r="V301" t="s">
        <v>1325</v>
      </c>
      <c r="W301" t="s">
        <v>1245</v>
      </c>
      <c r="X301" t="s">
        <v>1218</v>
      </c>
      <c r="Y301" t="s">
        <v>1212</v>
      </c>
      <c r="Z301">
        <v>131.72999999999999</v>
      </c>
      <c r="AA301">
        <v>991.08</v>
      </c>
      <c r="AB301">
        <v>99.108000000000004</v>
      </c>
      <c r="AC301">
        <v>891.97199999999998</v>
      </c>
      <c r="AD301">
        <v>526.91999999999996</v>
      </c>
      <c r="AE301">
        <v>365.05200000000002</v>
      </c>
      <c r="AF301">
        <v>0.4092639679272444</v>
      </c>
      <c r="AG301">
        <v>2025</v>
      </c>
      <c r="AH301">
        <v>2</v>
      </c>
      <c r="AI301" t="s">
        <v>1430</v>
      </c>
      <c r="AJ301" t="s">
        <v>1424</v>
      </c>
      <c r="AK301" t="s">
        <v>1326</v>
      </c>
      <c r="AL301">
        <v>1</v>
      </c>
    </row>
    <row r="302" spans="1:38">
      <c r="A302" t="s">
        <v>270</v>
      </c>
      <c r="B302" s="13">
        <v>45861</v>
      </c>
      <c r="C302" t="s">
        <v>151</v>
      </c>
      <c r="D302" t="s">
        <v>271</v>
      </c>
      <c r="E302" t="s">
        <v>153</v>
      </c>
      <c r="F302" t="s">
        <v>116</v>
      </c>
      <c r="G302" t="s">
        <v>104</v>
      </c>
      <c r="H302" t="s">
        <v>89</v>
      </c>
      <c r="I302">
        <v>3</v>
      </c>
      <c r="J302">
        <v>212.19</v>
      </c>
      <c r="K302">
        <v>0.2</v>
      </c>
      <c r="L302" t="s">
        <v>106</v>
      </c>
      <c r="M302">
        <v>3</v>
      </c>
      <c r="N302" t="s">
        <v>91</v>
      </c>
      <c r="O302" t="s">
        <v>89</v>
      </c>
      <c r="P302" t="s">
        <v>271</v>
      </c>
      <c r="Q302" t="s">
        <v>151</v>
      </c>
      <c r="R302" t="s">
        <v>116</v>
      </c>
      <c r="S302" t="s">
        <v>106</v>
      </c>
      <c r="T302">
        <v>1</v>
      </c>
      <c r="U302" t="s">
        <v>1263</v>
      </c>
      <c r="V302" t="s">
        <v>1239</v>
      </c>
      <c r="W302" t="s">
        <v>1241</v>
      </c>
      <c r="X302" t="s">
        <v>1213</v>
      </c>
      <c r="Y302" t="s">
        <v>1212</v>
      </c>
      <c r="Z302">
        <v>139.19999999999999</v>
      </c>
      <c r="AA302">
        <v>636.56999999999994</v>
      </c>
      <c r="AB302">
        <v>127.31399999999999</v>
      </c>
      <c r="AC302">
        <v>509.25599999999997</v>
      </c>
      <c r="AD302">
        <v>417.59999999999997</v>
      </c>
      <c r="AE302">
        <v>91.656000000000006</v>
      </c>
      <c r="AF302">
        <v>0.17998020641877566</v>
      </c>
      <c r="AG302">
        <v>2025</v>
      </c>
      <c r="AH302">
        <v>7</v>
      </c>
      <c r="AI302" t="s">
        <v>1422</v>
      </c>
      <c r="AJ302" t="s">
        <v>1418</v>
      </c>
      <c r="AK302" t="s">
        <v>1240</v>
      </c>
      <c r="AL302">
        <v>0</v>
      </c>
    </row>
    <row r="303" spans="1:38">
      <c r="A303" t="s">
        <v>272</v>
      </c>
      <c r="B303" s="13">
        <v>45999</v>
      </c>
      <c r="C303" t="s">
        <v>273</v>
      </c>
      <c r="D303" t="s">
        <v>85</v>
      </c>
      <c r="E303" t="s">
        <v>274</v>
      </c>
      <c r="F303" t="s">
        <v>103</v>
      </c>
      <c r="G303" t="s">
        <v>104</v>
      </c>
      <c r="H303" t="s">
        <v>105</v>
      </c>
      <c r="I303">
        <v>1</v>
      </c>
      <c r="J303">
        <v>306.63</v>
      </c>
      <c r="K303">
        <v>0.1</v>
      </c>
      <c r="L303" t="s">
        <v>106</v>
      </c>
      <c r="M303">
        <v>2</v>
      </c>
      <c r="N303" t="s">
        <v>91</v>
      </c>
      <c r="O303" t="s">
        <v>105</v>
      </c>
      <c r="P303" t="s">
        <v>85</v>
      </c>
      <c r="Q303" t="s">
        <v>273</v>
      </c>
      <c r="R303" t="s">
        <v>103</v>
      </c>
      <c r="S303" t="s">
        <v>106</v>
      </c>
      <c r="T303">
        <v>1</v>
      </c>
      <c r="U303" t="s">
        <v>1314</v>
      </c>
      <c r="V303" t="s">
        <v>1247</v>
      </c>
      <c r="W303" t="s">
        <v>1237</v>
      </c>
      <c r="X303" t="s">
        <v>1211</v>
      </c>
      <c r="Y303" t="s">
        <v>1212</v>
      </c>
      <c r="Z303">
        <v>197.33</v>
      </c>
      <c r="AA303">
        <v>306.63</v>
      </c>
      <c r="AB303">
        <v>30.663</v>
      </c>
      <c r="AC303">
        <v>275.96699999999998</v>
      </c>
      <c r="AD303">
        <v>197.33</v>
      </c>
      <c r="AE303">
        <v>78.636999999999972</v>
      </c>
      <c r="AF303">
        <v>0.28495073686346545</v>
      </c>
      <c r="AG303">
        <v>2025</v>
      </c>
      <c r="AH303">
        <v>12</v>
      </c>
      <c r="AI303" t="s">
        <v>1428</v>
      </c>
      <c r="AJ303" t="s">
        <v>1427</v>
      </c>
      <c r="AK303" t="s">
        <v>1240</v>
      </c>
      <c r="AL303">
        <v>0</v>
      </c>
    </row>
    <row r="304" spans="1:38">
      <c r="A304" t="s">
        <v>275</v>
      </c>
      <c r="B304" s="13">
        <v>45963</v>
      </c>
      <c r="C304" t="s">
        <v>248</v>
      </c>
      <c r="D304" t="s">
        <v>194</v>
      </c>
      <c r="E304" t="s">
        <v>250</v>
      </c>
      <c r="F304" t="s">
        <v>103</v>
      </c>
      <c r="G304" t="s">
        <v>183</v>
      </c>
      <c r="H304" t="s">
        <v>89</v>
      </c>
      <c r="I304">
        <v>3</v>
      </c>
      <c r="J304">
        <v>205.39</v>
      </c>
      <c r="K304">
        <v>0</v>
      </c>
      <c r="L304" t="s">
        <v>106</v>
      </c>
      <c r="M304">
        <v>6</v>
      </c>
      <c r="N304" t="s">
        <v>91</v>
      </c>
      <c r="O304" t="s">
        <v>89</v>
      </c>
      <c r="P304" t="s">
        <v>194</v>
      </c>
      <c r="Q304" t="s">
        <v>248</v>
      </c>
      <c r="R304" t="s">
        <v>103</v>
      </c>
      <c r="S304" t="s">
        <v>106</v>
      </c>
      <c r="T304">
        <v>1</v>
      </c>
      <c r="U304" t="s">
        <v>1261</v>
      </c>
      <c r="V304" t="s">
        <v>1257</v>
      </c>
      <c r="W304" t="s">
        <v>1245</v>
      </c>
      <c r="X304" t="s">
        <v>1216</v>
      </c>
      <c r="Y304" t="s">
        <v>1212</v>
      </c>
      <c r="Z304">
        <v>101</v>
      </c>
      <c r="AA304">
        <v>616.16999999999996</v>
      </c>
      <c r="AB304">
        <v>0</v>
      </c>
      <c r="AC304">
        <v>616.16999999999996</v>
      </c>
      <c r="AD304">
        <v>303</v>
      </c>
      <c r="AE304">
        <v>313.16999999999996</v>
      </c>
      <c r="AF304">
        <v>0.50825259262865763</v>
      </c>
      <c r="AG304">
        <v>2025</v>
      </c>
      <c r="AH304">
        <v>11</v>
      </c>
      <c r="AI304" t="s">
        <v>1426</v>
      </c>
      <c r="AJ304" t="s">
        <v>1427</v>
      </c>
      <c r="AK304" t="s">
        <v>1258</v>
      </c>
      <c r="AL304">
        <v>0</v>
      </c>
    </row>
    <row r="305" spans="1:38">
      <c r="A305" t="s">
        <v>307</v>
      </c>
      <c r="B305" s="13">
        <v>45967</v>
      </c>
      <c r="C305" t="s">
        <v>239</v>
      </c>
      <c r="D305" t="s">
        <v>109</v>
      </c>
      <c r="E305" t="s">
        <v>240</v>
      </c>
      <c r="F305" t="s">
        <v>103</v>
      </c>
      <c r="G305" t="s">
        <v>104</v>
      </c>
      <c r="H305" t="s">
        <v>89</v>
      </c>
      <c r="I305">
        <v>3</v>
      </c>
      <c r="J305">
        <v>209.24</v>
      </c>
      <c r="K305">
        <v>0.2</v>
      </c>
      <c r="L305" t="s">
        <v>90</v>
      </c>
      <c r="M305">
        <v>6</v>
      </c>
      <c r="N305" t="s">
        <v>91</v>
      </c>
      <c r="O305" t="s">
        <v>89</v>
      </c>
      <c r="P305" t="s">
        <v>109</v>
      </c>
      <c r="Q305" t="s">
        <v>239</v>
      </c>
      <c r="R305" t="s">
        <v>103</v>
      </c>
      <c r="S305" t="s">
        <v>369</v>
      </c>
      <c r="T305">
        <v>1</v>
      </c>
      <c r="U305" t="s">
        <v>1336</v>
      </c>
      <c r="V305" t="s">
        <v>1297</v>
      </c>
      <c r="W305" t="s">
        <v>1237</v>
      </c>
      <c r="X305" t="s">
        <v>1219</v>
      </c>
      <c r="Y305" t="s">
        <v>1212</v>
      </c>
      <c r="Z305">
        <v>132.72</v>
      </c>
      <c r="AA305">
        <v>627.72</v>
      </c>
      <c r="AB305">
        <v>125.54400000000001</v>
      </c>
      <c r="AC305">
        <v>502.17600000000004</v>
      </c>
      <c r="AD305">
        <v>398.15999999999997</v>
      </c>
      <c r="AE305">
        <v>104.01600000000008</v>
      </c>
      <c r="AF305">
        <v>0.20713056776906916</v>
      </c>
      <c r="AG305">
        <v>2025</v>
      </c>
      <c r="AH305">
        <v>11</v>
      </c>
      <c r="AI305" t="s">
        <v>1426</v>
      </c>
      <c r="AJ305" t="s">
        <v>1427</v>
      </c>
      <c r="AK305" t="s">
        <v>1258</v>
      </c>
      <c r="AL305">
        <v>0</v>
      </c>
    </row>
    <row r="306" spans="1:38">
      <c r="A306" t="s">
        <v>333</v>
      </c>
      <c r="B306" s="13">
        <v>45963</v>
      </c>
      <c r="C306" t="s">
        <v>180</v>
      </c>
      <c r="D306" t="s">
        <v>125</v>
      </c>
      <c r="E306" t="s">
        <v>182</v>
      </c>
      <c r="F306" t="s">
        <v>145</v>
      </c>
      <c r="G306" t="s">
        <v>104</v>
      </c>
      <c r="H306" t="s">
        <v>89</v>
      </c>
      <c r="I306">
        <v>1</v>
      </c>
      <c r="J306">
        <v>58.78</v>
      </c>
      <c r="K306">
        <v>0.05</v>
      </c>
      <c r="L306" t="s">
        <v>106</v>
      </c>
      <c r="M306">
        <v>3</v>
      </c>
      <c r="N306" t="s">
        <v>147</v>
      </c>
      <c r="O306" t="s">
        <v>89</v>
      </c>
      <c r="P306" t="s">
        <v>125</v>
      </c>
      <c r="Q306" t="s">
        <v>180</v>
      </c>
      <c r="R306" t="s">
        <v>145</v>
      </c>
      <c r="S306" t="s">
        <v>106</v>
      </c>
      <c r="T306">
        <v>1</v>
      </c>
      <c r="U306" t="s">
        <v>1332</v>
      </c>
      <c r="V306" t="s">
        <v>1249</v>
      </c>
      <c r="W306" t="s">
        <v>1237</v>
      </c>
      <c r="X306" t="s">
        <v>1214</v>
      </c>
      <c r="Y306" t="s">
        <v>1212</v>
      </c>
      <c r="Z306">
        <v>25.97</v>
      </c>
      <c r="AA306">
        <v>58.78</v>
      </c>
      <c r="AB306">
        <v>2.9390000000000001</v>
      </c>
      <c r="AC306">
        <v>55.841000000000001</v>
      </c>
      <c r="AD306">
        <v>25.97</v>
      </c>
      <c r="AE306">
        <v>29.871000000000002</v>
      </c>
      <c r="AF306">
        <v>0.53492953206425387</v>
      </c>
      <c r="AG306">
        <v>2025</v>
      </c>
      <c r="AH306">
        <v>11</v>
      </c>
      <c r="AI306" t="s">
        <v>1426</v>
      </c>
      <c r="AJ306" t="s">
        <v>1427</v>
      </c>
      <c r="AK306" t="s">
        <v>1250</v>
      </c>
      <c r="AL306">
        <v>1</v>
      </c>
    </row>
    <row r="307" spans="1:38">
      <c r="A307" t="s">
        <v>345</v>
      </c>
      <c r="B307" s="13">
        <v>45737</v>
      </c>
      <c r="C307" t="s">
        <v>100</v>
      </c>
      <c r="D307" t="s">
        <v>346</v>
      </c>
      <c r="E307" t="s">
        <v>102</v>
      </c>
      <c r="F307" t="s">
        <v>145</v>
      </c>
      <c r="G307" t="s">
        <v>96</v>
      </c>
      <c r="H307" t="s">
        <v>97</v>
      </c>
      <c r="I307">
        <v>5</v>
      </c>
      <c r="J307">
        <v>248.14</v>
      </c>
      <c r="K307">
        <v>0.05</v>
      </c>
      <c r="L307" t="s">
        <v>106</v>
      </c>
      <c r="M307">
        <v>3</v>
      </c>
      <c r="N307" t="s">
        <v>91</v>
      </c>
      <c r="O307" t="s">
        <v>97</v>
      </c>
      <c r="P307" t="s">
        <v>346</v>
      </c>
      <c r="Q307" t="s">
        <v>100</v>
      </c>
      <c r="R307" t="s">
        <v>145</v>
      </c>
      <c r="S307" t="s">
        <v>106</v>
      </c>
      <c r="T307">
        <v>1</v>
      </c>
      <c r="U307" t="s">
        <v>1242</v>
      </c>
      <c r="V307" t="s">
        <v>1243</v>
      </c>
      <c r="W307" t="s">
        <v>1245</v>
      </c>
      <c r="X307" t="s">
        <v>1217</v>
      </c>
      <c r="Y307" t="s">
        <v>1212</v>
      </c>
      <c r="Z307">
        <v>125.4</v>
      </c>
      <c r="AA307">
        <v>1240.6999999999998</v>
      </c>
      <c r="AB307">
        <v>62.034999999999997</v>
      </c>
      <c r="AC307">
        <v>1178.6649999999997</v>
      </c>
      <c r="AD307">
        <v>627</v>
      </c>
      <c r="AE307">
        <v>551.66499999999974</v>
      </c>
      <c r="AF307">
        <v>0.46804223422261615</v>
      </c>
      <c r="AG307">
        <v>2025</v>
      </c>
      <c r="AH307">
        <v>3</v>
      </c>
      <c r="AI307" t="s">
        <v>1423</v>
      </c>
      <c r="AJ307" t="s">
        <v>1424</v>
      </c>
      <c r="AK307" t="s">
        <v>1244</v>
      </c>
      <c r="AL307">
        <v>0</v>
      </c>
    </row>
    <row r="308" spans="1:38">
      <c r="A308" t="s">
        <v>351</v>
      </c>
      <c r="B308" s="13">
        <v>45743</v>
      </c>
      <c r="C308" t="s">
        <v>200</v>
      </c>
      <c r="D308" t="s">
        <v>194</v>
      </c>
      <c r="E308" t="s">
        <v>201</v>
      </c>
      <c r="F308" t="s">
        <v>111</v>
      </c>
      <c r="G308" t="s">
        <v>171</v>
      </c>
      <c r="H308" t="s">
        <v>89</v>
      </c>
      <c r="I308">
        <v>1</v>
      </c>
      <c r="J308">
        <v>189.68</v>
      </c>
      <c r="K308">
        <v>0.05</v>
      </c>
      <c r="L308" t="s">
        <v>106</v>
      </c>
      <c r="M308">
        <v>9</v>
      </c>
      <c r="N308" t="s">
        <v>91</v>
      </c>
      <c r="O308" t="s">
        <v>89</v>
      </c>
      <c r="P308" t="s">
        <v>194</v>
      </c>
      <c r="Q308" t="s">
        <v>200</v>
      </c>
      <c r="R308" t="s">
        <v>111</v>
      </c>
      <c r="S308" t="s">
        <v>106</v>
      </c>
      <c r="T308">
        <v>1</v>
      </c>
      <c r="U308" t="s">
        <v>1357</v>
      </c>
      <c r="V308" t="s">
        <v>1257</v>
      </c>
      <c r="W308" t="s">
        <v>1241</v>
      </c>
      <c r="X308" t="s">
        <v>1216</v>
      </c>
      <c r="Y308" t="s">
        <v>1212</v>
      </c>
      <c r="Z308">
        <v>101</v>
      </c>
      <c r="AA308">
        <v>189.68</v>
      </c>
      <c r="AB308">
        <v>9.484</v>
      </c>
      <c r="AC308">
        <v>180.196</v>
      </c>
      <c r="AD308">
        <v>101</v>
      </c>
      <c r="AE308">
        <v>79.195999999999998</v>
      </c>
      <c r="AF308">
        <v>0.43949921196918912</v>
      </c>
      <c r="AG308">
        <v>2025</v>
      </c>
      <c r="AH308">
        <v>3</v>
      </c>
      <c r="AI308" t="s">
        <v>1423</v>
      </c>
      <c r="AJ308" t="s">
        <v>1424</v>
      </c>
      <c r="AK308" t="s">
        <v>1258</v>
      </c>
      <c r="AL308">
        <v>0</v>
      </c>
    </row>
    <row r="309" spans="1:38">
      <c r="A309" t="s">
        <v>352</v>
      </c>
      <c r="B309" s="13">
        <v>45677</v>
      </c>
      <c r="C309" t="s">
        <v>343</v>
      </c>
      <c r="D309" t="s">
        <v>261</v>
      </c>
      <c r="E309" t="s">
        <v>344</v>
      </c>
      <c r="F309" t="s">
        <v>103</v>
      </c>
      <c r="G309" t="s">
        <v>117</v>
      </c>
      <c r="H309" t="s">
        <v>97</v>
      </c>
      <c r="I309">
        <v>2</v>
      </c>
      <c r="J309">
        <v>259.93</v>
      </c>
      <c r="K309">
        <v>0.05</v>
      </c>
      <c r="L309" t="s">
        <v>353</v>
      </c>
      <c r="M309">
        <v>0</v>
      </c>
      <c r="N309" t="s">
        <v>91</v>
      </c>
      <c r="O309" t="s">
        <v>97</v>
      </c>
      <c r="P309" t="s">
        <v>261</v>
      </c>
      <c r="Q309" t="s">
        <v>343</v>
      </c>
      <c r="R309" t="s">
        <v>103</v>
      </c>
      <c r="S309" t="s">
        <v>106</v>
      </c>
      <c r="T309">
        <v>1</v>
      </c>
      <c r="U309" t="s">
        <v>1354</v>
      </c>
      <c r="V309" t="s">
        <v>1243</v>
      </c>
      <c r="W309" t="s">
        <v>1237</v>
      </c>
      <c r="X309" t="s">
        <v>1218</v>
      </c>
      <c r="Y309" t="s">
        <v>1212</v>
      </c>
      <c r="Z309">
        <v>131.72999999999999</v>
      </c>
      <c r="AA309">
        <v>519.86</v>
      </c>
      <c r="AB309">
        <v>25.993000000000002</v>
      </c>
      <c r="AC309">
        <v>493.86700000000002</v>
      </c>
      <c r="AD309">
        <v>263.45999999999998</v>
      </c>
      <c r="AE309">
        <v>230.40700000000004</v>
      </c>
      <c r="AF309">
        <v>0.46653653716486426</v>
      </c>
      <c r="AG309">
        <v>2025</v>
      </c>
      <c r="AH309">
        <v>1</v>
      </c>
      <c r="AI309" t="s">
        <v>1425</v>
      </c>
      <c r="AJ309" t="s">
        <v>1424</v>
      </c>
      <c r="AK309" t="s">
        <v>1244</v>
      </c>
      <c r="AL309">
        <v>0</v>
      </c>
    </row>
    <row r="310" spans="1:38">
      <c r="A310" t="s">
        <v>354</v>
      </c>
      <c r="B310" s="13">
        <v>45813</v>
      </c>
      <c r="C310" t="s">
        <v>156</v>
      </c>
      <c r="D310" t="s">
        <v>125</v>
      </c>
      <c r="E310" t="s">
        <v>158</v>
      </c>
      <c r="F310" t="s">
        <v>87</v>
      </c>
      <c r="G310" t="s">
        <v>117</v>
      </c>
      <c r="H310" t="s">
        <v>89</v>
      </c>
      <c r="I310">
        <v>2</v>
      </c>
      <c r="J310">
        <v>60.07</v>
      </c>
      <c r="K310">
        <v>0.15</v>
      </c>
      <c r="L310" t="s">
        <v>106</v>
      </c>
      <c r="M310">
        <v>8</v>
      </c>
      <c r="N310" t="s">
        <v>147</v>
      </c>
      <c r="O310" t="s">
        <v>89</v>
      </c>
      <c r="P310" t="s">
        <v>125</v>
      </c>
      <c r="Q310" t="s">
        <v>156</v>
      </c>
      <c r="R310" t="s">
        <v>87</v>
      </c>
      <c r="S310" t="s">
        <v>106</v>
      </c>
      <c r="T310">
        <v>1</v>
      </c>
      <c r="U310" t="s">
        <v>1353</v>
      </c>
      <c r="V310" t="s">
        <v>1235</v>
      </c>
      <c r="W310" t="s">
        <v>1237</v>
      </c>
      <c r="X310" t="s">
        <v>1214</v>
      </c>
      <c r="Y310" t="s">
        <v>1212</v>
      </c>
      <c r="Z310">
        <v>25.97</v>
      </c>
      <c r="AA310">
        <v>120.14</v>
      </c>
      <c r="AB310">
        <v>18.021000000000001</v>
      </c>
      <c r="AC310">
        <v>102.119</v>
      </c>
      <c r="AD310">
        <v>51.94</v>
      </c>
      <c r="AE310">
        <v>50.179000000000002</v>
      </c>
      <c r="AF310">
        <v>0.49137770640135531</v>
      </c>
      <c r="AG310">
        <v>2025</v>
      </c>
      <c r="AH310">
        <v>6</v>
      </c>
      <c r="AI310" t="s">
        <v>1429</v>
      </c>
      <c r="AJ310" t="s">
        <v>1420</v>
      </c>
      <c r="AK310" t="s">
        <v>1236</v>
      </c>
      <c r="AL310">
        <v>1</v>
      </c>
    </row>
    <row r="311" spans="1:38">
      <c r="A311" t="s">
        <v>383</v>
      </c>
      <c r="B311" s="13">
        <v>46004</v>
      </c>
      <c r="C311" t="s">
        <v>142</v>
      </c>
      <c r="D311" t="s">
        <v>194</v>
      </c>
      <c r="E311" t="s">
        <v>144</v>
      </c>
      <c r="F311" t="s">
        <v>145</v>
      </c>
      <c r="G311" t="s">
        <v>171</v>
      </c>
      <c r="H311" t="s">
        <v>105</v>
      </c>
      <c r="I311">
        <v>1</v>
      </c>
      <c r="J311">
        <v>210.86</v>
      </c>
      <c r="K311">
        <v>0.15</v>
      </c>
      <c r="L311" t="s">
        <v>154</v>
      </c>
      <c r="M311">
        <v>9</v>
      </c>
      <c r="N311" t="s">
        <v>91</v>
      </c>
      <c r="O311" t="s">
        <v>105</v>
      </c>
      <c r="P311" t="s">
        <v>194</v>
      </c>
      <c r="Q311" t="s">
        <v>142</v>
      </c>
      <c r="R311" t="s">
        <v>145</v>
      </c>
      <c r="S311" t="s">
        <v>154</v>
      </c>
      <c r="T311">
        <v>1</v>
      </c>
      <c r="U311" t="s">
        <v>1238</v>
      </c>
      <c r="V311" t="s">
        <v>1239</v>
      </c>
      <c r="W311" t="s">
        <v>1241</v>
      </c>
      <c r="X311" t="s">
        <v>1216</v>
      </c>
      <c r="Y311" t="s">
        <v>1212</v>
      </c>
      <c r="Z311">
        <v>101</v>
      </c>
      <c r="AA311">
        <v>210.86</v>
      </c>
      <c r="AB311">
        <v>31.629000000000001</v>
      </c>
      <c r="AC311">
        <v>179.23100000000002</v>
      </c>
      <c r="AD311">
        <v>101</v>
      </c>
      <c r="AE311">
        <v>78.231000000000023</v>
      </c>
      <c r="AF311">
        <v>0.43648141225569242</v>
      </c>
      <c r="AG311">
        <v>2025</v>
      </c>
      <c r="AH311">
        <v>12</v>
      </c>
      <c r="AI311" t="s">
        <v>1428</v>
      </c>
      <c r="AJ311" t="s">
        <v>1427</v>
      </c>
      <c r="AK311" t="s">
        <v>1240</v>
      </c>
      <c r="AL311">
        <v>0</v>
      </c>
    </row>
    <row r="312" spans="1:38">
      <c r="A312" t="s">
        <v>408</v>
      </c>
      <c r="B312" s="13">
        <v>45850</v>
      </c>
      <c r="C312" t="s">
        <v>359</v>
      </c>
      <c r="D312" t="s">
        <v>194</v>
      </c>
      <c r="E312" t="s">
        <v>361</v>
      </c>
      <c r="F312" t="s">
        <v>116</v>
      </c>
      <c r="G312" t="s">
        <v>96</v>
      </c>
      <c r="H312" t="s">
        <v>233</v>
      </c>
      <c r="I312">
        <v>5</v>
      </c>
      <c r="J312">
        <v>198.88</v>
      </c>
      <c r="K312">
        <v>0.05</v>
      </c>
      <c r="L312" t="s">
        <v>90</v>
      </c>
      <c r="M312">
        <v>3</v>
      </c>
      <c r="N312" t="s">
        <v>91</v>
      </c>
      <c r="O312" t="s">
        <v>97</v>
      </c>
      <c r="P312" t="s">
        <v>194</v>
      </c>
      <c r="Q312" t="s">
        <v>359</v>
      </c>
      <c r="R312" t="s">
        <v>116</v>
      </c>
      <c r="S312" t="s">
        <v>369</v>
      </c>
      <c r="T312">
        <v>1</v>
      </c>
      <c r="U312" t="s">
        <v>1296</v>
      </c>
      <c r="V312" t="s">
        <v>1297</v>
      </c>
      <c r="W312" t="s">
        <v>1245</v>
      </c>
      <c r="X312" t="s">
        <v>1216</v>
      </c>
      <c r="Y312" t="s">
        <v>1212</v>
      </c>
      <c r="Z312">
        <v>101</v>
      </c>
      <c r="AA312">
        <v>994.4</v>
      </c>
      <c r="AB312">
        <v>49.72</v>
      </c>
      <c r="AC312">
        <v>944.68</v>
      </c>
      <c r="AD312">
        <v>505</v>
      </c>
      <c r="AE312">
        <v>439.67999999999995</v>
      </c>
      <c r="AF312">
        <v>0.46542744633103272</v>
      </c>
      <c r="AG312">
        <v>2025</v>
      </c>
      <c r="AH312">
        <v>7</v>
      </c>
      <c r="AI312" t="s">
        <v>1422</v>
      </c>
      <c r="AJ312" t="s">
        <v>1418</v>
      </c>
      <c r="AK312" t="s">
        <v>1258</v>
      </c>
      <c r="AL312">
        <v>0</v>
      </c>
    </row>
    <row r="313" spans="1:38">
      <c r="A313" t="s">
        <v>416</v>
      </c>
      <c r="B313" s="13">
        <v>45993</v>
      </c>
      <c r="C313" t="s">
        <v>417</v>
      </c>
      <c r="D313" t="s">
        <v>418</v>
      </c>
      <c r="E313" t="s">
        <v>419</v>
      </c>
      <c r="F313" t="s">
        <v>145</v>
      </c>
      <c r="G313" t="s">
        <v>171</v>
      </c>
      <c r="H313" t="s">
        <v>89</v>
      </c>
      <c r="I313">
        <v>5</v>
      </c>
      <c r="J313">
        <v>373.91</v>
      </c>
      <c r="K313">
        <v>0</v>
      </c>
      <c r="L313" t="s">
        <v>98</v>
      </c>
      <c r="M313">
        <v>4</v>
      </c>
      <c r="N313" t="s">
        <v>91</v>
      </c>
      <c r="O313" t="s">
        <v>89</v>
      </c>
      <c r="P313" t="s">
        <v>418</v>
      </c>
      <c r="Q313" t="s">
        <v>417</v>
      </c>
      <c r="R313" t="s">
        <v>145</v>
      </c>
      <c r="S313" t="s">
        <v>98</v>
      </c>
      <c r="T313">
        <v>1</v>
      </c>
      <c r="U313" t="s">
        <v>1329</v>
      </c>
      <c r="V313" t="s">
        <v>1243</v>
      </c>
      <c r="W313" t="s">
        <v>1237</v>
      </c>
      <c r="X313" t="s">
        <v>1215</v>
      </c>
      <c r="Y313" t="s">
        <v>1212</v>
      </c>
      <c r="Z313">
        <v>212.02</v>
      </c>
      <c r="AA313">
        <v>1869.5500000000002</v>
      </c>
      <c r="AB313">
        <v>0</v>
      </c>
      <c r="AC313">
        <v>1869.5500000000002</v>
      </c>
      <c r="AD313">
        <v>1060.1000000000001</v>
      </c>
      <c r="AE313">
        <v>809.45</v>
      </c>
      <c r="AF313">
        <v>0.4329651520419352</v>
      </c>
      <c r="AG313">
        <v>2025</v>
      </c>
      <c r="AH313">
        <v>12</v>
      </c>
      <c r="AI313" t="s">
        <v>1428</v>
      </c>
      <c r="AJ313" t="s">
        <v>1427</v>
      </c>
      <c r="AK313" t="s">
        <v>1244</v>
      </c>
      <c r="AL313">
        <v>0</v>
      </c>
    </row>
    <row r="314" spans="1:38">
      <c r="A314" t="s">
        <v>420</v>
      </c>
      <c r="B314" s="13">
        <v>45955</v>
      </c>
      <c r="C314" t="s">
        <v>268</v>
      </c>
      <c r="D314" t="s">
        <v>261</v>
      </c>
      <c r="E314" t="s">
        <v>269</v>
      </c>
      <c r="F314" t="s">
        <v>111</v>
      </c>
      <c r="G314" t="s">
        <v>117</v>
      </c>
      <c r="H314" t="s">
        <v>89</v>
      </c>
      <c r="I314">
        <v>4</v>
      </c>
      <c r="J314">
        <v>256.85000000000002</v>
      </c>
      <c r="K314">
        <v>0.1</v>
      </c>
      <c r="L314" t="s">
        <v>106</v>
      </c>
      <c r="M314">
        <v>1</v>
      </c>
      <c r="N314" t="s">
        <v>91</v>
      </c>
      <c r="O314" t="s">
        <v>89</v>
      </c>
      <c r="P314" t="s">
        <v>261</v>
      </c>
      <c r="Q314" t="s">
        <v>268</v>
      </c>
      <c r="R314" t="s">
        <v>111</v>
      </c>
      <c r="S314" t="s">
        <v>106</v>
      </c>
      <c r="T314">
        <v>1</v>
      </c>
      <c r="U314" t="s">
        <v>1295</v>
      </c>
      <c r="V314" t="s">
        <v>1243</v>
      </c>
      <c r="W314" t="s">
        <v>1241</v>
      </c>
      <c r="X314" t="s">
        <v>1218</v>
      </c>
      <c r="Y314" t="s">
        <v>1212</v>
      </c>
      <c r="Z314">
        <v>131.72999999999999</v>
      </c>
      <c r="AA314">
        <v>1027.4000000000001</v>
      </c>
      <c r="AB314">
        <v>102.74000000000001</v>
      </c>
      <c r="AC314">
        <v>924.66000000000008</v>
      </c>
      <c r="AD314">
        <v>526.91999999999996</v>
      </c>
      <c r="AE314">
        <v>397.74000000000012</v>
      </c>
      <c r="AF314">
        <v>0.43014729738498486</v>
      </c>
      <c r="AG314">
        <v>2025</v>
      </c>
      <c r="AH314">
        <v>10</v>
      </c>
      <c r="AI314" t="s">
        <v>1431</v>
      </c>
      <c r="AJ314" t="s">
        <v>1427</v>
      </c>
      <c r="AK314" t="s">
        <v>1244</v>
      </c>
      <c r="AL314">
        <v>0</v>
      </c>
    </row>
    <row r="315" spans="1:38">
      <c r="A315" t="s">
        <v>429</v>
      </c>
      <c r="B315" s="13">
        <v>46021</v>
      </c>
      <c r="C315" t="s">
        <v>430</v>
      </c>
      <c r="D315" t="s">
        <v>109</v>
      </c>
      <c r="E315" t="s">
        <v>431</v>
      </c>
      <c r="F315" t="s">
        <v>103</v>
      </c>
      <c r="G315" t="s">
        <v>96</v>
      </c>
      <c r="H315" t="s">
        <v>105</v>
      </c>
      <c r="I315">
        <v>1</v>
      </c>
      <c r="J315">
        <v>193.21</v>
      </c>
      <c r="K315">
        <v>0</v>
      </c>
      <c r="L315" t="s">
        <v>90</v>
      </c>
      <c r="M315">
        <v>5</v>
      </c>
      <c r="N315" t="s">
        <v>91</v>
      </c>
      <c r="O315" t="s">
        <v>105</v>
      </c>
      <c r="P315" t="s">
        <v>109</v>
      </c>
      <c r="Q315" t="s">
        <v>430</v>
      </c>
      <c r="R315" t="s">
        <v>103</v>
      </c>
      <c r="S315" t="s">
        <v>369</v>
      </c>
      <c r="T315">
        <v>1</v>
      </c>
      <c r="U315" t="s">
        <v>1289</v>
      </c>
      <c r="V315" t="s">
        <v>1235</v>
      </c>
      <c r="W315" t="s">
        <v>1237</v>
      </c>
      <c r="X315" t="s">
        <v>1219</v>
      </c>
      <c r="Y315" t="s">
        <v>1212</v>
      </c>
      <c r="Z315">
        <v>132.72</v>
      </c>
      <c r="AA315">
        <v>193.21</v>
      </c>
      <c r="AB315">
        <v>0</v>
      </c>
      <c r="AC315">
        <v>193.21</v>
      </c>
      <c r="AD315">
        <v>132.72</v>
      </c>
      <c r="AE315">
        <v>60.490000000000009</v>
      </c>
      <c r="AF315">
        <v>0.31307903317633667</v>
      </c>
      <c r="AG315">
        <v>2025</v>
      </c>
      <c r="AH315">
        <v>12</v>
      </c>
      <c r="AI315" t="s">
        <v>1428</v>
      </c>
      <c r="AJ315" t="s">
        <v>1427</v>
      </c>
      <c r="AK315" t="s">
        <v>1236</v>
      </c>
      <c r="AL315">
        <v>0</v>
      </c>
    </row>
    <row r="316" spans="1:38">
      <c r="A316" t="s">
        <v>433</v>
      </c>
      <c r="B316" s="13">
        <v>45774</v>
      </c>
      <c r="C316" t="s">
        <v>206</v>
      </c>
      <c r="D316" t="s">
        <v>261</v>
      </c>
      <c r="E316" t="s">
        <v>207</v>
      </c>
      <c r="F316" t="s">
        <v>87</v>
      </c>
      <c r="G316" t="s">
        <v>183</v>
      </c>
      <c r="H316" t="s">
        <v>89</v>
      </c>
      <c r="I316">
        <v>1</v>
      </c>
      <c r="J316">
        <v>265.20999999999998</v>
      </c>
      <c r="K316">
        <v>0</v>
      </c>
      <c r="L316" t="s">
        <v>154</v>
      </c>
      <c r="M316">
        <v>8</v>
      </c>
      <c r="N316" t="s">
        <v>91</v>
      </c>
      <c r="O316" t="s">
        <v>89</v>
      </c>
      <c r="P316" t="s">
        <v>261</v>
      </c>
      <c r="Q316" t="s">
        <v>206</v>
      </c>
      <c r="R316" t="s">
        <v>87</v>
      </c>
      <c r="S316" t="s">
        <v>154</v>
      </c>
      <c r="T316">
        <v>1</v>
      </c>
      <c r="U316" t="s">
        <v>1310</v>
      </c>
      <c r="V316" t="s">
        <v>1297</v>
      </c>
      <c r="W316" t="s">
        <v>1237</v>
      </c>
      <c r="X316" t="s">
        <v>1218</v>
      </c>
      <c r="Y316" t="s">
        <v>1212</v>
      </c>
      <c r="Z316">
        <v>131.72999999999999</v>
      </c>
      <c r="AA316">
        <v>265.20999999999998</v>
      </c>
      <c r="AB316">
        <v>0</v>
      </c>
      <c r="AC316">
        <v>265.20999999999998</v>
      </c>
      <c r="AD316">
        <v>131.72999999999999</v>
      </c>
      <c r="AE316">
        <v>133.47999999999999</v>
      </c>
      <c r="AF316">
        <v>0.50329927227480109</v>
      </c>
      <c r="AG316">
        <v>2025</v>
      </c>
      <c r="AH316">
        <v>4</v>
      </c>
      <c r="AI316" t="s">
        <v>1421</v>
      </c>
      <c r="AJ316" t="s">
        <v>1420</v>
      </c>
      <c r="AK316" t="s">
        <v>1258</v>
      </c>
      <c r="AL316">
        <v>0</v>
      </c>
    </row>
    <row r="317" spans="1:38">
      <c r="A317" t="s">
        <v>446</v>
      </c>
      <c r="B317" s="13">
        <v>45984</v>
      </c>
      <c r="C317" t="s">
        <v>406</v>
      </c>
      <c r="D317" t="s">
        <v>109</v>
      </c>
      <c r="E317" t="s">
        <v>407</v>
      </c>
      <c r="F317" t="s">
        <v>116</v>
      </c>
      <c r="G317" t="s">
        <v>117</v>
      </c>
      <c r="H317" t="s">
        <v>89</v>
      </c>
      <c r="I317">
        <v>4</v>
      </c>
      <c r="J317">
        <v>204.19</v>
      </c>
      <c r="K317">
        <v>0.1</v>
      </c>
      <c r="L317" t="s">
        <v>90</v>
      </c>
      <c r="M317">
        <v>6</v>
      </c>
      <c r="N317" t="s">
        <v>91</v>
      </c>
      <c r="O317" t="s">
        <v>89</v>
      </c>
      <c r="P317" t="s">
        <v>109</v>
      </c>
      <c r="Q317" t="s">
        <v>406</v>
      </c>
      <c r="R317" t="s">
        <v>116</v>
      </c>
      <c r="S317" t="s">
        <v>369</v>
      </c>
      <c r="T317">
        <v>1</v>
      </c>
      <c r="U317" t="s">
        <v>1291</v>
      </c>
      <c r="V317" t="s">
        <v>1239</v>
      </c>
      <c r="W317" t="s">
        <v>1237</v>
      </c>
      <c r="X317" t="s">
        <v>1219</v>
      </c>
      <c r="Y317" t="s">
        <v>1212</v>
      </c>
      <c r="Z317">
        <v>132.72</v>
      </c>
      <c r="AA317">
        <v>816.76</v>
      </c>
      <c r="AB317">
        <v>81.676000000000002</v>
      </c>
      <c r="AC317">
        <v>735.08399999999995</v>
      </c>
      <c r="AD317">
        <v>530.88</v>
      </c>
      <c r="AE317">
        <v>204.20399999999995</v>
      </c>
      <c r="AF317">
        <v>0.27779682322020338</v>
      </c>
      <c r="AG317">
        <v>2025</v>
      </c>
      <c r="AH317">
        <v>11</v>
      </c>
      <c r="AI317" t="s">
        <v>1426</v>
      </c>
      <c r="AJ317" t="s">
        <v>1427</v>
      </c>
      <c r="AK317" t="s">
        <v>1240</v>
      </c>
      <c r="AL317">
        <v>0</v>
      </c>
    </row>
    <row r="318" spans="1:38">
      <c r="A318" t="s">
        <v>459</v>
      </c>
      <c r="B318" s="13">
        <v>45856</v>
      </c>
      <c r="C318" t="s">
        <v>363</v>
      </c>
      <c r="D318" t="s">
        <v>85</v>
      </c>
      <c r="E318" t="s">
        <v>364</v>
      </c>
      <c r="F318" t="s">
        <v>111</v>
      </c>
      <c r="G318" t="s">
        <v>130</v>
      </c>
      <c r="H318" t="s">
        <v>89</v>
      </c>
      <c r="I318">
        <v>4</v>
      </c>
      <c r="J318">
        <v>299.45</v>
      </c>
      <c r="K318">
        <v>0</v>
      </c>
      <c r="L318" t="s">
        <v>353</v>
      </c>
      <c r="M318">
        <v>4</v>
      </c>
      <c r="N318" t="s">
        <v>91</v>
      </c>
      <c r="O318" t="s">
        <v>89</v>
      </c>
      <c r="P318" t="s">
        <v>85</v>
      </c>
      <c r="Q318" t="s">
        <v>363</v>
      </c>
      <c r="R318" t="s">
        <v>111</v>
      </c>
      <c r="S318" t="s">
        <v>106</v>
      </c>
      <c r="T318">
        <v>1</v>
      </c>
      <c r="U318" t="s">
        <v>1274</v>
      </c>
      <c r="V318" t="s">
        <v>1275</v>
      </c>
      <c r="W318" t="s">
        <v>1245</v>
      </c>
      <c r="X318" t="s">
        <v>1211</v>
      </c>
      <c r="Y318" t="s">
        <v>1212</v>
      </c>
      <c r="Z318">
        <v>197.33</v>
      </c>
      <c r="AA318">
        <v>1197.8</v>
      </c>
      <c r="AB318">
        <v>0</v>
      </c>
      <c r="AC318">
        <v>1197.8</v>
      </c>
      <c r="AD318">
        <v>789.32</v>
      </c>
      <c r="AE318">
        <v>408.4799999999999</v>
      </c>
      <c r="AF318">
        <v>0.3410252128902988</v>
      </c>
      <c r="AG318">
        <v>2025</v>
      </c>
      <c r="AH318">
        <v>7</v>
      </c>
      <c r="AI318" t="s">
        <v>1422</v>
      </c>
      <c r="AJ318" t="s">
        <v>1418</v>
      </c>
      <c r="AK318" t="s">
        <v>1258</v>
      </c>
      <c r="AL318">
        <v>0</v>
      </c>
    </row>
    <row r="319" spans="1:38">
      <c r="A319" t="s">
        <v>471</v>
      </c>
      <c r="B319" s="13">
        <v>45824</v>
      </c>
      <c r="C319" t="s">
        <v>472</v>
      </c>
      <c r="D319" t="s">
        <v>261</v>
      </c>
      <c r="E319" t="s">
        <v>473</v>
      </c>
      <c r="F319" t="s">
        <v>111</v>
      </c>
      <c r="G319" t="s">
        <v>96</v>
      </c>
      <c r="H319" t="s">
        <v>89</v>
      </c>
      <c r="I319">
        <v>1</v>
      </c>
      <c r="J319">
        <v>237.95</v>
      </c>
      <c r="K319">
        <v>0.1</v>
      </c>
      <c r="L319" t="s">
        <v>106</v>
      </c>
      <c r="M319">
        <v>4</v>
      </c>
      <c r="N319" t="s">
        <v>91</v>
      </c>
      <c r="O319" t="s">
        <v>89</v>
      </c>
      <c r="P319" t="s">
        <v>261</v>
      </c>
      <c r="Q319" t="s">
        <v>472</v>
      </c>
      <c r="R319" t="s">
        <v>111</v>
      </c>
      <c r="S319" t="s">
        <v>106</v>
      </c>
      <c r="T319">
        <v>1</v>
      </c>
      <c r="U319" t="s">
        <v>1267</v>
      </c>
      <c r="V319" t="s">
        <v>1247</v>
      </c>
      <c r="W319" t="s">
        <v>1241</v>
      </c>
      <c r="X319" t="s">
        <v>1218</v>
      </c>
      <c r="Y319" t="s">
        <v>1212</v>
      </c>
      <c r="Z319">
        <v>131.72999999999999</v>
      </c>
      <c r="AA319">
        <v>237.95</v>
      </c>
      <c r="AB319">
        <v>23.795000000000002</v>
      </c>
      <c r="AC319">
        <v>214.15499999999997</v>
      </c>
      <c r="AD319">
        <v>131.72999999999999</v>
      </c>
      <c r="AE319">
        <v>82.424999999999983</v>
      </c>
      <c r="AF319">
        <v>0.38488477971562651</v>
      </c>
      <c r="AG319">
        <v>2025</v>
      </c>
      <c r="AH319">
        <v>6</v>
      </c>
      <c r="AI319" t="s">
        <v>1429</v>
      </c>
      <c r="AJ319" t="s">
        <v>1420</v>
      </c>
      <c r="AK319" t="s">
        <v>1240</v>
      </c>
      <c r="AL319">
        <v>0</v>
      </c>
    </row>
    <row r="320" spans="1:38">
      <c r="A320" t="s">
        <v>477</v>
      </c>
      <c r="B320" s="13">
        <v>45909</v>
      </c>
      <c r="C320" t="s">
        <v>319</v>
      </c>
      <c r="D320" t="s">
        <v>109</v>
      </c>
      <c r="E320" t="s">
        <v>320</v>
      </c>
      <c r="F320" t="s">
        <v>145</v>
      </c>
      <c r="G320" t="s">
        <v>96</v>
      </c>
      <c r="H320" t="s">
        <v>478</v>
      </c>
      <c r="I320">
        <v>1</v>
      </c>
      <c r="J320">
        <v>204.49</v>
      </c>
      <c r="K320">
        <v>0.1</v>
      </c>
      <c r="L320" t="s">
        <v>106</v>
      </c>
      <c r="M320">
        <v>6</v>
      </c>
      <c r="N320" t="s">
        <v>91</v>
      </c>
      <c r="O320" t="s">
        <v>105</v>
      </c>
      <c r="P320" t="s">
        <v>109</v>
      </c>
      <c r="Q320" t="s">
        <v>319</v>
      </c>
      <c r="R320" t="s">
        <v>145</v>
      </c>
      <c r="S320" t="s">
        <v>106</v>
      </c>
      <c r="T320">
        <v>1</v>
      </c>
      <c r="U320" t="s">
        <v>1262</v>
      </c>
      <c r="V320" t="s">
        <v>1260</v>
      </c>
      <c r="W320" t="s">
        <v>1241</v>
      </c>
      <c r="X320" t="s">
        <v>1219</v>
      </c>
      <c r="Y320" t="s">
        <v>1212</v>
      </c>
      <c r="Z320">
        <v>132.72</v>
      </c>
      <c r="AA320">
        <v>204.49</v>
      </c>
      <c r="AB320">
        <v>20.449000000000002</v>
      </c>
      <c r="AC320">
        <v>184.041</v>
      </c>
      <c r="AD320">
        <v>132.72</v>
      </c>
      <c r="AE320">
        <v>51.320999999999998</v>
      </c>
      <c r="AF320">
        <v>0.27885634179340474</v>
      </c>
      <c r="AG320">
        <v>2025</v>
      </c>
      <c r="AH320">
        <v>9</v>
      </c>
      <c r="AI320" t="s">
        <v>1432</v>
      </c>
      <c r="AJ320" t="s">
        <v>1418</v>
      </c>
      <c r="AK320" t="s">
        <v>1240</v>
      </c>
      <c r="AL320">
        <v>0</v>
      </c>
    </row>
    <row r="321" spans="1:38">
      <c r="A321" t="s">
        <v>479</v>
      </c>
      <c r="B321" s="13">
        <v>45985</v>
      </c>
      <c r="C321" t="s">
        <v>480</v>
      </c>
      <c r="D321" t="s">
        <v>85</v>
      </c>
      <c r="E321" t="s">
        <v>481</v>
      </c>
      <c r="F321" t="s">
        <v>111</v>
      </c>
      <c r="G321" t="s">
        <v>130</v>
      </c>
      <c r="H321" t="s">
        <v>97</v>
      </c>
      <c r="I321">
        <v>1</v>
      </c>
      <c r="J321">
        <v>299.81</v>
      </c>
      <c r="K321">
        <v>0.2</v>
      </c>
      <c r="L321" t="s">
        <v>106</v>
      </c>
      <c r="M321">
        <v>4</v>
      </c>
      <c r="N321" t="s">
        <v>91</v>
      </c>
      <c r="O321" t="s">
        <v>97</v>
      </c>
      <c r="P321" t="s">
        <v>85</v>
      </c>
      <c r="Q321" t="s">
        <v>480</v>
      </c>
      <c r="R321" t="s">
        <v>111</v>
      </c>
      <c r="S321" t="s">
        <v>106</v>
      </c>
      <c r="T321">
        <v>1</v>
      </c>
      <c r="U321" t="s">
        <v>1306</v>
      </c>
      <c r="V321" t="s">
        <v>1247</v>
      </c>
      <c r="W321" t="s">
        <v>1237</v>
      </c>
      <c r="X321" t="s">
        <v>1211</v>
      </c>
      <c r="Y321" t="s">
        <v>1212</v>
      </c>
      <c r="Z321">
        <v>197.33</v>
      </c>
      <c r="AA321">
        <v>299.81</v>
      </c>
      <c r="AB321">
        <v>59.962000000000003</v>
      </c>
      <c r="AC321">
        <v>239.84800000000001</v>
      </c>
      <c r="AD321">
        <v>197.33</v>
      </c>
      <c r="AE321">
        <v>42.518000000000001</v>
      </c>
      <c r="AF321">
        <v>0.17727060471632033</v>
      </c>
      <c r="AG321">
        <v>2025</v>
      </c>
      <c r="AH321">
        <v>11</v>
      </c>
      <c r="AI321" t="s">
        <v>1426</v>
      </c>
      <c r="AJ321" t="s">
        <v>1427</v>
      </c>
      <c r="AK321" t="s">
        <v>1240</v>
      </c>
      <c r="AL321">
        <v>0</v>
      </c>
    </row>
    <row r="322" spans="1:38">
      <c r="A322" t="s">
        <v>489</v>
      </c>
      <c r="B322" s="13">
        <v>45906</v>
      </c>
      <c r="C322" t="s">
        <v>366</v>
      </c>
      <c r="D322" t="s">
        <v>85</v>
      </c>
      <c r="E322" t="s">
        <v>367</v>
      </c>
      <c r="F322" t="s">
        <v>103</v>
      </c>
      <c r="G322" t="s">
        <v>122</v>
      </c>
      <c r="H322" t="s">
        <v>97</v>
      </c>
      <c r="I322">
        <v>1</v>
      </c>
      <c r="J322">
        <v>320.8</v>
      </c>
      <c r="K322">
        <v>0.15</v>
      </c>
      <c r="L322" t="s">
        <v>106</v>
      </c>
      <c r="M322">
        <v>2</v>
      </c>
      <c r="N322" t="s">
        <v>91</v>
      </c>
      <c r="O322" t="s">
        <v>97</v>
      </c>
      <c r="P322" t="s">
        <v>85</v>
      </c>
      <c r="Q322" t="s">
        <v>366</v>
      </c>
      <c r="R322" t="s">
        <v>103</v>
      </c>
      <c r="S322" t="s">
        <v>106</v>
      </c>
      <c r="T322">
        <v>1</v>
      </c>
      <c r="U322" t="s">
        <v>1259</v>
      </c>
      <c r="V322" t="s">
        <v>1297</v>
      </c>
      <c r="W322" t="s">
        <v>1237</v>
      </c>
      <c r="X322" t="s">
        <v>1211</v>
      </c>
      <c r="Y322" t="s">
        <v>1212</v>
      </c>
      <c r="Z322">
        <v>197.33</v>
      </c>
      <c r="AA322">
        <v>320.8</v>
      </c>
      <c r="AB322">
        <v>48.12</v>
      </c>
      <c r="AC322">
        <v>272.68</v>
      </c>
      <c r="AD322">
        <v>197.33</v>
      </c>
      <c r="AE322">
        <v>75.349999999999994</v>
      </c>
      <c r="AF322">
        <v>0.27633123074666271</v>
      </c>
      <c r="AG322">
        <v>2025</v>
      </c>
      <c r="AH322">
        <v>9</v>
      </c>
      <c r="AI322" t="s">
        <v>1432</v>
      </c>
      <c r="AJ322" t="s">
        <v>1418</v>
      </c>
      <c r="AK322" t="s">
        <v>1258</v>
      </c>
      <c r="AL322">
        <v>0</v>
      </c>
    </row>
    <row r="323" spans="1:38">
      <c r="A323" t="s">
        <v>490</v>
      </c>
      <c r="B323" s="13">
        <v>45714</v>
      </c>
      <c r="C323" t="s">
        <v>491</v>
      </c>
      <c r="D323" t="s">
        <v>85</v>
      </c>
      <c r="E323" t="s">
        <v>492</v>
      </c>
      <c r="F323" t="s">
        <v>103</v>
      </c>
      <c r="G323" t="s">
        <v>183</v>
      </c>
      <c r="H323" t="s">
        <v>97</v>
      </c>
      <c r="I323">
        <v>3</v>
      </c>
      <c r="J323">
        <v>317.19</v>
      </c>
      <c r="K323">
        <v>0.1</v>
      </c>
      <c r="L323" t="s">
        <v>106</v>
      </c>
      <c r="M323">
        <v>4</v>
      </c>
      <c r="N323" t="s">
        <v>91</v>
      </c>
      <c r="O323" t="s">
        <v>97</v>
      </c>
      <c r="P323" t="s">
        <v>85</v>
      </c>
      <c r="Q323" t="s">
        <v>491</v>
      </c>
      <c r="R323" t="s">
        <v>103</v>
      </c>
      <c r="S323" t="s">
        <v>106</v>
      </c>
      <c r="T323">
        <v>1</v>
      </c>
      <c r="U323" t="s">
        <v>1298</v>
      </c>
      <c r="V323" t="s">
        <v>1243</v>
      </c>
      <c r="W323" t="s">
        <v>1245</v>
      </c>
      <c r="X323" t="s">
        <v>1211</v>
      </c>
      <c r="Y323" t="s">
        <v>1212</v>
      </c>
      <c r="Z323">
        <v>197.33</v>
      </c>
      <c r="AA323">
        <v>951.56999999999994</v>
      </c>
      <c r="AB323">
        <v>95.156999999999996</v>
      </c>
      <c r="AC323">
        <v>856.4129999999999</v>
      </c>
      <c r="AD323">
        <v>591.99</v>
      </c>
      <c r="AE323">
        <v>264.42299999999989</v>
      </c>
      <c r="AF323">
        <v>0.30875640607977684</v>
      </c>
      <c r="AG323">
        <v>2025</v>
      </c>
      <c r="AH323">
        <v>2</v>
      </c>
      <c r="AI323" t="s">
        <v>1430</v>
      </c>
      <c r="AJ323" t="s">
        <v>1424</v>
      </c>
      <c r="AK323" t="s">
        <v>1244</v>
      </c>
      <c r="AL323">
        <v>0</v>
      </c>
    </row>
    <row r="324" spans="1:38">
      <c r="A324" t="s">
        <v>499</v>
      </c>
      <c r="B324" s="13">
        <v>45998</v>
      </c>
      <c r="C324" t="s">
        <v>500</v>
      </c>
      <c r="D324" t="s">
        <v>125</v>
      </c>
      <c r="E324" t="s">
        <v>501</v>
      </c>
      <c r="F324" t="s">
        <v>111</v>
      </c>
      <c r="G324" t="s">
        <v>171</v>
      </c>
      <c r="H324" t="s">
        <v>89</v>
      </c>
      <c r="I324">
        <v>1</v>
      </c>
      <c r="J324">
        <v>55.34</v>
      </c>
      <c r="K324">
        <v>0.25</v>
      </c>
      <c r="L324" t="s">
        <v>106</v>
      </c>
      <c r="M324">
        <v>5</v>
      </c>
      <c r="N324" t="s">
        <v>91</v>
      </c>
      <c r="O324" t="s">
        <v>89</v>
      </c>
      <c r="P324" t="s">
        <v>125</v>
      </c>
      <c r="Q324" t="s">
        <v>500</v>
      </c>
      <c r="R324" t="s">
        <v>111</v>
      </c>
      <c r="S324" t="s">
        <v>106</v>
      </c>
      <c r="T324">
        <v>1</v>
      </c>
      <c r="U324" t="s">
        <v>1298</v>
      </c>
      <c r="V324" t="s">
        <v>1297</v>
      </c>
      <c r="W324" t="s">
        <v>1245</v>
      </c>
      <c r="X324" t="s">
        <v>1214</v>
      </c>
      <c r="Y324" t="s">
        <v>1212</v>
      </c>
      <c r="Z324">
        <v>25.97</v>
      </c>
      <c r="AA324">
        <v>55.34</v>
      </c>
      <c r="AB324">
        <v>13.835000000000001</v>
      </c>
      <c r="AC324">
        <v>41.505000000000003</v>
      </c>
      <c r="AD324">
        <v>25.97</v>
      </c>
      <c r="AE324">
        <v>15.535000000000004</v>
      </c>
      <c r="AF324">
        <v>0.37429225394530785</v>
      </c>
      <c r="AG324">
        <v>2025</v>
      </c>
      <c r="AH324">
        <v>12</v>
      </c>
      <c r="AI324" t="s">
        <v>1428</v>
      </c>
      <c r="AJ324" t="s">
        <v>1427</v>
      </c>
      <c r="AK324" t="s">
        <v>1258</v>
      </c>
      <c r="AL324">
        <v>0</v>
      </c>
    </row>
    <row r="325" spans="1:38">
      <c r="A325" t="s">
        <v>515</v>
      </c>
      <c r="B325" s="13">
        <v>45786</v>
      </c>
      <c r="C325" t="s">
        <v>516</v>
      </c>
      <c r="D325" t="s">
        <v>125</v>
      </c>
      <c r="E325" t="s">
        <v>517</v>
      </c>
      <c r="F325" t="s">
        <v>145</v>
      </c>
      <c r="G325" t="s">
        <v>117</v>
      </c>
      <c r="H325" t="s">
        <v>89</v>
      </c>
      <c r="I325">
        <v>2</v>
      </c>
      <c r="J325">
        <v>58.17</v>
      </c>
      <c r="K325">
        <v>0</v>
      </c>
      <c r="L325" t="s">
        <v>106</v>
      </c>
      <c r="M325">
        <v>9</v>
      </c>
      <c r="N325" t="s">
        <v>91</v>
      </c>
      <c r="O325" t="s">
        <v>89</v>
      </c>
      <c r="P325" t="s">
        <v>125</v>
      </c>
      <c r="Q325" t="s">
        <v>516</v>
      </c>
      <c r="R325" t="s">
        <v>145</v>
      </c>
      <c r="S325" t="s">
        <v>106</v>
      </c>
      <c r="T325">
        <v>1</v>
      </c>
      <c r="U325" t="s">
        <v>1359</v>
      </c>
      <c r="V325" t="s">
        <v>1255</v>
      </c>
      <c r="W325" t="s">
        <v>1241</v>
      </c>
      <c r="X325" t="s">
        <v>1214</v>
      </c>
      <c r="Y325" t="s">
        <v>1212</v>
      </c>
      <c r="Z325">
        <v>25.97</v>
      </c>
      <c r="AA325">
        <v>116.34</v>
      </c>
      <c r="AB325">
        <v>0</v>
      </c>
      <c r="AC325">
        <v>116.34</v>
      </c>
      <c r="AD325">
        <v>51.94</v>
      </c>
      <c r="AE325">
        <v>64.400000000000006</v>
      </c>
      <c r="AF325">
        <v>0.55354993983152834</v>
      </c>
      <c r="AG325">
        <v>2025</v>
      </c>
      <c r="AH325">
        <v>5</v>
      </c>
      <c r="AI325" t="s">
        <v>1419</v>
      </c>
      <c r="AJ325" t="s">
        <v>1420</v>
      </c>
      <c r="AK325" t="s">
        <v>1244</v>
      </c>
      <c r="AL325">
        <v>0</v>
      </c>
    </row>
    <row r="326" spans="1:38">
      <c r="A326" t="s">
        <v>518</v>
      </c>
      <c r="B326" s="13">
        <v>45756</v>
      </c>
      <c r="C326" t="s">
        <v>138</v>
      </c>
      <c r="D326" t="s">
        <v>346</v>
      </c>
      <c r="E326" t="s">
        <v>140</v>
      </c>
      <c r="F326" t="s">
        <v>87</v>
      </c>
      <c r="G326" t="s">
        <v>183</v>
      </c>
      <c r="H326" t="s">
        <v>97</v>
      </c>
      <c r="I326">
        <v>2</v>
      </c>
      <c r="J326">
        <v>247.12</v>
      </c>
      <c r="K326">
        <v>0.05</v>
      </c>
      <c r="L326" t="s">
        <v>106</v>
      </c>
      <c r="M326">
        <v>4</v>
      </c>
      <c r="N326" t="s">
        <v>91</v>
      </c>
      <c r="O326" t="s">
        <v>97</v>
      </c>
      <c r="P326" t="s">
        <v>346</v>
      </c>
      <c r="Q326" t="s">
        <v>138</v>
      </c>
      <c r="R326" t="s">
        <v>87</v>
      </c>
      <c r="S326" t="s">
        <v>106</v>
      </c>
      <c r="T326">
        <v>1</v>
      </c>
      <c r="U326" t="s">
        <v>1348</v>
      </c>
      <c r="V326" t="s">
        <v>1243</v>
      </c>
      <c r="W326" t="s">
        <v>1241</v>
      </c>
      <c r="X326" t="s">
        <v>1217</v>
      </c>
      <c r="Y326" t="s">
        <v>1212</v>
      </c>
      <c r="Z326">
        <v>125.4</v>
      </c>
      <c r="AA326">
        <v>494.24</v>
      </c>
      <c r="AB326">
        <v>24.712000000000003</v>
      </c>
      <c r="AC326">
        <v>469.52800000000002</v>
      </c>
      <c r="AD326">
        <v>250.8</v>
      </c>
      <c r="AE326">
        <v>218.72800000000001</v>
      </c>
      <c r="AF326">
        <v>0.46584655228229199</v>
      </c>
      <c r="AG326">
        <v>2025</v>
      </c>
      <c r="AH326">
        <v>4</v>
      </c>
      <c r="AI326" t="s">
        <v>1421</v>
      </c>
      <c r="AJ326" t="s">
        <v>1420</v>
      </c>
      <c r="AK326" t="s">
        <v>1244</v>
      </c>
      <c r="AL326">
        <v>0</v>
      </c>
    </row>
    <row r="327" spans="1:38">
      <c r="A327" t="s">
        <v>522</v>
      </c>
      <c r="B327" s="13">
        <v>45931</v>
      </c>
      <c r="C327" t="s">
        <v>523</v>
      </c>
      <c r="D327" t="s">
        <v>85</v>
      </c>
      <c r="E327" t="s">
        <v>524</v>
      </c>
      <c r="F327" t="s">
        <v>103</v>
      </c>
      <c r="G327" t="s">
        <v>183</v>
      </c>
      <c r="H327" t="s">
        <v>89</v>
      </c>
      <c r="I327">
        <v>2</v>
      </c>
      <c r="J327">
        <v>310.64</v>
      </c>
      <c r="K327">
        <v>0.05</v>
      </c>
      <c r="L327" t="s">
        <v>90</v>
      </c>
      <c r="M327">
        <v>4</v>
      </c>
      <c r="N327" t="s">
        <v>91</v>
      </c>
      <c r="O327" t="s">
        <v>89</v>
      </c>
      <c r="P327" t="s">
        <v>85</v>
      </c>
      <c r="Q327" t="s">
        <v>523</v>
      </c>
      <c r="R327" t="s">
        <v>103</v>
      </c>
      <c r="S327" t="s">
        <v>369</v>
      </c>
      <c r="T327">
        <v>1</v>
      </c>
      <c r="U327" t="s">
        <v>1355</v>
      </c>
      <c r="V327" t="s">
        <v>1249</v>
      </c>
      <c r="W327" t="s">
        <v>1237</v>
      </c>
      <c r="X327" t="s">
        <v>1211</v>
      </c>
      <c r="Y327" t="s">
        <v>1212</v>
      </c>
      <c r="Z327">
        <v>197.33</v>
      </c>
      <c r="AA327">
        <v>621.28</v>
      </c>
      <c r="AB327">
        <v>31.064</v>
      </c>
      <c r="AC327">
        <v>590.21600000000001</v>
      </c>
      <c r="AD327">
        <v>394.66</v>
      </c>
      <c r="AE327">
        <v>195.55599999999998</v>
      </c>
      <c r="AF327">
        <v>0.33132954714884039</v>
      </c>
      <c r="AG327">
        <v>2025</v>
      </c>
      <c r="AH327">
        <v>10</v>
      </c>
      <c r="AI327" t="s">
        <v>1431</v>
      </c>
      <c r="AJ327" t="s">
        <v>1427</v>
      </c>
      <c r="AK327" t="s">
        <v>1250</v>
      </c>
      <c r="AL327">
        <v>0</v>
      </c>
    </row>
    <row r="328" spans="1:38">
      <c r="A328" t="s">
        <v>530</v>
      </c>
      <c r="B328" s="13">
        <v>45972</v>
      </c>
      <c r="C328" t="s">
        <v>531</v>
      </c>
      <c r="D328" t="s">
        <v>109</v>
      </c>
      <c r="E328" t="s">
        <v>532</v>
      </c>
      <c r="F328" t="s">
        <v>223</v>
      </c>
      <c r="G328" t="s">
        <v>104</v>
      </c>
      <c r="H328" t="s">
        <v>89</v>
      </c>
      <c r="I328">
        <v>1</v>
      </c>
      <c r="J328">
        <v>210.97</v>
      </c>
      <c r="K328">
        <v>0.1</v>
      </c>
      <c r="L328" t="s">
        <v>154</v>
      </c>
      <c r="M328">
        <v>9</v>
      </c>
      <c r="N328" t="s">
        <v>91</v>
      </c>
      <c r="O328" t="s">
        <v>89</v>
      </c>
      <c r="P328" t="s">
        <v>109</v>
      </c>
      <c r="Q328" t="s">
        <v>531</v>
      </c>
      <c r="R328" t="s">
        <v>111</v>
      </c>
      <c r="S328" t="s">
        <v>154</v>
      </c>
      <c r="T328">
        <v>1</v>
      </c>
      <c r="U328" t="s">
        <v>1294</v>
      </c>
      <c r="V328" t="s">
        <v>1260</v>
      </c>
      <c r="W328" t="s">
        <v>1237</v>
      </c>
      <c r="X328" t="s">
        <v>1219</v>
      </c>
      <c r="Y328" t="s">
        <v>1212</v>
      </c>
      <c r="Z328">
        <v>132.72</v>
      </c>
      <c r="AA328">
        <v>210.97</v>
      </c>
      <c r="AB328">
        <v>21.097000000000001</v>
      </c>
      <c r="AC328">
        <v>189.87299999999999</v>
      </c>
      <c r="AD328">
        <v>132.72</v>
      </c>
      <c r="AE328">
        <v>57.152999999999992</v>
      </c>
      <c r="AF328">
        <v>0.30100646221421684</v>
      </c>
      <c r="AG328">
        <v>2025</v>
      </c>
      <c r="AH328">
        <v>11</v>
      </c>
      <c r="AI328" t="s">
        <v>1426</v>
      </c>
      <c r="AJ328" t="s">
        <v>1427</v>
      </c>
      <c r="AK328" t="s">
        <v>1240</v>
      </c>
      <c r="AL328">
        <v>0</v>
      </c>
    </row>
    <row r="329" spans="1:38">
      <c r="A329" t="s">
        <v>545</v>
      </c>
      <c r="B329" s="13">
        <v>45981</v>
      </c>
      <c r="C329" t="s">
        <v>430</v>
      </c>
      <c r="D329" t="s">
        <v>85</v>
      </c>
      <c r="E329" t="s">
        <v>431</v>
      </c>
      <c r="F329" t="s">
        <v>103</v>
      </c>
      <c r="G329" t="s">
        <v>171</v>
      </c>
      <c r="H329" t="s">
        <v>105</v>
      </c>
      <c r="I329">
        <v>3</v>
      </c>
      <c r="J329">
        <v>306.68</v>
      </c>
      <c r="K329">
        <v>0.1</v>
      </c>
      <c r="L329" t="s">
        <v>90</v>
      </c>
      <c r="M329">
        <v>8</v>
      </c>
      <c r="N329" t="s">
        <v>91</v>
      </c>
      <c r="O329" t="s">
        <v>105</v>
      </c>
      <c r="P329" t="s">
        <v>85</v>
      </c>
      <c r="Q329" t="s">
        <v>430</v>
      </c>
      <c r="R329" t="s">
        <v>103</v>
      </c>
      <c r="S329" t="s">
        <v>369</v>
      </c>
      <c r="T329">
        <v>1</v>
      </c>
      <c r="U329" t="s">
        <v>1289</v>
      </c>
      <c r="V329" t="s">
        <v>1235</v>
      </c>
      <c r="W329" t="s">
        <v>1237</v>
      </c>
      <c r="X329" t="s">
        <v>1211</v>
      </c>
      <c r="Y329" t="s">
        <v>1212</v>
      </c>
      <c r="Z329">
        <v>197.33</v>
      </c>
      <c r="AA329">
        <v>920.04</v>
      </c>
      <c r="AB329">
        <v>92.004000000000005</v>
      </c>
      <c r="AC329">
        <v>828.03599999999994</v>
      </c>
      <c r="AD329">
        <v>591.99</v>
      </c>
      <c r="AE329">
        <v>236.04599999999994</v>
      </c>
      <c r="AF329">
        <v>0.2850673159138008</v>
      </c>
      <c r="AG329">
        <v>2025</v>
      </c>
      <c r="AH329">
        <v>11</v>
      </c>
      <c r="AI329" t="s">
        <v>1426</v>
      </c>
      <c r="AJ329" t="s">
        <v>1427</v>
      </c>
      <c r="AK329" t="s">
        <v>1236</v>
      </c>
      <c r="AL329">
        <v>0</v>
      </c>
    </row>
    <row r="330" spans="1:38">
      <c r="A330" t="s">
        <v>547</v>
      </c>
      <c r="B330" s="13">
        <v>45948</v>
      </c>
      <c r="C330" t="s">
        <v>548</v>
      </c>
      <c r="D330" t="s">
        <v>125</v>
      </c>
      <c r="E330" t="s">
        <v>549</v>
      </c>
      <c r="F330" t="s">
        <v>87</v>
      </c>
      <c r="G330" t="s">
        <v>88</v>
      </c>
      <c r="H330" t="s">
        <v>97</v>
      </c>
      <c r="I330">
        <v>5</v>
      </c>
      <c r="J330">
        <v>54.02</v>
      </c>
      <c r="K330">
        <v>0.2</v>
      </c>
      <c r="L330" t="s">
        <v>253</v>
      </c>
      <c r="M330">
        <v>3</v>
      </c>
      <c r="N330" t="s">
        <v>147</v>
      </c>
      <c r="O330" t="s">
        <v>97</v>
      </c>
      <c r="P330" t="s">
        <v>125</v>
      </c>
      <c r="Q330" t="s">
        <v>548</v>
      </c>
      <c r="R330" t="s">
        <v>87</v>
      </c>
      <c r="S330" t="s">
        <v>106</v>
      </c>
      <c r="T330">
        <v>1</v>
      </c>
      <c r="U330" t="s">
        <v>1342</v>
      </c>
      <c r="V330" t="s">
        <v>1247</v>
      </c>
      <c r="W330" t="s">
        <v>1241</v>
      </c>
      <c r="X330" t="s">
        <v>1214</v>
      </c>
      <c r="Y330" t="s">
        <v>1212</v>
      </c>
      <c r="Z330">
        <v>25.97</v>
      </c>
      <c r="AA330">
        <v>270.10000000000002</v>
      </c>
      <c r="AB330">
        <v>54.02000000000001</v>
      </c>
      <c r="AC330">
        <v>216.08</v>
      </c>
      <c r="AD330">
        <v>129.85</v>
      </c>
      <c r="AE330">
        <v>86.230000000000018</v>
      </c>
      <c r="AF330">
        <v>0.3990651610514625</v>
      </c>
      <c r="AG330">
        <v>2025</v>
      </c>
      <c r="AH330">
        <v>10</v>
      </c>
      <c r="AI330" t="s">
        <v>1431</v>
      </c>
      <c r="AJ330" t="s">
        <v>1427</v>
      </c>
      <c r="AK330" t="s">
        <v>1240</v>
      </c>
      <c r="AL330">
        <v>1</v>
      </c>
    </row>
    <row r="331" spans="1:38">
      <c r="A331" t="s">
        <v>577</v>
      </c>
      <c r="B331" s="13">
        <v>45844</v>
      </c>
      <c r="C331" t="s">
        <v>265</v>
      </c>
      <c r="D331" t="s">
        <v>109</v>
      </c>
      <c r="E331" t="s">
        <v>266</v>
      </c>
      <c r="F331" t="s">
        <v>111</v>
      </c>
      <c r="G331" t="s">
        <v>122</v>
      </c>
      <c r="H331" t="s">
        <v>89</v>
      </c>
      <c r="I331">
        <v>1</v>
      </c>
      <c r="J331">
        <v>206.56</v>
      </c>
      <c r="K331">
        <v>0.2</v>
      </c>
      <c r="L331" t="s">
        <v>106</v>
      </c>
      <c r="M331">
        <v>7</v>
      </c>
      <c r="N331" t="s">
        <v>91</v>
      </c>
      <c r="O331" t="s">
        <v>89</v>
      </c>
      <c r="P331" t="s">
        <v>109</v>
      </c>
      <c r="Q331" t="s">
        <v>265</v>
      </c>
      <c r="R331" t="s">
        <v>111</v>
      </c>
      <c r="S331" t="s">
        <v>106</v>
      </c>
      <c r="T331">
        <v>1</v>
      </c>
      <c r="U331" t="s">
        <v>1269</v>
      </c>
      <c r="V331" t="s">
        <v>1255</v>
      </c>
      <c r="W331" t="s">
        <v>1237</v>
      </c>
      <c r="X331" t="s">
        <v>1219</v>
      </c>
      <c r="Y331" t="s">
        <v>1212</v>
      </c>
      <c r="Z331">
        <v>132.72</v>
      </c>
      <c r="AA331">
        <v>206.56</v>
      </c>
      <c r="AB331">
        <v>41.312000000000005</v>
      </c>
      <c r="AC331">
        <v>165.24799999999999</v>
      </c>
      <c r="AD331">
        <v>132.72</v>
      </c>
      <c r="AE331">
        <v>32.527999999999992</v>
      </c>
      <c r="AF331">
        <v>0.1968435321456235</v>
      </c>
      <c r="AG331">
        <v>2025</v>
      </c>
      <c r="AH331">
        <v>7</v>
      </c>
      <c r="AI331" t="s">
        <v>1422</v>
      </c>
      <c r="AJ331" t="s">
        <v>1418</v>
      </c>
      <c r="AK331" t="s">
        <v>1244</v>
      </c>
      <c r="AL331">
        <v>0</v>
      </c>
    </row>
    <row r="332" spans="1:38">
      <c r="A332" t="s">
        <v>582</v>
      </c>
      <c r="B332" s="13">
        <v>45718</v>
      </c>
      <c r="C332" t="s">
        <v>243</v>
      </c>
      <c r="D332" t="s">
        <v>418</v>
      </c>
      <c r="E332" t="s">
        <v>245</v>
      </c>
      <c r="F332" t="s">
        <v>116</v>
      </c>
      <c r="G332" t="s">
        <v>171</v>
      </c>
      <c r="H332" t="s">
        <v>97</v>
      </c>
      <c r="I332">
        <v>3</v>
      </c>
      <c r="J332">
        <v>377.43</v>
      </c>
      <c r="K332">
        <v>0.1</v>
      </c>
      <c r="L332" t="s">
        <v>106</v>
      </c>
      <c r="M332">
        <v>2</v>
      </c>
      <c r="N332" t="s">
        <v>91</v>
      </c>
      <c r="O332" t="s">
        <v>97</v>
      </c>
      <c r="P332" t="s">
        <v>418</v>
      </c>
      <c r="Q332" t="s">
        <v>243</v>
      </c>
      <c r="R332" t="s">
        <v>116</v>
      </c>
      <c r="S332" t="s">
        <v>106</v>
      </c>
      <c r="T332">
        <v>1</v>
      </c>
      <c r="U332" t="s">
        <v>1301</v>
      </c>
      <c r="V332" t="s">
        <v>1260</v>
      </c>
      <c r="W332" t="s">
        <v>1245</v>
      </c>
      <c r="X332" t="s">
        <v>1215</v>
      </c>
      <c r="Y332" t="s">
        <v>1212</v>
      </c>
      <c r="Z332">
        <v>212.02</v>
      </c>
      <c r="AA332">
        <v>1132.29</v>
      </c>
      <c r="AB332">
        <v>113.229</v>
      </c>
      <c r="AC332">
        <v>1019.0609999999999</v>
      </c>
      <c r="AD332">
        <v>636.06000000000006</v>
      </c>
      <c r="AE332">
        <v>383.00099999999986</v>
      </c>
      <c r="AF332">
        <v>0.375837167745601</v>
      </c>
      <c r="AG332">
        <v>2025</v>
      </c>
      <c r="AH332">
        <v>3</v>
      </c>
      <c r="AI332" t="s">
        <v>1423</v>
      </c>
      <c r="AJ332" t="s">
        <v>1424</v>
      </c>
      <c r="AK332" t="s">
        <v>1240</v>
      </c>
      <c r="AL332">
        <v>0</v>
      </c>
    </row>
    <row r="333" spans="1:38">
      <c r="A333" t="s">
        <v>584</v>
      </c>
      <c r="B333" s="13">
        <v>45990</v>
      </c>
      <c r="C333" t="s">
        <v>548</v>
      </c>
      <c r="D333" t="s">
        <v>418</v>
      </c>
      <c r="E333" t="s">
        <v>585</v>
      </c>
      <c r="F333" t="s">
        <v>87</v>
      </c>
      <c r="G333" t="s">
        <v>104</v>
      </c>
      <c r="H333" t="s">
        <v>89</v>
      </c>
      <c r="I333">
        <v>1</v>
      </c>
      <c r="J333">
        <v>371.09</v>
      </c>
      <c r="K333">
        <v>0</v>
      </c>
      <c r="L333" t="s">
        <v>98</v>
      </c>
      <c r="M333">
        <v>9</v>
      </c>
      <c r="N333" t="s">
        <v>91</v>
      </c>
      <c r="O333" t="s">
        <v>89</v>
      </c>
      <c r="P333" t="s">
        <v>418</v>
      </c>
      <c r="Q333" t="s">
        <v>548</v>
      </c>
      <c r="R333" t="s">
        <v>87</v>
      </c>
      <c r="S333" t="s">
        <v>98</v>
      </c>
      <c r="T333">
        <v>1</v>
      </c>
      <c r="U333" t="s">
        <v>1342</v>
      </c>
      <c r="V333" t="s">
        <v>1247</v>
      </c>
      <c r="W333" t="s">
        <v>1241</v>
      </c>
      <c r="X333" t="s">
        <v>1215</v>
      </c>
      <c r="Y333" t="s">
        <v>1212</v>
      </c>
      <c r="Z333">
        <v>212.02</v>
      </c>
      <c r="AA333">
        <v>371.09</v>
      </c>
      <c r="AB333">
        <v>0</v>
      </c>
      <c r="AC333">
        <v>371.09</v>
      </c>
      <c r="AD333">
        <v>212.02</v>
      </c>
      <c r="AE333">
        <v>159.06999999999996</v>
      </c>
      <c r="AF333">
        <v>0.42865612115659268</v>
      </c>
      <c r="AG333">
        <v>2025</v>
      </c>
      <c r="AH333">
        <v>11</v>
      </c>
      <c r="AI333" t="s">
        <v>1426</v>
      </c>
      <c r="AJ333" t="s">
        <v>1427</v>
      </c>
      <c r="AK333" t="s">
        <v>1240</v>
      </c>
      <c r="AL333">
        <v>0</v>
      </c>
    </row>
    <row r="334" spans="1:38">
      <c r="A334" t="s">
        <v>603</v>
      </c>
      <c r="B334" s="13">
        <v>45676</v>
      </c>
      <c r="C334" t="s">
        <v>220</v>
      </c>
      <c r="D334" t="s">
        <v>418</v>
      </c>
      <c r="E334" t="s">
        <v>222</v>
      </c>
      <c r="F334" t="s">
        <v>103</v>
      </c>
      <c r="G334" t="s">
        <v>130</v>
      </c>
      <c r="H334" t="s">
        <v>89</v>
      </c>
      <c r="I334">
        <v>1</v>
      </c>
      <c r="J334">
        <v>360.28</v>
      </c>
      <c r="K334">
        <v>0.2</v>
      </c>
      <c r="L334" t="s">
        <v>106</v>
      </c>
      <c r="M334">
        <v>3</v>
      </c>
      <c r="N334" t="s">
        <v>91</v>
      </c>
      <c r="O334" t="s">
        <v>89</v>
      </c>
      <c r="P334" t="s">
        <v>418</v>
      </c>
      <c r="Q334" t="s">
        <v>220</v>
      </c>
      <c r="R334" t="s">
        <v>103</v>
      </c>
      <c r="S334" t="s">
        <v>106</v>
      </c>
      <c r="T334">
        <v>1</v>
      </c>
      <c r="U334" t="s">
        <v>1315</v>
      </c>
      <c r="V334" t="s">
        <v>1255</v>
      </c>
      <c r="W334" t="s">
        <v>1237</v>
      </c>
      <c r="X334" t="s">
        <v>1215</v>
      </c>
      <c r="Y334" t="s">
        <v>1212</v>
      </c>
      <c r="Z334">
        <v>212.02</v>
      </c>
      <c r="AA334">
        <v>360.28</v>
      </c>
      <c r="AB334">
        <v>72.055999999999997</v>
      </c>
      <c r="AC334">
        <v>288.22399999999999</v>
      </c>
      <c r="AD334">
        <v>212.02</v>
      </c>
      <c r="AE334">
        <v>76.203999999999979</v>
      </c>
      <c r="AF334">
        <v>0.26439158432330401</v>
      </c>
      <c r="AG334">
        <v>2025</v>
      </c>
      <c r="AH334">
        <v>1</v>
      </c>
      <c r="AI334" t="s">
        <v>1425</v>
      </c>
      <c r="AJ334" t="s">
        <v>1424</v>
      </c>
      <c r="AK334" t="s">
        <v>1244</v>
      </c>
      <c r="AL334">
        <v>0</v>
      </c>
    </row>
    <row r="335" spans="1:38">
      <c r="A335" t="s">
        <v>604</v>
      </c>
      <c r="B335" s="13">
        <v>45691</v>
      </c>
      <c r="C335" t="s">
        <v>316</v>
      </c>
      <c r="D335" t="s">
        <v>109</v>
      </c>
      <c r="E335" t="s">
        <v>317</v>
      </c>
      <c r="F335" t="s">
        <v>111</v>
      </c>
      <c r="G335" t="s">
        <v>183</v>
      </c>
      <c r="H335" t="s">
        <v>89</v>
      </c>
      <c r="I335">
        <v>3</v>
      </c>
      <c r="J335">
        <v>210.42</v>
      </c>
      <c r="K335">
        <v>0.2</v>
      </c>
      <c r="L335" t="s">
        <v>106</v>
      </c>
      <c r="M335">
        <v>5</v>
      </c>
      <c r="N335" t="s">
        <v>91</v>
      </c>
      <c r="O335" t="s">
        <v>89</v>
      </c>
      <c r="P335" t="s">
        <v>109</v>
      </c>
      <c r="Q335" t="s">
        <v>316</v>
      </c>
      <c r="R335" t="s">
        <v>111</v>
      </c>
      <c r="S335" t="s">
        <v>106</v>
      </c>
      <c r="T335">
        <v>1</v>
      </c>
      <c r="U335" t="s">
        <v>1323</v>
      </c>
      <c r="V335" t="s">
        <v>1297</v>
      </c>
      <c r="W335" t="s">
        <v>1237</v>
      </c>
      <c r="X335" t="s">
        <v>1219</v>
      </c>
      <c r="Y335" t="s">
        <v>1212</v>
      </c>
      <c r="Z335">
        <v>132.72</v>
      </c>
      <c r="AA335">
        <v>631.26</v>
      </c>
      <c r="AB335">
        <v>126.25200000000001</v>
      </c>
      <c r="AC335">
        <v>505.00799999999998</v>
      </c>
      <c r="AD335">
        <v>398.15999999999997</v>
      </c>
      <c r="AE335">
        <v>106.84800000000001</v>
      </c>
      <c r="AF335">
        <v>0.21157684630738527</v>
      </c>
      <c r="AG335">
        <v>2025</v>
      </c>
      <c r="AH335">
        <v>2</v>
      </c>
      <c r="AI335" t="s">
        <v>1430</v>
      </c>
      <c r="AJ335" t="s">
        <v>1424</v>
      </c>
      <c r="AK335" t="s">
        <v>1258</v>
      </c>
      <c r="AL335">
        <v>0</v>
      </c>
    </row>
    <row r="336" spans="1:38">
      <c r="A336" t="s">
        <v>605</v>
      </c>
      <c r="B336" s="13">
        <v>45820</v>
      </c>
      <c r="C336" t="s">
        <v>300</v>
      </c>
      <c r="D336" t="s">
        <v>346</v>
      </c>
      <c r="E336" t="s">
        <v>301</v>
      </c>
      <c r="F336" t="s">
        <v>111</v>
      </c>
      <c r="G336" t="s">
        <v>122</v>
      </c>
      <c r="H336" t="s">
        <v>89</v>
      </c>
      <c r="I336">
        <v>3</v>
      </c>
      <c r="J336">
        <v>231.45</v>
      </c>
      <c r="K336">
        <v>0</v>
      </c>
      <c r="L336" t="s">
        <v>106</v>
      </c>
      <c r="M336">
        <v>5</v>
      </c>
      <c r="N336" t="s">
        <v>91</v>
      </c>
      <c r="O336" t="s">
        <v>89</v>
      </c>
      <c r="P336" t="s">
        <v>346</v>
      </c>
      <c r="Q336" t="s">
        <v>300</v>
      </c>
      <c r="R336" t="s">
        <v>111</v>
      </c>
      <c r="S336" t="s">
        <v>106</v>
      </c>
      <c r="T336">
        <v>1</v>
      </c>
      <c r="U336" t="s">
        <v>1265</v>
      </c>
      <c r="V336" t="s">
        <v>1249</v>
      </c>
      <c r="W336" t="s">
        <v>1237</v>
      </c>
      <c r="X336" t="s">
        <v>1217</v>
      </c>
      <c r="Y336" t="s">
        <v>1212</v>
      </c>
      <c r="Z336">
        <v>125.4</v>
      </c>
      <c r="AA336">
        <v>694.34999999999991</v>
      </c>
      <c r="AB336">
        <v>0</v>
      </c>
      <c r="AC336">
        <v>694.34999999999991</v>
      </c>
      <c r="AD336">
        <v>376.20000000000005</v>
      </c>
      <c r="AE336">
        <v>318.14999999999986</v>
      </c>
      <c r="AF336">
        <v>0.45819831497083591</v>
      </c>
      <c r="AG336">
        <v>2025</v>
      </c>
      <c r="AH336">
        <v>6</v>
      </c>
      <c r="AI336" t="s">
        <v>1429</v>
      </c>
      <c r="AJ336" t="s">
        <v>1420</v>
      </c>
      <c r="AK336" t="s">
        <v>1250</v>
      </c>
      <c r="AL336">
        <v>0</v>
      </c>
    </row>
    <row r="337" spans="1:38">
      <c r="A337" t="s">
        <v>606</v>
      </c>
      <c r="B337" s="13">
        <v>45807</v>
      </c>
      <c r="C337" t="s">
        <v>600</v>
      </c>
      <c r="D337" t="s">
        <v>125</v>
      </c>
      <c r="E337" t="s">
        <v>601</v>
      </c>
      <c r="F337" t="s">
        <v>103</v>
      </c>
      <c r="G337" t="s">
        <v>104</v>
      </c>
      <c r="H337" t="s">
        <v>89</v>
      </c>
      <c r="I337">
        <v>1</v>
      </c>
      <c r="J337">
        <v>55.31</v>
      </c>
      <c r="K337">
        <v>0</v>
      </c>
      <c r="L337" t="s">
        <v>98</v>
      </c>
      <c r="M337">
        <v>2</v>
      </c>
      <c r="N337" t="s">
        <v>91</v>
      </c>
      <c r="O337" t="s">
        <v>89</v>
      </c>
      <c r="P337" t="s">
        <v>125</v>
      </c>
      <c r="Q337" t="s">
        <v>600</v>
      </c>
      <c r="R337" t="s">
        <v>103</v>
      </c>
      <c r="S337" t="s">
        <v>98</v>
      </c>
      <c r="T337">
        <v>1</v>
      </c>
      <c r="U337" t="s">
        <v>1351</v>
      </c>
      <c r="V337" t="s">
        <v>1257</v>
      </c>
      <c r="W337" t="s">
        <v>1237</v>
      </c>
      <c r="X337" t="s">
        <v>1214</v>
      </c>
      <c r="Y337" t="s">
        <v>1212</v>
      </c>
      <c r="Z337">
        <v>25.97</v>
      </c>
      <c r="AA337">
        <v>55.31</v>
      </c>
      <c r="AB337">
        <v>0</v>
      </c>
      <c r="AC337">
        <v>55.31</v>
      </c>
      <c r="AD337">
        <v>25.97</v>
      </c>
      <c r="AE337">
        <v>29.340000000000003</v>
      </c>
      <c r="AF337">
        <v>0.5304646537696619</v>
      </c>
      <c r="AG337">
        <v>2025</v>
      </c>
      <c r="AH337">
        <v>5</v>
      </c>
      <c r="AI337" t="s">
        <v>1419</v>
      </c>
      <c r="AJ337" t="s">
        <v>1420</v>
      </c>
      <c r="AK337" t="s">
        <v>1258</v>
      </c>
      <c r="AL337">
        <v>0</v>
      </c>
    </row>
    <row r="338" spans="1:38">
      <c r="A338" t="s">
        <v>607</v>
      </c>
      <c r="B338" s="13">
        <v>45897</v>
      </c>
      <c r="C338" t="s">
        <v>113</v>
      </c>
      <c r="D338" t="s">
        <v>85</v>
      </c>
      <c r="E338" t="s">
        <v>115</v>
      </c>
      <c r="F338" t="s">
        <v>116</v>
      </c>
      <c r="G338" t="s">
        <v>130</v>
      </c>
      <c r="H338" t="s">
        <v>89</v>
      </c>
      <c r="I338">
        <v>2</v>
      </c>
      <c r="J338">
        <v>304.89</v>
      </c>
      <c r="K338">
        <v>0</v>
      </c>
      <c r="L338" t="s">
        <v>106</v>
      </c>
      <c r="M338">
        <v>5</v>
      </c>
      <c r="N338" t="s">
        <v>91</v>
      </c>
      <c r="O338" t="s">
        <v>89</v>
      </c>
      <c r="P338" t="s">
        <v>85</v>
      </c>
      <c r="Q338" t="s">
        <v>113</v>
      </c>
      <c r="R338" t="s">
        <v>116</v>
      </c>
      <c r="S338" t="s">
        <v>106</v>
      </c>
      <c r="T338">
        <v>1</v>
      </c>
      <c r="U338" t="s">
        <v>1300</v>
      </c>
      <c r="V338" t="s">
        <v>1288</v>
      </c>
      <c r="W338" t="s">
        <v>1237</v>
      </c>
      <c r="X338" t="s">
        <v>1211</v>
      </c>
      <c r="Y338" t="s">
        <v>1212</v>
      </c>
      <c r="Z338">
        <v>197.33</v>
      </c>
      <c r="AA338">
        <v>609.78</v>
      </c>
      <c r="AB338">
        <v>0</v>
      </c>
      <c r="AC338">
        <v>609.78</v>
      </c>
      <c r="AD338">
        <v>394.66</v>
      </c>
      <c r="AE338">
        <v>215.11999999999995</v>
      </c>
      <c r="AF338">
        <v>0.35278297090754035</v>
      </c>
      <c r="AG338">
        <v>2025</v>
      </c>
      <c r="AH338">
        <v>8</v>
      </c>
      <c r="AI338" t="s">
        <v>1417</v>
      </c>
      <c r="AJ338" t="s">
        <v>1418</v>
      </c>
      <c r="AK338" t="s">
        <v>1250</v>
      </c>
      <c r="AL338">
        <v>0</v>
      </c>
    </row>
    <row r="339" spans="1:38">
      <c r="A339" t="s">
        <v>612</v>
      </c>
      <c r="B339" s="13">
        <v>45665</v>
      </c>
      <c r="C339" t="s">
        <v>613</v>
      </c>
      <c r="D339" t="s">
        <v>194</v>
      </c>
      <c r="E339" t="s">
        <v>614</v>
      </c>
      <c r="F339" t="s">
        <v>111</v>
      </c>
      <c r="G339" t="s">
        <v>130</v>
      </c>
      <c r="H339" t="s">
        <v>89</v>
      </c>
      <c r="I339">
        <v>1</v>
      </c>
      <c r="J339">
        <v>212.95</v>
      </c>
      <c r="K339">
        <v>0.15</v>
      </c>
      <c r="L339" t="s">
        <v>98</v>
      </c>
      <c r="M339">
        <v>7</v>
      </c>
      <c r="N339" t="s">
        <v>91</v>
      </c>
      <c r="O339" t="s">
        <v>89</v>
      </c>
      <c r="P339" t="s">
        <v>194</v>
      </c>
      <c r="Q339" t="s">
        <v>613</v>
      </c>
      <c r="R339" t="s">
        <v>111</v>
      </c>
      <c r="S339" t="s">
        <v>98</v>
      </c>
      <c r="T339">
        <v>1</v>
      </c>
      <c r="U339" t="s">
        <v>1289</v>
      </c>
      <c r="V339" t="s">
        <v>1260</v>
      </c>
      <c r="W339" t="s">
        <v>1245</v>
      </c>
      <c r="X339" t="s">
        <v>1216</v>
      </c>
      <c r="Y339" t="s">
        <v>1212</v>
      </c>
      <c r="Z339">
        <v>101</v>
      </c>
      <c r="AA339">
        <v>212.95</v>
      </c>
      <c r="AB339">
        <v>31.942499999999995</v>
      </c>
      <c r="AC339">
        <v>181.00749999999999</v>
      </c>
      <c r="AD339">
        <v>101</v>
      </c>
      <c r="AE339">
        <v>80.007499999999993</v>
      </c>
      <c r="AF339">
        <v>0.44201207132301146</v>
      </c>
      <c r="AG339">
        <v>2025</v>
      </c>
      <c r="AH339">
        <v>1</v>
      </c>
      <c r="AI339" t="s">
        <v>1425</v>
      </c>
      <c r="AJ339" t="s">
        <v>1424</v>
      </c>
      <c r="AK339" t="s">
        <v>1240</v>
      </c>
      <c r="AL339">
        <v>0</v>
      </c>
    </row>
    <row r="340" spans="1:38">
      <c r="A340" t="s">
        <v>618</v>
      </c>
      <c r="B340" s="13">
        <v>45684</v>
      </c>
      <c r="C340" t="s">
        <v>538</v>
      </c>
      <c r="D340" t="s">
        <v>125</v>
      </c>
      <c r="E340" t="s">
        <v>539</v>
      </c>
      <c r="F340" t="s">
        <v>111</v>
      </c>
      <c r="G340" t="s">
        <v>130</v>
      </c>
      <c r="H340" t="s">
        <v>89</v>
      </c>
      <c r="I340">
        <v>3</v>
      </c>
      <c r="J340">
        <v>55.19</v>
      </c>
      <c r="K340">
        <v>0.1</v>
      </c>
      <c r="L340" t="s">
        <v>106</v>
      </c>
      <c r="M340">
        <v>1</v>
      </c>
      <c r="N340" t="s">
        <v>91</v>
      </c>
      <c r="O340" t="s">
        <v>89</v>
      </c>
      <c r="P340" t="s">
        <v>125</v>
      </c>
      <c r="Q340" t="s">
        <v>538</v>
      </c>
      <c r="R340" t="s">
        <v>111</v>
      </c>
      <c r="S340" t="s">
        <v>106</v>
      </c>
      <c r="T340">
        <v>1</v>
      </c>
      <c r="U340" t="s">
        <v>1333</v>
      </c>
      <c r="V340" t="s">
        <v>1284</v>
      </c>
      <c r="W340" t="s">
        <v>1237</v>
      </c>
      <c r="X340" t="s">
        <v>1214</v>
      </c>
      <c r="Y340" t="s">
        <v>1212</v>
      </c>
      <c r="Z340">
        <v>25.97</v>
      </c>
      <c r="AA340">
        <v>165.57</v>
      </c>
      <c r="AB340">
        <v>16.556999999999999</v>
      </c>
      <c r="AC340">
        <v>149.01300000000001</v>
      </c>
      <c r="AD340">
        <v>77.91</v>
      </c>
      <c r="AE340">
        <v>71.103000000000009</v>
      </c>
      <c r="AF340">
        <v>0.47715971089770698</v>
      </c>
      <c r="AG340">
        <v>2025</v>
      </c>
      <c r="AH340">
        <v>1</v>
      </c>
      <c r="AI340" t="s">
        <v>1425</v>
      </c>
      <c r="AJ340" t="s">
        <v>1424</v>
      </c>
      <c r="AK340" t="s">
        <v>1285</v>
      </c>
      <c r="AL340">
        <v>0</v>
      </c>
    </row>
    <row r="341" spans="1:38">
      <c r="A341" t="s">
        <v>619</v>
      </c>
      <c r="B341" s="13">
        <v>45780</v>
      </c>
      <c r="C341" t="s">
        <v>200</v>
      </c>
      <c r="D341" t="s">
        <v>85</v>
      </c>
      <c r="E341" t="s">
        <v>201</v>
      </c>
      <c r="F341" t="s">
        <v>87</v>
      </c>
      <c r="G341" t="s">
        <v>104</v>
      </c>
      <c r="H341" t="s">
        <v>89</v>
      </c>
      <c r="I341">
        <v>1</v>
      </c>
      <c r="J341">
        <v>297.98</v>
      </c>
      <c r="K341">
        <v>0.1</v>
      </c>
      <c r="L341" t="s">
        <v>106</v>
      </c>
      <c r="M341">
        <v>7</v>
      </c>
      <c r="N341" t="s">
        <v>91</v>
      </c>
      <c r="O341" t="s">
        <v>89</v>
      </c>
      <c r="P341" t="s">
        <v>85</v>
      </c>
      <c r="Q341" t="s">
        <v>200</v>
      </c>
      <c r="R341" t="s">
        <v>87</v>
      </c>
      <c r="S341" t="s">
        <v>106</v>
      </c>
      <c r="T341">
        <v>1</v>
      </c>
      <c r="U341" t="s">
        <v>1357</v>
      </c>
      <c r="V341" t="s">
        <v>1257</v>
      </c>
      <c r="W341" t="s">
        <v>1241</v>
      </c>
      <c r="X341" t="s">
        <v>1211</v>
      </c>
      <c r="Y341" t="s">
        <v>1212</v>
      </c>
      <c r="Z341">
        <v>197.33</v>
      </c>
      <c r="AA341">
        <v>297.98</v>
      </c>
      <c r="AB341">
        <v>29.798000000000002</v>
      </c>
      <c r="AC341">
        <v>268.18200000000002</v>
      </c>
      <c r="AD341">
        <v>197.33</v>
      </c>
      <c r="AE341">
        <v>70.852000000000004</v>
      </c>
      <c r="AF341">
        <v>0.26419371919069884</v>
      </c>
      <c r="AG341">
        <v>2025</v>
      </c>
      <c r="AH341">
        <v>5</v>
      </c>
      <c r="AI341" t="s">
        <v>1419</v>
      </c>
      <c r="AJ341" t="s">
        <v>1420</v>
      </c>
      <c r="AK341" t="s">
        <v>1258</v>
      </c>
      <c r="AL341">
        <v>0</v>
      </c>
    </row>
    <row r="342" spans="1:38">
      <c r="A342" t="s">
        <v>625</v>
      </c>
      <c r="B342" s="13">
        <v>45808</v>
      </c>
      <c r="C342" t="s">
        <v>512</v>
      </c>
      <c r="D342" t="s">
        <v>194</v>
      </c>
      <c r="E342" t="s">
        <v>513</v>
      </c>
      <c r="F342" t="s">
        <v>111</v>
      </c>
      <c r="G342" t="s">
        <v>122</v>
      </c>
      <c r="H342" t="s">
        <v>97</v>
      </c>
      <c r="I342">
        <v>1</v>
      </c>
      <c r="J342">
        <v>213.45</v>
      </c>
      <c r="K342">
        <v>0.1</v>
      </c>
      <c r="L342" t="s">
        <v>90</v>
      </c>
      <c r="M342">
        <v>0</v>
      </c>
      <c r="N342" t="s">
        <v>91</v>
      </c>
      <c r="O342" t="s">
        <v>97</v>
      </c>
      <c r="P342" t="s">
        <v>194</v>
      </c>
      <c r="Q342" t="s">
        <v>512</v>
      </c>
      <c r="R342" t="s">
        <v>111</v>
      </c>
      <c r="S342" t="s">
        <v>369</v>
      </c>
      <c r="T342">
        <v>1</v>
      </c>
      <c r="U342" t="s">
        <v>1273</v>
      </c>
      <c r="V342" t="s">
        <v>1284</v>
      </c>
      <c r="W342" t="s">
        <v>1241</v>
      </c>
      <c r="X342" t="s">
        <v>1216</v>
      </c>
      <c r="Y342" t="s">
        <v>1212</v>
      </c>
      <c r="Z342">
        <v>101</v>
      </c>
      <c r="AA342">
        <v>213.45</v>
      </c>
      <c r="AB342">
        <v>21.344999999999999</v>
      </c>
      <c r="AC342">
        <v>192.10499999999999</v>
      </c>
      <c r="AD342">
        <v>101</v>
      </c>
      <c r="AE342">
        <v>91.10499999999999</v>
      </c>
      <c r="AF342">
        <v>0.47424585513130835</v>
      </c>
      <c r="AG342">
        <v>2025</v>
      </c>
      <c r="AH342">
        <v>5</v>
      </c>
      <c r="AI342" t="s">
        <v>1419</v>
      </c>
      <c r="AJ342" t="s">
        <v>1420</v>
      </c>
      <c r="AK342" t="s">
        <v>1285</v>
      </c>
      <c r="AL342">
        <v>0</v>
      </c>
    </row>
    <row r="343" spans="1:38">
      <c r="A343" t="s">
        <v>628</v>
      </c>
      <c r="B343" s="13">
        <v>45954</v>
      </c>
      <c r="C343" t="s">
        <v>84</v>
      </c>
      <c r="D343" t="s">
        <v>271</v>
      </c>
      <c r="E343" t="s">
        <v>629</v>
      </c>
      <c r="F343" t="s">
        <v>145</v>
      </c>
      <c r="G343" t="s">
        <v>122</v>
      </c>
      <c r="H343" t="s">
        <v>89</v>
      </c>
      <c r="I343">
        <v>2</v>
      </c>
      <c r="J343">
        <v>217.71</v>
      </c>
      <c r="K343">
        <v>0.05</v>
      </c>
      <c r="L343" t="s">
        <v>106</v>
      </c>
      <c r="M343">
        <v>4</v>
      </c>
      <c r="N343" t="s">
        <v>91</v>
      </c>
      <c r="O343" t="s">
        <v>89</v>
      </c>
      <c r="P343" t="s">
        <v>271</v>
      </c>
      <c r="Q343" t="s">
        <v>84</v>
      </c>
      <c r="R343" t="s">
        <v>145</v>
      </c>
      <c r="S343" t="s">
        <v>106</v>
      </c>
      <c r="T343">
        <v>1</v>
      </c>
      <c r="U343" t="s">
        <v>1354</v>
      </c>
      <c r="V343" t="s">
        <v>1275</v>
      </c>
      <c r="W343" t="s">
        <v>1237</v>
      </c>
      <c r="X343" t="s">
        <v>1213</v>
      </c>
      <c r="Y343" t="s">
        <v>1212</v>
      </c>
      <c r="Z343">
        <v>139.19999999999999</v>
      </c>
      <c r="AA343">
        <v>435.42</v>
      </c>
      <c r="AB343">
        <v>21.771000000000001</v>
      </c>
      <c r="AC343">
        <v>413.649</v>
      </c>
      <c r="AD343">
        <v>278.39999999999998</v>
      </c>
      <c r="AE343">
        <v>135.24900000000002</v>
      </c>
      <c r="AF343">
        <v>0.32696561577569394</v>
      </c>
      <c r="AG343">
        <v>2025</v>
      </c>
      <c r="AH343">
        <v>10</v>
      </c>
      <c r="AI343" t="s">
        <v>1431</v>
      </c>
      <c r="AJ343" t="s">
        <v>1427</v>
      </c>
      <c r="AK343" t="s">
        <v>1258</v>
      </c>
      <c r="AL343">
        <v>0</v>
      </c>
    </row>
    <row r="344" spans="1:38">
      <c r="A344" t="s">
        <v>630</v>
      </c>
      <c r="B344" s="13">
        <v>45923</v>
      </c>
      <c r="C344" t="s">
        <v>257</v>
      </c>
      <c r="D344" t="s">
        <v>261</v>
      </c>
      <c r="E344" t="s">
        <v>258</v>
      </c>
      <c r="F344" t="s">
        <v>145</v>
      </c>
      <c r="G344" t="s">
        <v>96</v>
      </c>
      <c r="H344" t="s">
        <v>105</v>
      </c>
      <c r="I344">
        <v>3</v>
      </c>
      <c r="J344">
        <v>251.49</v>
      </c>
      <c r="K344">
        <v>0.15</v>
      </c>
      <c r="L344" t="s">
        <v>98</v>
      </c>
      <c r="M344">
        <v>6</v>
      </c>
      <c r="N344" t="s">
        <v>91</v>
      </c>
      <c r="O344" t="s">
        <v>105</v>
      </c>
      <c r="P344" t="s">
        <v>261</v>
      </c>
      <c r="Q344" t="s">
        <v>257</v>
      </c>
      <c r="R344" t="s">
        <v>145</v>
      </c>
      <c r="S344" t="s">
        <v>98</v>
      </c>
      <c r="T344">
        <v>1</v>
      </c>
      <c r="U344" t="s">
        <v>1316</v>
      </c>
      <c r="V344" t="s">
        <v>1249</v>
      </c>
      <c r="W344" t="s">
        <v>1237</v>
      </c>
      <c r="X344" t="s">
        <v>1218</v>
      </c>
      <c r="Y344" t="s">
        <v>1212</v>
      </c>
      <c r="Z344">
        <v>131.72999999999999</v>
      </c>
      <c r="AA344">
        <v>754.47</v>
      </c>
      <c r="AB344">
        <v>113.1705</v>
      </c>
      <c r="AC344">
        <v>641.29950000000008</v>
      </c>
      <c r="AD344">
        <v>395.18999999999994</v>
      </c>
      <c r="AE344">
        <v>246.10950000000014</v>
      </c>
      <c r="AF344">
        <v>0.38376686711902958</v>
      </c>
      <c r="AG344">
        <v>2025</v>
      </c>
      <c r="AH344">
        <v>9</v>
      </c>
      <c r="AI344" t="s">
        <v>1432</v>
      </c>
      <c r="AJ344" t="s">
        <v>1418</v>
      </c>
      <c r="AK344" t="s">
        <v>1250</v>
      </c>
      <c r="AL344">
        <v>0</v>
      </c>
    </row>
    <row r="345" spans="1:38">
      <c r="A345" t="s">
        <v>634</v>
      </c>
      <c r="B345" s="13">
        <v>45729</v>
      </c>
      <c r="C345" t="s">
        <v>600</v>
      </c>
      <c r="D345" t="s">
        <v>125</v>
      </c>
      <c r="E345" t="s">
        <v>635</v>
      </c>
      <c r="F345" t="s">
        <v>111</v>
      </c>
      <c r="G345" t="s">
        <v>171</v>
      </c>
      <c r="H345" t="s">
        <v>97</v>
      </c>
      <c r="I345">
        <v>3</v>
      </c>
      <c r="J345">
        <v>58.01</v>
      </c>
      <c r="K345">
        <v>0</v>
      </c>
      <c r="L345" t="s">
        <v>98</v>
      </c>
      <c r="M345">
        <v>3</v>
      </c>
      <c r="N345" t="s">
        <v>91</v>
      </c>
      <c r="O345" t="s">
        <v>97</v>
      </c>
      <c r="P345" t="s">
        <v>125</v>
      </c>
      <c r="Q345" t="s">
        <v>600</v>
      </c>
      <c r="R345" t="s">
        <v>111</v>
      </c>
      <c r="S345" t="s">
        <v>98</v>
      </c>
      <c r="T345">
        <v>1</v>
      </c>
      <c r="U345" t="s">
        <v>1351</v>
      </c>
      <c r="V345" t="s">
        <v>1257</v>
      </c>
      <c r="W345" t="s">
        <v>1237</v>
      </c>
      <c r="X345" t="s">
        <v>1214</v>
      </c>
      <c r="Y345" t="s">
        <v>1212</v>
      </c>
      <c r="Z345">
        <v>25.97</v>
      </c>
      <c r="AA345">
        <v>174.03</v>
      </c>
      <c r="AB345">
        <v>0</v>
      </c>
      <c r="AC345">
        <v>174.03</v>
      </c>
      <c r="AD345">
        <v>77.91</v>
      </c>
      <c r="AE345">
        <v>96.12</v>
      </c>
      <c r="AF345">
        <v>0.55231856576452343</v>
      </c>
      <c r="AG345">
        <v>2025</v>
      </c>
      <c r="AH345">
        <v>3</v>
      </c>
      <c r="AI345" t="s">
        <v>1423</v>
      </c>
      <c r="AJ345" t="s">
        <v>1424</v>
      </c>
      <c r="AK345" t="s">
        <v>1258</v>
      </c>
      <c r="AL345">
        <v>0</v>
      </c>
    </row>
    <row r="346" spans="1:38">
      <c r="A346" t="s">
        <v>650</v>
      </c>
      <c r="B346" s="13">
        <v>45838</v>
      </c>
      <c r="C346" t="s">
        <v>326</v>
      </c>
      <c r="D346" t="s">
        <v>271</v>
      </c>
      <c r="E346" t="s">
        <v>327</v>
      </c>
      <c r="F346" t="s">
        <v>103</v>
      </c>
      <c r="G346" t="s">
        <v>183</v>
      </c>
      <c r="H346" t="s">
        <v>89</v>
      </c>
      <c r="I346">
        <v>5</v>
      </c>
      <c r="J346">
        <v>214.13</v>
      </c>
      <c r="K346">
        <v>0.15</v>
      </c>
      <c r="L346" t="s">
        <v>106</v>
      </c>
      <c r="M346">
        <v>3</v>
      </c>
      <c r="N346" t="s">
        <v>91</v>
      </c>
      <c r="O346" t="s">
        <v>89</v>
      </c>
      <c r="P346" t="s">
        <v>271</v>
      </c>
      <c r="Q346" t="s">
        <v>326</v>
      </c>
      <c r="R346" t="s">
        <v>103</v>
      </c>
      <c r="S346" t="s">
        <v>106</v>
      </c>
      <c r="T346">
        <v>1</v>
      </c>
      <c r="U346" t="s">
        <v>1338</v>
      </c>
      <c r="V346" t="s">
        <v>1325</v>
      </c>
      <c r="W346" t="s">
        <v>1237</v>
      </c>
      <c r="X346" t="s">
        <v>1213</v>
      </c>
      <c r="Y346" t="s">
        <v>1212</v>
      </c>
      <c r="Z346">
        <v>139.19999999999999</v>
      </c>
      <c r="AA346">
        <v>1070.6500000000001</v>
      </c>
      <c r="AB346">
        <v>160.5975</v>
      </c>
      <c r="AC346">
        <v>910.05250000000012</v>
      </c>
      <c r="AD346">
        <v>696</v>
      </c>
      <c r="AE346">
        <v>214.05250000000012</v>
      </c>
      <c r="AF346">
        <v>0.23520895772496653</v>
      </c>
      <c r="AG346">
        <v>2025</v>
      </c>
      <c r="AH346">
        <v>6</v>
      </c>
      <c r="AI346" t="s">
        <v>1429</v>
      </c>
      <c r="AJ346" t="s">
        <v>1420</v>
      </c>
      <c r="AK346" t="s">
        <v>1326</v>
      </c>
      <c r="AL346">
        <v>0</v>
      </c>
    </row>
    <row r="347" spans="1:38">
      <c r="A347" t="s">
        <v>656</v>
      </c>
      <c r="B347" s="13">
        <v>45980</v>
      </c>
      <c r="C347" t="s">
        <v>93</v>
      </c>
      <c r="D347" t="s">
        <v>271</v>
      </c>
      <c r="E347" t="s">
        <v>95</v>
      </c>
      <c r="F347" t="s">
        <v>116</v>
      </c>
      <c r="G347" t="s">
        <v>96</v>
      </c>
      <c r="H347" t="s">
        <v>89</v>
      </c>
      <c r="I347">
        <v>3</v>
      </c>
      <c r="J347">
        <v>223.29</v>
      </c>
      <c r="K347">
        <v>0.2</v>
      </c>
      <c r="L347" t="s">
        <v>98</v>
      </c>
      <c r="M347">
        <v>3</v>
      </c>
      <c r="N347" t="s">
        <v>91</v>
      </c>
      <c r="O347" t="s">
        <v>89</v>
      </c>
      <c r="P347" t="s">
        <v>271</v>
      </c>
      <c r="Q347" t="s">
        <v>93</v>
      </c>
      <c r="R347" t="s">
        <v>116</v>
      </c>
      <c r="S347" t="s">
        <v>98</v>
      </c>
      <c r="T347">
        <v>1</v>
      </c>
      <c r="U347" t="s">
        <v>1331</v>
      </c>
      <c r="V347" t="s">
        <v>1239</v>
      </c>
      <c r="W347" t="s">
        <v>1245</v>
      </c>
      <c r="X347" t="s">
        <v>1213</v>
      </c>
      <c r="Y347" t="s">
        <v>1212</v>
      </c>
      <c r="Z347">
        <v>139.19999999999999</v>
      </c>
      <c r="AA347">
        <v>669.87</v>
      </c>
      <c r="AB347">
        <v>133.97400000000002</v>
      </c>
      <c r="AC347">
        <v>535.89599999999996</v>
      </c>
      <c r="AD347">
        <v>417.59999999999997</v>
      </c>
      <c r="AE347">
        <v>118.29599999999999</v>
      </c>
      <c r="AF347">
        <v>0.22074432352546017</v>
      </c>
      <c r="AG347">
        <v>2025</v>
      </c>
      <c r="AH347">
        <v>11</v>
      </c>
      <c r="AI347" t="s">
        <v>1426</v>
      </c>
      <c r="AJ347" t="s">
        <v>1427</v>
      </c>
      <c r="AK347" t="s">
        <v>1240</v>
      </c>
      <c r="AL347">
        <v>0</v>
      </c>
    </row>
    <row r="348" spans="1:38">
      <c r="A348" t="s">
        <v>660</v>
      </c>
      <c r="B348" s="13">
        <v>45918</v>
      </c>
      <c r="C348" t="s">
        <v>661</v>
      </c>
      <c r="D348" t="s">
        <v>418</v>
      </c>
      <c r="E348" t="s">
        <v>662</v>
      </c>
      <c r="F348" t="s">
        <v>111</v>
      </c>
      <c r="G348" t="s">
        <v>183</v>
      </c>
      <c r="H348" t="s">
        <v>97</v>
      </c>
      <c r="I348">
        <v>1</v>
      </c>
      <c r="J348">
        <v>374.04</v>
      </c>
      <c r="K348">
        <v>0.1</v>
      </c>
      <c r="L348" t="s">
        <v>98</v>
      </c>
      <c r="M348">
        <v>3</v>
      </c>
      <c r="N348" t="s">
        <v>147</v>
      </c>
      <c r="O348" t="s">
        <v>97</v>
      </c>
      <c r="P348" t="s">
        <v>418</v>
      </c>
      <c r="Q348" t="s">
        <v>661</v>
      </c>
      <c r="R348" t="s">
        <v>111</v>
      </c>
      <c r="S348" t="s">
        <v>98</v>
      </c>
      <c r="T348">
        <v>1</v>
      </c>
      <c r="U348" t="s">
        <v>1352</v>
      </c>
      <c r="V348" t="s">
        <v>1235</v>
      </c>
      <c r="W348" t="s">
        <v>1237</v>
      </c>
      <c r="X348" t="s">
        <v>1215</v>
      </c>
      <c r="Y348" t="s">
        <v>1212</v>
      </c>
      <c r="Z348">
        <v>212.02</v>
      </c>
      <c r="AA348">
        <v>374.04</v>
      </c>
      <c r="AB348">
        <v>37.404000000000003</v>
      </c>
      <c r="AC348">
        <v>336.63600000000002</v>
      </c>
      <c r="AD348">
        <v>212.02</v>
      </c>
      <c r="AE348">
        <v>124.61600000000001</v>
      </c>
      <c r="AF348">
        <v>0.37018025404294252</v>
      </c>
      <c r="AG348">
        <v>2025</v>
      </c>
      <c r="AH348">
        <v>9</v>
      </c>
      <c r="AI348" t="s">
        <v>1432</v>
      </c>
      <c r="AJ348" t="s">
        <v>1418</v>
      </c>
      <c r="AK348" t="s">
        <v>1236</v>
      </c>
      <c r="AL348">
        <v>1</v>
      </c>
    </row>
    <row r="349" spans="1:38">
      <c r="A349" t="s">
        <v>663</v>
      </c>
      <c r="B349" s="13">
        <v>45729</v>
      </c>
      <c r="C349" t="s">
        <v>597</v>
      </c>
      <c r="D349" t="s">
        <v>85</v>
      </c>
      <c r="E349" t="s">
        <v>598</v>
      </c>
      <c r="F349" t="s">
        <v>87</v>
      </c>
      <c r="G349" t="s">
        <v>122</v>
      </c>
      <c r="H349" t="s">
        <v>89</v>
      </c>
      <c r="I349">
        <v>3</v>
      </c>
      <c r="J349">
        <v>313.31</v>
      </c>
      <c r="K349">
        <v>0.2</v>
      </c>
      <c r="L349" t="s">
        <v>106</v>
      </c>
      <c r="M349">
        <v>2</v>
      </c>
      <c r="N349" t="s">
        <v>91</v>
      </c>
      <c r="O349" t="s">
        <v>89</v>
      </c>
      <c r="P349" t="s">
        <v>85</v>
      </c>
      <c r="Q349" t="s">
        <v>597</v>
      </c>
      <c r="R349" t="s">
        <v>87</v>
      </c>
      <c r="S349" t="s">
        <v>106</v>
      </c>
      <c r="T349">
        <v>1</v>
      </c>
      <c r="U349" t="s">
        <v>1246</v>
      </c>
      <c r="V349" t="s">
        <v>1247</v>
      </c>
      <c r="W349" t="s">
        <v>1237</v>
      </c>
      <c r="X349" t="s">
        <v>1211</v>
      </c>
      <c r="Y349" t="s">
        <v>1212</v>
      </c>
      <c r="Z349">
        <v>197.33</v>
      </c>
      <c r="AA349">
        <v>939.93000000000006</v>
      </c>
      <c r="AB349">
        <v>187.98600000000002</v>
      </c>
      <c r="AC349">
        <v>751.94400000000007</v>
      </c>
      <c r="AD349">
        <v>591.99</v>
      </c>
      <c r="AE349">
        <v>159.95400000000006</v>
      </c>
      <c r="AF349">
        <v>0.21272062813188222</v>
      </c>
      <c r="AG349">
        <v>2025</v>
      </c>
      <c r="AH349">
        <v>3</v>
      </c>
      <c r="AI349" t="s">
        <v>1423</v>
      </c>
      <c r="AJ349" t="s">
        <v>1424</v>
      </c>
      <c r="AK349" t="s">
        <v>1240</v>
      </c>
      <c r="AL349">
        <v>0</v>
      </c>
    </row>
    <row r="350" spans="1:38">
      <c r="A350" t="s">
        <v>668</v>
      </c>
      <c r="B350" s="13">
        <v>45936</v>
      </c>
      <c r="C350" t="s">
        <v>203</v>
      </c>
      <c r="D350" t="s">
        <v>346</v>
      </c>
      <c r="E350" t="s">
        <v>573</v>
      </c>
      <c r="F350" t="s">
        <v>116</v>
      </c>
      <c r="G350" t="s">
        <v>104</v>
      </c>
      <c r="H350" t="s">
        <v>97</v>
      </c>
      <c r="I350">
        <v>2</v>
      </c>
      <c r="J350">
        <v>250.11</v>
      </c>
      <c r="K350">
        <v>0</v>
      </c>
      <c r="L350" t="s">
        <v>98</v>
      </c>
      <c r="M350">
        <v>2</v>
      </c>
      <c r="N350" t="s">
        <v>91</v>
      </c>
      <c r="O350" t="s">
        <v>97</v>
      </c>
      <c r="P350" t="s">
        <v>346</v>
      </c>
      <c r="Q350" t="s">
        <v>203</v>
      </c>
      <c r="R350" t="s">
        <v>116</v>
      </c>
      <c r="S350" t="s">
        <v>98</v>
      </c>
      <c r="T350">
        <v>1</v>
      </c>
      <c r="U350" t="s">
        <v>1279</v>
      </c>
      <c r="V350" t="s">
        <v>1257</v>
      </c>
      <c r="W350" t="s">
        <v>1237</v>
      </c>
      <c r="X350" t="s">
        <v>1217</v>
      </c>
      <c r="Y350" t="s">
        <v>1212</v>
      </c>
      <c r="Z350">
        <v>125.4</v>
      </c>
      <c r="AA350">
        <v>500.22</v>
      </c>
      <c r="AB350">
        <v>0</v>
      </c>
      <c r="AC350">
        <v>500.22</v>
      </c>
      <c r="AD350">
        <v>250.8</v>
      </c>
      <c r="AE350">
        <v>249.42000000000002</v>
      </c>
      <c r="AF350">
        <v>0.49862060693294952</v>
      </c>
      <c r="AG350">
        <v>2025</v>
      </c>
      <c r="AH350">
        <v>10</v>
      </c>
      <c r="AI350" t="s">
        <v>1431</v>
      </c>
      <c r="AJ350" t="s">
        <v>1427</v>
      </c>
      <c r="AK350" t="s">
        <v>1258</v>
      </c>
      <c r="AL350">
        <v>0</v>
      </c>
    </row>
    <row r="351" spans="1:38">
      <c r="A351" t="s">
        <v>672</v>
      </c>
      <c r="B351" s="13">
        <v>45861</v>
      </c>
      <c r="C351" t="s">
        <v>597</v>
      </c>
      <c r="D351" t="s">
        <v>85</v>
      </c>
      <c r="E351" t="s">
        <v>598</v>
      </c>
      <c r="F351" t="s">
        <v>87</v>
      </c>
      <c r="G351" t="s">
        <v>104</v>
      </c>
      <c r="H351" t="s">
        <v>105</v>
      </c>
      <c r="I351">
        <v>3</v>
      </c>
      <c r="J351">
        <v>297.58999999999997</v>
      </c>
      <c r="K351">
        <v>0.05</v>
      </c>
      <c r="L351" t="s">
        <v>98</v>
      </c>
      <c r="M351">
        <v>6</v>
      </c>
      <c r="N351" t="s">
        <v>91</v>
      </c>
      <c r="O351" t="s">
        <v>105</v>
      </c>
      <c r="P351" t="s">
        <v>85</v>
      </c>
      <c r="Q351" t="s">
        <v>597</v>
      </c>
      <c r="R351" t="s">
        <v>87</v>
      </c>
      <c r="S351" t="s">
        <v>98</v>
      </c>
      <c r="T351">
        <v>1</v>
      </c>
      <c r="U351" t="s">
        <v>1246</v>
      </c>
      <c r="V351" t="s">
        <v>1247</v>
      </c>
      <c r="W351" t="s">
        <v>1237</v>
      </c>
      <c r="X351" t="s">
        <v>1211</v>
      </c>
      <c r="Y351" t="s">
        <v>1212</v>
      </c>
      <c r="Z351">
        <v>197.33</v>
      </c>
      <c r="AA351">
        <v>892.77</v>
      </c>
      <c r="AB351">
        <v>44.638500000000001</v>
      </c>
      <c r="AC351">
        <v>848.13149999999996</v>
      </c>
      <c r="AD351">
        <v>591.99</v>
      </c>
      <c r="AE351">
        <v>256.14149999999995</v>
      </c>
      <c r="AF351">
        <v>0.30200682323436867</v>
      </c>
      <c r="AG351">
        <v>2025</v>
      </c>
      <c r="AH351">
        <v>7</v>
      </c>
      <c r="AI351" t="s">
        <v>1422</v>
      </c>
      <c r="AJ351" t="s">
        <v>1418</v>
      </c>
      <c r="AK351" t="s">
        <v>1240</v>
      </c>
      <c r="AL351">
        <v>0</v>
      </c>
    </row>
    <row r="352" spans="1:38">
      <c r="A352" t="s">
        <v>689</v>
      </c>
      <c r="B352" s="13">
        <v>45845</v>
      </c>
      <c r="C352" t="s">
        <v>675</v>
      </c>
      <c r="D352" t="s">
        <v>85</v>
      </c>
      <c r="E352" t="s">
        <v>676</v>
      </c>
      <c r="F352" t="s">
        <v>87</v>
      </c>
      <c r="G352" t="s">
        <v>117</v>
      </c>
      <c r="H352" t="s">
        <v>97</v>
      </c>
      <c r="I352">
        <v>1</v>
      </c>
      <c r="J352">
        <v>307.8</v>
      </c>
      <c r="K352">
        <v>0</v>
      </c>
      <c r="L352" t="s">
        <v>90</v>
      </c>
      <c r="M352">
        <v>1</v>
      </c>
      <c r="N352" t="s">
        <v>91</v>
      </c>
      <c r="O352" t="s">
        <v>97</v>
      </c>
      <c r="P352" t="s">
        <v>85</v>
      </c>
      <c r="Q352" t="s">
        <v>675</v>
      </c>
      <c r="R352" t="s">
        <v>87</v>
      </c>
      <c r="S352" t="s">
        <v>369</v>
      </c>
      <c r="T352">
        <v>1</v>
      </c>
      <c r="U352" t="s">
        <v>1344</v>
      </c>
      <c r="V352" t="s">
        <v>1325</v>
      </c>
      <c r="W352" t="s">
        <v>1241</v>
      </c>
      <c r="X352" t="s">
        <v>1211</v>
      </c>
      <c r="Y352" t="s">
        <v>1212</v>
      </c>
      <c r="Z352">
        <v>197.33</v>
      </c>
      <c r="AA352">
        <v>307.8</v>
      </c>
      <c r="AB352">
        <v>0</v>
      </c>
      <c r="AC352">
        <v>307.8</v>
      </c>
      <c r="AD352">
        <v>197.33</v>
      </c>
      <c r="AE352">
        <v>110.47</v>
      </c>
      <c r="AF352">
        <v>0.35890188434048081</v>
      </c>
      <c r="AG352">
        <v>2025</v>
      </c>
      <c r="AH352">
        <v>7</v>
      </c>
      <c r="AI352" t="s">
        <v>1422</v>
      </c>
      <c r="AJ352" t="s">
        <v>1418</v>
      </c>
      <c r="AK352" t="s">
        <v>1326</v>
      </c>
      <c r="AL352">
        <v>0</v>
      </c>
    </row>
    <row r="353" spans="1:38">
      <c r="A353" t="s">
        <v>690</v>
      </c>
      <c r="B353" s="13">
        <v>45969</v>
      </c>
      <c r="C353" t="s">
        <v>356</v>
      </c>
      <c r="D353" t="s">
        <v>194</v>
      </c>
      <c r="E353" t="s">
        <v>357</v>
      </c>
      <c r="F353" t="s">
        <v>145</v>
      </c>
      <c r="G353" t="s">
        <v>96</v>
      </c>
      <c r="H353" t="s">
        <v>89</v>
      </c>
      <c r="I353">
        <v>3</v>
      </c>
      <c r="J353">
        <v>194.83</v>
      </c>
      <c r="K353">
        <v>0</v>
      </c>
      <c r="L353" t="s">
        <v>106</v>
      </c>
      <c r="M353">
        <v>1</v>
      </c>
      <c r="N353" t="s">
        <v>91</v>
      </c>
      <c r="O353" t="s">
        <v>89</v>
      </c>
      <c r="P353" t="s">
        <v>194</v>
      </c>
      <c r="Q353" t="s">
        <v>356</v>
      </c>
      <c r="R353" t="s">
        <v>145</v>
      </c>
      <c r="S353" t="s">
        <v>106</v>
      </c>
      <c r="T353">
        <v>1</v>
      </c>
      <c r="U353" t="s">
        <v>1253</v>
      </c>
      <c r="V353" t="s">
        <v>1249</v>
      </c>
      <c r="W353" t="s">
        <v>1237</v>
      </c>
      <c r="X353" t="s">
        <v>1216</v>
      </c>
      <c r="Y353" t="s">
        <v>1212</v>
      </c>
      <c r="Z353">
        <v>101</v>
      </c>
      <c r="AA353">
        <v>584.49</v>
      </c>
      <c r="AB353">
        <v>0</v>
      </c>
      <c r="AC353">
        <v>584.49</v>
      </c>
      <c r="AD353">
        <v>303</v>
      </c>
      <c r="AE353">
        <v>281.49</v>
      </c>
      <c r="AF353">
        <v>0.4815993430169892</v>
      </c>
      <c r="AG353">
        <v>2025</v>
      </c>
      <c r="AH353">
        <v>11</v>
      </c>
      <c r="AI353" t="s">
        <v>1426</v>
      </c>
      <c r="AJ353" t="s">
        <v>1427</v>
      </c>
      <c r="AK353" t="s">
        <v>1250</v>
      </c>
      <c r="AL353">
        <v>0</v>
      </c>
    </row>
    <row r="354" spans="1:38">
      <c r="A354" t="s">
        <v>711</v>
      </c>
      <c r="B354" s="13">
        <v>45809</v>
      </c>
      <c r="C354" t="s">
        <v>438</v>
      </c>
      <c r="D354" t="s">
        <v>85</v>
      </c>
      <c r="E354" t="s">
        <v>439</v>
      </c>
      <c r="F354" t="s">
        <v>111</v>
      </c>
      <c r="G354" t="s">
        <v>117</v>
      </c>
      <c r="H354" t="s">
        <v>97</v>
      </c>
      <c r="I354">
        <v>2</v>
      </c>
      <c r="J354">
        <v>308.31</v>
      </c>
      <c r="K354">
        <v>0.05</v>
      </c>
      <c r="L354" t="s">
        <v>504</v>
      </c>
      <c r="M354">
        <v>3</v>
      </c>
      <c r="N354" t="s">
        <v>91</v>
      </c>
      <c r="O354" t="s">
        <v>97</v>
      </c>
      <c r="P354" t="s">
        <v>85</v>
      </c>
      <c r="Q354" t="s">
        <v>438</v>
      </c>
      <c r="R354" t="s">
        <v>111</v>
      </c>
      <c r="S354" t="s">
        <v>98</v>
      </c>
      <c r="T354">
        <v>1</v>
      </c>
      <c r="U354" t="s">
        <v>1278</v>
      </c>
      <c r="V354" t="s">
        <v>1257</v>
      </c>
      <c r="W354" t="s">
        <v>1237</v>
      </c>
      <c r="X354" t="s">
        <v>1211</v>
      </c>
      <c r="Y354" t="s">
        <v>1212</v>
      </c>
      <c r="Z354">
        <v>197.33</v>
      </c>
      <c r="AA354">
        <v>616.62</v>
      </c>
      <c r="AB354">
        <v>30.831000000000003</v>
      </c>
      <c r="AC354">
        <v>585.78899999999999</v>
      </c>
      <c r="AD354">
        <v>394.66</v>
      </c>
      <c r="AE354">
        <v>191.12899999999996</v>
      </c>
      <c r="AF354">
        <v>0.3262761847696013</v>
      </c>
      <c r="AG354">
        <v>2025</v>
      </c>
      <c r="AH354">
        <v>6</v>
      </c>
      <c r="AI354" t="s">
        <v>1429</v>
      </c>
      <c r="AJ354" t="s">
        <v>1420</v>
      </c>
      <c r="AK354" t="s">
        <v>1258</v>
      </c>
      <c r="AL354">
        <v>0</v>
      </c>
    </row>
    <row r="355" spans="1:38">
      <c r="A355" t="s">
        <v>717</v>
      </c>
      <c r="B355" s="13">
        <v>45683</v>
      </c>
      <c r="C355" t="s">
        <v>108</v>
      </c>
      <c r="D355" t="s">
        <v>261</v>
      </c>
      <c r="E355" t="s">
        <v>110</v>
      </c>
      <c r="F355" t="s">
        <v>116</v>
      </c>
      <c r="G355" t="s">
        <v>183</v>
      </c>
      <c r="H355" t="s">
        <v>97</v>
      </c>
      <c r="I355">
        <v>4</v>
      </c>
      <c r="J355">
        <v>253.26</v>
      </c>
      <c r="K355">
        <v>0.15</v>
      </c>
      <c r="L355" t="s">
        <v>106</v>
      </c>
      <c r="M355">
        <v>4</v>
      </c>
      <c r="N355" t="s">
        <v>91</v>
      </c>
      <c r="O355" t="s">
        <v>97</v>
      </c>
      <c r="P355" t="s">
        <v>261</v>
      </c>
      <c r="Q355" t="s">
        <v>108</v>
      </c>
      <c r="R355" t="s">
        <v>116</v>
      </c>
      <c r="S355" t="s">
        <v>106</v>
      </c>
      <c r="T355">
        <v>1</v>
      </c>
      <c r="U355" t="s">
        <v>1319</v>
      </c>
      <c r="V355" t="s">
        <v>1275</v>
      </c>
      <c r="W355" t="s">
        <v>1237</v>
      </c>
      <c r="X355" t="s">
        <v>1218</v>
      </c>
      <c r="Y355" t="s">
        <v>1212</v>
      </c>
      <c r="Z355">
        <v>131.72999999999999</v>
      </c>
      <c r="AA355">
        <v>1013.04</v>
      </c>
      <c r="AB355">
        <v>151.95599999999999</v>
      </c>
      <c r="AC355">
        <v>861.08399999999995</v>
      </c>
      <c r="AD355">
        <v>526.91999999999996</v>
      </c>
      <c r="AE355">
        <v>334.16399999999999</v>
      </c>
      <c r="AF355">
        <v>0.3880736374151651</v>
      </c>
      <c r="AG355">
        <v>2025</v>
      </c>
      <c r="AH355">
        <v>1</v>
      </c>
      <c r="AI355" t="s">
        <v>1425</v>
      </c>
      <c r="AJ355" t="s">
        <v>1424</v>
      </c>
      <c r="AK355" t="s">
        <v>1258</v>
      </c>
      <c r="AL355">
        <v>0</v>
      </c>
    </row>
    <row r="356" spans="1:38">
      <c r="A356" t="s">
        <v>718</v>
      </c>
      <c r="B356" s="13">
        <v>45818</v>
      </c>
      <c r="C356" t="s">
        <v>279</v>
      </c>
      <c r="D356" t="s">
        <v>109</v>
      </c>
      <c r="E356" t="s">
        <v>280</v>
      </c>
      <c r="F356" t="s">
        <v>87</v>
      </c>
      <c r="G356" t="s">
        <v>183</v>
      </c>
      <c r="H356" t="s">
        <v>97</v>
      </c>
      <c r="I356">
        <v>2</v>
      </c>
      <c r="J356">
        <v>201.38</v>
      </c>
      <c r="K356">
        <v>0</v>
      </c>
      <c r="L356" t="s">
        <v>504</v>
      </c>
      <c r="M356">
        <v>1</v>
      </c>
      <c r="N356" t="s">
        <v>91</v>
      </c>
      <c r="O356" t="s">
        <v>97</v>
      </c>
      <c r="P356" t="s">
        <v>109</v>
      </c>
      <c r="Q356" t="s">
        <v>279</v>
      </c>
      <c r="R356" t="s">
        <v>87</v>
      </c>
      <c r="S356" t="s">
        <v>98</v>
      </c>
      <c r="T356">
        <v>1</v>
      </c>
      <c r="U356" t="s">
        <v>1317</v>
      </c>
      <c r="V356" t="s">
        <v>1243</v>
      </c>
      <c r="W356" t="s">
        <v>1237</v>
      </c>
      <c r="X356" t="s">
        <v>1219</v>
      </c>
      <c r="Y356" t="s">
        <v>1212</v>
      </c>
      <c r="Z356">
        <v>132.72</v>
      </c>
      <c r="AA356">
        <v>402.76</v>
      </c>
      <c r="AB356">
        <v>0</v>
      </c>
      <c r="AC356">
        <v>402.76</v>
      </c>
      <c r="AD356">
        <v>265.44</v>
      </c>
      <c r="AE356">
        <v>137.32</v>
      </c>
      <c r="AF356">
        <v>0.34094746250869001</v>
      </c>
      <c r="AG356">
        <v>2025</v>
      </c>
      <c r="AH356">
        <v>6</v>
      </c>
      <c r="AI356" t="s">
        <v>1429</v>
      </c>
      <c r="AJ356" t="s">
        <v>1420</v>
      </c>
      <c r="AK356" t="s">
        <v>1244</v>
      </c>
      <c r="AL356">
        <v>0</v>
      </c>
    </row>
    <row r="357" spans="1:38">
      <c r="A357" t="s">
        <v>720</v>
      </c>
      <c r="B357" s="13">
        <v>45856</v>
      </c>
      <c r="C357" t="s">
        <v>100</v>
      </c>
      <c r="D357" t="s">
        <v>261</v>
      </c>
      <c r="E357" t="s">
        <v>102</v>
      </c>
      <c r="F357" t="s">
        <v>145</v>
      </c>
      <c r="G357" t="s">
        <v>183</v>
      </c>
      <c r="H357" t="s">
        <v>89</v>
      </c>
      <c r="I357">
        <v>3</v>
      </c>
      <c r="J357">
        <v>252.56</v>
      </c>
      <c r="K357">
        <v>0.15</v>
      </c>
      <c r="L357" t="s">
        <v>90</v>
      </c>
      <c r="M357">
        <v>5</v>
      </c>
      <c r="N357" t="s">
        <v>91</v>
      </c>
      <c r="O357" t="s">
        <v>89</v>
      </c>
      <c r="P357" t="s">
        <v>261</v>
      </c>
      <c r="Q357" t="s">
        <v>100</v>
      </c>
      <c r="R357" t="s">
        <v>145</v>
      </c>
      <c r="S357" t="s">
        <v>369</v>
      </c>
      <c r="T357">
        <v>1</v>
      </c>
      <c r="U357" t="s">
        <v>1242</v>
      </c>
      <c r="V357" t="s">
        <v>1243</v>
      </c>
      <c r="W357" t="s">
        <v>1245</v>
      </c>
      <c r="X357" t="s">
        <v>1218</v>
      </c>
      <c r="Y357" t="s">
        <v>1212</v>
      </c>
      <c r="Z357">
        <v>131.72999999999999</v>
      </c>
      <c r="AA357">
        <v>757.68000000000006</v>
      </c>
      <c r="AB357">
        <v>113.652</v>
      </c>
      <c r="AC357">
        <v>644.02800000000002</v>
      </c>
      <c r="AD357">
        <v>395.18999999999994</v>
      </c>
      <c r="AE357">
        <v>248.83800000000008</v>
      </c>
      <c r="AF357">
        <v>0.38637761091132694</v>
      </c>
      <c r="AG357">
        <v>2025</v>
      </c>
      <c r="AH357">
        <v>7</v>
      </c>
      <c r="AI357" t="s">
        <v>1422</v>
      </c>
      <c r="AJ357" t="s">
        <v>1418</v>
      </c>
      <c r="AK357" t="s">
        <v>1244</v>
      </c>
      <c r="AL357">
        <v>0</v>
      </c>
    </row>
    <row r="358" spans="1:38">
      <c r="A358" t="s">
        <v>724</v>
      </c>
      <c r="B358" s="13">
        <v>45855</v>
      </c>
      <c r="C358" t="s">
        <v>695</v>
      </c>
      <c r="D358" t="s">
        <v>194</v>
      </c>
      <c r="E358" t="s">
        <v>696</v>
      </c>
      <c r="F358" t="s">
        <v>111</v>
      </c>
      <c r="G358" t="s">
        <v>130</v>
      </c>
      <c r="H358" t="s">
        <v>97</v>
      </c>
      <c r="I358">
        <v>2</v>
      </c>
      <c r="J358">
        <v>197.34</v>
      </c>
      <c r="K358">
        <v>0.1</v>
      </c>
      <c r="L358" t="s">
        <v>253</v>
      </c>
      <c r="M358">
        <v>1</v>
      </c>
      <c r="N358" t="s">
        <v>91</v>
      </c>
      <c r="O358" t="s">
        <v>97</v>
      </c>
      <c r="P358" t="s">
        <v>194</v>
      </c>
      <c r="Q358" t="s">
        <v>695</v>
      </c>
      <c r="R358" t="s">
        <v>111</v>
      </c>
      <c r="S358" t="s">
        <v>106</v>
      </c>
      <c r="T358">
        <v>1</v>
      </c>
      <c r="U358" t="s">
        <v>1268</v>
      </c>
      <c r="V358" t="s">
        <v>1239</v>
      </c>
      <c r="W358" t="s">
        <v>1241</v>
      </c>
      <c r="X358" t="s">
        <v>1216</v>
      </c>
      <c r="Y358" t="s">
        <v>1212</v>
      </c>
      <c r="Z358">
        <v>101</v>
      </c>
      <c r="AA358">
        <v>394.68</v>
      </c>
      <c r="AB358">
        <v>39.468000000000004</v>
      </c>
      <c r="AC358">
        <v>355.21199999999999</v>
      </c>
      <c r="AD358">
        <v>202</v>
      </c>
      <c r="AE358">
        <v>153.21199999999999</v>
      </c>
      <c r="AF358">
        <v>0.43132551828204002</v>
      </c>
      <c r="AG358">
        <v>2025</v>
      </c>
      <c r="AH358">
        <v>7</v>
      </c>
      <c r="AI358" t="s">
        <v>1422</v>
      </c>
      <c r="AJ358" t="s">
        <v>1418</v>
      </c>
      <c r="AK358" t="s">
        <v>1240</v>
      </c>
      <c r="AL358">
        <v>0</v>
      </c>
    </row>
    <row r="359" spans="1:38">
      <c r="A359" t="s">
        <v>735</v>
      </c>
      <c r="B359" s="13">
        <v>45901</v>
      </c>
      <c r="C359" t="s">
        <v>248</v>
      </c>
      <c r="D359" t="s">
        <v>271</v>
      </c>
      <c r="E359" t="s">
        <v>250</v>
      </c>
      <c r="F359" t="s">
        <v>103</v>
      </c>
      <c r="G359" t="s">
        <v>104</v>
      </c>
      <c r="H359" t="s">
        <v>89</v>
      </c>
      <c r="I359">
        <v>1</v>
      </c>
      <c r="J359">
        <v>225.3</v>
      </c>
      <c r="K359">
        <v>0.05</v>
      </c>
      <c r="L359" t="s">
        <v>90</v>
      </c>
      <c r="M359">
        <v>4</v>
      </c>
      <c r="N359" t="s">
        <v>91</v>
      </c>
      <c r="O359" t="s">
        <v>89</v>
      </c>
      <c r="P359" t="s">
        <v>271</v>
      </c>
      <c r="Q359" t="s">
        <v>248</v>
      </c>
      <c r="R359" t="s">
        <v>103</v>
      </c>
      <c r="S359" t="s">
        <v>369</v>
      </c>
      <c r="T359">
        <v>1</v>
      </c>
      <c r="U359" t="s">
        <v>1261</v>
      </c>
      <c r="V359" t="s">
        <v>1257</v>
      </c>
      <c r="W359" t="s">
        <v>1245</v>
      </c>
      <c r="X359" t="s">
        <v>1213</v>
      </c>
      <c r="Y359" t="s">
        <v>1212</v>
      </c>
      <c r="Z359">
        <v>139.19999999999999</v>
      </c>
      <c r="AA359">
        <v>225.3</v>
      </c>
      <c r="AB359">
        <v>11.265000000000001</v>
      </c>
      <c r="AC359">
        <v>214.03500000000003</v>
      </c>
      <c r="AD359">
        <v>139.19999999999999</v>
      </c>
      <c r="AE359">
        <v>74.835000000000036</v>
      </c>
      <c r="AF359">
        <v>0.34963907772093361</v>
      </c>
      <c r="AG359">
        <v>2025</v>
      </c>
      <c r="AH359">
        <v>9</v>
      </c>
      <c r="AI359" t="s">
        <v>1432</v>
      </c>
      <c r="AJ359" t="s">
        <v>1418</v>
      </c>
      <c r="AK359" t="s">
        <v>1258</v>
      </c>
      <c r="AL359">
        <v>0</v>
      </c>
    </row>
    <row r="360" spans="1:38">
      <c r="A360" t="s">
        <v>743</v>
      </c>
      <c r="B360" s="13">
        <v>45940</v>
      </c>
      <c r="C360" t="s">
        <v>265</v>
      </c>
      <c r="D360" t="s">
        <v>271</v>
      </c>
      <c r="E360" t="s">
        <v>266</v>
      </c>
      <c r="F360" t="s">
        <v>103</v>
      </c>
      <c r="G360" t="s">
        <v>122</v>
      </c>
      <c r="H360" t="s">
        <v>97</v>
      </c>
      <c r="I360">
        <v>4</v>
      </c>
      <c r="J360">
        <v>228.16</v>
      </c>
      <c r="K360">
        <v>0.15</v>
      </c>
      <c r="L360" t="s">
        <v>98</v>
      </c>
      <c r="M360">
        <v>3</v>
      </c>
      <c r="N360" t="s">
        <v>91</v>
      </c>
      <c r="O360" t="s">
        <v>97</v>
      </c>
      <c r="P360" t="s">
        <v>271</v>
      </c>
      <c r="Q360" t="s">
        <v>265</v>
      </c>
      <c r="R360" t="s">
        <v>103</v>
      </c>
      <c r="S360" t="s">
        <v>98</v>
      </c>
      <c r="T360">
        <v>1</v>
      </c>
      <c r="U360" t="s">
        <v>1269</v>
      </c>
      <c r="V360" t="s">
        <v>1255</v>
      </c>
      <c r="W360" t="s">
        <v>1237</v>
      </c>
      <c r="X360" t="s">
        <v>1213</v>
      </c>
      <c r="Y360" t="s">
        <v>1212</v>
      </c>
      <c r="Z360">
        <v>139.19999999999999</v>
      </c>
      <c r="AA360">
        <v>912.64</v>
      </c>
      <c r="AB360">
        <v>136.89599999999999</v>
      </c>
      <c r="AC360">
        <v>775.74400000000003</v>
      </c>
      <c r="AD360">
        <v>556.79999999999995</v>
      </c>
      <c r="AE360">
        <v>218.94400000000007</v>
      </c>
      <c r="AF360">
        <v>0.28223743915518529</v>
      </c>
      <c r="AG360">
        <v>2025</v>
      </c>
      <c r="AH360">
        <v>10</v>
      </c>
      <c r="AI360" t="s">
        <v>1431</v>
      </c>
      <c r="AJ360" t="s">
        <v>1427</v>
      </c>
      <c r="AK360" t="s">
        <v>1244</v>
      </c>
      <c r="AL360">
        <v>0</v>
      </c>
    </row>
    <row r="361" spans="1:38">
      <c r="A361" t="s">
        <v>744</v>
      </c>
      <c r="B361" s="13">
        <v>45820</v>
      </c>
      <c r="C361" t="s">
        <v>695</v>
      </c>
      <c r="D361" t="s">
        <v>418</v>
      </c>
      <c r="E361" t="s">
        <v>696</v>
      </c>
      <c r="F361" t="s">
        <v>111</v>
      </c>
      <c r="G361" t="s">
        <v>96</v>
      </c>
      <c r="H361" t="s">
        <v>89</v>
      </c>
      <c r="I361">
        <v>2</v>
      </c>
      <c r="J361">
        <v>369.52</v>
      </c>
      <c r="K361">
        <v>0</v>
      </c>
      <c r="L361" t="s">
        <v>253</v>
      </c>
      <c r="M361">
        <v>4</v>
      </c>
      <c r="N361" t="s">
        <v>91</v>
      </c>
      <c r="O361" t="s">
        <v>89</v>
      </c>
      <c r="P361" t="s">
        <v>418</v>
      </c>
      <c r="Q361" t="s">
        <v>695</v>
      </c>
      <c r="R361" t="s">
        <v>111</v>
      </c>
      <c r="S361" t="s">
        <v>106</v>
      </c>
      <c r="T361">
        <v>1</v>
      </c>
      <c r="U361" t="s">
        <v>1268</v>
      </c>
      <c r="V361" t="s">
        <v>1239</v>
      </c>
      <c r="W361" t="s">
        <v>1241</v>
      </c>
      <c r="X361" t="s">
        <v>1215</v>
      </c>
      <c r="Y361" t="s">
        <v>1212</v>
      </c>
      <c r="Z361">
        <v>212.02</v>
      </c>
      <c r="AA361">
        <v>739.04</v>
      </c>
      <c r="AB361">
        <v>0</v>
      </c>
      <c r="AC361">
        <v>739.04</v>
      </c>
      <c r="AD361">
        <v>424.04</v>
      </c>
      <c r="AE361">
        <v>314.99999999999994</v>
      </c>
      <c r="AF361">
        <v>0.42622862091361763</v>
      </c>
      <c r="AG361">
        <v>2025</v>
      </c>
      <c r="AH361">
        <v>6</v>
      </c>
      <c r="AI361" t="s">
        <v>1429</v>
      </c>
      <c r="AJ361" t="s">
        <v>1420</v>
      </c>
      <c r="AK361" t="s">
        <v>1240</v>
      </c>
      <c r="AL361">
        <v>0</v>
      </c>
    </row>
    <row r="362" spans="1:38">
      <c r="A362" t="s">
        <v>747</v>
      </c>
      <c r="B362" s="13">
        <v>45681</v>
      </c>
      <c r="C362" t="s">
        <v>177</v>
      </c>
      <c r="D362" t="s">
        <v>125</v>
      </c>
      <c r="E362" t="s">
        <v>178</v>
      </c>
      <c r="F362" t="s">
        <v>145</v>
      </c>
      <c r="G362" t="s">
        <v>183</v>
      </c>
      <c r="H362" t="s">
        <v>97</v>
      </c>
      <c r="I362">
        <v>1</v>
      </c>
      <c r="J362">
        <v>56.55</v>
      </c>
      <c r="K362">
        <v>0.1</v>
      </c>
      <c r="L362" t="s">
        <v>98</v>
      </c>
      <c r="M362">
        <v>4</v>
      </c>
      <c r="N362" t="s">
        <v>91</v>
      </c>
      <c r="O362" t="s">
        <v>97</v>
      </c>
      <c r="P362" t="s">
        <v>125</v>
      </c>
      <c r="Q362" t="s">
        <v>177</v>
      </c>
      <c r="R362" t="s">
        <v>145</v>
      </c>
      <c r="S362" t="s">
        <v>98</v>
      </c>
      <c r="T362">
        <v>1</v>
      </c>
      <c r="U362" t="s">
        <v>1293</v>
      </c>
      <c r="V362" t="s">
        <v>1235</v>
      </c>
      <c r="W362" t="s">
        <v>1241</v>
      </c>
      <c r="X362" t="s">
        <v>1214</v>
      </c>
      <c r="Y362" t="s">
        <v>1212</v>
      </c>
      <c r="Z362">
        <v>25.97</v>
      </c>
      <c r="AA362">
        <v>56.55</v>
      </c>
      <c r="AB362">
        <v>5.6550000000000002</v>
      </c>
      <c r="AC362">
        <v>50.894999999999996</v>
      </c>
      <c r="AD362">
        <v>25.97</v>
      </c>
      <c r="AE362">
        <v>24.924999999999997</v>
      </c>
      <c r="AF362">
        <v>0.48973376559583454</v>
      </c>
      <c r="AG362">
        <v>2025</v>
      </c>
      <c r="AH362">
        <v>1</v>
      </c>
      <c r="AI362" t="s">
        <v>1425</v>
      </c>
      <c r="AJ362" t="s">
        <v>1424</v>
      </c>
      <c r="AK362" t="s">
        <v>1236</v>
      </c>
      <c r="AL362">
        <v>0</v>
      </c>
    </row>
    <row r="363" spans="1:38">
      <c r="A363" t="s">
        <v>757</v>
      </c>
      <c r="B363" s="13">
        <v>45703</v>
      </c>
      <c r="C363" t="s">
        <v>758</v>
      </c>
      <c r="D363" t="s">
        <v>418</v>
      </c>
      <c r="E363" t="s">
        <v>759</v>
      </c>
      <c r="F363" t="s">
        <v>111</v>
      </c>
      <c r="G363" t="s">
        <v>96</v>
      </c>
      <c r="H363" t="s">
        <v>89</v>
      </c>
      <c r="I363">
        <v>1</v>
      </c>
      <c r="J363">
        <v>351.13</v>
      </c>
      <c r="K363">
        <v>0</v>
      </c>
      <c r="L363" t="s">
        <v>98</v>
      </c>
      <c r="M363">
        <v>8</v>
      </c>
      <c r="N363" t="s">
        <v>91</v>
      </c>
      <c r="O363" t="s">
        <v>89</v>
      </c>
      <c r="P363" t="s">
        <v>418</v>
      </c>
      <c r="Q363" t="s">
        <v>758</v>
      </c>
      <c r="R363" t="s">
        <v>111</v>
      </c>
      <c r="S363" t="s">
        <v>98</v>
      </c>
      <c r="T363">
        <v>1</v>
      </c>
      <c r="U363" t="s">
        <v>1286</v>
      </c>
      <c r="V363" t="s">
        <v>1277</v>
      </c>
      <c r="W363" t="s">
        <v>1245</v>
      </c>
      <c r="X363" t="s">
        <v>1215</v>
      </c>
      <c r="Y363" t="s">
        <v>1212</v>
      </c>
      <c r="Z363">
        <v>212.02</v>
      </c>
      <c r="AA363">
        <v>351.13</v>
      </c>
      <c r="AB363">
        <v>0</v>
      </c>
      <c r="AC363">
        <v>351.13</v>
      </c>
      <c r="AD363">
        <v>212.02</v>
      </c>
      <c r="AE363">
        <v>139.10999999999999</v>
      </c>
      <c r="AF363">
        <v>0.39617805371230025</v>
      </c>
      <c r="AG363">
        <v>2025</v>
      </c>
      <c r="AH363">
        <v>2</v>
      </c>
      <c r="AI363" t="s">
        <v>1430</v>
      </c>
      <c r="AJ363" t="s">
        <v>1424</v>
      </c>
      <c r="AK363" t="s">
        <v>1244</v>
      </c>
      <c r="AL363">
        <v>0</v>
      </c>
    </row>
    <row r="364" spans="1:38">
      <c r="A364" t="s">
        <v>761</v>
      </c>
      <c r="B364" s="13">
        <v>45943</v>
      </c>
      <c r="C364" t="s">
        <v>300</v>
      </c>
      <c r="D364" t="s">
        <v>346</v>
      </c>
      <c r="E364" t="s">
        <v>301</v>
      </c>
      <c r="F364" t="s">
        <v>103</v>
      </c>
      <c r="G364" t="s">
        <v>122</v>
      </c>
      <c r="H364" t="s">
        <v>89</v>
      </c>
      <c r="I364">
        <v>1</v>
      </c>
      <c r="J364">
        <v>236.69</v>
      </c>
      <c r="K364">
        <v>0.05</v>
      </c>
      <c r="L364" t="s">
        <v>98</v>
      </c>
      <c r="M364">
        <v>5</v>
      </c>
      <c r="N364" t="s">
        <v>91</v>
      </c>
      <c r="O364" t="s">
        <v>89</v>
      </c>
      <c r="P364" t="s">
        <v>346</v>
      </c>
      <c r="Q364" t="s">
        <v>300</v>
      </c>
      <c r="R364" t="s">
        <v>103</v>
      </c>
      <c r="S364" t="s">
        <v>98</v>
      </c>
      <c r="T364">
        <v>1</v>
      </c>
      <c r="U364" t="s">
        <v>1265</v>
      </c>
      <c r="V364" t="s">
        <v>1249</v>
      </c>
      <c r="W364" t="s">
        <v>1237</v>
      </c>
      <c r="X364" t="s">
        <v>1217</v>
      </c>
      <c r="Y364" t="s">
        <v>1212</v>
      </c>
      <c r="Z364">
        <v>125.4</v>
      </c>
      <c r="AA364">
        <v>236.69</v>
      </c>
      <c r="AB364">
        <v>11.8345</v>
      </c>
      <c r="AC364">
        <v>224.85550000000001</v>
      </c>
      <c r="AD364">
        <v>125.4</v>
      </c>
      <c r="AE364">
        <v>99.455500000000001</v>
      </c>
      <c r="AF364">
        <v>0.44230850479530187</v>
      </c>
      <c r="AG364">
        <v>2025</v>
      </c>
      <c r="AH364">
        <v>10</v>
      </c>
      <c r="AI364" t="s">
        <v>1431</v>
      </c>
      <c r="AJ364" t="s">
        <v>1427</v>
      </c>
      <c r="AK364" t="s">
        <v>1250</v>
      </c>
      <c r="AL364">
        <v>0</v>
      </c>
    </row>
    <row r="365" spans="1:38">
      <c r="A365" t="s">
        <v>762</v>
      </c>
      <c r="B365" s="13">
        <v>45936</v>
      </c>
      <c r="C365" t="s">
        <v>293</v>
      </c>
      <c r="D365" t="s">
        <v>261</v>
      </c>
      <c r="E365" t="s">
        <v>394</v>
      </c>
      <c r="F365" t="s">
        <v>103</v>
      </c>
      <c r="G365" t="s">
        <v>104</v>
      </c>
      <c r="H365" t="s">
        <v>89</v>
      </c>
      <c r="I365">
        <v>2</v>
      </c>
      <c r="J365">
        <v>237.79</v>
      </c>
      <c r="K365">
        <v>0.1</v>
      </c>
      <c r="L365" t="s">
        <v>106</v>
      </c>
      <c r="M365">
        <v>7</v>
      </c>
      <c r="N365" t="s">
        <v>91</v>
      </c>
      <c r="O365" t="s">
        <v>89</v>
      </c>
      <c r="P365" t="s">
        <v>261</v>
      </c>
      <c r="Q365" t="s">
        <v>293</v>
      </c>
      <c r="R365" t="s">
        <v>103</v>
      </c>
      <c r="S365" t="s">
        <v>106</v>
      </c>
      <c r="T365">
        <v>1</v>
      </c>
      <c r="U365" t="s">
        <v>1252</v>
      </c>
      <c r="V365" t="s">
        <v>1243</v>
      </c>
      <c r="W365" t="s">
        <v>1237</v>
      </c>
      <c r="X365" t="s">
        <v>1218</v>
      </c>
      <c r="Y365" t="s">
        <v>1212</v>
      </c>
      <c r="Z365">
        <v>131.72999999999999</v>
      </c>
      <c r="AA365">
        <v>475.58</v>
      </c>
      <c r="AB365">
        <v>47.558</v>
      </c>
      <c r="AC365">
        <v>428.02199999999999</v>
      </c>
      <c r="AD365">
        <v>263.45999999999998</v>
      </c>
      <c r="AE365">
        <v>164.56200000000001</v>
      </c>
      <c r="AF365">
        <v>0.38447089168313781</v>
      </c>
      <c r="AG365">
        <v>2025</v>
      </c>
      <c r="AH365">
        <v>10</v>
      </c>
      <c r="AI365" t="s">
        <v>1431</v>
      </c>
      <c r="AJ365" t="s">
        <v>1427</v>
      </c>
      <c r="AK365" t="s">
        <v>1244</v>
      </c>
      <c r="AL365">
        <v>0</v>
      </c>
    </row>
    <row r="366" spans="1:38">
      <c r="A366" t="s">
        <v>764</v>
      </c>
      <c r="B366" s="13">
        <v>45836</v>
      </c>
      <c r="C366" t="s">
        <v>414</v>
      </c>
      <c r="D366" t="s">
        <v>125</v>
      </c>
      <c r="E366" t="s">
        <v>415</v>
      </c>
      <c r="F366" t="s">
        <v>103</v>
      </c>
      <c r="G366" t="s">
        <v>88</v>
      </c>
      <c r="H366" t="s">
        <v>89</v>
      </c>
      <c r="I366">
        <v>1</v>
      </c>
      <c r="J366">
        <v>59.27</v>
      </c>
      <c r="K366">
        <v>0.1</v>
      </c>
      <c r="L366" t="s">
        <v>106</v>
      </c>
      <c r="M366">
        <v>1</v>
      </c>
      <c r="N366" t="s">
        <v>91</v>
      </c>
      <c r="O366" t="s">
        <v>89</v>
      </c>
      <c r="P366" t="s">
        <v>125</v>
      </c>
      <c r="Q366" t="s">
        <v>414</v>
      </c>
      <c r="R366" t="s">
        <v>103</v>
      </c>
      <c r="S366" t="s">
        <v>106</v>
      </c>
      <c r="T366">
        <v>1</v>
      </c>
      <c r="U366" t="s">
        <v>1305</v>
      </c>
      <c r="V366" t="s">
        <v>1288</v>
      </c>
      <c r="W366" t="s">
        <v>1245</v>
      </c>
      <c r="X366" t="s">
        <v>1214</v>
      </c>
      <c r="Y366" t="s">
        <v>1212</v>
      </c>
      <c r="Z366">
        <v>25.97</v>
      </c>
      <c r="AA366">
        <v>59.27</v>
      </c>
      <c r="AB366">
        <v>5.9270000000000005</v>
      </c>
      <c r="AC366">
        <v>53.343000000000004</v>
      </c>
      <c r="AD366">
        <v>25.97</v>
      </c>
      <c r="AE366">
        <v>27.373000000000005</v>
      </c>
      <c r="AF366">
        <v>0.51315074142811623</v>
      </c>
      <c r="AG366">
        <v>2025</v>
      </c>
      <c r="AH366">
        <v>6</v>
      </c>
      <c r="AI366" t="s">
        <v>1429</v>
      </c>
      <c r="AJ366" t="s">
        <v>1420</v>
      </c>
      <c r="AK366" t="s">
        <v>1250</v>
      </c>
      <c r="AL366">
        <v>0</v>
      </c>
    </row>
    <row r="367" spans="1:38">
      <c r="A367" t="s">
        <v>766</v>
      </c>
      <c r="B367" s="13">
        <v>45777</v>
      </c>
      <c r="C367" t="s">
        <v>706</v>
      </c>
      <c r="D367" t="s">
        <v>261</v>
      </c>
      <c r="E367" t="s">
        <v>707</v>
      </c>
      <c r="F367" t="s">
        <v>145</v>
      </c>
      <c r="G367" t="s">
        <v>130</v>
      </c>
      <c r="H367" t="s">
        <v>97</v>
      </c>
      <c r="I367">
        <v>3</v>
      </c>
      <c r="J367">
        <v>255.82</v>
      </c>
      <c r="K367">
        <v>0</v>
      </c>
      <c r="L367" t="s">
        <v>90</v>
      </c>
      <c r="M367">
        <v>4</v>
      </c>
      <c r="N367" t="s">
        <v>91</v>
      </c>
      <c r="O367" t="s">
        <v>97</v>
      </c>
      <c r="P367" t="s">
        <v>261</v>
      </c>
      <c r="Q367" t="s">
        <v>706</v>
      </c>
      <c r="R367" t="s">
        <v>145</v>
      </c>
      <c r="S367" t="s">
        <v>369</v>
      </c>
      <c r="T367">
        <v>1</v>
      </c>
      <c r="U367" t="s">
        <v>1251</v>
      </c>
      <c r="V367" t="s">
        <v>1247</v>
      </c>
      <c r="W367" t="s">
        <v>1237</v>
      </c>
      <c r="X367" t="s">
        <v>1218</v>
      </c>
      <c r="Y367" t="s">
        <v>1212</v>
      </c>
      <c r="Z367">
        <v>131.72999999999999</v>
      </c>
      <c r="AA367">
        <v>767.46</v>
      </c>
      <c r="AB367">
        <v>0</v>
      </c>
      <c r="AC367">
        <v>767.46</v>
      </c>
      <c r="AD367">
        <v>395.18999999999994</v>
      </c>
      <c r="AE367">
        <v>372.2700000000001</v>
      </c>
      <c r="AF367">
        <v>0.48506762567430234</v>
      </c>
      <c r="AG367">
        <v>2025</v>
      </c>
      <c r="AH367">
        <v>4</v>
      </c>
      <c r="AI367" t="s">
        <v>1421</v>
      </c>
      <c r="AJ367" t="s">
        <v>1420</v>
      </c>
      <c r="AK367" t="s">
        <v>1240</v>
      </c>
      <c r="AL367">
        <v>0</v>
      </c>
    </row>
    <row r="368" spans="1:38">
      <c r="A368" t="s">
        <v>770</v>
      </c>
      <c r="B368" s="13">
        <v>46016</v>
      </c>
      <c r="C368" t="s">
        <v>349</v>
      </c>
      <c r="D368" t="s">
        <v>194</v>
      </c>
      <c r="E368" t="s">
        <v>350</v>
      </c>
      <c r="F368" t="s">
        <v>87</v>
      </c>
      <c r="G368" t="s">
        <v>130</v>
      </c>
      <c r="H368" t="s">
        <v>97</v>
      </c>
      <c r="I368">
        <v>2</v>
      </c>
      <c r="J368">
        <v>191.38</v>
      </c>
      <c r="K368">
        <v>0.15</v>
      </c>
      <c r="L368" t="s">
        <v>90</v>
      </c>
      <c r="M368">
        <v>2</v>
      </c>
      <c r="N368" t="s">
        <v>91</v>
      </c>
      <c r="O368" t="s">
        <v>97</v>
      </c>
      <c r="P368" t="s">
        <v>194</v>
      </c>
      <c r="Q368" t="s">
        <v>349</v>
      </c>
      <c r="R368" t="s">
        <v>87</v>
      </c>
      <c r="S368" t="s">
        <v>369</v>
      </c>
      <c r="T368">
        <v>1</v>
      </c>
      <c r="U368" t="s">
        <v>1335</v>
      </c>
      <c r="V368" t="s">
        <v>1297</v>
      </c>
      <c r="W368" t="s">
        <v>1241</v>
      </c>
      <c r="X368" t="s">
        <v>1216</v>
      </c>
      <c r="Y368" t="s">
        <v>1212</v>
      </c>
      <c r="Z368">
        <v>101</v>
      </c>
      <c r="AA368">
        <v>382.76</v>
      </c>
      <c r="AB368">
        <v>57.413999999999994</v>
      </c>
      <c r="AC368">
        <v>325.346</v>
      </c>
      <c r="AD368">
        <v>202</v>
      </c>
      <c r="AE368">
        <v>123.346</v>
      </c>
      <c r="AF368">
        <v>0.3791225341636289</v>
      </c>
      <c r="AG368">
        <v>2025</v>
      </c>
      <c r="AH368">
        <v>12</v>
      </c>
      <c r="AI368" t="s">
        <v>1428</v>
      </c>
      <c r="AJ368" t="s">
        <v>1427</v>
      </c>
      <c r="AK368" t="s">
        <v>1258</v>
      </c>
      <c r="AL368">
        <v>0</v>
      </c>
    </row>
    <row r="369" spans="1:38">
      <c r="A369" t="s">
        <v>778</v>
      </c>
      <c r="B369" s="13">
        <v>45702</v>
      </c>
      <c r="C369" t="s">
        <v>296</v>
      </c>
      <c r="D369" t="s">
        <v>418</v>
      </c>
      <c r="E369" t="s">
        <v>297</v>
      </c>
      <c r="F369" t="s">
        <v>103</v>
      </c>
      <c r="G369" t="s">
        <v>96</v>
      </c>
      <c r="H369" t="s">
        <v>97</v>
      </c>
      <c r="I369">
        <v>4</v>
      </c>
      <c r="J369">
        <v>366.27</v>
      </c>
      <c r="K369">
        <v>0</v>
      </c>
      <c r="L369" t="s">
        <v>90</v>
      </c>
      <c r="M369">
        <v>0</v>
      </c>
      <c r="N369" t="s">
        <v>91</v>
      </c>
      <c r="O369" t="s">
        <v>97</v>
      </c>
      <c r="P369" t="s">
        <v>418</v>
      </c>
      <c r="Q369" t="s">
        <v>296</v>
      </c>
      <c r="R369" t="s">
        <v>103</v>
      </c>
      <c r="S369" t="s">
        <v>369</v>
      </c>
      <c r="T369">
        <v>1</v>
      </c>
      <c r="U369" t="s">
        <v>1292</v>
      </c>
      <c r="V369" t="s">
        <v>1275</v>
      </c>
      <c r="W369" t="s">
        <v>1237</v>
      </c>
      <c r="X369" t="s">
        <v>1215</v>
      </c>
      <c r="Y369" t="s">
        <v>1212</v>
      </c>
      <c r="Z369">
        <v>212.02</v>
      </c>
      <c r="AA369">
        <v>1465.08</v>
      </c>
      <c r="AB369">
        <v>0</v>
      </c>
      <c r="AC369">
        <v>1465.08</v>
      </c>
      <c r="AD369">
        <v>848.08</v>
      </c>
      <c r="AE369">
        <v>616.99999999999989</v>
      </c>
      <c r="AF369">
        <v>0.42113741229147889</v>
      </c>
      <c r="AG369">
        <v>2025</v>
      </c>
      <c r="AH369">
        <v>2</v>
      </c>
      <c r="AI369" t="s">
        <v>1430</v>
      </c>
      <c r="AJ369" t="s">
        <v>1424</v>
      </c>
      <c r="AK369" t="s">
        <v>1258</v>
      </c>
      <c r="AL369">
        <v>0</v>
      </c>
    </row>
    <row r="370" spans="1:38">
      <c r="A370" t="s">
        <v>785</v>
      </c>
      <c r="B370" s="13">
        <v>45897</v>
      </c>
      <c r="C370" t="s">
        <v>675</v>
      </c>
      <c r="D370" t="s">
        <v>194</v>
      </c>
      <c r="E370" t="s">
        <v>676</v>
      </c>
      <c r="F370" t="s">
        <v>145</v>
      </c>
      <c r="G370" t="s">
        <v>104</v>
      </c>
      <c r="H370" t="s">
        <v>97</v>
      </c>
      <c r="I370">
        <v>1</v>
      </c>
      <c r="J370">
        <v>209.3</v>
      </c>
      <c r="K370">
        <v>0.1</v>
      </c>
      <c r="L370" t="s">
        <v>106</v>
      </c>
      <c r="M370">
        <v>2</v>
      </c>
      <c r="N370" t="s">
        <v>91</v>
      </c>
      <c r="O370" t="s">
        <v>97</v>
      </c>
      <c r="P370" t="s">
        <v>194</v>
      </c>
      <c r="Q370" t="s">
        <v>675</v>
      </c>
      <c r="R370" t="s">
        <v>145</v>
      </c>
      <c r="S370" t="s">
        <v>106</v>
      </c>
      <c r="T370">
        <v>1</v>
      </c>
      <c r="U370" t="s">
        <v>1344</v>
      </c>
      <c r="V370" t="s">
        <v>1325</v>
      </c>
      <c r="W370" t="s">
        <v>1241</v>
      </c>
      <c r="X370" t="s">
        <v>1216</v>
      </c>
      <c r="Y370" t="s">
        <v>1212</v>
      </c>
      <c r="Z370">
        <v>101</v>
      </c>
      <c r="AA370">
        <v>209.3</v>
      </c>
      <c r="AB370">
        <v>20.930000000000003</v>
      </c>
      <c r="AC370">
        <v>188.37</v>
      </c>
      <c r="AD370">
        <v>101</v>
      </c>
      <c r="AE370">
        <v>87.37</v>
      </c>
      <c r="AF370">
        <v>0.46382120295163776</v>
      </c>
      <c r="AG370">
        <v>2025</v>
      </c>
      <c r="AH370">
        <v>8</v>
      </c>
      <c r="AI370" t="s">
        <v>1417</v>
      </c>
      <c r="AJ370" t="s">
        <v>1418</v>
      </c>
      <c r="AK370" t="s">
        <v>1326</v>
      </c>
      <c r="AL370">
        <v>0</v>
      </c>
    </row>
    <row r="371" spans="1:38">
      <c r="A371" t="s">
        <v>791</v>
      </c>
      <c r="B371" s="13">
        <v>45828</v>
      </c>
      <c r="C371" t="s">
        <v>132</v>
      </c>
      <c r="D371" t="s">
        <v>271</v>
      </c>
      <c r="E371" t="s">
        <v>134</v>
      </c>
      <c r="F371" t="s">
        <v>116</v>
      </c>
      <c r="G371" t="s">
        <v>88</v>
      </c>
      <c r="H371" t="s">
        <v>89</v>
      </c>
      <c r="I371">
        <v>1</v>
      </c>
      <c r="J371">
        <v>224.42</v>
      </c>
      <c r="K371">
        <v>0.05</v>
      </c>
      <c r="L371" t="s">
        <v>106</v>
      </c>
      <c r="M371">
        <v>7</v>
      </c>
      <c r="N371" t="s">
        <v>91</v>
      </c>
      <c r="O371" t="s">
        <v>89</v>
      </c>
      <c r="P371" t="s">
        <v>271</v>
      </c>
      <c r="Q371" t="s">
        <v>132</v>
      </c>
      <c r="R371" t="s">
        <v>116</v>
      </c>
      <c r="S371" t="s">
        <v>106</v>
      </c>
      <c r="T371">
        <v>1</v>
      </c>
      <c r="U371" t="s">
        <v>1346</v>
      </c>
      <c r="V371" t="s">
        <v>1288</v>
      </c>
      <c r="W371" t="s">
        <v>1245</v>
      </c>
      <c r="X371" t="s">
        <v>1213</v>
      </c>
      <c r="Y371" t="s">
        <v>1212</v>
      </c>
      <c r="Z371">
        <v>139.19999999999999</v>
      </c>
      <c r="AA371">
        <v>224.42</v>
      </c>
      <c r="AB371">
        <v>11.221</v>
      </c>
      <c r="AC371">
        <v>213.19899999999998</v>
      </c>
      <c r="AD371">
        <v>139.19999999999999</v>
      </c>
      <c r="AE371">
        <v>73.998999999999995</v>
      </c>
      <c r="AF371">
        <v>0.3470888700228425</v>
      </c>
      <c r="AG371">
        <v>2025</v>
      </c>
      <c r="AH371">
        <v>6</v>
      </c>
      <c r="AI371" t="s">
        <v>1429</v>
      </c>
      <c r="AJ371" t="s">
        <v>1420</v>
      </c>
      <c r="AK371" t="s">
        <v>1250</v>
      </c>
      <c r="AL371">
        <v>0</v>
      </c>
    </row>
    <row r="372" spans="1:38">
      <c r="A372" t="s">
        <v>802</v>
      </c>
      <c r="B372" s="13">
        <v>45947</v>
      </c>
      <c r="C372" t="s">
        <v>335</v>
      </c>
      <c r="D372" t="s">
        <v>194</v>
      </c>
      <c r="E372" t="s">
        <v>336</v>
      </c>
      <c r="F372" t="s">
        <v>103</v>
      </c>
      <c r="G372" t="s">
        <v>171</v>
      </c>
      <c r="H372" t="s">
        <v>89</v>
      </c>
      <c r="I372">
        <v>5</v>
      </c>
      <c r="J372">
        <v>198.14</v>
      </c>
      <c r="K372">
        <v>0.25</v>
      </c>
      <c r="L372" t="s">
        <v>90</v>
      </c>
      <c r="M372">
        <v>6</v>
      </c>
      <c r="N372" t="s">
        <v>147</v>
      </c>
      <c r="O372" t="s">
        <v>89</v>
      </c>
      <c r="P372" t="s">
        <v>194</v>
      </c>
      <c r="Q372" t="s">
        <v>335</v>
      </c>
      <c r="R372" t="s">
        <v>103</v>
      </c>
      <c r="S372" t="s">
        <v>369</v>
      </c>
      <c r="T372">
        <v>1</v>
      </c>
      <c r="U372" t="s">
        <v>1290</v>
      </c>
      <c r="V372" t="s">
        <v>1257</v>
      </c>
      <c r="W372" t="s">
        <v>1241</v>
      </c>
      <c r="X372" t="s">
        <v>1216</v>
      </c>
      <c r="Y372" t="s">
        <v>1212</v>
      </c>
      <c r="Z372">
        <v>101</v>
      </c>
      <c r="AA372">
        <v>990.69999999999993</v>
      </c>
      <c r="AB372">
        <v>247.67499999999998</v>
      </c>
      <c r="AC372">
        <v>743.02499999999998</v>
      </c>
      <c r="AD372">
        <v>505</v>
      </c>
      <c r="AE372">
        <v>238.02499999999998</v>
      </c>
      <c r="AF372">
        <v>0.32034588338212039</v>
      </c>
      <c r="AG372">
        <v>2025</v>
      </c>
      <c r="AH372">
        <v>10</v>
      </c>
      <c r="AI372" t="s">
        <v>1431</v>
      </c>
      <c r="AJ372" t="s">
        <v>1427</v>
      </c>
      <c r="AK372" t="s">
        <v>1258</v>
      </c>
      <c r="AL372">
        <v>1</v>
      </c>
    </row>
    <row r="373" spans="1:38">
      <c r="A373" t="s">
        <v>804</v>
      </c>
      <c r="B373" s="13">
        <v>45773</v>
      </c>
      <c r="C373" t="s">
        <v>164</v>
      </c>
      <c r="D373" t="s">
        <v>194</v>
      </c>
      <c r="E373" t="s">
        <v>166</v>
      </c>
      <c r="F373" t="s">
        <v>116</v>
      </c>
      <c r="G373" t="s">
        <v>88</v>
      </c>
      <c r="H373" t="s">
        <v>89</v>
      </c>
      <c r="I373">
        <v>3</v>
      </c>
      <c r="J373">
        <v>210.85</v>
      </c>
      <c r="K373">
        <v>0.1</v>
      </c>
      <c r="L373" t="s">
        <v>90</v>
      </c>
      <c r="M373">
        <v>8</v>
      </c>
      <c r="N373" t="s">
        <v>91</v>
      </c>
      <c r="O373" t="s">
        <v>89</v>
      </c>
      <c r="P373" t="s">
        <v>194</v>
      </c>
      <c r="Q373" t="s">
        <v>164</v>
      </c>
      <c r="R373" t="s">
        <v>116</v>
      </c>
      <c r="S373" t="s">
        <v>369</v>
      </c>
      <c r="T373">
        <v>1</v>
      </c>
      <c r="U373" t="s">
        <v>1282</v>
      </c>
      <c r="V373" t="s">
        <v>1275</v>
      </c>
      <c r="W373" t="s">
        <v>1237</v>
      </c>
      <c r="X373" t="s">
        <v>1216</v>
      </c>
      <c r="Y373" t="s">
        <v>1212</v>
      </c>
      <c r="Z373">
        <v>101</v>
      </c>
      <c r="AA373">
        <v>632.54999999999995</v>
      </c>
      <c r="AB373">
        <v>63.254999999999995</v>
      </c>
      <c r="AC373">
        <v>569.29499999999996</v>
      </c>
      <c r="AD373">
        <v>303</v>
      </c>
      <c r="AE373">
        <v>266.29499999999996</v>
      </c>
      <c r="AF373">
        <v>0.46776275920217109</v>
      </c>
      <c r="AG373">
        <v>2025</v>
      </c>
      <c r="AH373">
        <v>4</v>
      </c>
      <c r="AI373" t="s">
        <v>1421</v>
      </c>
      <c r="AJ373" t="s">
        <v>1420</v>
      </c>
      <c r="AK373" t="s">
        <v>1258</v>
      </c>
      <c r="AL373">
        <v>0</v>
      </c>
    </row>
    <row r="374" spans="1:38">
      <c r="A374" t="s">
        <v>805</v>
      </c>
      <c r="B374" s="13">
        <v>46019</v>
      </c>
      <c r="C374" t="s">
        <v>487</v>
      </c>
      <c r="D374" t="s">
        <v>271</v>
      </c>
      <c r="E374" t="s">
        <v>806</v>
      </c>
      <c r="F374" t="s">
        <v>103</v>
      </c>
      <c r="G374" t="s">
        <v>88</v>
      </c>
      <c r="H374" t="s">
        <v>89</v>
      </c>
      <c r="I374">
        <v>1</v>
      </c>
      <c r="J374">
        <v>223.94</v>
      </c>
      <c r="K374">
        <v>0</v>
      </c>
      <c r="L374" t="s">
        <v>106</v>
      </c>
      <c r="M374">
        <v>7</v>
      </c>
      <c r="N374" t="s">
        <v>147</v>
      </c>
      <c r="O374" t="s">
        <v>89</v>
      </c>
      <c r="P374" t="s">
        <v>271</v>
      </c>
      <c r="Q374" t="s">
        <v>487</v>
      </c>
      <c r="R374" t="s">
        <v>103</v>
      </c>
      <c r="S374" t="s">
        <v>106</v>
      </c>
      <c r="T374">
        <v>1</v>
      </c>
      <c r="U374" t="s">
        <v>1347</v>
      </c>
      <c r="V374" t="s">
        <v>1249</v>
      </c>
      <c r="W374" t="s">
        <v>1237</v>
      </c>
      <c r="X374" t="s">
        <v>1213</v>
      </c>
      <c r="Y374" t="s">
        <v>1212</v>
      </c>
      <c r="Z374">
        <v>139.19999999999999</v>
      </c>
      <c r="AA374">
        <v>223.94</v>
      </c>
      <c r="AB374">
        <v>0</v>
      </c>
      <c r="AC374">
        <v>223.94</v>
      </c>
      <c r="AD374">
        <v>139.19999999999999</v>
      </c>
      <c r="AE374">
        <v>84.740000000000009</v>
      </c>
      <c r="AF374">
        <v>0.37840492989193536</v>
      </c>
      <c r="AG374">
        <v>2025</v>
      </c>
      <c r="AH374">
        <v>12</v>
      </c>
      <c r="AI374" t="s">
        <v>1428</v>
      </c>
      <c r="AJ374" t="s">
        <v>1427</v>
      </c>
      <c r="AK374" t="s">
        <v>1250</v>
      </c>
      <c r="AL374">
        <v>1</v>
      </c>
    </row>
    <row r="375" spans="1:38">
      <c r="A375" t="s">
        <v>812</v>
      </c>
      <c r="B375" s="13">
        <v>45862</v>
      </c>
      <c r="C375" t="s">
        <v>564</v>
      </c>
      <c r="D375" t="s">
        <v>271</v>
      </c>
      <c r="E375" t="s">
        <v>565</v>
      </c>
      <c r="F375" t="s">
        <v>116</v>
      </c>
      <c r="G375" t="s">
        <v>183</v>
      </c>
      <c r="H375" t="s">
        <v>89</v>
      </c>
      <c r="I375">
        <v>2</v>
      </c>
      <c r="J375">
        <v>213.53</v>
      </c>
      <c r="K375">
        <v>0.15</v>
      </c>
      <c r="L375" t="s">
        <v>90</v>
      </c>
      <c r="M375">
        <v>7</v>
      </c>
      <c r="N375" t="s">
        <v>91</v>
      </c>
      <c r="O375" t="s">
        <v>89</v>
      </c>
      <c r="P375" t="s">
        <v>271</v>
      </c>
      <c r="Q375" t="s">
        <v>564</v>
      </c>
      <c r="R375" t="s">
        <v>116</v>
      </c>
      <c r="S375" t="s">
        <v>369</v>
      </c>
      <c r="T375">
        <v>1</v>
      </c>
      <c r="U375" t="s">
        <v>1339</v>
      </c>
      <c r="V375" t="s">
        <v>1260</v>
      </c>
      <c r="W375" t="s">
        <v>1245</v>
      </c>
      <c r="X375" t="s">
        <v>1213</v>
      </c>
      <c r="Y375" t="s">
        <v>1212</v>
      </c>
      <c r="Z375">
        <v>139.19999999999999</v>
      </c>
      <c r="AA375">
        <v>427.06</v>
      </c>
      <c r="AB375">
        <v>64.058999999999997</v>
      </c>
      <c r="AC375">
        <v>363.00099999999998</v>
      </c>
      <c r="AD375">
        <v>278.39999999999998</v>
      </c>
      <c r="AE375">
        <v>84.600999999999999</v>
      </c>
      <c r="AF375">
        <v>0.23305996402213769</v>
      </c>
      <c r="AG375">
        <v>2025</v>
      </c>
      <c r="AH375">
        <v>7</v>
      </c>
      <c r="AI375" t="s">
        <v>1422</v>
      </c>
      <c r="AJ375" t="s">
        <v>1418</v>
      </c>
      <c r="AK375" t="s">
        <v>1240</v>
      </c>
      <c r="AL375">
        <v>0</v>
      </c>
    </row>
    <row r="376" spans="1:38">
      <c r="A376" t="s">
        <v>814</v>
      </c>
      <c r="B376" s="13">
        <v>45952</v>
      </c>
      <c r="C376" t="s">
        <v>290</v>
      </c>
      <c r="D376" t="s">
        <v>418</v>
      </c>
      <c r="E376" t="s">
        <v>732</v>
      </c>
      <c r="F376" t="s">
        <v>87</v>
      </c>
      <c r="G376" t="s">
        <v>183</v>
      </c>
      <c r="H376" t="s">
        <v>89</v>
      </c>
      <c r="I376">
        <v>1</v>
      </c>
      <c r="J376">
        <v>373.1</v>
      </c>
      <c r="K376">
        <v>0.1</v>
      </c>
      <c r="L376" t="s">
        <v>98</v>
      </c>
      <c r="M376">
        <v>9</v>
      </c>
      <c r="N376" t="s">
        <v>91</v>
      </c>
      <c r="O376" t="s">
        <v>89</v>
      </c>
      <c r="P376" t="s">
        <v>418</v>
      </c>
      <c r="Q376" t="s">
        <v>290</v>
      </c>
      <c r="R376" t="s">
        <v>87</v>
      </c>
      <c r="S376" t="s">
        <v>98</v>
      </c>
      <c r="T376">
        <v>1</v>
      </c>
      <c r="U376" t="s">
        <v>1356</v>
      </c>
      <c r="V376" t="s">
        <v>1255</v>
      </c>
      <c r="W376" t="s">
        <v>1245</v>
      </c>
      <c r="X376" t="s">
        <v>1215</v>
      </c>
      <c r="Y376" t="s">
        <v>1212</v>
      </c>
      <c r="Z376">
        <v>212.02</v>
      </c>
      <c r="AA376">
        <v>373.1</v>
      </c>
      <c r="AB376">
        <v>37.31</v>
      </c>
      <c r="AC376">
        <v>335.79</v>
      </c>
      <c r="AD376">
        <v>212.02</v>
      </c>
      <c r="AE376">
        <v>123.77000000000001</v>
      </c>
      <c r="AF376">
        <v>0.36859346615444177</v>
      </c>
      <c r="AG376">
        <v>2025</v>
      </c>
      <c r="AH376">
        <v>10</v>
      </c>
      <c r="AI376" t="s">
        <v>1431</v>
      </c>
      <c r="AJ376" t="s">
        <v>1427</v>
      </c>
      <c r="AK376" t="s">
        <v>1244</v>
      </c>
      <c r="AL376">
        <v>0</v>
      </c>
    </row>
    <row r="377" spans="1:38">
      <c r="A377" t="s">
        <v>818</v>
      </c>
      <c r="B377" s="13">
        <v>45896</v>
      </c>
      <c r="C377" t="s">
        <v>203</v>
      </c>
      <c r="D377" t="s">
        <v>271</v>
      </c>
      <c r="E377" t="s">
        <v>573</v>
      </c>
      <c r="F377" t="s">
        <v>111</v>
      </c>
      <c r="G377" t="s">
        <v>183</v>
      </c>
      <c r="H377" t="s">
        <v>97</v>
      </c>
      <c r="I377">
        <v>1</v>
      </c>
      <c r="J377">
        <v>231.29</v>
      </c>
      <c r="K377">
        <v>0.05</v>
      </c>
      <c r="L377" t="s">
        <v>90</v>
      </c>
      <c r="M377">
        <v>1</v>
      </c>
      <c r="N377" t="s">
        <v>91</v>
      </c>
      <c r="O377" t="s">
        <v>97</v>
      </c>
      <c r="P377" t="s">
        <v>271</v>
      </c>
      <c r="Q377" t="s">
        <v>203</v>
      </c>
      <c r="R377" t="s">
        <v>111</v>
      </c>
      <c r="S377" t="s">
        <v>369</v>
      </c>
      <c r="T377">
        <v>1</v>
      </c>
      <c r="U377" t="s">
        <v>1279</v>
      </c>
      <c r="V377" t="s">
        <v>1257</v>
      </c>
      <c r="W377" t="s">
        <v>1237</v>
      </c>
      <c r="X377" t="s">
        <v>1213</v>
      </c>
      <c r="Y377" t="s">
        <v>1212</v>
      </c>
      <c r="Z377">
        <v>139.19999999999999</v>
      </c>
      <c r="AA377">
        <v>231.29</v>
      </c>
      <c r="AB377">
        <v>11.564500000000001</v>
      </c>
      <c r="AC377">
        <v>219.72549999999998</v>
      </c>
      <c r="AD377">
        <v>139.19999999999999</v>
      </c>
      <c r="AE377">
        <v>80.525499999999994</v>
      </c>
      <c r="AF377">
        <v>0.36648226992315414</v>
      </c>
      <c r="AG377">
        <v>2025</v>
      </c>
      <c r="AH377">
        <v>8</v>
      </c>
      <c r="AI377" t="s">
        <v>1417</v>
      </c>
      <c r="AJ377" t="s">
        <v>1418</v>
      </c>
      <c r="AK377" t="s">
        <v>1258</v>
      </c>
      <c r="AL377">
        <v>0</v>
      </c>
    </row>
    <row r="378" spans="1:38">
      <c r="A378" t="s">
        <v>828</v>
      </c>
      <c r="B378" s="13">
        <v>45905</v>
      </c>
      <c r="C378" t="s">
        <v>180</v>
      </c>
      <c r="D378" t="s">
        <v>85</v>
      </c>
      <c r="E378" t="s">
        <v>182</v>
      </c>
      <c r="F378" t="s">
        <v>145</v>
      </c>
      <c r="G378" t="s">
        <v>117</v>
      </c>
      <c r="H378" t="s">
        <v>89</v>
      </c>
      <c r="I378">
        <v>1</v>
      </c>
      <c r="J378">
        <v>310.61</v>
      </c>
      <c r="K378">
        <v>0.25</v>
      </c>
      <c r="L378" t="s">
        <v>106</v>
      </c>
      <c r="M378">
        <v>5</v>
      </c>
      <c r="N378" t="s">
        <v>91</v>
      </c>
      <c r="O378" t="s">
        <v>89</v>
      </c>
      <c r="P378" t="s">
        <v>85</v>
      </c>
      <c r="Q378" t="s">
        <v>180</v>
      </c>
      <c r="R378" t="s">
        <v>145</v>
      </c>
      <c r="S378" t="s">
        <v>106</v>
      </c>
      <c r="T378">
        <v>1</v>
      </c>
      <c r="U378" t="s">
        <v>1332</v>
      </c>
      <c r="V378" t="s">
        <v>1249</v>
      </c>
      <c r="W378" t="s">
        <v>1237</v>
      </c>
      <c r="X378" t="s">
        <v>1211</v>
      </c>
      <c r="Y378" t="s">
        <v>1212</v>
      </c>
      <c r="Z378">
        <v>197.33</v>
      </c>
      <c r="AA378">
        <v>310.61</v>
      </c>
      <c r="AB378">
        <v>77.652500000000003</v>
      </c>
      <c r="AC378">
        <v>232.95750000000001</v>
      </c>
      <c r="AD378">
        <v>197.33</v>
      </c>
      <c r="AE378">
        <v>35.627499999999998</v>
      </c>
      <c r="AF378">
        <v>0.15293562130431515</v>
      </c>
      <c r="AG378">
        <v>2025</v>
      </c>
      <c r="AH378">
        <v>9</v>
      </c>
      <c r="AI378" t="s">
        <v>1432</v>
      </c>
      <c r="AJ378" t="s">
        <v>1418</v>
      </c>
      <c r="AK378" t="s">
        <v>1250</v>
      </c>
      <c r="AL378">
        <v>0</v>
      </c>
    </row>
    <row r="379" spans="1:38">
      <c r="A379" t="s">
        <v>831</v>
      </c>
      <c r="B379" s="13">
        <v>45746</v>
      </c>
      <c r="C379" t="s">
        <v>597</v>
      </c>
      <c r="D379" t="s">
        <v>418</v>
      </c>
      <c r="E379" t="s">
        <v>598</v>
      </c>
      <c r="F379" t="s">
        <v>116</v>
      </c>
      <c r="G379" t="s">
        <v>183</v>
      </c>
      <c r="H379" t="s">
        <v>89</v>
      </c>
      <c r="I379">
        <v>4</v>
      </c>
      <c r="J379">
        <v>369.52</v>
      </c>
      <c r="K379">
        <v>0.05</v>
      </c>
      <c r="L379" t="s">
        <v>106</v>
      </c>
      <c r="M379">
        <v>5</v>
      </c>
      <c r="N379" t="s">
        <v>91</v>
      </c>
      <c r="O379" t="s">
        <v>89</v>
      </c>
      <c r="P379" t="s">
        <v>418</v>
      </c>
      <c r="Q379" t="s">
        <v>597</v>
      </c>
      <c r="R379" t="s">
        <v>116</v>
      </c>
      <c r="S379" t="s">
        <v>106</v>
      </c>
      <c r="T379">
        <v>1</v>
      </c>
      <c r="U379" t="s">
        <v>1246</v>
      </c>
      <c r="V379" t="s">
        <v>1247</v>
      </c>
      <c r="W379" t="s">
        <v>1237</v>
      </c>
      <c r="X379" t="s">
        <v>1215</v>
      </c>
      <c r="Y379" t="s">
        <v>1212</v>
      </c>
      <c r="Z379">
        <v>212.02</v>
      </c>
      <c r="AA379">
        <v>1478.08</v>
      </c>
      <c r="AB379">
        <v>73.903999999999996</v>
      </c>
      <c r="AC379">
        <v>1404.1759999999999</v>
      </c>
      <c r="AD379">
        <v>848.08</v>
      </c>
      <c r="AE379">
        <v>556.09599999999989</v>
      </c>
      <c r="AF379">
        <v>0.39603012727749221</v>
      </c>
      <c r="AG379">
        <v>2025</v>
      </c>
      <c r="AH379">
        <v>3</v>
      </c>
      <c r="AI379" t="s">
        <v>1423</v>
      </c>
      <c r="AJ379" t="s">
        <v>1424</v>
      </c>
      <c r="AK379" t="s">
        <v>1240</v>
      </c>
      <c r="AL379">
        <v>0</v>
      </c>
    </row>
    <row r="380" spans="1:38">
      <c r="A380" t="s">
        <v>833</v>
      </c>
      <c r="B380" s="13">
        <v>45857</v>
      </c>
      <c r="C380" t="s">
        <v>124</v>
      </c>
      <c r="D380" t="s">
        <v>261</v>
      </c>
      <c r="E380" t="s">
        <v>126</v>
      </c>
      <c r="F380" t="s">
        <v>111</v>
      </c>
      <c r="G380" t="s">
        <v>171</v>
      </c>
      <c r="H380" t="s">
        <v>97</v>
      </c>
      <c r="I380">
        <v>1</v>
      </c>
      <c r="J380">
        <v>265.35000000000002</v>
      </c>
      <c r="K380">
        <v>0.15</v>
      </c>
      <c r="L380" t="s">
        <v>90</v>
      </c>
      <c r="M380">
        <v>0</v>
      </c>
      <c r="N380" t="s">
        <v>91</v>
      </c>
      <c r="O380" t="s">
        <v>97</v>
      </c>
      <c r="P380" t="s">
        <v>261</v>
      </c>
      <c r="Q380" t="s">
        <v>124</v>
      </c>
      <c r="R380" t="s">
        <v>111</v>
      </c>
      <c r="S380" t="s">
        <v>369</v>
      </c>
      <c r="T380">
        <v>1</v>
      </c>
      <c r="U380" t="s">
        <v>1270</v>
      </c>
      <c r="V380" t="s">
        <v>1235</v>
      </c>
      <c r="W380" t="s">
        <v>1245</v>
      </c>
      <c r="X380" t="s">
        <v>1218</v>
      </c>
      <c r="Y380" t="s">
        <v>1212</v>
      </c>
      <c r="Z380">
        <v>131.72999999999999</v>
      </c>
      <c r="AA380">
        <v>265.35000000000002</v>
      </c>
      <c r="AB380">
        <v>39.802500000000002</v>
      </c>
      <c r="AC380">
        <v>225.54750000000001</v>
      </c>
      <c r="AD380">
        <v>131.72999999999999</v>
      </c>
      <c r="AE380">
        <v>93.817500000000024</v>
      </c>
      <c r="AF380">
        <v>0.41595451069065281</v>
      </c>
      <c r="AG380">
        <v>2025</v>
      </c>
      <c r="AH380">
        <v>7</v>
      </c>
      <c r="AI380" t="s">
        <v>1422</v>
      </c>
      <c r="AJ380" t="s">
        <v>1418</v>
      </c>
      <c r="AK380" t="s">
        <v>1236</v>
      </c>
      <c r="AL380">
        <v>0</v>
      </c>
    </row>
    <row r="381" spans="1:38">
      <c r="A381" t="s">
        <v>835</v>
      </c>
      <c r="B381" s="13">
        <v>45924</v>
      </c>
      <c r="C381" t="s">
        <v>379</v>
      </c>
      <c r="D381" t="s">
        <v>125</v>
      </c>
      <c r="E381" t="s">
        <v>380</v>
      </c>
      <c r="F381" t="s">
        <v>145</v>
      </c>
      <c r="G381" t="s">
        <v>96</v>
      </c>
      <c r="H381" t="s">
        <v>89</v>
      </c>
      <c r="I381">
        <v>1</v>
      </c>
      <c r="J381">
        <v>54.86</v>
      </c>
      <c r="K381">
        <v>0</v>
      </c>
      <c r="L381" t="s">
        <v>106</v>
      </c>
      <c r="M381">
        <v>2</v>
      </c>
      <c r="N381" t="s">
        <v>91</v>
      </c>
      <c r="O381" t="s">
        <v>89</v>
      </c>
      <c r="P381" t="s">
        <v>125</v>
      </c>
      <c r="Q381" t="s">
        <v>379</v>
      </c>
      <c r="R381" t="s">
        <v>145</v>
      </c>
      <c r="S381" t="s">
        <v>106</v>
      </c>
      <c r="T381">
        <v>1</v>
      </c>
      <c r="U381" t="s">
        <v>1320</v>
      </c>
      <c r="V381" t="s">
        <v>1239</v>
      </c>
      <c r="W381" t="s">
        <v>1245</v>
      </c>
      <c r="X381" t="s">
        <v>1214</v>
      </c>
      <c r="Y381" t="s">
        <v>1212</v>
      </c>
      <c r="Z381">
        <v>25.97</v>
      </c>
      <c r="AA381">
        <v>54.86</v>
      </c>
      <c r="AB381">
        <v>0</v>
      </c>
      <c r="AC381">
        <v>54.86</v>
      </c>
      <c r="AD381">
        <v>25.97</v>
      </c>
      <c r="AE381">
        <v>28.89</v>
      </c>
      <c r="AF381">
        <v>0.52661319722931099</v>
      </c>
      <c r="AG381">
        <v>2025</v>
      </c>
      <c r="AH381">
        <v>9</v>
      </c>
      <c r="AI381" t="s">
        <v>1432</v>
      </c>
      <c r="AJ381" t="s">
        <v>1418</v>
      </c>
      <c r="AK381" t="s">
        <v>1240</v>
      </c>
      <c r="AL381">
        <v>0</v>
      </c>
    </row>
    <row r="382" spans="1:38">
      <c r="A382" t="s">
        <v>838</v>
      </c>
      <c r="B382" s="13">
        <v>45941</v>
      </c>
      <c r="C382" t="s">
        <v>177</v>
      </c>
      <c r="D382" t="s">
        <v>261</v>
      </c>
      <c r="E382" t="s">
        <v>178</v>
      </c>
      <c r="F382" t="s">
        <v>103</v>
      </c>
      <c r="G382" t="s">
        <v>104</v>
      </c>
      <c r="H382" t="s">
        <v>89</v>
      </c>
      <c r="I382">
        <v>4</v>
      </c>
      <c r="J382">
        <v>245.77</v>
      </c>
      <c r="K382">
        <v>0</v>
      </c>
      <c r="L382" t="s">
        <v>154</v>
      </c>
      <c r="M382">
        <v>9</v>
      </c>
      <c r="N382" t="s">
        <v>91</v>
      </c>
      <c r="O382" t="s">
        <v>89</v>
      </c>
      <c r="P382" t="s">
        <v>261</v>
      </c>
      <c r="Q382" t="s">
        <v>177</v>
      </c>
      <c r="R382" t="s">
        <v>103</v>
      </c>
      <c r="S382" t="s">
        <v>154</v>
      </c>
      <c r="T382">
        <v>1</v>
      </c>
      <c r="U382" t="s">
        <v>1293</v>
      </c>
      <c r="V382" t="s">
        <v>1235</v>
      </c>
      <c r="W382" t="s">
        <v>1241</v>
      </c>
      <c r="X382" t="s">
        <v>1218</v>
      </c>
      <c r="Y382" t="s">
        <v>1212</v>
      </c>
      <c r="Z382">
        <v>131.72999999999999</v>
      </c>
      <c r="AA382">
        <v>983.08</v>
      </c>
      <c r="AB382">
        <v>0</v>
      </c>
      <c r="AC382">
        <v>983.08</v>
      </c>
      <c r="AD382">
        <v>526.91999999999996</v>
      </c>
      <c r="AE382">
        <v>456.16000000000008</v>
      </c>
      <c r="AF382">
        <v>0.46401106725800551</v>
      </c>
      <c r="AG382">
        <v>2025</v>
      </c>
      <c r="AH382">
        <v>10</v>
      </c>
      <c r="AI382" t="s">
        <v>1431</v>
      </c>
      <c r="AJ382" t="s">
        <v>1427</v>
      </c>
      <c r="AK382" t="s">
        <v>1236</v>
      </c>
      <c r="AL382">
        <v>0</v>
      </c>
    </row>
    <row r="383" spans="1:38">
      <c r="A383" t="s">
        <v>844</v>
      </c>
      <c r="B383" s="13">
        <v>45892</v>
      </c>
      <c r="C383" t="s">
        <v>173</v>
      </c>
      <c r="D383" t="s">
        <v>194</v>
      </c>
      <c r="E383" t="s">
        <v>175</v>
      </c>
      <c r="F383" t="s">
        <v>145</v>
      </c>
      <c r="G383" t="s">
        <v>183</v>
      </c>
      <c r="H383" t="s">
        <v>97</v>
      </c>
      <c r="I383">
        <v>2</v>
      </c>
      <c r="J383">
        <v>206.15</v>
      </c>
      <c r="K383">
        <v>0.1</v>
      </c>
      <c r="L383" t="s">
        <v>98</v>
      </c>
      <c r="M383">
        <v>3</v>
      </c>
      <c r="N383" t="s">
        <v>91</v>
      </c>
      <c r="O383" t="s">
        <v>97</v>
      </c>
      <c r="P383" t="s">
        <v>194</v>
      </c>
      <c r="Q383" t="s">
        <v>173</v>
      </c>
      <c r="R383" t="s">
        <v>145</v>
      </c>
      <c r="S383" t="s">
        <v>98</v>
      </c>
      <c r="T383">
        <v>1</v>
      </c>
      <c r="U383" t="s">
        <v>1327</v>
      </c>
      <c r="V383" t="s">
        <v>1275</v>
      </c>
      <c r="W383" t="s">
        <v>1241</v>
      </c>
      <c r="X383" t="s">
        <v>1216</v>
      </c>
      <c r="Y383" t="s">
        <v>1212</v>
      </c>
      <c r="Z383">
        <v>101</v>
      </c>
      <c r="AA383">
        <v>412.3</v>
      </c>
      <c r="AB383">
        <v>41.230000000000004</v>
      </c>
      <c r="AC383">
        <v>371.07</v>
      </c>
      <c r="AD383">
        <v>202</v>
      </c>
      <c r="AE383">
        <v>169.07</v>
      </c>
      <c r="AF383">
        <v>0.4556283181070957</v>
      </c>
      <c r="AG383">
        <v>2025</v>
      </c>
      <c r="AH383">
        <v>8</v>
      </c>
      <c r="AI383" t="s">
        <v>1417</v>
      </c>
      <c r="AJ383" t="s">
        <v>1418</v>
      </c>
      <c r="AK383" t="s">
        <v>1258</v>
      </c>
      <c r="AL383">
        <v>0</v>
      </c>
    </row>
    <row r="384" spans="1:38">
      <c r="A384" t="s">
        <v>845</v>
      </c>
      <c r="B384" s="13">
        <v>45877</v>
      </c>
      <c r="C384" t="s">
        <v>500</v>
      </c>
      <c r="D384" t="s">
        <v>271</v>
      </c>
      <c r="E384" t="s">
        <v>846</v>
      </c>
      <c r="F384" t="s">
        <v>116</v>
      </c>
      <c r="G384" t="s">
        <v>183</v>
      </c>
      <c r="H384" t="s">
        <v>97</v>
      </c>
      <c r="I384">
        <v>2</v>
      </c>
      <c r="J384">
        <v>212.26</v>
      </c>
      <c r="K384">
        <v>0.1</v>
      </c>
      <c r="L384" t="s">
        <v>106</v>
      </c>
      <c r="M384">
        <v>0</v>
      </c>
      <c r="N384" t="s">
        <v>91</v>
      </c>
      <c r="O384" t="s">
        <v>97</v>
      </c>
      <c r="P384" t="s">
        <v>271</v>
      </c>
      <c r="Q384" t="s">
        <v>500</v>
      </c>
      <c r="R384" t="s">
        <v>116</v>
      </c>
      <c r="S384" t="s">
        <v>106</v>
      </c>
      <c r="T384">
        <v>1</v>
      </c>
      <c r="U384" t="s">
        <v>1298</v>
      </c>
      <c r="V384" t="s">
        <v>1297</v>
      </c>
      <c r="W384" t="s">
        <v>1245</v>
      </c>
      <c r="X384" t="s">
        <v>1213</v>
      </c>
      <c r="Y384" t="s">
        <v>1212</v>
      </c>
      <c r="Z384">
        <v>139.19999999999999</v>
      </c>
      <c r="AA384">
        <v>424.52</v>
      </c>
      <c r="AB384">
        <v>42.451999999999998</v>
      </c>
      <c r="AC384">
        <v>382.06799999999998</v>
      </c>
      <c r="AD384">
        <v>278.39999999999998</v>
      </c>
      <c r="AE384">
        <v>103.66800000000001</v>
      </c>
      <c r="AF384">
        <v>0.27133389867772234</v>
      </c>
      <c r="AG384">
        <v>2025</v>
      </c>
      <c r="AH384">
        <v>8</v>
      </c>
      <c r="AI384" t="s">
        <v>1417</v>
      </c>
      <c r="AJ384" t="s">
        <v>1418</v>
      </c>
      <c r="AK384" t="s">
        <v>1258</v>
      </c>
      <c r="AL384">
        <v>0</v>
      </c>
    </row>
    <row r="385" spans="1:38">
      <c r="A385" t="s">
        <v>850</v>
      </c>
      <c r="B385" s="13">
        <v>45747</v>
      </c>
      <c r="C385" t="s">
        <v>851</v>
      </c>
      <c r="D385" t="s">
        <v>271</v>
      </c>
      <c r="E385" t="s">
        <v>852</v>
      </c>
      <c r="F385" t="s">
        <v>116</v>
      </c>
      <c r="G385" t="s">
        <v>183</v>
      </c>
      <c r="H385" t="s">
        <v>233</v>
      </c>
      <c r="I385">
        <v>1</v>
      </c>
      <c r="J385">
        <v>236.77</v>
      </c>
      <c r="K385">
        <v>0.1</v>
      </c>
      <c r="L385" t="s">
        <v>106</v>
      </c>
      <c r="M385">
        <v>0</v>
      </c>
      <c r="N385" t="s">
        <v>91</v>
      </c>
      <c r="O385" t="s">
        <v>97</v>
      </c>
      <c r="P385" t="s">
        <v>271</v>
      </c>
      <c r="Q385" t="s">
        <v>851</v>
      </c>
      <c r="R385" t="s">
        <v>116</v>
      </c>
      <c r="S385" t="s">
        <v>106</v>
      </c>
      <c r="T385">
        <v>1</v>
      </c>
      <c r="U385" t="s">
        <v>1276</v>
      </c>
      <c r="V385" t="s">
        <v>1275</v>
      </c>
      <c r="W385" t="s">
        <v>1245</v>
      </c>
      <c r="X385" t="s">
        <v>1213</v>
      </c>
      <c r="Y385" t="s">
        <v>1212</v>
      </c>
      <c r="Z385">
        <v>139.19999999999999</v>
      </c>
      <c r="AA385">
        <v>236.77</v>
      </c>
      <c r="AB385">
        <v>23.677000000000003</v>
      </c>
      <c r="AC385">
        <v>213.09300000000002</v>
      </c>
      <c r="AD385">
        <v>139.19999999999999</v>
      </c>
      <c r="AE385">
        <v>73.893000000000029</v>
      </c>
      <c r="AF385">
        <v>0.34676408891892285</v>
      </c>
      <c r="AG385">
        <v>2025</v>
      </c>
      <c r="AH385">
        <v>3</v>
      </c>
      <c r="AI385" t="s">
        <v>1423</v>
      </c>
      <c r="AJ385" t="s">
        <v>1424</v>
      </c>
      <c r="AK385" t="s">
        <v>1258</v>
      </c>
      <c r="AL385">
        <v>0</v>
      </c>
    </row>
    <row r="386" spans="1:38">
      <c r="A386" t="s">
        <v>866</v>
      </c>
      <c r="B386" s="13">
        <v>46003</v>
      </c>
      <c r="C386" t="s">
        <v>613</v>
      </c>
      <c r="D386" t="s">
        <v>85</v>
      </c>
      <c r="E386" t="s">
        <v>710</v>
      </c>
      <c r="F386" t="s">
        <v>116</v>
      </c>
      <c r="G386" t="s">
        <v>183</v>
      </c>
      <c r="H386" t="s">
        <v>89</v>
      </c>
      <c r="I386">
        <v>1</v>
      </c>
      <c r="J386">
        <v>302.3</v>
      </c>
      <c r="K386">
        <v>0</v>
      </c>
      <c r="L386" t="s">
        <v>106</v>
      </c>
      <c r="M386">
        <v>3</v>
      </c>
      <c r="N386" t="s">
        <v>91</v>
      </c>
      <c r="O386" t="s">
        <v>89</v>
      </c>
      <c r="P386" t="s">
        <v>85</v>
      </c>
      <c r="Q386" t="s">
        <v>613</v>
      </c>
      <c r="R386" t="s">
        <v>116</v>
      </c>
      <c r="S386" t="s">
        <v>106</v>
      </c>
      <c r="T386">
        <v>1</v>
      </c>
      <c r="U386" t="s">
        <v>1289</v>
      </c>
      <c r="V386" t="s">
        <v>1260</v>
      </c>
      <c r="W386" t="s">
        <v>1245</v>
      </c>
      <c r="X386" t="s">
        <v>1211</v>
      </c>
      <c r="Y386" t="s">
        <v>1212</v>
      </c>
      <c r="Z386">
        <v>197.33</v>
      </c>
      <c r="AA386">
        <v>302.3</v>
      </c>
      <c r="AB386">
        <v>0</v>
      </c>
      <c r="AC386">
        <v>302.3</v>
      </c>
      <c r="AD386">
        <v>197.33</v>
      </c>
      <c r="AE386">
        <v>104.97</v>
      </c>
      <c r="AF386">
        <v>0.34723784320211709</v>
      </c>
      <c r="AG386">
        <v>2025</v>
      </c>
      <c r="AH386">
        <v>12</v>
      </c>
      <c r="AI386" t="s">
        <v>1428</v>
      </c>
      <c r="AJ386" t="s">
        <v>1427</v>
      </c>
      <c r="AK386" t="s">
        <v>1240</v>
      </c>
      <c r="AL386">
        <v>0</v>
      </c>
    </row>
    <row r="387" spans="1:38">
      <c r="A387" t="s">
        <v>868</v>
      </c>
      <c r="B387" s="13">
        <v>45758</v>
      </c>
      <c r="C387" t="s">
        <v>613</v>
      </c>
      <c r="D387" t="s">
        <v>271</v>
      </c>
      <c r="E387" t="s">
        <v>710</v>
      </c>
      <c r="F387" t="s">
        <v>145</v>
      </c>
      <c r="G387" t="s">
        <v>130</v>
      </c>
      <c r="H387" t="s">
        <v>97</v>
      </c>
      <c r="I387">
        <v>1</v>
      </c>
      <c r="J387">
        <v>217.33</v>
      </c>
      <c r="K387">
        <v>0.15</v>
      </c>
      <c r="L387" t="s">
        <v>98</v>
      </c>
      <c r="M387">
        <v>2</v>
      </c>
      <c r="N387" t="s">
        <v>91</v>
      </c>
      <c r="O387" t="s">
        <v>97</v>
      </c>
      <c r="P387" t="s">
        <v>271</v>
      </c>
      <c r="Q387" t="s">
        <v>613</v>
      </c>
      <c r="R387" t="s">
        <v>145</v>
      </c>
      <c r="S387" t="s">
        <v>98</v>
      </c>
      <c r="T387">
        <v>1</v>
      </c>
      <c r="U387" t="s">
        <v>1289</v>
      </c>
      <c r="V387" t="s">
        <v>1260</v>
      </c>
      <c r="W387" t="s">
        <v>1245</v>
      </c>
      <c r="X387" t="s">
        <v>1213</v>
      </c>
      <c r="Y387" t="s">
        <v>1212</v>
      </c>
      <c r="Z387">
        <v>139.19999999999999</v>
      </c>
      <c r="AA387">
        <v>217.33</v>
      </c>
      <c r="AB387">
        <v>32.599499999999999</v>
      </c>
      <c r="AC387">
        <v>184.73050000000001</v>
      </c>
      <c r="AD387">
        <v>139.19999999999999</v>
      </c>
      <c r="AE387">
        <v>45.530500000000018</v>
      </c>
      <c r="AF387">
        <v>0.24646985744097491</v>
      </c>
      <c r="AG387">
        <v>2025</v>
      </c>
      <c r="AH387">
        <v>4</v>
      </c>
      <c r="AI387" t="s">
        <v>1421</v>
      </c>
      <c r="AJ387" t="s">
        <v>1420</v>
      </c>
      <c r="AK387" t="s">
        <v>1240</v>
      </c>
      <c r="AL387">
        <v>0</v>
      </c>
    </row>
    <row r="388" spans="1:38">
      <c r="A388" t="s">
        <v>870</v>
      </c>
      <c r="B388" s="13">
        <v>45956</v>
      </c>
      <c r="C388" t="s">
        <v>239</v>
      </c>
      <c r="D388" t="s">
        <v>271</v>
      </c>
      <c r="E388" t="s">
        <v>240</v>
      </c>
      <c r="F388" t="s">
        <v>87</v>
      </c>
      <c r="G388" t="s">
        <v>183</v>
      </c>
      <c r="H388" t="s">
        <v>89</v>
      </c>
      <c r="I388">
        <v>3</v>
      </c>
      <c r="J388">
        <v>236.23</v>
      </c>
      <c r="K388">
        <v>0</v>
      </c>
      <c r="L388" t="s">
        <v>106</v>
      </c>
      <c r="M388">
        <v>3</v>
      </c>
      <c r="N388" t="s">
        <v>91</v>
      </c>
      <c r="O388" t="s">
        <v>89</v>
      </c>
      <c r="P388" t="s">
        <v>271</v>
      </c>
      <c r="Q388" t="s">
        <v>239</v>
      </c>
      <c r="R388" t="s">
        <v>87</v>
      </c>
      <c r="S388" t="s">
        <v>106</v>
      </c>
      <c r="T388">
        <v>1</v>
      </c>
      <c r="U388" t="s">
        <v>1336</v>
      </c>
      <c r="V388" t="s">
        <v>1297</v>
      </c>
      <c r="W388" t="s">
        <v>1237</v>
      </c>
      <c r="X388" t="s">
        <v>1213</v>
      </c>
      <c r="Y388" t="s">
        <v>1212</v>
      </c>
      <c r="Z388">
        <v>139.19999999999999</v>
      </c>
      <c r="AA388">
        <v>708.68999999999994</v>
      </c>
      <c r="AB388">
        <v>0</v>
      </c>
      <c r="AC388">
        <v>708.68999999999994</v>
      </c>
      <c r="AD388">
        <v>417.59999999999997</v>
      </c>
      <c r="AE388">
        <v>291.08999999999997</v>
      </c>
      <c r="AF388">
        <v>0.41074376666807771</v>
      </c>
      <c r="AG388">
        <v>2025</v>
      </c>
      <c r="AH388">
        <v>10</v>
      </c>
      <c r="AI388" t="s">
        <v>1431</v>
      </c>
      <c r="AJ388" t="s">
        <v>1427</v>
      </c>
      <c r="AK388" t="s">
        <v>1258</v>
      </c>
      <c r="AL388">
        <v>0</v>
      </c>
    </row>
    <row r="389" spans="1:38">
      <c r="A389" t="s">
        <v>871</v>
      </c>
      <c r="B389" s="13">
        <v>45768</v>
      </c>
      <c r="C389" t="s">
        <v>466</v>
      </c>
      <c r="D389" t="s">
        <v>109</v>
      </c>
      <c r="E389" t="s">
        <v>467</v>
      </c>
      <c r="F389" t="s">
        <v>145</v>
      </c>
      <c r="G389" t="s">
        <v>171</v>
      </c>
      <c r="H389" t="s">
        <v>89</v>
      </c>
      <c r="I389">
        <v>2</v>
      </c>
      <c r="J389">
        <v>191.17</v>
      </c>
      <c r="K389">
        <v>0</v>
      </c>
      <c r="L389" t="s">
        <v>106</v>
      </c>
      <c r="M389">
        <v>9</v>
      </c>
      <c r="N389" t="s">
        <v>91</v>
      </c>
      <c r="O389" t="s">
        <v>89</v>
      </c>
      <c r="P389" t="s">
        <v>109</v>
      </c>
      <c r="Q389" t="s">
        <v>466</v>
      </c>
      <c r="R389" t="s">
        <v>145</v>
      </c>
      <c r="S389" t="s">
        <v>106</v>
      </c>
      <c r="T389">
        <v>1</v>
      </c>
      <c r="U389" t="s">
        <v>1340</v>
      </c>
      <c r="V389" t="s">
        <v>1247</v>
      </c>
      <c r="W389" t="s">
        <v>1245</v>
      </c>
      <c r="X389" t="s">
        <v>1219</v>
      </c>
      <c r="Y389" t="s">
        <v>1212</v>
      </c>
      <c r="Z389">
        <v>132.72</v>
      </c>
      <c r="AA389">
        <v>382.34</v>
      </c>
      <c r="AB389">
        <v>0</v>
      </c>
      <c r="AC389">
        <v>382.34</v>
      </c>
      <c r="AD389">
        <v>265.44</v>
      </c>
      <c r="AE389">
        <v>116.89999999999998</v>
      </c>
      <c r="AF389">
        <v>0.3057488099597217</v>
      </c>
      <c r="AG389">
        <v>2025</v>
      </c>
      <c r="AH389">
        <v>4</v>
      </c>
      <c r="AI389" t="s">
        <v>1421</v>
      </c>
      <c r="AJ389" t="s">
        <v>1420</v>
      </c>
      <c r="AK389" t="s">
        <v>1240</v>
      </c>
      <c r="AL389">
        <v>0</v>
      </c>
    </row>
    <row r="390" spans="1:38">
      <c r="A390" t="s">
        <v>872</v>
      </c>
      <c r="B390" s="13">
        <v>45813</v>
      </c>
      <c r="C390" t="s">
        <v>363</v>
      </c>
      <c r="D390" t="s">
        <v>346</v>
      </c>
      <c r="E390" t="s">
        <v>364</v>
      </c>
      <c r="F390" t="s">
        <v>87</v>
      </c>
      <c r="G390" t="s">
        <v>183</v>
      </c>
      <c r="H390" t="s">
        <v>89</v>
      </c>
      <c r="I390">
        <v>1</v>
      </c>
      <c r="J390">
        <v>259.19</v>
      </c>
      <c r="K390">
        <v>0.1</v>
      </c>
      <c r="L390" t="s">
        <v>106</v>
      </c>
      <c r="M390">
        <v>3</v>
      </c>
      <c r="N390" t="s">
        <v>91</v>
      </c>
      <c r="O390" t="s">
        <v>89</v>
      </c>
      <c r="P390" t="s">
        <v>346</v>
      </c>
      <c r="Q390" t="s">
        <v>363</v>
      </c>
      <c r="R390" t="s">
        <v>87</v>
      </c>
      <c r="S390" t="s">
        <v>106</v>
      </c>
      <c r="T390">
        <v>1</v>
      </c>
      <c r="U390" t="s">
        <v>1274</v>
      </c>
      <c r="V390" t="s">
        <v>1275</v>
      </c>
      <c r="W390" t="s">
        <v>1245</v>
      </c>
      <c r="X390" t="s">
        <v>1217</v>
      </c>
      <c r="Y390" t="s">
        <v>1212</v>
      </c>
      <c r="Z390">
        <v>125.4</v>
      </c>
      <c r="AA390">
        <v>259.19</v>
      </c>
      <c r="AB390">
        <v>25.919</v>
      </c>
      <c r="AC390">
        <v>233.27099999999999</v>
      </c>
      <c r="AD390">
        <v>125.4</v>
      </c>
      <c r="AE390">
        <v>107.87099999999998</v>
      </c>
      <c r="AF390">
        <v>0.4624278200033437</v>
      </c>
      <c r="AG390">
        <v>2025</v>
      </c>
      <c r="AH390">
        <v>6</v>
      </c>
      <c r="AI390" t="s">
        <v>1429</v>
      </c>
      <c r="AJ390" t="s">
        <v>1420</v>
      </c>
      <c r="AK390" t="s">
        <v>1258</v>
      </c>
      <c r="AL390">
        <v>0</v>
      </c>
    </row>
    <row r="391" spans="1:38">
      <c r="A391" t="s">
        <v>873</v>
      </c>
      <c r="B391" s="13">
        <v>45810</v>
      </c>
      <c r="C391" t="s">
        <v>494</v>
      </c>
      <c r="D391" t="s">
        <v>418</v>
      </c>
      <c r="E391" t="s">
        <v>495</v>
      </c>
      <c r="F391" t="s">
        <v>145</v>
      </c>
      <c r="G391" t="s">
        <v>183</v>
      </c>
      <c r="H391" t="s">
        <v>89</v>
      </c>
      <c r="I391">
        <v>1</v>
      </c>
      <c r="J391">
        <v>365.39</v>
      </c>
      <c r="K391">
        <v>0.15</v>
      </c>
      <c r="L391" t="s">
        <v>90</v>
      </c>
      <c r="M391">
        <v>8</v>
      </c>
      <c r="N391" t="s">
        <v>91</v>
      </c>
      <c r="O391" t="s">
        <v>89</v>
      </c>
      <c r="P391" t="s">
        <v>418</v>
      </c>
      <c r="Q391" t="s">
        <v>494</v>
      </c>
      <c r="R391" t="s">
        <v>145</v>
      </c>
      <c r="S391" t="s">
        <v>369</v>
      </c>
      <c r="T391">
        <v>1</v>
      </c>
      <c r="U391" t="s">
        <v>1266</v>
      </c>
      <c r="V391" t="s">
        <v>1255</v>
      </c>
      <c r="W391" t="s">
        <v>1245</v>
      </c>
      <c r="X391" t="s">
        <v>1215</v>
      </c>
      <c r="Y391" t="s">
        <v>1212</v>
      </c>
      <c r="Z391">
        <v>212.02</v>
      </c>
      <c r="AA391">
        <v>365.39</v>
      </c>
      <c r="AB391">
        <v>54.808499999999995</v>
      </c>
      <c r="AC391">
        <v>310.58150000000001</v>
      </c>
      <c r="AD391">
        <v>212.02</v>
      </c>
      <c r="AE391">
        <v>98.561499999999995</v>
      </c>
      <c r="AF391">
        <v>0.31734504469841246</v>
      </c>
      <c r="AG391">
        <v>2025</v>
      </c>
      <c r="AH391">
        <v>6</v>
      </c>
      <c r="AI391" t="s">
        <v>1429</v>
      </c>
      <c r="AJ391" t="s">
        <v>1420</v>
      </c>
      <c r="AK391" t="s">
        <v>1244</v>
      </c>
      <c r="AL391">
        <v>0</v>
      </c>
    </row>
    <row r="392" spans="1:38">
      <c r="A392" t="s">
        <v>875</v>
      </c>
      <c r="B392" s="13">
        <v>45966</v>
      </c>
      <c r="C392" t="s">
        <v>371</v>
      </c>
      <c r="D392" t="s">
        <v>418</v>
      </c>
      <c r="E392" t="s">
        <v>372</v>
      </c>
      <c r="F392" t="s">
        <v>87</v>
      </c>
      <c r="G392" t="s">
        <v>104</v>
      </c>
      <c r="H392" t="s">
        <v>105</v>
      </c>
      <c r="I392">
        <v>3</v>
      </c>
      <c r="J392">
        <v>352.01</v>
      </c>
      <c r="K392">
        <v>0.1</v>
      </c>
      <c r="L392" t="s">
        <v>106</v>
      </c>
      <c r="M392">
        <v>3</v>
      </c>
      <c r="N392" t="s">
        <v>91</v>
      </c>
      <c r="O392" t="s">
        <v>105</v>
      </c>
      <c r="P392" t="s">
        <v>418</v>
      </c>
      <c r="Q392" t="s">
        <v>371</v>
      </c>
      <c r="R392" t="s">
        <v>87</v>
      </c>
      <c r="S392" t="s">
        <v>106</v>
      </c>
      <c r="T392">
        <v>1</v>
      </c>
      <c r="U392" t="s">
        <v>1302</v>
      </c>
      <c r="V392" t="s">
        <v>1260</v>
      </c>
      <c r="W392" t="s">
        <v>1237</v>
      </c>
      <c r="X392" t="s">
        <v>1215</v>
      </c>
      <c r="Y392" t="s">
        <v>1212</v>
      </c>
      <c r="Z392">
        <v>212.02</v>
      </c>
      <c r="AA392">
        <v>1056.03</v>
      </c>
      <c r="AB392">
        <v>105.60300000000001</v>
      </c>
      <c r="AC392">
        <v>950.42699999999991</v>
      </c>
      <c r="AD392">
        <v>636.06000000000006</v>
      </c>
      <c r="AE392">
        <v>314.36699999999985</v>
      </c>
      <c r="AF392">
        <v>0.33076396188239587</v>
      </c>
      <c r="AG392">
        <v>2025</v>
      </c>
      <c r="AH392">
        <v>11</v>
      </c>
      <c r="AI392" t="s">
        <v>1426</v>
      </c>
      <c r="AJ392" t="s">
        <v>1427</v>
      </c>
      <c r="AK392" t="s">
        <v>1240</v>
      </c>
      <c r="AL392">
        <v>0</v>
      </c>
    </row>
    <row r="393" spans="1:38">
      <c r="A393" t="s">
        <v>884</v>
      </c>
      <c r="B393" s="13">
        <v>45797</v>
      </c>
      <c r="C393" t="s">
        <v>124</v>
      </c>
      <c r="D393" t="s">
        <v>194</v>
      </c>
      <c r="E393" t="s">
        <v>126</v>
      </c>
      <c r="F393" t="s">
        <v>103</v>
      </c>
      <c r="G393" t="s">
        <v>171</v>
      </c>
      <c r="H393" t="s">
        <v>97</v>
      </c>
      <c r="I393">
        <v>1</v>
      </c>
      <c r="J393">
        <v>203.87</v>
      </c>
      <c r="K393">
        <v>0</v>
      </c>
      <c r="L393" t="s">
        <v>98</v>
      </c>
      <c r="M393">
        <v>2</v>
      </c>
      <c r="N393" t="s">
        <v>91</v>
      </c>
      <c r="O393" t="s">
        <v>97</v>
      </c>
      <c r="P393" t="s">
        <v>194</v>
      </c>
      <c r="Q393" t="s">
        <v>124</v>
      </c>
      <c r="R393" t="s">
        <v>103</v>
      </c>
      <c r="S393" t="s">
        <v>98</v>
      </c>
      <c r="T393">
        <v>1</v>
      </c>
      <c r="U393" t="s">
        <v>1270</v>
      </c>
      <c r="V393" t="s">
        <v>1235</v>
      </c>
      <c r="W393" t="s">
        <v>1245</v>
      </c>
      <c r="X393" t="s">
        <v>1216</v>
      </c>
      <c r="Y393" t="s">
        <v>1212</v>
      </c>
      <c r="Z393">
        <v>101</v>
      </c>
      <c r="AA393">
        <v>203.87</v>
      </c>
      <c r="AB393">
        <v>0</v>
      </c>
      <c r="AC393">
        <v>203.87</v>
      </c>
      <c r="AD393">
        <v>101</v>
      </c>
      <c r="AE393">
        <v>102.87</v>
      </c>
      <c r="AF393">
        <v>0.50458625594741746</v>
      </c>
      <c r="AG393">
        <v>2025</v>
      </c>
      <c r="AH393">
        <v>5</v>
      </c>
      <c r="AI393" t="s">
        <v>1419</v>
      </c>
      <c r="AJ393" t="s">
        <v>1420</v>
      </c>
      <c r="AK393" t="s">
        <v>1236</v>
      </c>
      <c r="AL393">
        <v>0</v>
      </c>
    </row>
    <row r="394" spans="1:38">
      <c r="A394" t="s">
        <v>888</v>
      </c>
      <c r="B394" s="13">
        <v>45908</v>
      </c>
      <c r="C394" t="s">
        <v>265</v>
      </c>
      <c r="D394" t="s">
        <v>346</v>
      </c>
      <c r="E394" t="s">
        <v>266</v>
      </c>
      <c r="F394" t="s">
        <v>87</v>
      </c>
      <c r="G394" t="s">
        <v>122</v>
      </c>
      <c r="H394" t="s">
        <v>97</v>
      </c>
      <c r="I394">
        <v>3</v>
      </c>
      <c r="J394">
        <v>252.66</v>
      </c>
      <c r="K394">
        <v>0.25</v>
      </c>
      <c r="L394" t="s">
        <v>98</v>
      </c>
      <c r="M394">
        <v>2</v>
      </c>
      <c r="N394" t="s">
        <v>91</v>
      </c>
      <c r="O394" t="s">
        <v>97</v>
      </c>
      <c r="P394" t="s">
        <v>346</v>
      </c>
      <c r="Q394" t="s">
        <v>265</v>
      </c>
      <c r="R394" t="s">
        <v>87</v>
      </c>
      <c r="S394" t="s">
        <v>98</v>
      </c>
      <c r="T394">
        <v>1</v>
      </c>
      <c r="U394" t="s">
        <v>1269</v>
      </c>
      <c r="V394" t="s">
        <v>1255</v>
      </c>
      <c r="W394" t="s">
        <v>1237</v>
      </c>
      <c r="X394" t="s">
        <v>1217</v>
      </c>
      <c r="Y394" t="s">
        <v>1212</v>
      </c>
      <c r="Z394">
        <v>125.4</v>
      </c>
      <c r="AA394">
        <v>757.98</v>
      </c>
      <c r="AB394">
        <v>189.495</v>
      </c>
      <c r="AC394">
        <v>568.48500000000001</v>
      </c>
      <c r="AD394">
        <v>376.20000000000005</v>
      </c>
      <c r="AE394">
        <v>192.28499999999997</v>
      </c>
      <c r="AF394">
        <v>0.3382411145412807</v>
      </c>
      <c r="AG394">
        <v>2025</v>
      </c>
      <c r="AH394">
        <v>9</v>
      </c>
      <c r="AI394" t="s">
        <v>1432</v>
      </c>
      <c r="AJ394" t="s">
        <v>1418</v>
      </c>
      <c r="AK394" t="s">
        <v>1244</v>
      </c>
      <c r="AL394">
        <v>0</v>
      </c>
    </row>
    <row r="395" spans="1:38">
      <c r="A395" t="s">
        <v>889</v>
      </c>
      <c r="B395" s="13">
        <v>45908</v>
      </c>
      <c r="C395" t="s">
        <v>536</v>
      </c>
      <c r="D395" t="s">
        <v>271</v>
      </c>
      <c r="E395" t="s">
        <v>431</v>
      </c>
      <c r="F395" t="s">
        <v>111</v>
      </c>
      <c r="G395" t="s">
        <v>171</v>
      </c>
      <c r="H395" t="s">
        <v>105</v>
      </c>
      <c r="I395">
        <v>2</v>
      </c>
      <c r="J395">
        <v>235.33</v>
      </c>
      <c r="K395">
        <v>0.05</v>
      </c>
      <c r="L395" t="s">
        <v>98</v>
      </c>
      <c r="M395">
        <v>2</v>
      </c>
      <c r="N395" t="s">
        <v>91</v>
      </c>
      <c r="O395" t="s">
        <v>105</v>
      </c>
      <c r="P395" t="s">
        <v>271</v>
      </c>
      <c r="Q395" t="s">
        <v>536</v>
      </c>
      <c r="R395" t="s">
        <v>111</v>
      </c>
      <c r="S395" t="s">
        <v>98</v>
      </c>
      <c r="T395">
        <v>1</v>
      </c>
      <c r="U395" t="s">
        <v>1289</v>
      </c>
      <c r="V395" t="s">
        <v>1235</v>
      </c>
      <c r="W395" t="s">
        <v>1237</v>
      </c>
      <c r="X395" t="s">
        <v>1213</v>
      </c>
      <c r="Y395" t="s">
        <v>1212</v>
      </c>
      <c r="Z395">
        <v>139.19999999999999</v>
      </c>
      <c r="AA395">
        <v>470.66</v>
      </c>
      <c r="AB395">
        <v>23.533000000000001</v>
      </c>
      <c r="AC395">
        <v>447.12700000000001</v>
      </c>
      <c r="AD395">
        <v>278.39999999999998</v>
      </c>
      <c r="AE395">
        <v>168.72700000000003</v>
      </c>
      <c r="AF395">
        <v>0.37735811078284254</v>
      </c>
      <c r="AG395">
        <v>2025</v>
      </c>
      <c r="AH395">
        <v>9</v>
      </c>
      <c r="AI395" t="s">
        <v>1432</v>
      </c>
      <c r="AJ395" t="s">
        <v>1418</v>
      </c>
      <c r="AK395" t="s">
        <v>1236</v>
      </c>
      <c r="AL395">
        <v>0</v>
      </c>
    </row>
    <row r="396" spans="1:38">
      <c r="A396" t="s">
        <v>895</v>
      </c>
      <c r="B396" s="13">
        <v>45912</v>
      </c>
      <c r="C396" t="s">
        <v>316</v>
      </c>
      <c r="D396" t="s">
        <v>85</v>
      </c>
      <c r="E396" t="s">
        <v>317</v>
      </c>
      <c r="F396" t="s">
        <v>103</v>
      </c>
      <c r="G396" t="s">
        <v>96</v>
      </c>
      <c r="H396" t="s">
        <v>105</v>
      </c>
      <c r="I396">
        <v>1</v>
      </c>
      <c r="J396">
        <v>295.25</v>
      </c>
      <c r="K396">
        <v>0.1</v>
      </c>
      <c r="L396" t="s">
        <v>154</v>
      </c>
      <c r="M396">
        <v>5</v>
      </c>
      <c r="N396" t="s">
        <v>91</v>
      </c>
      <c r="O396" t="s">
        <v>105</v>
      </c>
      <c r="P396" t="s">
        <v>85</v>
      </c>
      <c r="Q396" t="s">
        <v>316</v>
      </c>
      <c r="R396" t="s">
        <v>103</v>
      </c>
      <c r="S396" t="s">
        <v>154</v>
      </c>
      <c r="T396">
        <v>1</v>
      </c>
      <c r="U396" t="s">
        <v>1323</v>
      </c>
      <c r="V396" t="s">
        <v>1297</v>
      </c>
      <c r="W396" t="s">
        <v>1237</v>
      </c>
      <c r="X396" t="s">
        <v>1211</v>
      </c>
      <c r="Y396" t="s">
        <v>1212</v>
      </c>
      <c r="Z396">
        <v>197.33</v>
      </c>
      <c r="AA396">
        <v>295.25</v>
      </c>
      <c r="AB396">
        <v>29.525000000000002</v>
      </c>
      <c r="AC396">
        <v>265.72500000000002</v>
      </c>
      <c r="AD396">
        <v>197.33</v>
      </c>
      <c r="AE396">
        <v>68.39500000000001</v>
      </c>
      <c r="AF396">
        <v>0.25739015899896511</v>
      </c>
      <c r="AG396">
        <v>2025</v>
      </c>
      <c r="AH396">
        <v>9</v>
      </c>
      <c r="AI396" t="s">
        <v>1432</v>
      </c>
      <c r="AJ396" t="s">
        <v>1418</v>
      </c>
      <c r="AK396" t="s">
        <v>1258</v>
      </c>
      <c r="AL396">
        <v>0</v>
      </c>
    </row>
    <row r="397" spans="1:38">
      <c r="A397" t="s">
        <v>904</v>
      </c>
      <c r="B397" s="13">
        <v>45812</v>
      </c>
      <c r="C397" t="s">
        <v>169</v>
      </c>
      <c r="D397" t="s">
        <v>85</v>
      </c>
      <c r="E397" t="s">
        <v>170</v>
      </c>
      <c r="F397" t="s">
        <v>116</v>
      </c>
      <c r="G397" t="s">
        <v>130</v>
      </c>
      <c r="H397" t="s">
        <v>105</v>
      </c>
      <c r="I397">
        <v>1</v>
      </c>
      <c r="J397">
        <v>294.06</v>
      </c>
      <c r="K397">
        <v>0.15</v>
      </c>
      <c r="L397" t="s">
        <v>106</v>
      </c>
      <c r="M397">
        <v>8</v>
      </c>
      <c r="N397" t="s">
        <v>91</v>
      </c>
      <c r="O397" t="s">
        <v>105</v>
      </c>
      <c r="P397" t="s">
        <v>85</v>
      </c>
      <c r="Q397" t="s">
        <v>169</v>
      </c>
      <c r="R397" t="s">
        <v>116</v>
      </c>
      <c r="S397" t="s">
        <v>106</v>
      </c>
      <c r="T397">
        <v>1</v>
      </c>
      <c r="U397" t="s">
        <v>1313</v>
      </c>
      <c r="V397" t="s">
        <v>1288</v>
      </c>
      <c r="W397" t="s">
        <v>1237</v>
      </c>
      <c r="X397" t="s">
        <v>1211</v>
      </c>
      <c r="Y397" t="s">
        <v>1212</v>
      </c>
      <c r="Z397">
        <v>197.33</v>
      </c>
      <c r="AA397">
        <v>294.06</v>
      </c>
      <c r="AB397">
        <v>44.109000000000002</v>
      </c>
      <c r="AC397">
        <v>249.95099999999999</v>
      </c>
      <c r="AD397">
        <v>197.33</v>
      </c>
      <c r="AE397">
        <v>52.620999999999981</v>
      </c>
      <c r="AF397">
        <v>0.21052526295153842</v>
      </c>
      <c r="AG397">
        <v>2025</v>
      </c>
      <c r="AH397">
        <v>6</v>
      </c>
      <c r="AI397" t="s">
        <v>1429</v>
      </c>
      <c r="AJ397" t="s">
        <v>1420</v>
      </c>
      <c r="AK397" t="s">
        <v>1250</v>
      </c>
      <c r="AL397">
        <v>0</v>
      </c>
    </row>
    <row r="398" spans="1:38">
      <c r="A398" t="s">
        <v>910</v>
      </c>
      <c r="B398" s="13">
        <v>45837</v>
      </c>
      <c r="C398" t="s">
        <v>177</v>
      </c>
      <c r="D398" t="s">
        <v>109</v>
      </c>
      <c r="E398" t="s">
        <v>178</v>
      </c>
      <c r="F398" t="s">
        <v>87</v>
      </c>
      <c r="G398" t="s">
        <v>171</v>
      </c>
      <c r="H398" t="s">
        <v>89</v>
      </c>
      <c r="I398">
        <v>1</v>
      </c>
      <c r="J398">
        <v>202.81</v>
      </c>
      <c r="K398">
        <v>0.15</v>
      </c>
      <c r="L398" t="s">
        <v>106</v>
      </c>
      <c r="M398">
        <v>9</v>
      </c>
      <c r="N398" t="s">
        <v>91</v>
      </c>
      <c r="O398" t="s">
        <v>89</v>
      </c>
      <c r="P398" t="s">
        <v>109</v>
      </c>
      <c r="Q398" t="s">
        <v>177</v>
      </c>
      <c r="R398" t="s">
        <v>87</v>
      </c>
      <c r="S398" t="s">
        <v>106</v>
      </c>
      <c r="T398">
        <v>1</v>
      </c>
      <c r="U398" t="s">
        <v>1293</v>
      </c>
      <c r="V398" t="s">
        <v>1235</v>
      </c>
      <c r="W398" t="s">
        <v>1241</v>
      </c>
      <c r="X398" t="s">
        <v>1219</v>
      </c>
      <c r="Y398" t="s">
        <v>1212</v>
      </c>
      <c r="Z398">
        <v>132.72</v>
      </c>
      <c r="AA398">
        <v>202.81</v>
      </c>
      <c r="AB398">
        <v>30.421499999999998</v>
      </c>
      <c r="AC398">
        <v>172.38849999999999</v>
      </c>
      <c r="AD398">
        <v>132.72</v>
      </c>
      <c r="AE398">
        <v>39.668499999999995</v>
      </c>
      <c r="AF398">
        <v>0.23011105729210474</v>
      </c>
      <c r="AG398">
        <v>2025</v>
      </c>
      <c r="AH398">
        <v>6</v>
      </c>
      <c r="AI398" t="s">
        <v>1429</v>
      </c>
      <c r="AJ398" t="s">
        <v>1420</v>
      </c>
      <c r="AK398" t="s">
        <v>1236</v>
      </c>
      <c r="AL398">
        <v>0</v>
      </c>
    </row>
    <row r="399" spans="1:38">
      <c r="A399" t="s">
        <v>912</v>
      </c>
      <c r="B399" s="13">
        <v>45735</v>
      </c>
      <c r="C399" t="s">
        <v>290</v>
      </c>
      <c r="D399" t="s">
        <v>271</v>
      </c>
      <c r="E399" t="s">
        <v>732</v>
      </c>
      <c r="F399" t="s">
        <v>103</v>
      </c>
      <c r="G399" t="s">
        <v>171</v>
      </c>
      <c r="H399" t="s">
        <v>89</v>
      </c>
      <c r="I399">
        <v>2</v>
      </c>
      <c r="J399">
        <v>223.1</v>
      </c>
      <c r="K399">
        <v>0.25</v>
      </c>
      <c r="L399" t="s">
        <v>106</v>
      </c>
      <c r="M399">
        <v>8</v>
      </c>
      <c r="N399" t="s">
        <v>91</v>
      </c>
      <c r="O399" t="s">
        <v>89</v>
      </c>
      <c r="P399" t="s">
        <v>271</v>
      </c>
      <c r="Q399" t="s">
        <v>290</v>
      </c>
      <c r="R399" t="s">
        <v>103</v>
      </c>
      <c r="S399" t="s">
        <v>106</v>
      </c>
      <c r="T399">
        <v>1</v>
      </c>
      <c r="U399" t="s">
        <v>1356</v>
      </c>
      <c r="V399" t="s">
        <v>1255</v>
      </c>
      <c r="W399" t="s">
        <v>1245</v>
      </c>
      <c r="X399" t="s">
        <v>1213</v>
      </c>
      <c r="Y399" t="s">
        <v>1212</v>
      </c>
      <c r="Z399">
        <v>139.19999999999999</v>
      </c>
      <c r="AA399">
        <v>446.2</v>
      </c>
      <c r="AB399">
        <v>111.55</v>
      </c>
      <c r="AC399">
        <v>334.65</v>
      </c>
      <c r="AD399">
        <v>278.39999999999998</v>
      </c>
      <c r="AE399">
        <v>56.25</v>
      </c>
      <c r="AF399">
        <v>0.16808606006275215</v>
      </c>
      <c r="AG399">
        <v>2025</v>
      </c>
      <c r="AH399">
        <v>3</v>
      </c>
      <c r="AI399" t="s">
        <v>1423</v>
      </c>
      <c r="AJ399" t="s">
        <v>1424</v>
      </c>
      <c r="AK399" t="s">
        <v>1244</v>
      </c>
      <c r="AL399">
        <v>0</v>
      </c>
    </row>
    <row r="400" spans="1:38">
      <c r="A400" t="s">
        <v>913</v>
      </c>
      <c r="B400" s="13">
        <v>45768</v>
      </c>
      <c r="C400" t="s">
        <v>548</v>
      </c>
      <c r="D400" t="s">
        <v>261</v>
      </c>
      <c r="E400" t="s">
        <v>585</v>
      </c>
      <c r="F400" t="s">
        <v>116</v>
      </c>
      <c r="G400" t="s">
        <v>130</v>
      </c>
      <c r="H400" t="s">
        <v>97</v>
      </c>
      <c r="I400">
        <v>2</v>
      </c>
      <c r="J400">
        <v>254.63</v>
      </c>
      <c r="K400">
        <v>0.1</v>
      </c>
      <c r="L400" t="s">
        <v>90</v>
      </c>
      <c r="M400">
        <v>2</v>
      </c>
      <c r="N400" t="s">
        <v>91</v>
      </c>
      <c r="O400" t="s">
        <v>97</v>
      </c>
      <c r="P400" t="s">
        <v>261</v>
      </c>
      <c r="Q400" t="s">
        <v>548</v>
      </c>
      <c r="R400" t="s">
        <v>116</v>
      </c>
      <c r="S400" t="s">
        <v>369</v>
      </c>
      <c r="T400">
        <v>1</v>
      </c>
      <c r="U400" t="s">
        <v>1342</v>
      </c>
      <c r="V400" t="s">
        <v>1247</v>
      </c>
      <c r="W400" t="s">
        <v>1241</v>
      </c>
      <c r="X400" t="s">
        <v>1218</v>
      </c>
      <c r="Y400" t="s">
        <v>1212</v>
      </c>
      <c r="Z400">
        <v>131.72999999999999</v>
      </c>
      <c r="AA400">
        <v>509.26</v>
      </c>
      <c r="AB400">
        <v>50.926000000000002</v>
      </c>
      <c r="AC400">
        <v>458.334</v>
      </c>
      <c r="AD400">
        <v>263.45999999999998</v>
      </c>
      <c r="AE400">
        <v>194.87400000000002</v>
      </c>
      <c r="AF400">
        <v>0.42517901792142854</v>
      </c>
      <c r="AG400">
        <v>2025</v>
      </c>
      <c r="AH400">
        <v>4</v>
      </c>
      <c r="AI400" t="s">
        <v>1421</v>
      </c>
      <c r="AJ400" t="s">
        <v>1420</v>
      </c>
      <c r="AK400" t="s">
        <v>1240</v>
      </c>
      <c r="AL400">
        <v>0</v>
      </c>
    </row>
    <row r="401" spans="1:38">
      <c r="A401" t="s">
        <v>915</v>
      </c>
      <c r="B401" s="13">
        <v>45847</v>
      </c>
      <c r="C401" t="s">
        <v>273</v>
      </c>
      <c r="D401" t="s">
        <v>194</v>
      </c>
      <c r="E401" t="s">
        <v>274</v>
      </c>
      <c r="F401" t="s">
        <v>111</v>
      </c>
      <c r="G401" t="s">
        <v>130</v>
      </c>
      <c r="H401" t="s">
        <v>97</v>
      </c>
      <c r="I401">
        <v>2</v>
      </c>
      <c r="J401">
        <v>190.66</v>
      </c>
      <c r="K401">
        <v>0</v>
      </c>
      <c r="L401" t="s">
        <v>106</v>
      </c>
      <c r="M401">
        <v>3</v>
      </c>
      <c r="N401" t="s">
        <v>91</v>
      </c>
      <c r="O401" t="s">
        <v>97</v>
      </c>
      <c r="P401" t="s">
        <v>194</v>
      </c>
      <c r="Q401" t="s">
        <v>273</v>
      </c>
      <c r="R401" t="s">
        <v>111</v>
      </c>
      <c r="S401" t="s">
        <v>106</v>
      </c>
      <c r="T401">
        <v>1</v>
      </c>
      <c r="U401" t="s">
        <v>1314</v>
      </c>
      <c r="V401" t="s">
        <v>1247</v>
      </c>
      <c r="W401" t="s">
        <v>1237</v>
      </c>
      <c r="X401" t="s">
        <v>1216</v>
      </c>
      <c r="Y401" t="s">
        <v>1212</v>
      </c>
      <c r="Z401">
        <v>101</v>
      </c>
      <c r="AA401">
        <v>381.32</v>
      </c>
      <c r="AB401">
        <v>0</v>
      </c>
      <c r="AC401">
        <v>381.32</v>
      </c>
      <c r="AD401">
        <v>202</v>
      </c>
      <c r="AE401">
        <v>179.32</v>
      </c>
      <c r="AF401">
        <v>0.47026119794398402</v>
      </c>
      <c r="AG401">
        <v>2025</v>
      </c>
      <c r="AH401">
        <v>7</v>
      </c>
      <c r="AI401" t="s">
        <v>1422</v>
      </c>
      <c r="AJ401" t="s">
        <v>1418</v>
      </c>
      <c r="AK401" t="s">
        <v>1240</v>
      </c>
      <c r="AL401">
        <v>0</v>
      </c>
    </row>
    <row r="402" spans="1:38">
      <c r="A402" t="s">
        <v>917</v>
      </c>
      <c r="B402" s="13">
        <v>45708</v>
      </c>
      <c r="C402" t="s">
        <v>349</v>
      </c>
      <c r="D402" t="s">
        <v>271</v>
      </c>
      <c r="E402" t="s">
        <v>350</v>
      </c>
      <c r="F402" t="s">
        <v>87</v>
      </c>
      <c r="G402" t="s">
        <v>183</v>
      </c>
      <c r="H402" t="s">
        <v>97</v>
      </c>
      <c r="I402">
        <v>1</v>
      </c>
      <c r="J402">
        <v>231.28</v>
      </c>
      <c r="K402">
        <v>0</v>
      </c>
      <c r="L402" t="s">
        <v>90</v>
      </c>
      <c r="M402">
        <v>2</v>
      </c>
      <c r="N402" t="s">
        <v>147</v>
      </c>
      <c r="O402" t="s">
        <v>97</v>
      </c>
      <c r="P402" t="s">
        <v>271</v>
      </c>
      <c r="Q402" t="s">
        <v>349</v>
      </c>
      <c r="R402" t="s">
        <v>87</v>
      </c>
      <c r="S402" t="s">
        <v>369</v>
      </c>
      <c r="T402">
        <v>1</v>
      </c>
      <c r="U402" t="s">
        <v>1335</v>
      </c>
      <c r="V402" t="s">
        <v>1297</v>
      </c>
      <c r="W402" t="s">
        <v>1241</v>
      </c>
      <c r="X402" t="s">
        <v>1213</v>
      </c>
      <c r="Y402" t="s">
        <v>1212</v>
      </c>
      <c r="Z402">
        <v>139.19999999999999</v>
      </c>
      <c r="AA402">
        <v>231.28</v>
      </c>
      <c r="AB402">
        <v>0</v>
      </c>
      <c r="AC402">
        <v>231.28</v>
      </c>
      <c r="AD402">
        <v>139.19999999999999</v>
      </c>
      <c r="AE402">
        <v>92.080000000000013</v>
      </c>
      <c r="AF402">
        <v>0.39813213420961613</v>
      </c>
      <c r="AG402">
        <v>2025</v>
      </c>
      <c r="AH402">
        <v>2</v>
      </c>
      <c r="AI402" t="s">
        <v>1430</v>
      </c>
      <c r="AJ402" t="s">
        <v>1424</v>
      </c>
      <c r="AK402" t="s">
        <v>1258</v>
      </c>
      <c r="AL402">
        <v>1</v>
      </c>
    </row>
    <row r="403" spans="1:38">
      <c r="A403" t="s">
        <v>920</v>
      </c>
      <c r="B403" s="13">
        <v>45872</v>
      </c>
      <c r="C403" t="s">
        <v>491</v>
      </c>
      <c r="D403" t="s">
        <v>346</v>
      </c>
      <c r="E403" t="s">
        <v>492</v>
      </c>
      <c r="F403" t="s">
        <v>145</v>
      </c>
      <c r="G403" t="s">
        <v>88</v>
      </c>
      <c r="H403" t="s">
        <v>89</v>
      </c>
      <c r="I403">
        <v>2</v>
      </c>
      <c r="J403">
        <v>238.38</v>
      </c>
      <c r="K403">
        <v>0.15</v>
      </c>
      <c r="L403" t="s">
        <v>90</v>
      </c>
      <c r="M403">
        <v>6</v>
      </c>
      <c r="N403" t="s">
        <v>91</v>
      </c>
      <c r="O403" t="s">
        <v>89</v>
      </c>
      <c r="P403" t="s">
        <v>346</v>
      </c>
      <c r="Q403" t="s">
        <v>491</v>
      </c>
      <c r="R403" t="s">
        <v>145</v>
      </c>
      <c r="S403" t="s">
        <v>369</v>
      </c>
      <c r="T403">
        <v>1</v>
      </c>
      <c r="U403" t="s">
        <v>1298</v>
      </c>
      <c r="V403" t="s">
        <v>1243</v>
      </c>
      <c r="W403" t="s">
        <v>1245</v>
      </c>
      <c r="X403" t="s">
        <v>1217</v>
      </c>
      <c r="Y403" t="s">
        <v>1212</v>
      </c>
      <c r="Z403">
        <v>125.4</v>
      </c>
      <c r="AA403">
        <v>476.76</v>
      </c>
      <c r="AB403">
        <v>71.513999999999996</v>
      </c>
      <c r="AC403">
        <v>405.24599999999998</v>
      </c>
      <c r="AD403">
        <v>250.8</v>
      </c>
      <c r="AE403">
        <v>154.44599999999997</v>
      </c>
      <c r="AF403">
        <v>0.38111665506877296</v>
      </c>
      <c r="AG403">
        <v>2025</v>
      </c>
      <c r="AH403">
        <v>8</v>
      </c>
      <c r="AI403" t="s">
        <v>1417</v>
      </c>
      <c r="AJ403" t="s">
        <v>1418</v>
      </c>
      <c r="AK403" t="s">
        <v>1244</v>
      </c>
      <c r="AL403">
        <v>0</v>
      </c>
    </row>
    <row r="404" spans="1:38">
      <c r="A404" t="s">
        <v>921</v>
      </c>
      <c r="B404" s="13">
        <v>45849</v>
      </c>
      <c r="C404" t="s">
        <v>389</v>
      </c>
      <c r="D404" t="s">
        <v>85</v>
      </c>
      <c r="E404" t="s">
        <v>390</v>
      </c>
      <c r="F404" t="s">
        <v>145</v>
      </c>
      <c r="G404" t="s">
        <v>117</v>
      </c>
      <c r="H404" t="s">
        <v>105</v>
      </c>
      <c r="I404">
        <v>1</v>
      </c>
      <c r="J404">
        <v>295.45</v>
      </c>
      <c r="K404">
        <v>0.2</v>
      </c>
      <c r="L404" t="s">
        <v>98</v>
      </c>
      <c r="M404">
        <v>6</v>
      </c>
      <c r="N404" t="s">
        <v>91</v>
      </c>
      <c r="O404" t="s">
        <v>105</v>
      </c>
      <c r="P404" t="s">
        <v>85</v>
      </c>
      <c r="Q404" t="s">
        <v>389</v>
      </c>
      <c r="R404" t="s">
        <v>145</v>
      </c>
      <c r="S404" t="s">
        <v>98</v>
      </c>
      <c r="T404">
        <v>1</v>
      </c>
      <c r="U404" t="s">
        <v>1264</v>
      </c>
      <c r="V404" t="s">
        <v>1325</v>
      </c>
      <c r="W404" t="s">
        <v>1245</v>
      </c>
      <c r="X404" t="s">
        <v>1211</v>
      </c>
      <c r="Y404" t="s">
        <v>1212</v>
      </c>
      <c r="Z404">
        <v>197.33</v>
      </c>
      <c r="AA404">
        <v>295.45</v>
      </c>
      <c r="AB404">
        <v>59.09</v>
      </c>
      <c r="AC404">
        <v>236.35999999999999</v>
      </c>
      <c r="AD404">
        <v>197.33</v>
      </c>
      <c r="AE404">
        <v>39.029999999999973</v>
      </c>
      <c r="AF404">
        <v>0.16512946353020805</v>
      </c>
      <c r="AG404">
        <v>2025</v>
      </c>
      <c r="AH404">
        <v>7</v>
      </c>
      <c r="AI404" t="s">
        <v>1422</v>
      </c>
      <c r="AJ404" t="s">
        <v>1418</v>
      </c>
      <c r="AK404" t="s">
        <v>1326</v>
      </c>
      <c r="AL404">
        <v>0</v>
      </c>
    </row>
    <row r="405" spans="1:38">
      <c r="A405" t="s">
        <v>927</v>
      </c>
      <c r="B405" s="13">
        <v>45928</v>
      </c>
      <c r="C405" t="s">
        <v>169</v>
      </c>
      <c r="D405" t="s">
        <v>109</v>
      </c>
      <c r="E405" t="s">
        <v>435</v>
      </c>
      <c r="F405" t="s">
        <v>116</v>
      </c>
      <c r="G405" t="s">
        <v>183</v>
      </c>
      <c r="H405" t="s">
        <v>97</v>
      </c>
      <c r="I405">
        <v>2</v>
      </c>
      <c r="J405">
        <v>202.09</v>
      </c>
      <c r="K405">
        <v>0.05</v>
      </c>
      <c r="L405" t="s">
        <v>106</v>
      </c>
      <c r="M405">
        <v>2</v>
      </c>
      <c r="N405" t="s">
        <v>91</v>
      </c>
      <c r="O405" t="s">
        <v>97</v>
      </c>
      <c r="P405" t="s">
        <v>109</v>
      </c>
      <c r="Q405" t="s">
        <v>169</v>
      </c>
      <c r="R405" t="s">
        <v>116</v>
      </c>
      <c r="S405" t="s">
        <v>106</v>
      </c>
      <c r="T405">
        <v>1</v>
      </c>
      <c r="U405" t="s">
        <v>1313</v>
      </c>
      <c r="V405" t="s">
        <v>1288</v>
      </c>
      <c r="W405" t="s">
        <v>1237</v>
      </c>
      <c r="X405" t="s">
        <v>1219</v>
      </c>
      <c r="Y405" t="s">
        <v>1212</v>
      </c>
      <c r="Z405">
        <v>132.72</v>
      </c>
      <c r="AA405">
        <v>404.18</v>
      </c>
      <c r="AB405">
        <v>20.209000000000003</v>
      </c>
      <c r="AC405">
        <v>383.971</v>
      </c>
      <c r="AD405">
        <v>265.44</v>
      </c>
      <c r="AE405">
        <v>118.53100000000001</v>
      </c>
      <c r="AF405">
        <v>0.30869779228118793</v>
      </c>
      <c r="AG405">
        <v>2025</v>
      </c>
      <c r="AH405">
        <v>9</v>
      </c>
      <c r="AI405" t="s">
        <v>1432</v>
      </c>
      <c r="AJ405" t="s">
        <v>1418</v>
      </c>
      <c r="AK405" t="s">
        <v>1250</v>
      </c>
      <c r="AL405">
        <v>0</v>
      </c>
    </row>
    <row r="406" spans="1:38">
      <c r="A406" t="s">
        <v>928</v>
      </c>
      <c r="B406" s="13">
        <v>45882</v>
      </c>
      <c r="C406" t="s">
        <v>374</v>
      </c>
      <c r="D406" t="s">
        <v>271</v>
      </c>
      <c r="E406" t="s">
        <v>825</v>
      </c>
      <c r="F406" t="s">
        <v>116</v>
      </c>
      <c r="G406" t="s">
        <v>183</v>
      </c>
      <c r="H406" t="s">
        <v>89</v>
      </c>
      <c r="I406">
        <v>2</v>
      </c>
      <c r="J406">
        <v>230.29</v>
      </c>
      <c r="K406">
        <v>0.25</v>
      </c>
      <c r="L406" t="s">
        <v>106</v>
      </c>
      <c r="M406">
        <v>5</v>
      </c>
      <c r="N406" t="s">
        <v>91</v>
      </c>
      <c r="O406" t="s">
        <v>89</v>
      </c>
      <c r="P406" t="s">
        <v>271</v>
      </c>
      <c r="Q406" t="s">
        <v>374</v>
      </c>
      <c r="R406" t="s">
        <v>116</v>
      </c>
      <c r="S406" t="s">
        <v>106</v>
      </c>
      <c r="T406">
        <v>1</v>
      </c>
      <c r="U406" t="s">
        <v>1287</v>
      </c>
      <c r="V406" t="s">
        <v>1288</v>
      </c>
      <c r="W406" t="s">
        <v>1241</v>
      </c>
      <c r="X406" t="s">
        <v>1213</v>
      </c>
      <c r="Y406" t="s">
        <v>1212</v>
      </c>
      <c r="Z406">
        <v>139.19999999999999</v>
      </c>
      <c r="AA406">
        <v>460.58</v>
      </c>
      <c r="AB406">
        <v>115.145</v>
      </c>
      <c r="AC406">
        <v>345.435</v>
      </c>
      <c r="AD406">
        <v>278.39999999999998</v>
      </c>
      <c r="AE406">
        <v>67.035000000000025</v>
      </c>
      <c r="AF406">
        <v>0.19405966390203663</v>
      </c>
      <c r="AG406">
        <v>2025</v>
      </c>
      <c r="AH406">
        <v>8</v>
      </c>
      <c r="AI406" t="s">
        <v>1417</v>
      </c>
      <c r="AJ406" t="s">
        <v>1418</v>
      </c>
      <c r="AK406" t="s">
        <v>1250</v>
      </c>
      <c r="AL406">
        <v>0</v>
      </c>
    </row>
    <row r="407" spans="1:38">
      <c r="A407" t="s">
        <v>936</v>
      </c>
      <c r="B407" s="13">
        <v>45804</v>
      </c>
      <c r="C407" t="s">
        <v>396</v>
      </c>
      <c r="D407" t="s">
        <v>85</v>
      </c>
      <c r="E407" t="s">
        <v>397</v>
      </c>
      <c r="F407" t="s">
        <v>87</v>
      </c>
      <c r="G407" t="s">
        <v>88</v>
      </c>
      <c r="H407" t="s">
        <v>89</v>
      </c>
      <c r="I407">
        <v>1</v>
      </c>
      <c r="J407">
        <v>326.2</v>
      </c>
      <c r="K407">
        <v>0</v>
      </c>
      <c r="L407" t="s">
        <v>98</v>
      </c>
      <c r="M407">
        <v>1</v>
      </c>
      <c r="N407" t="s">
        <v>91</v>
      </c>
      <c r="O407" t="s">
        <v>89</v>
      </c>
      <c r="P407" t="s">
        <v>85</v>
      </c>
      <c r="Q407" t="s">
        <v>396</v>
      </c>
      <c r="R407" t="s">
        <v>87</v>
      </c>
      <c r="S407" t="s">
        <v>98</v>
      </c>
      <c r="T407">
        <v>1</v>
      </c>
      <c r="U407" t="s">
        <v>1309</v>
      </c>
      <c r="V407" t="s">
        <v>1247</v>
      </c>
      <c r="W407" t="s">
        <v>1237</v>
      </c>
      <c r="X407" t="s">
        <v>1211</v>
      </c>
      <c r="Y407" t="s">
        <v>1212</v>
      </c>
      <c r="Z407">
        <v>197.33</v>
      </c>
      <c r="AA407">
        <v>326.2</v>
      </c>
      <c r="AB407">
        <v>0</v>
      </c>
      <c r="AC407">
        <v>326.2</v>
      </c>
      <c r="AD407">
        <v>197.33</v>
      </c>
      <c r="AE407">
        <v>128.86999999999998</v>
      </c>
      <c r="AF407">
        <v>0.39506437768240338</v>
      </c>
      <c r="AG407">
        <v>2025</v>
      </c>
      <c r="AH407">
        <v>5</v>
      </c>
      <c r="AI407" t="s">
        <v>1419</v>
      </c>
      <c r="AJ407" t="s">
        <v>1420</v>
      </c>
      <c r="AK407" t="s">
        <v>1240</v>
      </c>
      <c r="AL407">
        <v>0</v>
      </c>
    </row>
    <row r="408" spans="1:38">
      <c r="A408" t="s">
        <v>937</v>
      </c>
      <c r="B408" s="13">
        <v>45875</v>
      </c>
      <c r="C408" t="s">
        <v>851</v>
      </c>
      <c r="D408" t="s">
        <v>418</v>
      </c>
      <c r="E408" t="s">
        <v>852</v>
      </c>
      <c r="F408" t="s">
        <v>111</v>
      </c>
      <c r="G408" t="s">
        <v>130</v>
      </c>
      <c r="H408" t="s">
        <v>89</v>
      </c>
      <c r="I408">
        <v>1</v>
      </c>
      <c r="J408">
        <v>353.25</v>
      </c>
      <c r="K408">
        <v>0.2</v>
      </c>
      <c r="L408" t="s">
        <v>106</v>
      </c>
      <c r="M408">
        <v>1</v>
      </c>
      <c r="N408" t="s">
        <v>91</v>
      </c>
      <c r="O408" t="s">
        <v>89</v>
      </c>
      <c r="P408" t="s">
        <v>418</v>
      </c>
      <c r="Q408" t="s">
        <v>851</v>
      </c>
      <c r="R408" t="s">
        <v>111</v>
      </c>
      <c r="S408" t="s">
        <v>106</v>
      </c>
      <c r="T408">
        <v>1</v>
      </c>
      <c r="U408" t="s">
        <v>1276</v>
      </c>
      <c r="V408" t="s">
        <v>1275</v>
      </c>
      <c r="W408" t="s">
        <v>1245</v>
      </c>
      <c r="X408" t="s">
        <v>1215</v>
      </c>
      <c r="Y408" t="s">
        <v>1212</v>
      </c>
      <c r="Z408">
        <v>212.02</v>
      </c>
      <c r="AA408">
        <v>353.25</v>
      </c>
      <c r="AB408">
        <v>70.650000000000006</v>
      </c>
      <c r="AC408">
        <v>282.60000000000002</v>
      </c>
      <c r="AD408">
        <v>212.02</v>
      </c>
      <c r="AE408">
        <v>70.580000000000013</v>
      </c>
      <c r="AF408">
        <v>0.24975230007077143</v>
      </c>
      <c r="AG408">
        <v>2025</v>
      </c>
      <c r="AH408">
        <v>8</v>
      </c>
      <c r="AI408" t="s">
        <v>1417</v>
      </c>
      <c r="AJ408" t="s">
        <v>1418</v>
      </c>
      <c r="AK408" t="s">
        <v>1258</v>
      </c>
      <c r="AL408">
        <v>0</v>
      </c>
    </row>
    <row r="409" spans="1:38">
      <c r="A409" t="s">
        <v>938</v>
      </c>
      <c r="B409" s="13">
        <v>45880</v>
      </c>
      <c r="C409" t="s">
        <v>220</v>
      </c>
      <c r="D409" t="s">
        <v>346</v>
      </c>
      <c r="E409" t="s">
        <v>222</v>
      </c>
      <c r="F409" t="s">
        <v>145</v>
      </c>
      <c r="G409" t="s">
        <v>104</v>
      </c>
      <c r="H409" t="s">
        <v>89</v>
      </c>
      <c r="I409">
        <v>1</v>
      </c>
      <c r="J409">
        <v>247.11</v>
      </c>
      <c r="K409">
        <v>0.1</v>
      </c>
      <c r="L409" t="s">
        <v>106</v>
      </c>
      <c r="M409">
        <v>5</v>
      </c>
      <c r="N409" t="s">
        <v>91</v>
      </c>
      <c r="O409" t="s">
        <v>89</v>
      </c>
      <c r="P409" t="s">
        <v>346</v>
      </c>
      <c r="Q409" t="s">
        <v>220</v>
      </c>
      <c r="R409" t="s">
        <v>145</v>
      </c>
      <c r="S409" t="s">
        <v>106</v>
      </c>
      <c r="T409">
        <v>1</v>
      </c>
      <c r="U409" t="s">
        <v>1315</v>
      </c>
      <c r="V409" t="s">
        <v>1255</v>
      </c>
      <c r="W409" t="s">
        <v>1237</v>
      </c>
      <c r="X409" t="s">
        <v>1217</v>
      </c>
      <c r="Y409" t="s">
        <v>1212</v>
      </c>
      <c r="Z409">
        <v>125.4</v>
      </c>
      <c r="AA409">
        <v>247.11</v>
      </c>
      <c r="AB409">
        <v>24.711000000000002</v>
      </c>
      <c r="AC409">
        <v>222.399</v>
      </c>
      <c r="AD409">
        <v>125.4</v>
      </c>
      <c r="AE409">
        <v>96.998999999999995</v>
      </c>
      <c r="AF409">
        <v>0.43614854383338053</v>
      </c>
      <c r="AG409">
        <v>2025</v>
      </c>
      <c r="AH409">
        <v>8</v>
      </c>
      <c r="AI409" t="s">
        <v>1417</v>
      </c>
      <c r="AJ409" t="s">
        <v>1418</v>
      </c>
      <c r="AK409" t="s">
        <v>1244</v>
      </c>
      <c r="AL409">
        <v>0</v>
      </c>
    </row>
    <row r="410" spans="1:38">
      <c r="A410" t="s">
        <v>941</v>
      </c>
      <c r="B410" s="13">
        <v>45872</v>
      </c>
      <c r="C410" t="s">
        <v>410</v>
      </c>
      <c r="D410" t="s">
        <v>109</v>
      </c>
      <c r="E410" t="s">
        <v>411</v>
      </c>
      <c r="F410" t="s">
        <v>145</v>
      </c>
      <c r="G410" t="s">
        <v>96</v>
      </c>
      <c r="H410" t="s">
        <v>89</v>
      </c>
      <c r="I410">
        <v>2</v>
      </c>
      <c r="J410">
        <v>204.99</v>
      </c>
      <c r="K410">
        <v>0</v>
      </c>
      <c r="L410" t="s">
        <v>98</v>
      </c>
      <c r="M410">
        <v>7</v>
      </c>
      <c r="N410" t="s">
        <v>91</v>
      </c>
      <c r="O410" t="s">
        <v>89</v>
      </c>
      <c r="P410" t="s">
        <v>109</v>
      </c>
      <c r="Q410" t="s">
        <v>410</v>
      </c>
      <c r="R410" t="s">
        <v>145</v>
      </c>
      <c r="S410" t="s">
        <v>98</v>
      </c>
      <c r="T410">
        <v>1</v>
      </c>
      <c r="U410" t="s">
        <v>1234</v>
      </c>
      <c r="V410" t="s">
        <v>1284</v>
      </c>
      <c r="W410" t="s">
        <v>1237</v>
      </c>
      <c r="X410" t="s">
        <v>1219</v>
      </c>
      <c r="Y410" t="s">
        <v>1212</v>
      </c>
      <c r="Z410">
        <v>132.72</v>
      </c>
      <c r="AA410">
        <v>409.98</v>
      </c>
      <c r="AB410">
        <v>0</v>
      </c>
      <c r="AC410">
        <v>409.98</v>
      </c>
      <c r="AD410">
        <v>265.44</v>
      </c>
      <c r="AE410">
        <v>144.54000000000002</v>
      </c>
      <c r="AF410">
        <v>0.35255378311137131</v>
      </c>
      <c r="AG410">
        <v>2025</v>
      </c>
      <c r="AH410">
        <v>8</v>
      </c>
      <c r="AI410" t="s">
        <v>1417</v>
      </c>
      <c r="AJ410" t="s">
        <v>1418</v>
      </c>
      <c r="AK410" t="s">
        <v>1285</v>
      </c>
      <c r="AL410">
        <v>0</v>
      </c>
    </row>
    <row r="411" spans="1:38">
      <c r="A411" t="s">
        <v>945</v>
      </c>
      <c r="B411" s="13">
        <v>45986</v>
      </c>
      <c r="C411" t="s">
        <v>300</v>
      </c>
      <c r="D411" t="s">
        <v>194</v>
      </c>
      <c r="E411" t="s">
        <v>301</v>
      </c>
      <c r="F411" t="s">
        <v>111</v>
      </c>
      <c r="G411" t="s">
        <v>104</v>
      </c>
      <c r="H411" t="s">
        <v>89</v>
      </c>
      <c r="I411">
        <v>2</v>
      </c>
      <c r="J411">
        <v>199.62</v>
      </c>
      <c r="K411">
        <v>0.15</v>
      </c>
      <c r="L411" t="s">
        <v>90</v>
      </c>
      <c r="M411">
        <v>6</v>
      </c>
      <c r="N411" t="s">
        <v>91</v>
      </c>
      <c r="O411" t="s">
        <v>89</v>
      </c>
      <c r="P411" t="s">
        <v>194</v>
      </c>
      <c r="Q411" t="s">
        <v>300</v>
      </c>
      <c r="R411" t="s">
        <v>111</v>
      </c>
      <c r="S411" t="s">
        <v>369</v>
      </c>
      <c r="T411">
        <v>1</v>
      </c>
      <c r="U411" t="s">
        <v>1265</v>
      </c>
      <c r="V411" t="s">
        <v>1249</v>
      </c>
      <c r="W411" t="s">
        <v>1237</v>
      </c>
      <c r="X411" t="s">
        <v>1216</v>
      </c>
      <c r="Y411" t="s">
        <v>1212</v>
      </c>
      <c r="Z411">
        <v>101</v>
      </c>
      <c r="AA411">
        <v>399.24</v>
      </c>
      <c r="AB411">
        <v>59.885999999999996</v>
      </c>
      <c r="AC411">
        <v>339.35400000000004</v>
      </c>
      <c r="AD411">
        <v>202</v>
      </c>
      <c r="AE411">
        <v>137.35400000000004</v>
      </c>
      <c r="AF411">
        <v>0.40475138056424864</v>
      </c>
      <c r="AG411">
        <v>2025</v>
      </c>
      <c r="AH411">
        <v>11</v>
      </c>
      <c r="AI411" t="s">
        <v>1426</v>
      </c>
      <c r="AJ411" t="s">
        <v>1427</v>
      </c>
      <c r="AK411" t="s">
        <v>1250</v>
      </c>
      <c r="AL411">
        <v>0</v>
      </c>
    </row>
    <row r="412" spans="1:38">
      <c r="A412" t="s">
        <v>948</v>
      </c>
      <c r="B412" s="13">
        <v>45973</v>
      </c>
      <c r="C412" t="s">
        <v>491</v>
      </c>
      <c r="D412" t="s">
        <v>85</v>
      </c>
      <c r="E412" t="s">
        <v>492</v>
      </c>
      <c r="F412" t="s">
        <v>145</v>
      </c>
      <c r="G412" t="s">
        <v>130</v>
      </c>
      <c r="H412" t="s">
        <v>97</v>
      </c>
      <c r="I412">
        <v>3</v>
      </c>
      <c r="J412">
        <v>324.2</v>
      </c>
      <c r="K412">
        <v>0.25</v>
      </c>
      <c r="L412" t="s">
        <v>253</v>
      </c>
      <c r="M412">
        <v>3</v>
      </c>
      <c r="N412" t="s">
        <v>91</v>
      </c>
      <c r="O412" t="s">
        <v>97</v>
      </c>
      <c r="P412" t="s">
        <v>85</v>
      </c>
      <c r="Q412" t="s">
        <v>491</v>
      </c>
      <c r="R412" t="s">
        <v>145</v>
      </c>
      <c r="S412" t="s">
        <v>106</v>
      </c>
      <c r="T412">
        <v>1</v>
      </c>
      <c r="U412" t="s">
        <v>1298</v>
      </c>
      <c r="V412" t="s">
        <v>1243</v>
      </c>
      <c r="W412" t="s">
        <v>1245</v>
      </c>
      <c r="X412" t="s">
        <v>1211</v>
      </c>
      <c r="Y412" t="s">
        <v>1212</v>
      </c>
      <c r="Z412">
        <v>197.33</v>
      </c>
      <c r="AA412">
        <v>972.59999999999991</v>
      </c>
      <c r="AB412">
        <v>243.14999999999998</v>
      </c>
      <c r="AC412">
        <v>729.44999999999993</v>
      </c>
      <c r="AD412">
        <v>591.99</v>
      </c>
      <c r="AE412">
        <v>137.45999999999992</v>
      </c>
      <c r="AF412">
        <v>0.18844334772773999</v>
      </c>
      <c r="AG412">
        <v>2025</v>
      </c>
      <c r="AH412">
        <v>11</v>
      </c>
      <c r="AI412" t="s">
        <v>1426</v>
      </c>
      <c r="AJ412" t="s">
        <v>1427</v>
      </c>
      <c r="AK412" t="s">
        <v>1244</v>
      </c>
      <c r="AL412">
        <v>0</v>
      </c>
    </row>
    <row r="413" spans="1:38">
      <c r="A413" t="s">
        <v>957</v>
      </c>
      <c r="B413" s="13">
        <v>45730</v>
      </c>
      <c r="C413" t="s">
        <v>319</v>
      </c>
      <c r="D413" t="s">
        <v>271</v>
      </c>
      <c r="E413" t="s">
        <v>320</v>
      </c>
      <c r="F413" t="s">
        <v>116</v>
      </c>
      <c r="G413" t="s">
        <v>130</v>
      </c>
      <c r="H413" t="s">
        <v>89</v>
      </c>
      <c r="I413">
        <v>2</v>
      </c>
      <c r="J413">
        <v>222.18</v>
      </c>
      <c r="K413">
        <v>0.25</v>
      </c>
      <c r="L413" t="s">
        <v>106</v>
      </c>
      <c r="M413">
        <v>3</v>
      </c>
      <c r="N413" t="s">
        <v>91</v>
      </c>
      <c r="O413" t="s">
        <v>89</v>
      </c>
      <c r="P413" t="s">
        <v>271</v>
      </c>
      <c r="Q413" t="s">
        <v>319</v>
      </c>
      <c r="R413" t="s">
        <v>116</v>
      </c>
      <c r="S413" t="s">
        <v>106</v>
      </c>
      <c r="T413">
        <v>1</v>
      </c>
      <c r="U413" t="s">
        <v>1262</v>
      </c>
      <c r="V413" t="s">
        <v>1260</v>
      </c>
      <c r="W413" t="s">
        <v>1241</v>
      </c>
      <c r="X413" t="s">
        <v>1213</v>
      </c>
      <c r="Y413" t="s">
        <v>1212</v>
      </c>
      <c r="Z413">
        <v>139.19999999999999</v>
      </c>
      <c r="AA413">
        <v>444.36</v>
      </c>
      <c r="AB413">
        <v>111.09</v>
      </c>
      <c r="AC413">
        <v>333.27</v>
      </c>
      <c r="AD413">
        <v>278.39999999999998</v>
      </c>
      <c r="AE413">
        <v>54.870000000000005</v>
      </c>
      <c r="AF413">
        <v>0.16464128184355029</v>
      </c>
      <c r="AG413">
        <v>2025</v>
      </c>
      <c r="AH413">
        <v>3</v>
      </c>
      <c r="AI413" t="s">
        <v>1423</v>
      </c>
      <c r="AJ413" t="s">
        <v>1424</v>
      </c>
      <c r="AK413" t="s">
        <v>1240</v>
      </c>
      <c r="AL413">
        <v>0</v>
      </c>
    </row>
    <row r="414" spans="1:38">
      <c r="A414" t="s">
        <v>961</v>
      </c>
      <c r="B414" s="13">
        <v>45723</v>
      </c>
      <c r="C414" t="s">
        <v>260</v>
      </c>
      <c r="D414" t="s">
        <v>85</v>
      </c>
      <c r="E414" t="s">
        <v>562</v>
      </c>
      <c r="F414" t="s">
        <v>116</v>
      </c>
      <c r="G414" t="s">
        <v>96</v>
      </c>
      <c r="H414" t="s">
        <v>105</v>
      </c>
      <c r="I414">
        <v>1</v>
      </c>
      <c r="J414">
        <v>318.27</v>
      </c>
      <c r="K414">
        <v>0</v>
      </c>
      <c r="L414" t="s">
        <v>98</v>
      </c>
      <c r="M414">
        <v>7</v>
      </c>
      <c r="N414" t="s">
        <v>91</v>
      </c>
      <c r="O414" t="s">
        <v>105</v>
      </c>
      <c r="P414" t="s">
        <v>85</v>
      </c>
      <c r="Q414" t="s">
        <v>260</v>
      </c>
      <c r="R414" t="s">
        <v>116</v>
      </c>
      <c r="S414" t="s">
        <v>98</v>
      </c>
      <c r="T414">
        <v>1</v>
      </c>
      <c r="U414" t="s">
        <v>1324</v>
      </c>
      <c r="V414" t="s">
        <v>1325</v>
      </c>
      <c r="W414" t="s">
        <v>1245</v>
      </c>
      <c r="X414" t="s">
        <v>1211</v>
      </c>
      <c r="Y414" t="s">
        <v>1212</v>
      </c>
      <c r="Z414">
        <v>197.33</v>
      </c>
      <c r="AA414">
        <v>318.27</v>
      </c>
      <c r="AB414">
        <v>0</v>
      </c>
      <c r="AC414">
        <v>318.27</v>
      </c>
      <c r="AD414">
        <v>197.33</v>
      </c>
      <c r="AE414">
        <v>120.93999999999997</v>
      </c>
      <c r="AF414">
        <v>0.37999183083545413</v>
      </c>
      <c r="AG414">
        <v>2025</v>
      </c>
      <c r="AH414">
        <v>3</v>
      </c>
      <c r="AI414" t="s">
        <v>1423</v>
      </c>
      <c r="AJ414" t="s">
        <v>1424</v>
      </c>
      <c r="AK414" t="s">
        <v>1326</v>
      </c>
      <c r="AL414">
        <v>0</v>
      </c>
    </row>
    <row r="415" spans="1:38">
      <c r="A415" t="s">
        <v>962</v>
      </c>
      <c r="B415" s="13">
        <v>45818</v>
      </c>
      <c r="C415" t="s">
        <v>410</v>
      </c>
      <c r="D415" t="s">
        <v>194</v>
      </c>
      <c r="E415" t="s">
        <v>411</v>
      </c>
      <c r="F415" t="s">
        <v>145</v>
      </c>
      <c r="G415" t="s">
        <v>122</v>
      </c>
      <c r="H415" t="s">
        <v>97</v>
      </c>
      <c r="I415">
        <v>1</v>
      </c>
      <c r="J415">
        <v>207.24</v>
      </c>
      <c r="K415">
        <v>0.15</v>
      </c>
      <c r="L415" t="s">
        <v>90</v>
      </c>
      <c r="M415">
        <v>3</v>
      </c>
      <c r="N415" t="s">
        <v>91</v>
      </c>
      <c r="O415" t="s">
        <v>97</v>
      </c>
      <c r="P415" t="s">
        <v>194</v>
      </c>
      <c r="Q415" t="s">
        <v>410</v>
      </c>
      <c r="R415" t="s">
        <v>145</v>
      </c>
      <c r="S415" t="s">
        <v>369</v>
      </c>
      <c r="T415">
        <v>1</v>
      </c>
      <c r="U415" t="s">
        <v>1234</v>
      </c>
      <c r="V415" t="s">
        <v>1284</v>
      </c>
      <c r="W415" t="s">
        <v>1237</v>
      </c>
      <c r="X415" t="s">
        <v>1216</v>
      </c>
      <c r="Y415" t="s">
        <v>1212</v>
      </c>
      <c r="Z415">
        <v>101</v>
      </c>
      <c r="AA415">
        <v>207.24</v>
      </c>
      <c r="AB415">
        <v>31.085999999999999</v>
      </c>
      <c r="AC415">
        <v>176.154</v>
      </c>
      <c r="AD415">
        <v>101</v>
      </c>
      <c r="AE415">
        <v>75.153999999999996</v>
      </c>
      <c r="AF415">
        <v>0.42663805533794291</v>
      </c>
      <c r="AG415">
        <v>2025</v>
      </c>
      <c r="AH415">
        <v>6</v>
      </c>
      <c r="AI415" t="s">
        <v>1429</v>
      </c>
      <c r="AJ415" t="s">
        <v>1420</v>
      </c>
      <c r="AK415" t="s">
        <v>1285</v>
      </c>
      <c r="AL415">
        <v>0</v>
      </c>
    </row>
    <row r="416" spans="1:38">
      <c r="A416" t="s">
        <v>972</v>
      </c>
      <c r="B416" s="13">
        <v>45693</v>
      </c>
      <c r="C416" t="s">
        <v>156</v>
      </c>
      <c r="D416" t="s">
        <v>125</v>
      </c>
      <c r="E416" t="s">
        <v>973</v>
      </c>
      <c r="F416" t="s">
        <v>87</v>
      </c>
      <c r="G416" t="s">
        <v>122</v>
      </c>
      <c r="H416" t="s">
        <v>105</v>
      </c>
      <c r="I416">
        <v>2</v>
      </c>
      <c r="J416">
        <v>56.24</v>
      </c>
      <c r="K416">
        <v>0</v>
      </c>
      <c r="L416" t="s">
        <v>98</v>
      </c>
      <c r="M416">
        <v>3</v>
      </c>
      <c r="N416" t="s">
        <v>91</v>
      </c>
      <c r="O416" t="s">
        <v>105</v>
      </c>
      <c r="P416" t="s">
        <v>125</v>
      </c>
      <c r="Q416" t="s">
        <v>156</v>
      </c>
      <c r="R416" t="s">
        <v>87</v>
      </c>
      <c r="S416" t="s">
        <v>98</v>
      </c>
      <c r="T416">
        <v>1</v>
      </c>
      <c r="U416" t="s">
        <v>1353</v>
      </c>
      <c r="V416" t="s">
        <v>1235</v>
      </c>
      <c r="W416" t="s">
        <v>1237</v>
      </c>
      <c r="X416" t="s">
        <v>1214</v>
      </c>
      <c r="Y416" t="s">
        <v>1212</v>
      </c>
      <c r="Z416">
        <v>25.97</v>
      </c>
      <c r="AA416">
        <v>112.48</v>
      </c>
      <c r="AB416">
        <v>0</v>
      </c>
      <c r="AC416">
        <v>112.48</v>
      </c>
      <c r="AD416">
        <v>51.94</v>
      </c>
      <c r="AE416">
        <v>60.540000000000006</v>
      </c>
      <c r="AF416">
        <v>0.53822901849217641</v>
      </c>
      <c r="AG416">
        <v>2025</v>
      </c>
      <c r="AH416">
        <v>2</v>
      </c>
      <c r="AI416" t="s">
        <v>1430</v>
      </c>
      <c r="AJ416" t="s">
        <v>1424</v>
      </c>
      <c r="AK416" t="s">
        <v>1236</v>
      </c>
      <c r="AL416">
        <v>0</v>
      </c>
    </row>
    <row r="417" spans="1:38">
      <c r="A417" t="s">
        <v>978</v>
      </c>
      <c r="B417" s="13">
        <v>45773</v>
      </c>
      <c r="C417" t="s">
        <v>319</v>
      </c>
      <c r="D417" t="s">
        <v>194</v>
      </c>
      <c r="E417" t="s">
        <v>320</v>
      </c>
      <c r="F417" t="s">
        <v>116</v>
      </c>
      <c r="G417" t="s">
        <v>96</v>
      </c>
      <c r="H417" t="s">
        <v>105</v>
      </c>
      <c r="I417">
        <v>1</v>
      </c>
      <c r="J417">
        <v>191.25</v>
      </c>
      <c r="K417">
        <v>0</v>
      </c>
      <c r="L417" t="s">
        <v>98</v>
      </c>
      <c r="M417">
        <v>1</v>
      </c>
      <c r="N417" t="s">
        <v>91</v>
      </c>
      <c r="O417" t="s">
        <v>105</v>
      </c>
      <c r="P417" t="s">
        <v>194</v>
      </c>
      <c r="Q417" t="s">
        <v>319</v>
      </c>
      <c r="R417" t="s">
        <v>116</v>
      </c>
      <c r="S417" t="s">
        <v>98</v>
      </c>
      <c r="T417">
        <v>1</v>
      </c>
      <c r="U417" t="s">
        <v>1262</v>
      </c>
      <c r="V417" t="s">
        <v>1260</v>
      </c>
      <c r="W417" t="s">
        <v>1241</v>
      </c>
      <c r="X417" t="s">
        <v>1216</v>
      </c>
      <c r="Y417" t="s">
        <v>1212</v>
      </c>
      <c r="Z417">
        <v>101</v>
      </c>
      <c r="AA417">
        <v>191.25</v>
      </c>
      <c r="AB417">
        <v>0</v>
      </c>
      <c r="AC417">
        <v>191.25</v>
      </c>
      <c r="AD417">
        <v>101</v>
      </c>
      <c r="AE417">
        <v>90.25</v>
      </c>
      <c r="AF417">
        <v>0.4718954248366013</v>
      </c>
      <c r="AG417">
        <v>2025</v>
      </c>
      <c r="AH417">
        <v>4</v>
      </c>
      <c r="AI417" t="s">
        <v>1421</v>
      </c>
      <c r="AJ417" t="s">
        <v>1420</v>
      </c>
      <c r="AK417" t="s">
        <v>1240</v>
      </c>
      <c r="AL417">
        <v>0</v>
      </c>
    </row>
    <row r="418" spans="1:38">
      <c r="A418" t="s">
        <v>979</v>
      </c>
      <c r="B418" s="13">
        <v>45807</v>
      </c>
      <c r="C418" t="s">
        <v>661</v>
      </c>
      <c r="D418" t="s">
        <v>261</v>
      </c>
      <c r="E418" t="s">
        <v>662</v>
      </c>
      <c r="F418" t="s">
        <v>103</v>
      </c>
      <c r="G418" t="s">
        <v>88</v>
      </c>
      <c r="H418" t="s">
        <v>105</v>
      </c>
      <c r="I418">
        <v>1</v>
      </c>
      <c r="J418">
        <v>257.38</v>
      </c>
      <c r="K418">
        <v>0.05</v>
      </c>
      <c r="L418" t="s">
        <v>90</v>
      </c>
      <c r="M418">
        <v>6</v>
      </c>
      <c r="N418" t="s">
        <v>91</v>
      </c>
      <c r="O418" t="s">
        <v>105</v>
      </c>
      <c r="P418" t="s">
        <v>261</v>
      </c>
      <c r="Q418" t="s">
        <v>661</v>
      </c>
      <c r="R418" t="s">
        <v>103</v>
      </c>
      <c r="S418" t="s">
        <v>369</v>
      </c>
      <c r="T418">
        <v>1</v>
      </c>
      <c r="U418" t="s">
        <v>1352</v>
      </c>
      <c r="V418" t="s">
        <v>1235</v>
      </c>
      <c r="W418" t="s">
        <v>1237</v>
      </c>
      <c r="X418" t="s">
        <v>1218</v>
      </c>
      <c r="Y418" t="s">
        <v>1212</v>
      </c>
      <c r="Z418">
        <v>131.72999999999999</v>
      </c>
      <c r="AA418">
        <v>257.38</v>
      </c>
      <c r="AB418">
        <v>12.869</v>
      </c>
      <c r="AC418">
        <v>244.511</v>
      </c>
      <c r="AD418">
        <v>131.72999999999999</v>
      </c>
      <c r="AE418">
        <v>112.78100000000001</v>
      </c>
      <c r="AF418">
        <v>0.46125123205090979</v>
      </c>
      <c r="AG418">
        <v>2025</v>
      </c>
      <c r="AH418">
        <v>5</v>
      </c>
      <c r="AI418" t="s">
        <v>1419</v>
      </c>
      <c r="AJ418" t="s">
        <v>1420</v>
      </c>
      <c r="AK418" t="s">
        <v>1236</v>
      </c>
      <c r="AL418">
        <v>0</v>
      </c>
    </row>
    <row r="419" spans="1:38">
      <c r="A419" t="s">
        <v>987</v>
      </c>
      <c r="B419" s="13">
        <v>45978</v>
      </c>
      <c r="C419" t="s">
        <v>594</v>
      </c>
      <c r="D419" t="s">
        <v>109</v>
      </c>
      <c r="E419" t="s">
        <v>595</v>
      </c>
      <c r="F419" t="s">
        <v>87</v>
      </c>
      <c r="G419" t="s">
        <v>117</v>
      </c>
      <c r="H419" t="s">
        <v>89</v>
      </c>
      <c r="I419">
        <v>3</v>
      </c>
      <c r="J419">
        <v>206.48</v>
      </c>
      <c r="K419">
        <v>0.2</v>
      </c>
      <c r="L419" t="s">
        <v>106</v>
      </c>
      <c r="M419">
        <v>1</v>
      </c>
      <c r="N419" t="s">
        <v>91</v>
      </c>
      <c r="O419" t="s">
        <v>89</v>
      </c>
      <c r="P419" t="s">
        <v>109</v>
      </c>
      <c r="Q419" t="s">
        <v>594</v>
      </c>
      <c r="R419" t="s">
        <v>87</v>
      </c>
      <c r="S419" t="s">
        <v>106</v>
      </c>
      <c r="T419">
        <v>1</v>
      </c>
      <c r="U419" t="s">
        <v>1251</v>
      </c>
      <c r="V419" t="s">
        <v>1277</v>
      </c>
      <c r="W419" t="s">
        <v>1241</v>
      </c>
      <c r="X419" t="s">
        <v>1219</v>
      </c>
      <c r="Y419" t="s">
        <v>1212</v>
      </c>
      <c r="Z419">
        <v>132.72</v>
      </c>
      <c r="AA419">
        <v>619.43999999999994</v>
      </c>
      <c r="AB419">
        <v>123.88799999999999</v>
      </c>
      <c r="AC419">
        <v>495.55199999999996</v>
      </c>
      <c r="AD419">
        <v>398.15999999999997</v>
      </c>
      <c r="AE419">
        <v>97.391999999999996</v>
      </c>
      <c r="AF419">
        <v>0.19653235180162729</v>
      </c>
      <c r="AG419">
        <v>2025</v>
      </c>
      <c r="AH419">
        <v>11</v>
      </c>
      <c r="AI419" t="s">
        <v>1426</v>
      </c>
      <c r="AJ419" t="s">
        <v>1427</v>
      </c>
      <c r="AK419" t="s">
        <v>1244</v>
      </c>
      <c r="AL419">
        <v>0</v>
      </c>
    </row>
    <row r="420" spans="1:38">
      <c r="A420" t="s">
        <v>995</v>
      </c>
      <c r="B420" s="13">
        <v>45769</v>
      </c>
      <c r="C420" t="s">
        <v>359</v>
      </c>
      <c r="D420" t="s">
        <v>85</v>
      </c>
      <c r="E420" t="s">
        <v>361</v>
      </c>
      <c r="F420" t="s">
        <v>116</v>
      </c>
      <c r="G420" t="s">
        <v>104</v>
      </c>
      <c r="H420" t="s">
        <v>105</v>
      </c>
      <c r="I420">
        <v>3</v>
      </c>
      <c r="J420">
        <v>308.24</v>
      </c>
      <c r="K420">
        <v>0.05</v>
      </c>
      <c r="L420" t="s">
        <v>98</v>
      </c>
      <c r="M420">
        <v>8</v>
      </c>
      <c r="N420" t="s">
        <v>91</v>
      </c>
      <c r="O420" t="s">
        <v>105</v>
      </c>
      <c r="P420" t="s">
        <v>85</v>
      </c>
      <c r="Q420" t="s">
        <v>359</v>
      </c>
      <c r="R420" t="s">
        <v>116</v>
      </c>
      <c r="S420" t="s">
        <v>98</v>
      </c>
      <c r="T420">
        <v>1</v>
      </c>
      <c r="U420" t="s">
        <v>1296</v>
      </c>
      <c r="V420" t="s">
        <v>1297</v>
      </c>
      <c r="W420" t="s">
        <v>1245</v>
      </c>
      <c r="X420" t="s">
        <v>1211</v>
      </c>
      <c r="Y420" t="s">
        <v>1212</v>
      </c>
      <c r="Z420">
        <v>197.33</v>
      </c>
      <c r="AA420">
        <v>924.72</v>
      </c>
      <c r="AB420">
        <v>46.236000000000004</v>
      </c>
      <c r="AC420">
        <v>878.48400000000004</v>
      </c>
      <c r="AD420">
        <v>591.99</v>
      </c>
      <c r="AE420">
        <v>286.49400000000003</v>
      </c>
      <c r="AF420">
        <v>0.32612318494133075</v>
      </c>
      <c r="AG420">
        <v>2025</v>
      </c>
      <c r="AH420">
        <v>4</v>
      </c>
      <c r="AI420" t="s">
        <v>1421</v>
      </c>
      <c r="AJ420" t="s">
        <v>1420</v>
      </c>
      <c r="AK420" t="s">
        <v>1258</v>
      </c>
      <c r="AL420">
        <v>0</v>
      </c>
    </row>
    <row r="421" spans="1:38">
      <c r="A421" t="s">
        <v>1002</v>
      </c>
      <c r="B421" s="13">
        <v>45858</v>
      </c>
      <c r="C421" t="s">
        <v>406</v>
      </c>
      <c r="D421" t="s">
        <v>85</v>
      </c>
      <c r="E421" t="s">
        <v>407</v>
      </c>
      <c r="F421" t="s">
        <v>111</v>
      </c>
      <c r="G421" t="s">
        <v>96</v>
      </c>
      <c r="H421" t="s">
        <v>89</v>
      </c>
      <c r="I421">
        <v>1</v>
      </c>
      <c r="J421">
        <v>301.2</v>
      </c>
      <c r="K421">
        <v>0</v>
      </c>
      <c r="L421" t="s">
        <v>90</v>
      </c>
      <c r="M421">
        <v>1</v>
      </c>
      <c r="N421" t="s">
        <v>91</v>
      </c>
      <c r="O421" t="s">
        <v>89</v>
      </c>
      <c r="P421" t="s">
        <v>85</v>
      </c>
      <c r="Q421" t="s">
        <v>406</v>
      </c>
      <c r="R421" t="s">
        <v>111</v>
      </c>
      <c r="S421" t="s">
        <v>369</v>
      </c>
      <c r="T421">
        <v>1</v>
      </c>
      <c r="U421" t="s">
        <v>1291</v>
      </c>
      <c r="V421" t="s">
        <v>1239</v>
      </c>
      <c r="W421" t="s">
        <v>1237</v>
      </c>
      <c r="X421" t="s">
        <v>1211</v>
      </c>
      <c r="Y421" t="s">
        <v>1212</v>
      </c>
      <c r="Z421">
        <v>197.33</v>
      </c>
      <c r="AA421">
        <v>301.2</v>
      </c>
      <c r="AB421">
        <v>0</v>
      </c>
      <c r="AC421">
        <v>301.2</v>
      </c>
      <c r="AD421">
        <v>197.33</v>
      </c>
      <c r="AE421">
        <v>103.86999999999998</v>
      </c>
      <c r="AF421">
        <v>0.34485391766268253</v>
      </c>
      <c r="AG421">
        <v>2025</v>
      </c>
      <c r="AH421">
        <v>7</v>
      </c>
      <c r="AI421" t="s">
        <v>1422</v>
      </c>
      <c r="AJ421" t="s">
        <v>1418</v>
      </c>
      <c r="AK421" t="s">
        <v>1240</v>
      </c>
      <c r="AL421">
        <v>0</v>
      </c>
    </row>
    <row r="422" spans="1:38">
      <c r="A422" t="s">
        <v>1009</v>
      </c>
      <c r="B422" s="13">
        <v>45796</v>
      </c>
      <c r="C422" t="s">
        <v>647</v>
      </c>
      <c r="D422" t="s">
        <v>109</v>
      </c>
      <c r="E422" t="s">
        <v>648</v>
      </c>
      <c r="F422" t="s">
        <v>103</v>
      </c>
      <c r="G422" t="s">
        <v>183</v>
      </c>
      <c r="H422" t="s">
        <v>97</v>
      </c>
      <c r="I422">
        <v>1</v>
      </c>
      <c r="J422">
        <v>189.83</v>
      </c>
      <c r="K422">
        <v>0.2</v>
      </c>
      <c r="L422" t="s">
        <v>90</v>
      </c>
      <c r="M422">
        <v>3</v>
      </c>
      <c r="N422" t="s">
        <v>91</v>
      </c>
      <c r="O422" t="s">
        <v>97</v>
      </c>
      <c r="P422" t="s">
        <v>109</v>
      </c>
      <c r="Q422" t="s">
        <v>647</v>
      </c>
      <c r="R422" t="s">
        <v>103</v>
      </c>
      <c r="S422" t="s">
        <v>369</v>
      </c>
      <c r="T422">
        <v>1</v>
      </c>
      <c r="U422" t="s">
        <v>1303</v>
      </c>
      <c r="V422" t="s">
        <v>1255</v>
      </c>
      <c r="W422" t="s">
        <v>1237</v>
      </c>
      <c r="X422" t="s">
        <v>1219</v>
      </c>
      <c r="Y422" t="s">
        <v>1212</v>
      </c>
      <c r="Z422">
        <v>132.72</v>
      </c>
      <c r="AA422">
        <v>189.83</v>
      </c>
      <c r="AB422">
        <v>37.966000000000001</v>
      </c>
      <c r="AC422">
        <v>151.864</v>
      </c>
      <c r="AD422">
        <v>132.72</v>
      </c>
      <c r="AE422">
        <v>19.144000000000005</v>
      </c>
      <c r="AF422">
        <v>0.12606015908971188</v>
      </c>
      <c r="AG422">
        <v>2025</v>
      </c>
      <c r="AH422">
        <v>5</v>
      </c>
      <c r="AI422" t="s">
        <v>1419</v>
      </c>
      <c r="AJ422" t="s">
        <v>1420</v>
      </c>
      <c r="AK422" t="s">
        <v>1244</v>
      </c>
      <c r="AL422">
        <v>0</v>
      </c>
    </row>
    <row r="423" spans="1:38">
      <c r="A423" t="s">
        <v>1023</v>
      </c>
      <c r="B423" s="13">
        <v>45785</v>
      </c>
      <c r="C423" t="s">
        <v>374</v>
      </c>
      <c r="D423" t="s">
        <v>418</v>
      </c>
      <c r="E423" t="s">
        <v>375</v>
      </c>
      <c r="F423" t="s">
        <v>103</v>
      </c>
      <c r="G423" t="s">
        <v>122</v>
      </c>
      <c r="H423" t="s">
        <v>89</v>
      </c>
      <c r="I423">
        <v>1</v>
      </c>
      <c r="J423">
        <v>377.22</v>
      </c>
      <c r="K423">
        <v>0.05</v>
      </c>
      <c r="L423" t="s">
        <v>98</v>
      </c>
      <c r="M423">
        <v>7</v>
      </c>
      <c r="N423" t="s">
        <v>91</v>
      </c>
      <c r="O423" t="s">
        <v>89</v>
      </c>
      <c r="P423" t="s">
        <v>418</v>
      </c>
      <c r="Q423" t="s">
        <v>374</v>
      </c>
      <c r="R423" t="s">
        <v>103</v>
      </c>
      <c r="S423" t="s">
        <v>98</v>
      </c>
      <c r="T423">
        <v>1</v>
      </c>
      <c r="U423" t="s">
        <v>1287</v>
      </c>
      <c r="V423" t="s">
        <v>1288</v>
      </c>
      <c r="W423" t="s">
        <v>1241</v>
      </c>
      <c r="X423" t="s">
        <v>1215</v>
      </c>
      <c r="Y423" t="s">
        <v>1212</v>
      </c>
      <c r="Z423">
        <v>212.02</v>
      </c>
      <c r="AA423">
        <v>377.22</v>
      </c>
      <c r="AB423">
        <v>18.861000000000001</v>
      </c>
      <c r="AC423">
        <v>358.35900000000004</v>
      </c>
      <c r="AD423">
        <v>212.02</v>
      </c>
      <c r="AE423">
        <v>146.33900000000003</v>
      </c>
      <c r="AF423">
        <v>0.40835865710084024</v>
      </c>
      <c r="AG423">
        <v>2025</v>
      </c>
      <c r="AH423">
        <v>5</v>
      </c>
      <c r="AI423" t="s">
        <v>1419</v>
      </c>
      <c r="AJ423" t="s">
        <v>1420</v>
      </c>
      <c r="AK423" t="s">
        <v>1250</v>
      </c>
      <c r="AL423">
        <v>0</v>
      </c>
    </row>
    <row r="424" spans="1:38">
      <c r="A424" t="s">
        <v>1027</v>
      </c>
      <c r="B424" s="13">
        <v>45979</v>
      </c>
      <c r="C424" t="s">
        <v>180</v>
      </c>
      <c r="D424" t="s">
        <v>261</v>
      </c>
      <c r="E424" t="s">
        <v>182</v>
      </c>
      <c r="F424" t="s">
        <v>111</v>
      </c>
      <c r="G424" t="s">
        <v>122</v>
      </c>
      <c r="H424" t="s">
        <v>97</v>
      </c>
      <c r="I424">
        <v>1</v>
      </c>
      <c r="J424">
        <v>242.19</v>
      </c>
      <c r="K424">
        <v>0</v>
      </c>
      <c r="L424" t="s">
        <v>154</v>
      </c>
      <c r="M424">
        <v>1</v>
      </c>
      <c r="N424" t="s">
        <v>91</v>
      </c>
      <c r="O424" t="s">
        <v>97</v>
      </c>
      <c r="P424" t="s">
        <v>261</v>
      </c>
      <c r="Q424" t="s">
        <v>180</v>
      </c>
      <c r="R424" t="s">
        <v>111</v>
      </c>
      <c r="S424" t="s">
        <v>154</v>
      </c>
      <c r="T424">
        <v>1</v>
      </c>
      <c r="U424" t="s">
        <v>1332</v>
      </c>
      <c r="V424" t="s">
        <v>1249</v>
      </c>
      <c r="W424" t="s">
        <v>1237</v>
      </c>
      <c r="X424" t="s">
        <v>1218</v>
      </c>
      <c r="Y424" t="s">
        <v>1212</v>
      </c>
      <c r="Z424">
        <v>131.72999999999999</v>
      </c>
      <c r="AA424">
        <v>242.19</v>
      </c>
      <c r="AB424">
        <v>0</v>
      </c>
      <c r="AC424">
        <v>242.19</v>
      </c>
      <c r="AD424">
        <v>131.72999999999999</v>
      </c>
      <c r="AE424">
        <v>110.46000000000001</v>
      </c>
      <c r="AF424">
        <v>0.45608819521863003</v>
      </c>
      <c r="AG424">
        <v>2025</v>
      </c>
      <c r="AH424">
        <v>11</v>
      </c>
      <c r="AI424" t="s">
        <v>1426</v>
      </c>
      <c r="AJ424" t="s">
        <v>1427</v>
      </c>
      <c r="AK424" t="s">
        <v>1250</v>
      </c>
      <c r="AL424">
        <v>0</v>
      </c>
    </row>
    <row r="425" spans="1:38">
      <c r="A425" t="s">
        <v>1029</v>
      </c>
      <c r="B425" s="13">
        <v>45664</v>
      </c>
      <c r="C425" t="s">
        <v>243</v>
      </c>
      <c r="D425" t="s">
        <v>261</v>
      </c>
      <c r="E425" t="s">
        <v>245</v>
      </c>
      <c r="F425" t="s">
        <v>116</v>
      </c>
      <c r="G425" t="s">
        <v>122</v>
      </c>
      <c r="H425" t="s">
        <v>89</v>
      </c>
      <c r="I425">
        <v>2</v>
      </c>
      <c r="J425">
        <v>250.16</v>
      </c>
      <c r="K425">
        <v>0</v>
      </c>
      <c r="L425" t="s">
        <v>504</v>
      </c>
      <c r="M425">
        <v>7</v>
      </c>
      <c r="N425" t="s">
        <v>91</v>
      </c>
      <c r="O425" t="s">
        <v>89</v>
      </c>
      <c r="P425" t="s">
        <v>261</v>
      </c>
      <c r="Q425" t="s">
        <v>243</v>
      </c>
      <c r="R425" t="s">
        <v>116</v>
      </c>
      <c r="S425" t="s">
        <v>98</v>
      </c>
      <c r="T425">
        <v>1</v>
      </c>
      <c r="U425" t="s">
        <v>1301</v>
      </c>
      <c r="V425" t="s">
        <v>1260</v>
      </c>
      <c r="W425" t="s">
        <v>1245</v>
      </c>
      <c r="X425" t="s">
        <v>1218</v>
      </c>
      <c r="Y425" t="s">
        <v>1212</v>
      </c>
      <c r="Z425">
        <v>131.72999999999999</v>
      </c>
      <c r="AA425">
        <v>500.32</v>
      </c>
      <c r="AB425">
        <v>0</v>
      </c>
      <c r="AC425">
        <v>500.32</v>
      </c>
      <c r="AD425">
        <v>263.45999999999998</v>
      </c>
      <c r="AE425">
        <v>236.86</v>
      </c>
      <c r="AF425">
        <v>0.47341701311160861</v>
      </c>
      <c r="AG425">
        <v>2025</v>
      </c>
      <c r="AH425">
        <v>1</v>
      </c>
      <c r="AI425" t="s">
        <v>1425</v>
      </c>
      <c r="AJ425" t="s">
        <v>1424</v>
      </c>
      <c r="AK425" t="s">
        <v>1240</v>
      </c>
      <c r="AL425">
        <v>0</v>
      </c>
    </row>
    <row r="426" spans="1:38">
      <c r="A426" t="s">
        <v>1035</v>
      </c>
      <c r="B426" s="13">
        <v>45916</v>
      </c>
      <c r="C426" t="s">
        <v>406</v>
      </c>
      <c r="D426" t="s">
        <v>109</v>
      </c>
      <c r="E426" t="s">
        <v>407</v>
      </c>
      <c r="F426" t="s">
        <v>116</v>
      </c>
      <c r="G426" t="s">
        <v>183</v>
      </c>
      <c r="H426" t="s">
        <v>105</v>
      </c>
      <c r="I426">
        <v>4</v>
      </c>
      <c r="J426">
        <v>197.43</v>
      </c>
      <c r="K426">
        <v>0</v>
      </c>
      <c r="L426" t="s">
        <v>253</v>
      </c>
      <c r="M426">
        <v>4</v>
      </c>
      <c r="N426" t="s">
        <v>91</v>
      </c>
      <c r="O426" t="s">
        <v>105</v>
      </c>
      <c r="P426" t="s">
        <v>109</v>
      </c>
      <c r="Q426" t="s">
        <v>406</v>
      </c>
      <c r="R426" t="s">
        <v>116</v>
      </c>
      <c r="S426" t="s">
        <v>106</v>
      </c>
      <c r="T426">
        <v>1</v>
      </c>
      <c r="U426" t="s">
        <v>1291</v>
      </c>
      <c r="V426" t="s">
        <v>1239</v>
      </c>
      <c r="W426" t="s">
        <v>1237</v>
      </c>
      <c r="X426" t="s">
        <v>1219</v>
      </c>
      <c r="Y426" t="s">
        <v>1212</v>
      </c>
      <c r="Z426">
        <v>132.72</v>
      </c>
      <c r="AA426">
        <v>789.72</v>
      </c>
      <c r="AB426">
        <v>0</v>
      </c>
      <c r="AC426">
        <v>789.72</v>
      </c>
      <c r="AD426">
        <v>530.88</v>
      </c>
      <c r="AE426">
        <v>258.84000000000003</v>
      </c>
      <c r="AF426">
        <v>0.32776173833763866</v>
      </c>
      <c r="AG426">
        <v>2025</v>
      </c>
      <c r="AH426">
        <v>9</v>
      </c>
      <c r="AI426" t="s">
        <v>1432</v>
      </c>
      <c r="AJ426" t="s">
        <v>1418</v>
      </c>
      <c r="AK426" t="s">
        <v>1240</v>
      </c>
      <c r="AL426">
        <v>0</v>
      </c>
    </row>
    <row r="427" spans="1:38">
      <c r="A427" t="s">
        <v>1039</v>
      </c>
      <c r="B427" s="13">
        <v>45831</v>
      </c>
      <c r="C427" t="s">
        <v>472</v>
      </c>
      <c r="D427" t="s">
        <v>109</v>
      </c>
      <c r="E427" t="s">
        <v>473</v>
      </c>
      <c r="F427" t="s">
        <v>145</v>
      </c>
      <c r="G427" t="s">
        <v>88</v>
      </c>
      <c r="H427" t="s">
        <v>89</v>
      </c>
      <c r="I427">
        <v>2</v>
      </c>
      <c r="J427">
        <v>203.99</v>
      </c>
      <c r="K427">
        <v>0</v>
      </c>
      <c r="L427" t="s">
        <v>106</v>
      </c>
      <c r="M427">
        <v>3</v>
      </c>
      <c r="N427" t="s">
        <v>91</v>
      </c>
      <c r="O427" t="s">
        <v>89</v>
      </c>
      <c r="P427" t="s">
        <v>109</v>
      </c>
      <c r="Q427" t="s">
        <v>472</v>
      </c>
      <c r="R427" t="s">
        <v>145</v>
      </c>
      <c r="S427" t="s">
        <v>106</v>
      </c>
      <c r="T427">
        <v>1</v>
      </c>
      <c r="U427" t="s">
        <v>1267</v>
      </c>
      <c r="V427" t="s">
        <v>1247</v>
      </c>
      <c r="W427" t="s">
        <v>1241</v>
      </c>
      <c r="X427" t="s">
        <v>1219</v>
      </c>
      <c r="Y427" t="s">
        <v>1212</v>
      </c>
      <c r="Z427">
        <v>132.72</v>
      </c>
      <c r="AA427">
        <v>407.98</v>
      </c>
      <c r="AB427">
        <v>0</v>
      </c>
      <c r="AC427">
        <v>407.98</v>
      </c>
      <c r="AD427">
        <v>265.44</v>
      </c>
      <c r="AE427">
        <v>142.54000000000002</v>
      </c>
      <c r="AF427">
        <v>0.34937987156233152</v>
      </c>
      <c r="AG427">
        <v>2025</v>
      </c>
      <c r="AH427">
        <v>6</v>
      </c>
      <c r="AI427" t="s">
        <v>1429</v>
      </c>
      <c r="AJ427" t="s">
        <v>1420</v>
      </c>
      <c r="AK427" t="s">
        <v>1240</v>
      </c>
      <c r="AL427">
        <v>0</v>
      </c>
    </row>
    <row r="428" spans="1:38">
      <c r="A428" t="s">
        <v>1040</v>
      </c>
      <c r="B428" s="13">
        <v>45842</v>
      </c>
      <c r="C428" t="s">
        <v>523</v>
      </c>
      <c r="D428" t="s">
        <v>194</v>
      </c>
      <c r="E428" t="s">
        <v>524</v>
      </c>
      <c r="F428" t="s">
        <v>87</v>
      </c>
      <c r="G428" t="s">
        <v>130</v>
      </c>
      <c r="H428" t="s">
        <v>89</v>
      </c>
      <c r="I428">
        <v>2</v>
      </c>
      <c r="J428">
        <v>212.05</v>
      </c>
      <c r="K428">
        <v>0</v>
      </c>
      <c r="L428" t="s">
        <v>106</v>
      </c>
      <c r="M428">
        <v>2</v>
      </c>
      <c r="N428" t="s">
        <v>91</v>
      </c>
      <c r="O428" t="s">
        <v>89</v>
      </c>
      <c r="P428" t="s">
        <v>194</v>
      </c>
      <c r="Q428" t="s">
        <v>523</v>
      </c>
      <c r="R428" t="s">
        <v>87</v>
      </c>
      <c r="S428" t="s">
        <v>106</v>
      </c>
      <c r="T428">
        <v>1</v>
      </c>
      <c r="U428" t="s">
        <v>1355</v>
      </c>
      <c r="V428" t="s">
        <v>1249</v>
      </c>
      <c r="W428" t="s">
        <v>1237</v>
      </c>
      <c r="X428" t="s">
        <v>1216</v>
      </c>
      <c r="Y428" t="s">
        <v>1212</v>
      </c>
      <c r="Z428">
        <v>101</v>
      </c>
      <c r="AA428">
        <v>424.1</v>
      </c>
      <c r="AB428">
        <v>0</v>
      </c>
      <c r="AC428">
        <v>424.1</v>
      </c>
      <c r="AD428">
        <v>202</v>
      </c>
      <c r="AE428">
        <v>222.10000000000002</v>
      </c>
      <c r="AF428">
        <v>0.52369724121669425</v>
      </c>
      <c r="AG428">
        <v>2025</v>
      </c>
      <c r="AH428">
        <v>7</v>
      </c>
      <c r="AI428" t="s">
        <v>1422</v>
      </c>
      <c r="AJ428" t="s">
        <v>1418</v>
      </c>
      <c r="AK428" t="s">
        <v>1250</v>
      </c>
      <c r="AL428">
        <v>0</v>
      </c>
    </row>
    <row r="429" spans="1:38">
      <c r="A429" t="s">
        <v>1042</v>
      </c>
      <c r="B429" s="13">
        <v>45679</v>
      </c>
      <c r="C429" t="s">
        <v>197</v>
      </c>
      <c r="D429" t="s">
        <v>85</v>
      </c>
      <c r="E429" t="s">
        <v>198</v>
      </c>
      <c r="F429" t="s">
        <v>145</v>
      </c>
      <c r="G429" t="s">
        <v>122</v>
      </c>
      <c r="H429" t="s">
        <v>89</v>
      </c>
      <c r="I429">
        <v>3</v>
      </c>
      <c r="J429">
        <v>308.48</v>
      </c>
      <c r="K429">
        <v>0.2</v>
      </c>
      <c r="L429" t="s">
        <v>98</v>
      </c>
      <c r="M429">
        <v>7</v>
      </c>
      <c r="N429" t="s">
        <v>91</v>
      </c>
      <c r="O429" t="s">
        <v>89</v>
      </c>
      <c r="P429" t="s">
        <v>85</v>
      </c>
      <c r="Q429" t="s">
        <v>197</v>
      </c>
      <c r="R429" t="s">
        <v>145</v>
      </c>
      <c r="S429" t="s">
        <v>98</v>
      </c>
      <c r="T429">
        <v>1</v>
      </c>
      <c r="U429" t="s">
        <v>1337</v>
      </c>
      <c r="V429" t="s">
        <v>1257</v>
      </c>
      <c r="W429" t="s">
        <v>1241</v>
      </c>
      <c r="X429" t="s">
        <v>1211</v>
      </c>
      <c r="Y429" t="s">
        <v>1212</v>
      </c>
      <c r="Z429">
        <v>197.33</v>
      </c>
      <c r="AA429">
        <v>925.44</v>
      </c>
      <c r="AB429">
        <v>185.08800000000002</v>
      </c>
      <c r="AC429">
        <v>740.35200000000009</v>
      </c>
      <c r="AD429">
        <v>591.99</v>
      </c>
      <c r="AE429">
        <v>148.36200000000008</v>
      </c>
      <c r="AF429">
        <v>0.2003938667012449</v>
      </c>
      <c r="AG429">
        <v>2025</v>
      </c>
      <c r="AH429">
        <v>1</v>
      </c>
      <c r="AI429" t="s">
        <v>1425</v>
      </c>
      <c r="AJ429" t="s">
        <v>1424</v>
      </c>
      <c r="AK429" t="s">
        <v>1258</v>
      </c>
      <c r="AL429">
        <v>0</v>
      </c>
    </row>
    <row r="430" spans="1:38">
      <c r="A430" t="s">
        <v>1046</v>
      </c>
      <c r="B430" s="13">
        <v>45688</v>
      </c>
      <c r="C430" t="s">
        <v>379</v>
      </c>
      <c r="D430" t="s">
        <v>194</v>
      </c>
      <c r="E430" t="s">
        <v>380</v>
      </c>
      <c r="F430" t="s">
        <v>111</v>
      </c>
      <c r="G430" t="s">
        <v>88</v>
      </c>
      <c r="H430" t="s">
        <v>97</v>
      </c>
      <c r="I430">
        <v>2</v>
      </c>
      <c r="J430">
        <v>207.51</v>
      </c>
      <c r="K430">
        <v>0</v>
      </c>
      <c r="L430" t="s">
        <v>154</v>
      </c>
      <c r="M430">
        <v>3</v>
      </c>
      <c r="N430" t="s">
        <v>91</v>
      </c>
      <c r="O430" t="s">
        <v>97</v>
      </c>
      <c r="P430" t="s">
        <v>194</v>
      </c>
      <c r="Q430" t="s">
        <v>379</v>
      </c>
      <c r="R430" t="s">
        <v>111</v>
      </c>
      <c r="S430" t="s">
        <v>154</v>
      </c>
      <c r="T430">
        <v>1</v>
      </c>
      <c r="U430" t="s">
        <v>1320</v>
      </c>
      <c r="V430" t="s">
        <v>1239</v>
      </c>
      <c r="W430" t="s">
        <v>1245</v>
      </c>
      <c r="X430" t="s">
        <v>1216</v>
      </c>
      <c r="Y430" t="s">
        <v>1212</v>
      </c>
      <c r="Z430">
        <v>101</v>
      </c>
      <c r="AA430">
        <v>415.02</v>
      </c>
      <c r="AB430">
        <v>0</v>
      </c>
      <c r="AC430">
        <v>415.02</v>
      </c>
      <c r="AD430">
        <v>202</v>
      </c>
      <c r="AE430">
        <v>213.01999999999998</v>
      </c>
      <c r="AF430">
        <v>0.51327646860392273</v>
      </c>
      <c r="AG430">
        <v>2025</v>
      </c>
      <c r="AH430">
        <v>1</v>
      </c>
      <c r="AI430" t="s">
        <v>1425</v>
      </c>
      <c r="AJ430" t="s">
        <v>1424</v>
      </c>
      <c r="AK430" t="s">
        <v>1240</v>
      </c>
      <c r="AL430">
        <v>0</v>
      </c>
    </row>
    <row r="431" spans="1:38">
      <c r="A431" t="s">
        <v>1049</v>
      </c>
      <c r="B431" s="13">
        <v>45965</v>
      </c>
      <c r="C431" t="s">
        <v>330</v>
      </c>
      <c r="D431" t="s">
        <v>125</v>
      </c>
      <c r="E431" t="s">
        <v>424</v>
      </c>
      <c r="F431" t="s">
        <v>116</v>
      </c>
      <c r="G431" t="s">
        <v>183</v>
      </c>
      <c r="H431" t="s">
        <v>89</v>
      </c>
      <c r="I431">
        <v>1</v>
      </c>
      <c r="J431">
        <v>54.15</v>
      </c>
      <c r="K431">
        <v>0</v>
      </c>
      <c r="L431" t="s">
        <v>106</v>
      </c>
      <c r="M431">
        <v>9</v>
      </c>
      <c r="N431" t="s">
        <v>91</v>
      </c>
      <c r="O431" t="s">
        <v>89</v>
      </c>
      <c r="P431" t="s">
        <v>125</v>
      </c>
      <c r="Q431" t="s">
        <v>330</v>
      </c>
      <c r="R431" t="s">
        <v>116</v>
      </c>
      <c r="S431" t="s">
        <v>106</v>
      </c>
      <c r="T431">
        <v>1</v>
      </c>
      <c r="U431" t="s">
        <v>1350</v>
      </c>
      <c r="V431" t="s">
        <v>1275</v>
      </c>
      <c r="W431" t="s">
        <v>1237</v>
      </c>
      <c r="X431" t="s">
        <v>1214</v>
      </c>
      <c r="Y431" t="s">
        <v>1212</v>
      </c>
      <c r="Z431">
        <v>25.97</v>
      </c>
      <c r="AA431">
        <v>54.15</v>
      </c>
      <c r="AB431">
        <v>0</v>
      </c>
      <c r="AC431">
        <v>54.15</v>
      </c>
      <c r="AD431">
        <v>25.97</v>
      </c>
      <c r="AE431">
        <v>28.18</v>
      </c>
      <c r="AF431">
        <v>0.52040627885503232</v>
      </c>
      <c r="AG431">
        <v>2025</v>
      </c>
      <c r="AH431">
        <v>11</v>
      </c>
      <c r="AI431" t="s">
        <v>1426</v>
      </c>
      <c r="AJ431" t="s">
        <v>1427</v>
      </c>
      <c r="AK431" t="s">
        <v>1258</v>
      </c>
      <c r="AL431">
        <v>0</v>
      </c>
    </row>
    <row r="432" spans="1:38">
      <c r="A432" t="s">
        <v>1052</v>
      </c>
      <c r="B432" s="13">
        <v>45842</v>
      </c>
      <c r="C432" t="s">
        <v>257</v>
      </c>
      <c r="D432" t="s">
        <v>346</v>
      </c>
      <c r="E432" t="s">
        <v>258</v>
      </c>
      <c r="F432" t="s">
        <v>116</v>
      </c>
      <c r="G432" t="s">
        <v>122</v>
      </c>
      <c r="H432" t="s">
        <v>97</v>
      </c>
      <c r="I432">
        <v>1</v>
      </c>
      <c r="J432">
        <v>241.92</v>
      </c>
      <c r="K432">
        <v>0.1</v>
      </c>
      <c r="L432" t="s">
        <v>106</v>
      </c>
      <c r="M432">
        <v>0</v>
      </c>
      <c r="N432" t="s">
        <v>91</v>
      </c>
      <c r="O432" t="s">
        <v>97</v>
      </c>
      <c r="P432" t="s">
        <v>346</v>
      </c>
      <c r="Q432" t="s">
        <v>257</v>
      </c>
      <c r="R432" t="s">
        <v>116</v>
      </c>
      <c r="S432" t="s">
        <v>106</v>
      </c>
      <c r="T432">
        <v>1</v>
      </c>
      <c r="U432" t="s">
        <v>1316</v>
      </c>
      <c r="V432" t="s">
        <v>1249</v>
      </c>
      <c r="W432" t="s">
        <v>1237</v>
      </c>
      <c r="X432" t="s">
        <v>1217</v>
      </c>
      <c r="Y432" t="s">
        <v>1212</v>
      </c>
      <c r="Z432">
        <v>125.4</v>
      </c>
      <c r="AA432">
        <v>241.92</v>
      </c>
      <c r="AB432">
        <v>24.192</v>
      </c>
      <c r="AC432">
        <v>217.72799999999998</v>
      </c>
      <c r="AD432">
        <v>125.4</v>
      </c>
      <c r="AE432">
        <v>92.327999999999975</v>
      </c>
      <c r="AF432">
        <v>0.42405202821869481</v>
      </c>
      <c r="AG432">
        <v>2025</v>
      </c>
      <c r="AH432">
        <v>7</v>
      </c>
      <c r="AI432" t="s">
        <v>1422</v>
      </c>
      <c r="AJ432" t="s">
        <v>1418</v>
      </c>
      <c r="AK432" t="s">
        <v>1250</v>
      </c>
      <c r="AL432">
        <v>0</v>
      </c>
    </row>
    <row r="433" spans="1:38">
      <c r="A433" t="s">
        <v>1053</v>
      </c>
      <c r="B433" s="13">
        <v>45763</v>
      </c>
      <c r="C433" t="s">
        <v>613</v>
      </c>
      <c r="D433" t="s">
        <v>109</v>
      </c>
      <c r="E433" t="s">
        <v>614</v>
      </c>
      <c r="F433" t="s">
        <v>111</v>
      </c>
      <c r="G433" t="s">
        <v>104</v>
      </c>
      <c r="H433" t="s">
        <v>89</v>
      </c>
      <c r="I433">
        <v>2</v>
      </c>
      <c r="J433">
        <v>209.11</v>
      </c>
      <c r="K433">
        <v>0.05</v>
      </c>
      <c r="L433" t="s">
        <v>98</v>
      </c>
      <c r="M433">
        <v>8</v>
      </c>
      <c r="N433" t="s">
        <v>91</v>
      </c>
      <c r="O433" t="s">
        <v>89</v>
      </c>
      <c r="P433" t="s">
        <v>109</v>
      </c>
      <c r="Q433" t="s">
        <v>613</v>
      </c>
      <c r="R433" t="s">
        <v>111</v>
      </c>
      <c r="S433" t="s">
        <v>98</v>
      </c>
      <c r="T433">
        <v>1</v>
      </c>
      <c r="U433" t="s">
        <v>1289</v>
      </c>
      <c r="V433" t="s">
        <v>1260</v>
      </c>
      <c r="W433" t="s">
        <v>1245</v>
      </c>
      <c r="X433" t="s">
        <v>1219</v>
      </c>
      <c r="Y433" t="s">
        <v>1212</v>
      </c>
      <c r="Z433">
        <v>132.72</v>
      </c>
      <c r="AA433">
        <v>418.22</v>
      </c>
      <c r="AB433">
        <v>20.911000000000001</v>
      </c>
      <c r="AC433">
        <v>397.30900000000003</v>
      </c>
      <c r="AD433">
        <v>265.44</v>
      </c>
      <c r="AE433">
        <v>131.86900000000003</v>
      </c>
      <c r="AF433">
        <v>0.33190539353500681</v>
      </c>
      <c r="AG433">
        <v>2025</v>
      </c>
      <c r="AH433">
        <v>4</v>
      </c>
      <c r="AI433" t="s">
        <v>1421</v>
      </c>
      <c r="AJ433" t="s">
        <v>1420</v>
      </c>
      <c r="AK433" t="s">
        <v>1240</v>
      </c>
      <c r="AL433">
        <v>0</v>
      </c>
    </row>
    <row r="434" spans="1:38">
      <c r="A434" t="s">
        <v>1058</v>
      </c>
      <c r="B434" s="13">
        <v>45837</v>
      </c>
      <c r="C434" t="s">
        <v>371</v>
      </c>
      <c r="D434" t="s">
        <v>418</v>
      </c>
      <c r="E434" t="s">
        <v>372</v>
      </c>
      <c r="F434" t="s">
        <v>111</v>
      </c>
      <c r="G434" t="s">
        <v>104</v>
      </c>
      <c r="H434" t="s">
        <v>97</v>
      </c>
      <c r="I434">
        <v>5</v>
      </c>
      <c r="J434">
        <v>374.98</v>
      </c>
      <c r="K434">
        <v>0.15</v>
      </c>
      <c r="L434" t="s">
        <v>353</v>
      </c>
      <c r="M434">
        <v>4</v>
      </c>
      <c r="N434" t="s">
        <v>91</v>
      </c>
      <c r="O434" t="s">
        <v>97</v>
      </c>
      <c r="P434" t="s">
        <v>418</v>
      </c>
      <c r="Q434" t="s">
        <v>371</v>
      </c>
      <c r="R434" t="s">
        <v>111</v>
      </c>
      <c r="S434" t="s">
        <v>106</v>
      </c>
      <c r="T434">
        <v>1</v>
      </c>
      <c r="U434" t="s">
        <v>1302</v>
      </c>
      <c r="V434" t="s">
        <v>1260</v>
      </c>
      <c r="W434" t="s">
        <v>1237</v>
      </c>
      <c r="X434" t="s">
        <v>1215</v>
      </c>
      <c r="Y434" t="s">
        <v>1212</v>
      </c>
      <c r="Z434">
        <v>212.02</v>
      </c>
      <c r="AA434">
        <v>1874.9</v>
      </c>
      <c r="AB434">
        <v>281.23500000000001</v>
      </c>
      <c r="AC434">
        <v>1593.665</v>
      </c>
      <c r="AD434">
        <v>1060.1000000000001</v>
      </c>
      <c r="AE434">
        <v>533.56499999999983</v>
      </c>
      <c r="AF434">
        <v>0.33480373855233053</v>
      </c>
      <c r="AG434">
        <v>2025</v>
      </c>
      <c r="AH434">
        <v>6</v>
      </c>
      <c r="AI434" t="s">
        <v>1429</v>
      </c>
      <c r="AJ434" t="s">
        <v>1420</v>
      </c>
      <c r="AK434" t="s">
        <v>1240</v>
      </c>
      <c r="AL434">
        <v>0</v>
      </c>
    </row>
    <row r="435" spans="1:38">
      <c r="A435" t="s">
        <v>1060</v>
      </c>
      <c r="B435" s="13">
        <v>45938</v>
      </c>
      <c r="C435" t="s">
        <v>84</v>
      </c>
      <c r="D435" t="s">
        <v>109</v>
      </c>
      <c r="E435" t="s">
        <v>86</v>
      </c>
      <c r="F435" t="s">
        <v>111</v>
      </c>
      <c r="G435" t="s">
        <v>88</v>
      </c>
      <c r="H435" t="s">
        <v>89</v>
      </c>
      <c r="I435">
        <v>2</v>
      </c>
      <c r="J435">
        <v>198.16</v>
      </c>
      <c r="K435">
        <v>0.25</v>
      </c>
      <c r="L435" t="s">
        <v>106</v>
      </c>
      <c r="M435">
        <v>1</v>
      </c>
      <c r="N435" t="s">
        <v>91</v>
      </c>
      <c r="O435" t="s">
        <v>89</v>
      </c>
      <c r="P435" t="s">
        <v>109</v>
      </c>
      <c r="Q435" t="s">
        <v>84</v>
      </c>
      <c r="R435" t="s">
        <v>111</v>
      </c>
      <c r="S435" t="s">
        <v>106</v>
      </c>
      <c r="T435">
        <v>1</v>
      </c>
      <c r="U435" t="s">
        <v>1354</v>
      </c>
      <c r="V435" t="s">
        <v>1275</v>
      </c>
      <c r="W435" t="s">
        <v>1237</v>
      </c>
      <c r="X435" t="s">
        <v>1219</v>
      </c>
      <c r="Y435" t="s">
        <v>1212</v>
      </c>
      <c r="Z435">
        <v>132.72</v>
      </c>
      <c r="AA435">
        <v>396.32</v>
      </c>
      <c r="AB435">
        <v>99.08</v>
      </c>
      <c r="AC435">
        <v>297.24</v>
      </c>
      <c r="AD435">
        <v>265.44</v>
      </c>
      <c r="AE435">
        <v>31.800000000000011</v>
      </c>
      <c r="AF435">
        <v>0.10698425514735571</v>
      </c>
      <c r="AG435">
        <v>2025</v>
      </c>
      <c r="AH435">
        <v>10</v>
      </c>
      <c r="AI435" t="s">
        <v>1431</v>
      </c>
      <c r="AJ435" t="s">
        <v>1427</v>
      </c>
      <c r="AK435" t="s">
        <v>1258</v>
      </c>
      <c r="AL435">
        <v>0</v>
      </c>
    </row>
    <row r="436" spans="1:38">
      <c r="A436" t="s">
        <v>1064</v>
      </c>
      <c r="B436" s="13">
        <v>45749</v>
      </c>
      <c r="C436" t="s">
        <v>414</v>
      </c>
      <c r="D436" t="s">
        <v>418</v>
      </c>
      <c r="E436" t="s">
        <v>415</v>
      </c>
      <c r="F436" t="s">
        <v>103</v>
      </c>
      <c r="G436" t="s">
        <v>88</v>
      </c>
      <c r="H436" t="s">
        <v>105</v>
      </c>
      <c r="I436">
        <v>1</v>
      </c>
      <c r="J436">
        <v>342.07</v>
      </c>
      <c r="K436">
        <v>0.05</v>
      </c>
      <c r="L436" t="s">
        <v>106</v>
      </c>
      <c r="M436">
        <v>9</v>
      </c>
      <c r="N436" t="s">
        <v>91</v>
      </c>
      <c r="O436" t="s">
        <v>105</v>
      </c>
      <c r="P436" t="s">
        <v>418</v>
      </c>
      <c r="Q436" t="s">
        <v>414</v>
      </c>
      <c r="R436" t="s">
        <v>103</v>
      </c>
      <c r="S436" t="s">
        <v>106</v>
      </c>
      <c r="T436">
        <v>1</v>
      </c>
      <c r="U436" t="s">
        <v>1305</v>
      </c>
      <c r="V436" t="s">
        <v>1288</v>
      </c>
      <c r="W436" t="s">
        <v>1245</v>
      </c>
      <c r="X436" t="s">
        <v>1215</v>
      </c>
      <c r="Y436" t="s">
        <v>1212</v>
      </c>
      <c r="Z436">
        <v>212.02</v>
      </c>
      <c r="AA436">
        <v>342.07</v>
      </c>
      <c r="AB436">
        <v>17.1035</v>
      </c>
      <c r="AC436">
        <v>324.9665</v>
      </c>
      <c r="AD436">
        <v>212.02</v>
      </c>
      <c r="AE436">
        <v>112.94649999999999</v>
      </c>
      <c r="AF436">
        <v>0.34756351808571034</v>
      </c>
      <c r="AG436">
        <v>2025</v>
      </c>
      <c r="AH436">
        <v>4</v>
      </c>
      <c r="AI436" t="s">
        <v>1421</v>
      </c>
      <c r="AJ436" t="s">
        <v>1420</v>
      </c>
      <c r="AK436" t="s">
        <v>1250</v>
      </c>
      <c r="AL436">
        <v>0</v>
      </c>
    </row>
    <row r="437" spans="1:38">
      <c r="A437" t="s">
        <v>1079</v>
      </c>
      <c r="B437" s="13">
        <v>45871</v>
      </c>
      <c r="C437" t="s">
        <v>613</v>
      </c>
      <c r="D437" t="s">
        <v>346</v>
      </c>
      <c r="E437" t="s">
        <v>710</v>
      </c>
      <c r="F437" t="s">
        <v>111</v>
      </c>
      <c r="G437" t="s">
        <v>104</v>
      </c>
      <c r="H437" t="s">
        <v>89</v>
      </c>
      <c r="I437">
        <v>1</v>
      </c>
      <c r="J437">
        <v>247.09</v>
      </c>
      <c r="K437">
        <v>0.1</v>
      </c>
      <c r="L437" t="s">
        <v>106</v>
      </c>
      <c r="M437">
        <v>4</v>
      </c>
      <c r="N437" t="s">
        <v>91</v>
      </c>
      <c r="O437" t="s">
        <v>89</v>
      </c>
      <c r="P437" t="s">
        <v>346</v>
      </c>
      <c r="Q437" t="s">
        <v>613</v>
      </c>
      <c r="R437" t="s">
        <v>111</v>
      </c>
      <c r="S437" t="s">
        <v>106</v>
      </c>
      <c r="T437">
        <v>1</v>
      </c>
      <c r="U437" t="s">
        <v>1289</v>
      </c>
      <c r="V437" t="s">
        <v>1260</v>
      </c>
      <c r="W437" t="s">
        <v>1245</v>
      </c>
      <c r="X437" t="s">
        <v>1217</v>
      </c>
      <c r="Y437" t="s">
        <v>1212</v>
      </c>
      <c r="Z437">
        <v>125.4</v>
      </c>
      <c r="AA437">
        <v>247.09</v>
      </c>
      <c r="AB437">
        <v>24.709000000000003</v>
      </c>
      <c r="AC437">
        <v>222.381</v>
      </c>
      <c r="AD437">
        <v>125.4</v>
      </c>
      <c r="AE437">
        <v>96.980999999999995</v>
      </c>
      <c r="AF437">
        <v>0.43610290447475275</v>
      </c>
      <c r="AG437">
        <v>2025</v>
      </c>
      <c r="AH437">
        <v>8</v>
      </c>
      <c r="AI437" t="s">
        <v>1417</v>
      </c>
      <c r="AJ437" t="s">
        <v>1418</v>
      </c>
      <c r="AK437" t="s">
        <v>1240</v>
      </c>
      <c r="AL437">
        <v>0</v>
      </c>
    </row>
    <row r="438" spans="1:38">
      <c r="A438" t="s">
        <v>1080</v>
      </c>
      <c r="B438" s="13">
        <v>45884</v>
      </c>
      <c r="C438" t="s">
        <v>132</v>
      </c>
      <c r="D438" t="s">
        <v>194</v>
      </c>
      <c r="E438" t="s">
        <v>1081</v>
      </c>
      <c r="F438" t="s">
        <v>116</v>
      </c>
      <c r="G438" t="s">
        <v>96</v>
      </c>
      <c r="H438" t="s">
        <v>89</v>
      </c>
      <c r="I438">
        <v>3</v>
      </c>
      <c r="J438">
        <v>212.15</v>
      </c>
      <c r="K438">
        <v>0.05</v>
      </c>
      <c r="L438" t="s">
        <v>106</v>
      </c>
      <c r="M438">
        <v>1</v>
      </c>
      <c r="N438" t="s">
        <v>91</v>
      </c>
      <c r="O438" t="s">
        <v>89</v>
      </c>
      <c r="P438" t="s">
        <v>194</v>
      </c>
      <c r="Q438" t="s">
        <v>132</v>
      </c>
      <c r="R438" t="s">
        <v>116</v>
      </c>
      <c r="S438" t="s">
        <v>106</v>
      </c>
      <c r="T438">
        <v>1</v>
      </c>
      <c r="U438" t="s">
        <v>1346</v>
      </c>
      <c r="V438" t="s">
        <v>1288</v>
      </c>
      <c r="W438" t="s">
        <v>1245</v>
      </c>
      <c r="X438" t="s">
        <v>1216</v>
      </c>
      <c r="Y438" t="s">
        <v>1212</v>
      </c>
      <c r="Z438">
        <v>101</v>
      </c>
      <c r="AA438">
        <v>636.45000000000005</v>
      </c>
      <c r="AB438">
        <v>31.822500000000005</v>
      </c>
      <c r="AC438">
        <v>604.62750000000005</v>
      </c>
      <c r="AD438">
        <v>303</v>
      </c>
      <c r="AE438">
        <v>301.62750000000005</v>
      </c>
      <c r="AF438">
        <v>0.49886500365927788</v>
      </c>
      <c r="AG438">
        <v>2025</v>
      </c>
      <c r="AH438">
        <v>8</v>
      </c>
      <c r="AI438" t="s">
        <v>1417</v>
      </c>
      <c r="AJ438" t="s">
        <v>1418</v>
      </c>
      <c r="AK438" t="s">
        <v>1250</v>
      </c>
      <c r="AL438">
        <v>0</v>
      </c>
    </row>
    <row r="439" spans="1:38">
      <c r="A439" t="s">
        <v>1092</v>
      </c>
      <c r="B439" s="13">
        <v>45817</v>
      </c>
      <c r="C439" t="s">
        <v>220</v>
      </c>
      <c r="D439" t="s">
        <v>109</v>
      </c>
      <c r="E439" t="s">
        <v>222</v>
      </c>
      <c r="F439" t="s">
        <v>103</v>
      </c>
      <c r="G439" t="s">
        <v>122</v>
      </c>
      <c r="H439" t="s">
        <v>89</v>
      </c>
      <c r="I439">
        <v>3</v>
      </c>
      <c r="J439">
        <v>205.35</v>
      </c>
      <c r="K439">
        <v>0.1</v>
      </c>
      <c r="L439" t="s">
        <v>106</v>
      </c>
      <c r="M439">
        <v>6</v>
      </c>
      <c r="N439" t="s">
        <v>91</v>
      </c>
      <c r="O439" t="s">
        <v>89</v>
      </c>
      <c r="P439" t="s">
        <v>109</v>
      </c>
      <c r="Q439" t="s">
        <v>220</v>
      </c>
      <c r="R439" t="s">
        <v>103</v>
      </c>
      <c r="S439" t="s">
        <v>106</v>
      </c>
      <c r="T439">
        <v>1</v>
      </c>
      <c r="U439" t="s">
        <v>1315</v>
      </c>
      <c r="V439" t="s">
        <v>1255</v>
      </c>
      <c r="W439" t="s">
        <v>1237</v>
      </c>
      <c r="X439" t="s">
        <v>1219</v>
      </c>
      <c r="Y439" t="s">
        <v>1212</v>
      </c>
      <c r="Z439">
        <v>132.72</v>
      </c>
      <c r="AA439">
        <v>616.04999999999995</v>
      </c>
      <c r="AB439">
        <v>61.604999999999997</v>
      </c>
      <c r="AC439">
        <v>554.44499999999994</v>
      </c>
      <c r="AD439">
        <v>398.15999999999997</v>
      </c>
      <c r="AE439">
        <v>156.28499999999997</v>
      </c>
      <c r="AF439">
        <v>0.28187647106566022</v>
      </c>
      <c r="AG439">
        <v>2025</v>
      </c>
      <c r="AH439">
        <v>6</v>
      </c>
      <c r="AI439" t="s">
        <v>1429</v>
      </c>
      <c r="AJ439" t="s">
        <v>1420</v>
      </c>
      <c r="AK439" t="s">
        <v>1244</v>
      </c>
      <c r="AL439">
        <v>0</v>
      </c>
    </row>
    <row r="440" spans="1:38">
      <c r="A440" t="s">
        <v>1097</v>
      </c>
      <c r="B440" s="13">
        <v>46006</v>
      </c>
      <c r="C440" t="s">
        <v>463</v>
      </c>
      <c r="D440" t="s">
        <v>261</v>
      </c>
      <c r="E440" t="s">
        <v>464</v>
      </c>
      <c r="F440" t="s">
        <v>116</v>
      </c>
      <c r="G440" t="s">
        <v>171</v>
      </c>
      <c r="H440" t="s">
        <v>89</v>
      </c>
      <c r="I440">
        <v>2</v>
      </c>
      <c r="J440">
        <v>263.13</v>
      </c>
      <c r="K440">
        <v>0</v>
      </c>
      <c r="L440" t="s">
        <v>106</v>
      </c>
      <c r="M440">
        <v>4</v>
      </c>
      <c r="N440" t="s">
        <v>91</v>
      </c>
      <c r="O440" t="s">
        <v>89</v>
      </c>
      <c r="P440" t="s">
        <v>261</v>
      </c>
      <c r="Q440" t="s">
        <v>463</v>
      </c>
      <c r="R440" t="s">
        <v>116</v>
      </c>
      <c r="S440" t="s">
        <v>106</v>
      </c>
      <c r="T440">
        <v>1</v>
      </c>
      <c r="U440" t="s">
        <v>1280</v>
      </c>
      <c r="V440" t="s">
        <v>1249</v>
      </c>
      <c r="W440" t="s">
        <v>1245</v>
      </c>
      <c r="X440" t="s">
        <v>1218</v>
      </c>
      <c r="Y440" t="s">
        <v>1212</v>
      </c>
      <c r="Z440">
        <v>131.72999999999999</v>
      </c>
      <c r="AA440">
        <v>526.26</v>
      </c>
      <c r="AB440">
        <v>0</v>
      </c>
      <c r="AC440">
        <v>526.26</v>
      </c>
      <c r="AD440">
        <v>263.45999999999998</v>
      </c>
      <c r="AE440">
        <v>262.8</v>
      </c>
      <c r="AF440">
        <v>0.4993729335309543</v>
      </c>
      <c r="AG440">
        <v>2025</v>
      </c>
      <c r="AH440">
        <v>12</v>
      </c>
      <c r="AI440" t="s">
        <v>1428</v>
      </c>
      <c r="AJ440" t="s">
        <v>1427</v>
      </c>
      <c r="AK440" t="s">
        <v>1250</v>
      </c>
      <c r="AL440">
        <v>0</v>
      </c>
    </row>
    <row r="441" spans="1:38">
      <c r="A441" t="s">
        <v>1107</v>
      </c>
      <c r="B441" s="13">
        <v>45816</v>
      </c>
      <c r="C441" t="s">
        <v>453</v>
      </c>
      <c r="D441" t="s">
        <v>418</v>
      </c>
      <c r="E441" t="s">
        <v>454</v>
      </c>
      <c r="F441" t="s">
        <v>116</v>
      </c>
      <c r="G441" t="s">
        <v>130</v>
      </c>
      <c r="H441" t="s">
        <v>89</v>
      </c>
      <c r="I441">
        <v>2</v>
      </c>
      <c r="J441">
        <v>375.09</v>
      </c>
      <c r="K441">
        <v>0.05</v>
      </c>
      <c r="L441" t="s">
        <v>98</v>
      </c>
      <c r="M441">
        <v>1</v>
      </c>
      <c r="N441" t="s">
        <v>91</v>
      </c>
      <c r="O441" t="s">
        <v>89</v>
      </c>
      <c r="P441" t="s">
        <v>418</v>
      </c>
      <c r="Q441" t="s">
        <v>453</v>
      </c>
      <c r="R441" t="s">
        <v>116</v>
      </c>
      <c r="S441" t="s">
        <v>98</v>
      </c>
      <c r="T441">
        <v>1</v>
      </c>
      <c r="U441" t="s">
        <v>1318</v>
      </c>
      <c r="V441" t="s">
        <v>1235</v>
      </c>
      <c r="W441" t="s">
        <v>1245</v>
      </c>
      <c r="X441" t="s">
        <v>1215</v>
      </c>
      <c r="Y441" t="s">
        <v>1212</v>
      </c>
      <c r="Z441">
        <v>212.02</v>
      </c>
      <c r="AA441">
        <v>750.18</v>
      </c>
      <c r="AB441">
        <v>37.509</v>
      </c>
      <c r="AC441">
        <v>712.67099999999994</v>
      </c>
      <c r="AD441">
        <v>424.04</v>
      </c>
      <c r="AE441">
        <v>288.63099999999991</v>
      </c>
      <c r="AF441">
        <v>0.40499894060513186</v>
      </c>
      <c r="AG441">
        <v>2025</v>
      </c>
      <c r="AH441">
        <v>6</v>
      </c>
      <c r="AI441" t="s">
        <v>1429</v>
      </c>
      <c r="AJ441" t="s">
        <v>1420</v>
      </c>
      <c r="AK441" t="s">
        <v>1236</v>
      </c>
      <c r="AL441">
        <v>0</v>
      </c>
    </row>
    <row r="442" spans="1:38">
      <c r="A442" t="s">
        <v>1109</v>
      </c>
      <c r="B442" s="13">
        <v>45673</v>
      </c>
      <c r="C442" t="s">
        <v>466</v>
      </c>
      <c r="D442" t="s">
        <v>271</v>
      </c>
      <c r="E442" t="s">
        <v>1110</v>
      </c>
      <c r="F442" t="s">
        <v>87</v>
      </c>
      <c r="G442" t="s">
        <v>117</v>
      </c>
      <c r="H442" t="s">
        <v>89</v>
      </c>
      <c r="I442">
        <v>2</v>
      </c>
      <c r="J442">
        <v>217.75</v>
      </c>
      <c r="K442">
        <v>0.15</v>
      </c>
      <c r="L442" t="s">
        <v>106</v>
      </c>
      <c r="M442">
        <v>2</v>
      </c>
      <c r="N442" t="s">
        <v>91</v>
      </c>
      <c r="O442" t="s">
        <v>89</v>
      </c>
      <c r="P442" t="s">
        <v>271</v>
      </c>
      <c r="Q442" t="s">
        <v>466</v>
      </c>
      <c r="R442" t="s">
        <v>87</v>
      </c>
      <c r="S442" t="s">
        <v>106</v>
      </c>
      <c r="T442">
        <v>1</v>
      </c>
      <c r="U442" t="s">
        <v>1340</v>
      </c>
      <c r="V442" t="s">
        <v>1247</v>
      </c>
      <c r="W442" t="s">
        <v>1245</v>
      </c>
      <c r="X442" t="s">
        <v>1213</v>
      </c>
      <c r="Y442" t="s">
        <v>1212</v>
      </c>
      <c r="Z442">
        <v>139.19999999999999</v>
      </c>
      <c r="AA442">
        <v>435.5</v>
      </c>
      <c r="AB442">
        <v>65.325000000000003</v>
      </c>
      <c r="AC442">
        <v>370.17500000000001</v>
      </c>
      <c r="AD442">
        <v>278.39999999999998</v>
      </c>
      <c r="AE442">
        <v>91.775000000000034</v>
      </c>
      <c r="AF442">
        <v>0.24792327952995213</v>
      </c>
      <c r="AG442">
        <v>2025</v>
      </c>
      <c r="AH442">
        <v>1</v>
      </c>
      <c r="AI442" t="s">
        <v>1425</v>
      </c>
      <c r="AJ442" t="s">
        <v>1424</v>
      </c>
      <c r="AK442" t="s">
        <v>1240</v>
      </c>
      <c r="AL442">
        <v>0</v>
      </c>
    </row>
    <row r="443" spans="1:38">
      <c r="A443" t="s">
        <v>1111</v>
      </c>
      <c r="B443" s="13">
        <v>45782</v>
      </c>
      <c r="C443" t="s">
        <v>695</v>
      </c>
      <c r="D443" t="s">
        <v>271</v>
      </c>
      <c r="E443" t="s">
        <v>696</v>
      </c>
      <c r="F443" t="s">
        <v>116</v>
      </c>
      <c r="G443" t="s">
        <v>88</v>
      </c>
      <c r="H443" t="s">
        <v>105</v>
      </c>
      <c r="I443">
        <v>1</v>
      </c>
      <c r="J443">
        <v>223.78</v>
      </c>
      <c r="K443">
        <v>0.1</v>
      </c>
      <c r="L443" t="s">
        <v>106</v>
      </c>
      <c r="M443">
        <v>3</v>
      </c>
      <c r="N443" t="s">
        <v>91</v>
      </c>
      <c r="O443" t="s">
        <v>105</v>
      </c>
      <c r="P443" t="s">
        <v>271</v>
      </c>
      <c r="Q443" t="s">
        <v>695</v>
      </c>
      <c r="R443" t="s">
        <v>116</v>
      </c>
      <c r="S443" t="s">
        <v>106</v>
      </c>
      <c r="T443">
        <v>1</v>
      </c>
      <c r="U443" t="s">
        <v>1268</v>
      </c>
      <c r="V443" t="s">
        <v>1239</v>
      </c>
      <c r="W443" t="s">
        <v>1241</v>
      </c>
      <c r="X443" t="s">
        <v>1213</v>
      </c>
      <c r="Y443" t="s">
        <v>1212</v>
      </c>
      <c r="Z443">
        <v>139.19999999999999</v>
      </c>
      <c r="AA443">
        <v>223.78</v>
      </c>
      <c r="AB443">
        <v>22.378</v>
      </c>
      <c r="AC443">
        <v>201.40199999999999</v>
      </c>
      <c r="AD443">
        <v>139.19999999999999</v>
      </c>
      <c r="AE443">
        <v>62.201999999999998</v>
      </c>
      <c r="AF443">
        <v>0.30884499657401615</v>
      </c>
      <c r="AG443">
        <v>2025</v>
      </c>
      <c r="AH443">
        <v>5</v>
      </c>
      <c r="AI443" t="s">
        <v>1419</v>
      </c>
      <c r="AJ443" t="s">
        <v>1420</v>
      </c>
      <c r="AK443" t="s">
        <v>1240</v>
      </c>
      <c r="AL443">
        <v>0</v>
      </c>
    </row>
    <row r="444" spans="1:38">
      <c r="A444" t="s">
        <v>1122</v>
      </c>
      <c r="B444" s="13">
        <v>46012</v>
      </c>
      <c r="C444" t="s">
        <v>359</v>
      </c>
      <c r="D444" t="s">
        <v>346</v>
      </c>
      <c r="E444" t="s">
        <v>361</v>
      </c>
      <c r="F444" t="s">
        <v>87</v>
      </c>
      <c r="G444" t="s">
        <v>96</v>
      </c>
      <c r="H444" t="s">
        <v>89</v>
      </c>
      <c r="I444">
        <v>2</v>
      </c>
      <c r="J444">
        <v>243.64</v>
      </c>
      <c r="K444">
        <v>0.25</v>
      </c>
      <c r="L444" t="s">
        <v>98</v>
      </c>
      <c r="M444">
        <v>1</v>
      </c>
      <c r="N444" t="s">
        <v>91</v>
      </c>
      <c r="O444" t="s">
        <v>89</v>
      </c>
      <c r="P444" t="s">
        <v>346</v>
      </c>
      <c r="Q444" t="s">
        <v>359</v>
      </c>
      <c r="R444" t="s">
        <v>87</v>
      </c>
      <c r="S444" t="s">
        <v>98</v>
      </c>
      <c r="T444">
        <v>1</v>
      </c>
      <c r="U444" t="s">
        <v>1296</v>
      </c>
      <c r="V444" t="s">
        <v>1297</v>
      </c>
      <c r="W444" t="s">
        <v>1245</v>
      </c>
      <c r="X444" t="s">
        <v>1217</v>
      </c>
      <c r="Y444" t="s">
        <v>1212</v>
      </c>
      <c r="Z444">
        <v>125.4</v>
      </c>
      <c r="AA444">
        <v>487.28</v>
      </c>
      <c r="AB444">
        <v>121.82</v>
      </c>
      <c r="AC444">
        <v>365.46</v>
      </c>
      <c r="AD444">
        <v>250.8</v>
      </c>
      <c r="AE444">
        <v>114.65999999999997</v>
      </c>
      <c r="AF444">
        <v>0.31374158594647833</v>
      </c>
      <c r="AG444">
        <v>2025</v>
      </c>
      <c r="AH444">
        <v>12</v>
      </c>
      <c r="AI444" t="s">
        <v>1428</v>
      </c>
      <c r="AJ444" t="s">
        <v>1427</v>
      </c>
      <c r="AK444" t="s">
        <v>1258</v>
      </c>
      <c r="AL444">
        <v>0</v>
      </c>
    </row>
    <row r="445" spans="1:38">
      <c r="A445" t="s">
        <v>1126</v>
      </c>
      <c r="B445" s="13">
        <v>45980</v>
      </c>
      <c r="C445" t="s">
        <v>386</v>
      </c>
      <c r="D445" t="s">
        <v>194</v>
      </c>
      <c r="E445" t="s">
        <v>576</v>
      </c>
      <c r="F445" t="s">
        <v>116</v>
      </c>
      <c r="G445" t="s">
        <v>104</v>
      </c>
      <c r="H445" t="s">
        <v>89</v>
      </c>
      <c r="I445">
        <v>1</v>
      </c>
      <c r="J445">
        <v>196.11</v>
      </c>
      <c r="K445">
        <v>0.1</v>
      </c>
      <c r="L445" t="s">
        <v>98</v>
      </c>
      <c r="M445">
        <v>3</v>
      </c>
      <c r="N445" t="s">
        <v>91</v>
      </c>
      <c r="O445" t="s">
        <v>89</v>
      </c>
      <c r="P445" t="s">
        <v>194</v>
      </c>
      <c r="Q445" t="s">
        <v>386</v>
      </c>
      <c r="R445" t="s">
        <v>116</v>
      </c>
      <c r="S445" t="s">
        <v>98</v>
      </c>
      <c r="T445">
        <v>1</v>
      </c>
      <c r="U445" t="s">
        <v>1254</v>
      </c>
      <c r="V445" t="s">
        <v>1255</v>
      </c>
      <c r="W445" t="s">
        <v>1245</v>
      </c>
      <c r="X445" t="s">
        <v>1216</v>
      </c>
      <c r="Y445" t="s">
        <v>1212</v>
      </c>
      <c r="Z445">
        <v>101</v>
      </c>
      <c r="AA445">
        <v>196.11</v>
      </c>
      <c r="AB445">
        <v>19.611000000000004</v>
      </c>
      <c r="AC445">
        <v>176.49900000000002</v>
      </c>
      <c r="AD445">
        <v>101</v>
      </c>
      <c r="AE445">
        <v>75.499000000000024</v>
      </c>
      <c r="AF445">
        <v>0.42775879750026918</v>
      </c>
      <c r="AG445">
        <v>2025</v>
      </c>
      <c r="AH445">
        <v>11</v>
      </c>
      <c r="AI445" t="s">
        <v>1426</v>
      </c>
      <c r="AJ445" t="s">
        <v>1427</v>
      </c>
      <c r="AK445" t="s">
        <v>1244</v>
      </c>
      <c r="AL445">
        <v>0</v>
      </c>
    </row>
    <row r="446" spans="1:38">
      <c r="A446" t="s">
        <v>1131</v>
      </c>
      <c r="B446" s="13">
        <v>45680</v>
      </c>
      <c r="C446" t="s">
        <v>453</v>
      </c>
      <c r="D446" t="s">
        <v>109</v>
      </c>
      <c r="E446" t="s">
        <v>454</v>
      </c>
      <c r="F446" t="s">
        <v>655</v>
      </c>
      <c r="G446" t="s">
        <v>171</v>
      </c>
      <c r="H446" t="s">
        <v>105</v>
      </c>
      <c r="I446">
        <v>5</v>
      </c>
      <c r="J446">
        <v>210.76</v>
      </c>
      <c r="K446">
        <v>0</v>
      </c>
      <c r="L446" t="s">
        <v>106</v>
      </c>
      <c r="M446">
        <v>7</v>
      </c>
      <c r="N446" t="s">
        <v>91</v>
      </c>
      <c r="O446" t="s">
        <v>105</v>
      </c>
      <c r="P446" t="s">
        <v>109</v>
      </c>
      <c r="Q446" t="s">
        <v>453</v>
      </c>
      <c r="R446" t="s">
        <v>87</v>
      </c>
      <c r="S446" t="s">
        <v>106</v>
      </c>
      <c r="T446">
        <v>1</v>
      </c>
      <c r="U446" t="s">
        <v>1318</v>
      </c>
      <c r="V446" t="s">
        <v>1235</v>
      </c>
      <c r="W446" t="s">
        <v>1245</v>
      </c>
      <c r="X446" t="s">
        <v>1219</v>
      </c>
      <c r="Y446" t="s">
        <v>1212</v>
      </c>
      <c r="Z446">
        <v>132.72</v>
      </c>
      <c r="AA446">
        <v>1053.8</v>
      </c>
      <c r="AB446">
        <v>0</v>
      </c>
      <c r="AC446">
        <v>1053.8</v>
      </c>
      <c r="AD446">
        <v>663.6</v>
      </c>
      <c r="AE446">
        <v>390.19999999999993</v>
      </c>
      <c r="AF446">
        <v>0.37027899032074391</v>
      </c>
      <c r="AG446">
        <v>2025</v>
      </c>
      <c r="AH446">
        <v>1</v>
      </c>
      <c r="AI446" t="s">
        <v>1425</v>
      </c>
      <c r="AJ446" t="s">
        <v>1424</v>
      </c>
      <c r="AK446" t="s">
        <v>1236</v>
      </c>
      <c r="AL446">
        <v>0</v>
      </c>
    </row>
    <row r="447" spans="1:38">
      <c r="A447" t="s">
        <v>1138</v>
      </c>
      <c r="B447" s="13">
        <v>45956</v>
      </c>
      <c r="C447" t="s">
        <v>516</v>
      </c>
      <c r="D447" t="s">
        <v>346</v>
      </c>
      <c r="E447" t="s">
        <v>517</v>
      </c>
      <c r="F447" t="s">
        <v>111</v>
      </c>
      <c r="G447" t="s">
        <v>122</v>
      </c>
      <c r="H447" t="s">
        <v>89</v>
      </c>
      <c r="I447">
        <v>1</v>
      </c>
      <c r="J447">
        <v>240.35</v>
      </c>
      <c r="K447">
        <v>0</v>
      </c>
      <c r="L447" t="s">
        <v>106</v>
      </c>
      <c r="M447">
        <v>8</v>
      </c>
      <c r="N447" t="s">
        <v>91</v>
      </c>
      <c r="O447" t="s">
        <v>89</v>
      </c>
      <c r="P447" t="s">
        <v>346</v>
      </c>
      <c r="Q447" t="s">
        <v>516</v>
      </c>
      <c r="R447" t="s">
        <v>111</v>
      </c>
      <c r="S447" t="s">
        <v>106</v>
      </c>
      <c r="T447">
        <v>1</v>
      </c>
      <c r="U447" t="s">
        <v>1359</v>
      </c>
      <c r="V447" t="s">
        <v>1255</v>
      </c>
      <c r="W447" t="s">
        <v>1241</v>
      </c>
      <c r="X447" t="s">
        <v>1217</v>
      </c>
      <c r="Y447" t="s">
        <v>1212</v>
      </c>
      <c r="Z447">
        <v>125.4</v>
      </c>
      <c r="AA447">
        <v>240.35</v>
      </c>
      <c r="AB447">
        <v>0</v>
      </c>
      <c r="AC447">
        <v>240.35</v>
      </c>
      <c r="AD447">
        <v>125.4</v>
      </c>
      <c r="AE447">
        <v>114.94999999999999</v>
      </c>
      <c r="AF447">
        <v>0.47826086956521735</v>
      </c>
      <c r="AG447">
        <v>2025</v>
      </c>
      <c r="AH447">
        <v>10</v>
      </c>
      <c r="AI447" t="s">
        <v>1431</v>
      </c>
      <c r="AJ447" t="s">
        <v>1427</v>
      </c>
      <c r="AK447" t="s">
        <v>1244</v>
      </c>
      <c r="AL447">
        <v>0</v>
      </c>
    </row>
    <row r="448" spans="1:38">
      <c r="A448" t="s">
        <v>1164</v>
      </c>
      <c r="B448" s="13">
        <v>45855</v>
      </c>
      <c r="C448" t="s">
        <v>613</v>
      </c>
      <c r="D448" t="s">
        <v>346</v>
      </c>
      <c r="E448" t="s">
        <v>710</v>
      </c>
      <c r="F448" t="s">
        <v>103</v>
      </c>
      <c r="G448" t="s">
        <v>171</v>
      </c>
      <c r="H448" t="s">
        <v>97</v>
      </c>
      <c r="I448">
        <v>5</v>
      </c>
      <c r="J448">
        <v>247.33</v>
      </c>
      <c r="K448">
        <v>0.05</v>
      </c>
      <c r="L448" t="s">
        <v>98</v>
      </c>
      <c r="M448">
        <v>1</v>
      </c>
      <c r="N448" t="s">
        <v>91</v>
      </c>
      <c r="O448" t="s">
        <v>97</v>
      </c>
      <c r="P448" t="s">
        <v>346</v>
      </c>
      <c r="Q448" t="s">
        <v>613</v>
      </c>
      <c r="R448" t="s">
        <v>103</v>
      </c>
      <c r="S448" t="s">
        <v>98</v>
      </c>
      <c r="T448">
        <v>1</v>
      </c>
      <c r="U448" t="s">
        <v>1289</v>
      </c>
      <c r="V448" t="s">
        <v>1260</v>
      </c>
      <c r="W448" t="s">
        <v>1245</v>
      </c>
      <c r="X448" t="s">
        <v>1217</v>
      </c>
      <c r="Y448" t="s">
        <v>1212</v>
      </c>
      <c r="Z448">
        <v>125.4</v>
      </c>
      <c r="AA448">
        <v>1236.6500000000001</v>
      </c>
      <c r="AB448">
        <v>61.83250000000001</v>
      </c>
      <c r="AC448">
        <v>1174.8175000000001</v>
      </c>
      <c r="AD448">
        <v>627</v>
      </c>
      <c r="AE448">
        <v>547.81750000000011</v>
      </c>
      <c r="AF448">
        <v>0.46630008490680475</v>
      </c>
      <c r="AG448">
        <v>2025</v>
      </c>
      <c r="AH448">
        <v>7</v>
      </c>
      <c r="AI448" t="s">
        <v>1422</v>
      </c>
      <c r="AJ448" t="s">
        <v>1418</v>
      </c>
      <c r="AK448" t="s">
        <v>1240</v>
      </c>
      <c r="AL448">
        <v>0</v>
      </c>
    </row>
    <row r="449" spans="1:38">
      <c r="A449" t="s">
        <v>99</v>
      </c>
      <c r="B449" s="13">
        <v>45694</v>
      </c>
      <c r="C449" t="s">
        <v>100</v>
      </c>
      <c r="D449" t="s">
        <v>101</v>
      </c>
      <c r="E449" t="s">
        <v>102</v>
      </c>
      <c r="F449" t="s">
        <v>103</v>
      </c>
      <c r="G449" t="s">
        <v>104</v>
      </c>
      <c r="H449" t="s">
        <v>105</v>
      </c>
      <c r="I449">
        <v>2</v>
      </c>
      <c r="J449">
        <v>302.17</v>
      </c>
      <c r="K449">
        <v>0</v>
      </c>
      <c r="L449" t="s">
        <v>106</v>
      </c>
      <c r="M449">
        <v>7</v>
      </c>
      <c r="N449" t="s">
        <v>91</v>
      </c>
      <c r="O449" t="s">
        <v>105</v>
      </c>
      <c r="P449" t="s">
        <v>101</v>
      </c>
      <c r="Q449" t="s">
        <v>100</v>
      </c>
      <c r="R449" t="s">
        <v>103</v>
      </c>
      <c r="S449" t="s">
        <v>106</v>
      </c>
      <c r="T449">
        <v>1</v>
      </c>
      <c r="U449" t="s">
        <v>1242</v>
      </c>
      <c r="V449" t="s">
        <v>1243</v>
      </c>
      <c r="W449" t="s">
        <v>1245</v>
      </c>
      <c r="X449" t="s">
        <v>1207</v>
      </c>
      <c r="Y449" t="s">
        <v>1203</v>
      </c>
      <c r="Z449">
        <v>139.86000000000001</v>
      </c>
      <c r="AA449">
        <v>604.34</v>
      </c>
      <c r="AB449">
        <v>0</v>
      </c>
      <c r="AC449">
        <v>604.34</v>
      </c>
      <c r="AD449">
        <v>279.72000000000003</v>
      </c>
      <c r="AE449">
        <v>324.62</v>
      </c>
      <c r="AF449">
        <v>0.53714796306714763</v>
      </c>
      <c r="AG449">
        <v>2025</v>
      </c>
      <c r="AH449">
        <v>2</v>
      </c>
      <c r="AI449" t="s">
        <v>1430</v>
      </c>
      <c r="AJ449" t="s">
        <v>1424</v>
      </c>
      <c r="AK449" t="s">
        <v>1244</v>
      </c>
      <c r="AL449">
        <v>0</v>
      </c>
    </row>
    <row r="450" spans="1:38">
      <c r="A450" t="s">
        <v>163</v>
      </c>
      <c r="B450" s="13">
        <v>45683</v>
      </c>
      <c r="C450" t="s">
        <v>164</v>
      </c>
      <c r="D450" t="s">
        <v>165</v>
      </c>
      <c r="E450" t="s">
        <v>166</v>
      </c>
      <c r="F450" t="s">
        <v>116</v>
      </c>
      <c r="G450" t="s">
        <v>122</v>
      </c>
      <c r="H450" t="s">
        <v>105</v>
      </c>
      <c r="I450">
        <v>2</v>
      </c>
      <c r="J450">
        <v>107.26</v>
      </c>
      <c r="K450">
        <v>0</v>
      </c>
      <c r="L450" t="s">
        <v>90</v>
      </c>
      <c r="M450">
        <v>8</v>
      </c>
      <c r="N450" t="s">
        <v>91</v>
      </c>
      <c r="O450" t="s">
        <v>105</v>
      </c>
      <c r="P450" t="s">
        <v>165</v>
      </c>
      <c r="Q450" t="s">
        <v>164</v>
      </c>
      <c r="R450" t="s">
        <v>116</v>
      </c>
      <c r="S450" t="s">
        <v>369</v>
      </c>
      <c r="T450">
        <v>1</v>
      </c>
      <c r="U450" t="s">
        <v>1282</v>
      </c>
      <c r="V450" t="s">
        <v>1275</v>
      </c>
      <c r="W450" t="s">
        <v>1237</v>
      </c>
      <c r="X450" t="s">
        <v>1210</v>
      </c>
      <c r="Y450" t="s">
        <v>1203</v>
      </c>
      <c r="Z450">
        <v>46.07</v>
      </c>
      <c r="AA450">
        <v>214.52</v>
      </c>
      <c r="AB450">
        <v>0</v>
      </c>
      <c r="AC450">
        <v>214.52</v>
      </c>
      <c r="AD450">
        <v>92.14</v>
      </c>
      <c r="AE450">
        <v>122.38000000000001</v>
      </c>
      <c r="AF450">
        <v>0.57048293865373856</v>
      </c>
      <c r="AG450">
        <v>2025</v>
      </c>
      <c r="AH450">
        <v>1</v>
      </c>
      <c r="AI450" t="s">
        <v>1425</v>
      </c>
      <c r="AJ450" t="s">
        <v>1424</v>
      </c>
      <c r="AK450" t="s">
        <v>1258</v>
      </c>
      <c r="AL450">
        <v>0</v>
      </c>
    </row>
    <row r="451" spans="1:38">
      <c r="A451" t="s">
        <v>184</v>
      </c>
      <c r="B451" s="13">
        <v>45879</v>
      </c>
      <c r="C451" t="s">
        <v>185</v>
      </c>
      <c r="D451" t="s">
        <v>165</v>
      </c>
      <c r="E451" t="s">
        <v>186</v>
      </c>
      <c r="F451" t="s">
        <v>187</v>
      </c>
      <c r="G451" t="s">
        <v>117</v>
      </c>
      <c r="H451" t="s">
        <v>89</v>
      </c>
      <c r="I451">
        <v>2</v>
      </c>
      <c r="J451">
        <v>99.22</v>
      </c>
      <c r="K451">
        <v>0.05</v>
      </c>
      <c r="L451" t="s">
        <v>98</v>
      </c>
      <c r="M451">
        <v>8</v>
      </c>
      <c r="N451" t="s">
        <v>91</v>
      </c>
      <c r="O451" t="s">
        <v>89</v>
      </c>
      <c r="P451" t="s">
        <v>165</v>
      </c>
      <c r="Q451" t="s">
        <v>185</v>
      </c>
      <c r="R451" t="s">
        <v>103</v>
      </c>
      <c r="S451" t="s">
        <v>98</v>
      </c>
      <c r="T451">
        <v>1</v>
      </c>
      <c r="U451" t="s">
        <v>1289</v>
      </c>
      <c r="V451" t="s">
        <v>1239</v>
      </c>
      <c r="W451" t="s">
        <v>1245</v>
      </c>
      <c r="X451" t="s">
        <v>1210</v>
      </c>
      <c r="Y451" t="s">
        <v>1203</v>
      </c>
      <c r="Z451">
        <v>46.07</v>
      </c>
      <c r="AA451">
        <v>198.44</v>
      </c>
      <c r="AB451">
        <v>9.9220000000000006</v>
      </c>
      <c r="AC451">
        <v>188.518</v>
      </c>
      <c r="AD451">
        <v>92.14</v>
      </c>
      <c r="AE451">
        <v>96.378</v>
      </c>
      <c r="AF451">
        <v>0.51124030596547809</v>
      </c>
      <c r="AG451">
        <v>2025</v>
      </c>
      <c r="AH451">
        <v>8</v>
      </c>
      <c r="AI451" t="s">
        <v>1417</v>
      </c>
      <c r="AJ451" t="s">
        <v>1418</v>
      </c>
      <c r="AK451" t="s">
        <v>1240</v>
      </c>
      <c r="AL451">
        <v>0</v>
      </c>
    </row>
    <row r="452" spans="1:38">
      <c r="A452" t="s">
        <v>219</v>
      </c>
      <c r="B452" s="13">
        <v>45785</v>
      </c>
      <c r="C452" t="s">
        <v>220</v>
      </c>
      <c r="D452" t="s">
        <v>221</v>
      </c>
      <c r="E452" t="s">
        <v>222</v>
      </c>
      <c r="F452" t="s">
        <v>223</v>
      </c>
      <c r="G452" t="s">
        <v>104</v>
      </c>
      <c r="H452" t="s">
        <v>89</v>
      </c>
      <c r="I452">
        <v>1</v>
      </c>
      <c r="J452">
        <v>30.26</v>
      </c>
      <c r="K452">
        <v>0.2</v>
      </c>
      <c r="L452" t="s">
        <v>106</v>
      </c>
      <c r="M452">
        <v>5</v>
      </c>
      <c r="N452" t="s">
        <v>91</v>
      </c>
      <c r="O452" t="s">
        <v>89</v>
      </c>
      <c r="P452" t="s">
        <v>221</v>
      </c>
      <c r="Q452" t="s">
        <v>220</v>
      </c>
      <c r="R452" t="s">
        <v>111</v>
      </c>
      <c r="S452" t="s">
        <v>106</v>
      </c>
      <c r="T452">
        <v>1</v>
      </c>
      <c r="U452" t="s">
        <v>1315</v>
      </c>
      <c r="V452" t="s">
        <v>1255</v>
      </c>
      <c r="W452" t="s">
        <v>1237</v>
      </c>
      <c r="X452" t="s">
        <v>1204</v>
      </c>
      <c r="Y452" t="s">
        <v>1203</v>
      </c>
      <c r="Z452">
        <v>14.58</v>
      </c>
      <c r="AA452">
        <v>30.26</v>
      </c>
      <c r="AB452">
        <v>6.0520000000000005</v>
      </c>
      <c r="AC452">
        <v>24.208000000000002</v>
      </c>
      <c r="AD452">
        <v>14.58</v>
      </c>
      <c r="AE452">
        <v>9.6280000000000019</v>
      </c>
      <c r="AF452">
        <v>0.39771976206212828</v>
      </c>
      <c r="AG452">
        <v>2025</v>
      </c>
      <c r="AH452">
        <v>5</v>
      </c>
      <c r="AI452" t="s">
        <v>1419</v>
      </c>
      <c r="AJ452" t="s">
        <v>1420</v>
      </c>
      <c r="AK452" t="s">
        <v>1244</v>
      </c>
      <c r="AL452">
        <v>0</v>
      </c>
    </row>
    <row r="453" spans="1:38">
      <c r="A453" t="s">
        <v>247</v>
      </c>
      <c r="B453" s="13">
        <v>46015</v>
      </c>
      <c r="C453" t="s">
        <v>248</v>
      </c>
      <c r="D453" t="s">
        <v>249</v>
      </c>
      <c r="E453" t="s">
        <v>250</v>
      </c>
      <c r="F453" t="s">
        <v>116</v>
      </c>
      <c r="G453" t="s">
        <v>122</v>
      </c>
      <c r="H453" t="s">
        <v>89</v>
      </c>
      <c r="I453">
        <v>2</v>
      </c>
      <c r="J453">
        <v>434.43</v>
      </c>
      <c r="K453">
        <v>0.05</v>
      </c>
      <c r="L453" t="s">
        <v>98</v>
      </c>
      <c r="M453">
        <v>7</v>
      </c>
      <c r="N453" t="s">
        <v>91</v>
      </c>
      <c r="O453" t="s">
        <v>89</v>
      </c>
      <c r="P453" t="s">
        <v>249</v>
      </c>
      <c r="Q453" t="s">
        <v>248</v>
      </c>
      <c r="R453" t="s">
        <v>116</v>
      </c>
      <c r="S453" t="s">
        <v>98</v>
      </c>
      <c r="T453">
        <v>1</v>
      </c>
      <c r="U453" t="s">
        <v>1261</v>
      </c>
      <c r="V453" t="s">
        <v>1257</v>
      </c>
      <c r="W453" t="s">
        <v>1245</v>
      </c>
      <c r="X453" t="s">
        <v>1208</v>
      </c>
      <c r="Y453" t="s">
        <v>1203</v>
      </c>
      <c r="Z453">
        <v>239.67</v>
      </c>
      <c r="AA453">
        <v>868.86</v>
      </c>
      <c r="AB453">
        <v>43.443000000000005</v>
      </c>
      <c r="AC453">
        <v>825.41700000000003</v>
      </c>
      <c r="AD453">
        <v>479.34</v>
      </c>
      <c r="AE453">
        <v>346.07700000000006</v>
      </c>
      <c r="AF453">
        <v>0.41927534809678024</v>
      </c>
      <c r="AG453">
        <v>2025</v>
      </c>
      <c r="AH453">
        <v>12</v>
      </c>
      <c r="AI453" t="s">
        <v>1428</v>
      </c>
      <c r="AJ453" t="s">
        <v>1427</v>
      </c>
      <c r="AK453" t="s">
        <v>1258</v>
      </c>
      <c r="AL453">
        <v>0</v>
      </c>
    </row>
    <row r="454" spans="1:38">
      <c r="A454" t="s">
        <v>251</v>
      </c>
      <c r="B454" s="13">
        <v>45976</v>
      </c>
      <c r="C454" t="s">
        <v>197</v>
      </c>
      <c r="D454" t="s">
        <v>252</v>
      </c>
      <c r="E454" t="s">
        <v>198</v>
      </c>
      <c r="F454" t="s">
        <v>145</v>
      </c>
      <c r="G454" t="s">
        <v>88</v>
      </c>
      <c r="H454" t="s">
        <v>105</v>
      </c>
      <c r="I454">
        <v>2</v>
      </c>
      <c r="J454">
        <v>257.69</v>
      </c>
      <c r="K454">
        <v>0.05</v>
      </c>
      <c r="L454" t="s">
        <v>253</v>
      </c>
      <c r="M454">
        <v>7</v>
      </c>
      <c r="N454" t="s">
        <v>91</v>
      </c>
      <c r="O454" t="s">
        <v>105</v>
      </c>
      <c r="P454" t="s">
        <v>252</v>
      </c>
      <c r="Q454" t="s">
        <v>197</v>
      </c>
      <c r="R454" t="s">
        <v>145</v>
      </c>
      <c r="S454" t="s">
        <v>106</v>
      </c>
      <c r="T454">
        <v>1</v>
      </c>
      <c r="U454" t="s">
        <v>1337</v>
      </c>
      <c r="V454" t="s">
        <v>1257</v>
      </c>
      <c r="W454" t="s">
        <v>1241</v>
      </c>
      <c r="X454" t="s">
        <v>1205</v>
      </c>
      <c r="Y454" t="s">
        <v>1203</v>
      </c>
      <c r="Z454">
        <v>186.94</v>
      </c>
      <c r="AA454">
        <v>515.38</v>
      </c>
      <c r="AB454">
        <v>25.769000000000002</v>
      </c>
      <c r="AC454">
        <v>489.61099999999999</v>
      </c>
      <c r="AD454">
        <v>373.88</v>
      </c>
      <c r="AE454">
        <v>115.73099999999999</v>
      </c>
      <c r="AF454">
        <v>0.23637336579447765</v>
      </c>
      <c r="AG454">
        <v>2025</v>
      </c>
      <c r="AH454">
        <v>11</v>
      </c>
      <c r="AI454" t="s">
        <v>1426</v>
      </c>
      <c r="AJ454" t="s">
        <v>1427</v>
      </c>
      <c r="AK454" t="s">
        <v>1258</v>
      </c>
      <c r="AL454">
        <v>0</v>
      </c>
    </row>
    <row r="455" spans="1:38">
      <c r="A455" t="s">
        <v>267</v>
      </c>
      <c r="B455" s="13">
        <v>45800</v>
      </c>
      <c r="C455" t="s">
        <v>268</v>
      </c>
      <c r="D455" t="s">
        <v>252</v>
      </c>
      <c r="E455" t="s">
        <v>269</v>
      </c>
      <c r="F455" t="s">
        <v>87</v>
      </c>
      <c r="G455" t="s">
        <v>117</v>
      </c>
      <c r="H455" t="s">
        <v>97</v>
      </c>
      <c r="I455">
        <v>1</v>
      </c>
      <c r="J455">
        <v>274.64999999999998</v>
      </c>
      <c r="K455">
        <v>0.2</v>
      </c>
      <c r="L455" t="s">
        <v>154</v>
      </c>
      <c r="M455">
        <v>2</v>
      </c>
      <c r="N455" t="s">
        <v>91</v>
      </c>
      <c r="O455" t="s">
        <v>97</v>
      </c>
      <c r="P455" t="s">
        <v>252</v>
      </c>
      <c r="Q455" t="s">
        <v>268</v>
      </c>
      <c r="R455" t="s">
        <v>87</v>
      </c>
      <c r="S455" t="s">
        <v>154</v>
      </c>
      <c r="T455">
        <v>1</v>
      </c>
      <c r="U455" t="s">
        <v>1295</v>
      </c>
      <c r="V455" t="s">
        <v>1243</v>
      </c>
      <c r="W455" t="s">
        <v>1241</v>
      </c>
      <c r="X455" t="s">
        <v>1205</v>
      </c>
      <c r="Y455" t="s">
        <v>1203</v>
      </c>
      <c r="Z455">
        <v>186.94</v>
      </c>
      <c r="AA455">
        <v>274.64999999999998</v>
      </c>
      <c r="AB455">
        <v>54.93</v>
      </c>
      <c r="AC455">
        <v>219.71999999999997</v>
      </c>
      <c r="AD455">
        <v>186.94</v>
      </c>
      <c r="AE455">
        <v>32.779999999999973</v>
      </c>
      <c r="AF455">
        <v>0.14918987802657918</v>
      </c>
      <c r="AG455">
        <v>2025</v>
      </c>
      <c r="AH455">
        <v>5</v>
      </c>
      <c r="AI455" t="s">
        <v>1419</v>
      </c>
      <c r="AJ455" t="s">
        <v>1420</v>
      </c>
      <c r="AK455" t="s">
        <v>1244</v>
      </c>
      <c r="AL455">
        <v>0</v>
      </c>
    </row>
    <row r="456" spans="1:38">
      <c r="A456" t="s">
        <v>278</v>
      </c>
      <c r="B456" s="13">
        <v>45862</v>
      </c>
      <c r="C456" t="s">
        <v>279</v>
      </c>
      <c r="D456" t="s">
        <v>101</v>
      </c>
      <c r="E456" t="s">
        <v>280</v>
      </c>
      <c r="F456" t="s">
        <v>145</v>
      </c>
      <c r="G456" t="s">
        <v>130</v>
      </c>
      <c r="H456" t="s">
        <v>89</v>
      </c>
      <c r="I456">
        <v>2</v>
      </c>
      <c r="J456">
        <v>309.14</v>
      </c>
      <c r="K456">
        <v>0.15</v>
      </c>
      <c r="L456" t="s">
        <v>106</v>
      </c>
      <c r="M456">
        <v>9</v>
      </c>
      <c r="N456" t="s">
        <v>91</v>
      </c>
      <c r="O456" t="s">
        <v>89</v>
      </c>
      <c r="P456" t="s">
        <v>101</v>
      </c>
      <c r="Q456" t="s">
        <v>279</v>
      </c>
      <c r="R456" t="s">
        <v>145</v>
      </c>
      <c r="S456" t="s">
        <v>106</v>
      </c>
      <c r="T456">
        <v>1</v>
      </c>
      <c r="U456" t="s">
        <v>1317</v>
      </c>
      <c r="V456" t="s">
        <v>1243</v>
      </c>
      <c r="W456" t="s">
        <v>1237</v>
      </c>
      <c r="X456" t="s">
        <v>1207</v>
      </c>
      <c r="Y456" t="s">
        <v>1203</v>
      </c>
      <c r="Z456">
        <v>139.86000000000001</v>
      </c>
      <c r="AA456">
        <v>618.28</v>
      </c>
      <c r="AB456">
        <v>92.74199999999999</v>
      </c>
      <c r="AC456">
        <v>525.53800000000001</v>
      </c>
      <c r="AD456">
        <v>279.72000000000003</v>
      </c>
      <c r="AE456">
        <v>245.81799999999998</v>
      </c>
      <c r="AF456">
        <v>0.46774543420266468</v>
      </c>
      <c r="AG456">
        <v>2025</v>
      </c>
      <c r="AH456">
        <v>7</v>
      </c>
      <c r="AI456" t="s">
        <v>1422</v>
      </c>
      <c r="AJ456" t="s">
        <v>1418</v>
      </c>
      <c r="AK456" t="s">
        <v>1244</v>
      </c>
      <c r="AL456">
        <v>0</v>
      </c>
    </row>
    <row r="457" spans="1:38">
      <c r="A457" t="s">
        <v>289</v>
      </c>
      <c r="B457" s="13">
        <v>45796</v>
      </c>
      <c r="C457" t="s">
        <v>290</v>
      </c>
      <c r="D457" t="s">
        <v>252</v>
      </c>
      <c r="E457" t="s">
        <v>291</v>
      </c>
      <c r="F457" t="s">
        <v>111</v>
      </c>
      <c r="G457" t="s">
        <v>122</v>
      </c>
      <c r="H457" t="s">
        <v>105</v>
      </c>
      <c r="I457">
        <v>2</v>
      </c>
      <c r="J457">
        <v>284.68</v>
      </c>
      <c r="K457">
        <v>0.2</v>
      </c>
      <c r="L457" t="s">
        <v>106</v>
      </c>
      <c r="M457">
        <v>3</v>
      </c>
      <c r="N457" t="s">
        <v>91</v>
      </c>
      <c r="O457" t="s">
        <v>105</v>
      </c>
      <c r="P457" t="s">
        <v>252</v>
      </c>
      <c r="Q457" t="s">
        <v>290</v>
      </c>
      <c r="R457" t="s">
        <v>111</v>
      </c>
      <c r="S457" t="s">
        <v>106</v>
      </c>
      <c r="T457">
        <v>1</v>
      </c>
      <c r="U457" t="s">
        <v>1356</v>
      </c>
      <c r="V457" t="s">
        <v>1255</v>
      </c>
      <c r="W457" t="s">
        <v>1245</v>
      </c>
      <c r="X457" t="s">
        <v>1205</v>
      </c>
      <c r="Y457" t="s">
        <v>1203</v>
      </c>
      <c r="Z457">
        <v>186.94</v>
      </c>
      <c r="AA457">
        <v>569.36</v>
      </c>
      <c r="AB457">
        <v>113.87200000000001</v>
      </c>
      <c r="AC457">
        <v>455.488</v>
      </c>
      <c r="AD457">
        <v>373.88</v>
      </c>
      <c r="AE457">
        <v>81.608000000000004</v>
      </c>
      <c r="AF457">
        <v>0.17916608121399466</v>
      </c>
      <c r="AG457">
        <v>2025</v>
      </c>
      <c r="AH457">
        <v>5</v>
      </c>
      <c r="AI457" t="s">
        <v>1419</v>
      </c>
      <c r="AJ457" t="s">
        <v>1420</v>
      </c>
      <c r="AK457" t="s">
        <v>1244</v>
      </c>
      <c r="AL457">
        <v>0</v>
      </c>
    </row>
    <row r="458" spans="1:38">
      <c r="A458" t="s">
        <v>299</v>
      </c>
      <c r="B458" s="13">
        <v>45718</v>
      </c>
      <c r="C458" t="s">
        <v>300</v>
      </c>
      <c r="D458" t="s">
        <v>101</v>
      </c>
      <c r="E458" t="s">
        <v>301</v>
      </c>
      <c r="F458" t="s">
        <v>87</v>
      </c>
      <c r="G458" t="s">
        <v>88</v>
      </c>
      <c r="H458" t="s">
        <v>97</v>
      </c>
      <c r="I458">
        <v>2</v>
      </c>
      <c r="J458">
        <v>314.29000000000002</v>
      </c>
      <c r="K458">
        <v>0.1</v>
      </c>
      <c r="L458" t="s">
        <v>98</v>
      </c>
      <c r="M458">
        <v>0</v>
      </c>
      <c r="N458" t="s">
        <v>91</v>
      </c>
      <c r="O458" t="s">
        <v>97</v>
      </c>
      <c r="P458" t="s">
        <v>101</v>
      </c>
      <c r="Q458" t="s">
        <v>300</v>
      </c>
      <c r="R458" t="s">
        <v>87</v>
      </c>
      <c r="S458" t="s">
        <v>98</v>
      </c>
      <c r="T458">
        <v>1</v>
      </c>
      <c r="U458" t="s">
        <v>1265</v>
      </c>
      <c r="V458" t="s">
        <v>1249</v>
      </c>
      <c r="W458" t="s">
        <v>1237</v>
      </c>
      <c r="X458" t="s">
        <v>1207</v>
      </c>
      <c r="Y458" t="s">
        <v>1203</v>
      </c>
      <c r="Z458">
        <v>139.86000000000001</v>
      </c>
      <c r="AA458">
        <v>628.58000000000004</v>
      </c>
      <c r="AB458">
        <v>62.858000000000004</v>
      </c>
      <c r="AC458">
        <v>565.72199999999998</v>
      </c>
      <c r="AD458">
        <v>279.72000000000003</v>
      </c>
      <c r="AE458">
        <v>286.00199999999995</v>
      </c>
      <c r="AF458">
        <v>0.50555219701549514</v>
      </c>
      <c r="AG458">
        <v>2025</v>
      </c>
      <c r="AH458">
        <v>3</v>
      </c>
      <c r="AI458" t="s">
        <v>1423</v>
      </c>
      <c r="AJ458" t="s">
        <v>1424</v>
      </c>
      <c r="AK458" t="s">
        <v>1250</v>
      </c>
      <c r="AL458">
        <v>0</v>
      </c>
    </row>
    <row r="459" spans="1:38">
      <c r="A459" t="s">
        <v>318</v>
      </c>
      <c r="B459" s="13">
        <v>45688</v>
      </c>
      <c r="C459" t="s">
        <v>319</v>
      </c>
      <c r="D459" t="s">
        <v>249</v>
      </c>
      <c r="E459" t="s">
        <v>320</v>
      </c>
      <c r="F459" t="s">
        <v>116</v>
      </c>
      <c r="G459" t="s">
        <v>171</v>
      </c>
      <c r="H459" t="s">
        <v>97</v>
      </c>
      <c r="I459">
        <v>1</v>
      </c>
      <c r="J459">
        <v>434.51</v>
      </c>
      <c r="K459">
        <v>0.1</v>
      </c>
      <c r="L459" t="s">
        <v>98</v>
      </c>
      <c r="M459">
        <v>3</v>
      </c>
      <c r="N459" t="s">
        <v>91</v>
      </c>
      <c r="O459" t="s">
        <v>97</v>
      </c>
      <c r="P459" t="s">
        <v>249</v>
      </c>
      <c r="Q459" t="s">
        <v>319</v>
      </c>
      <c r="R459" t="s">
        <v>116</v>
      </c>
      <c r="S459" t="s">
        <v>98</v>
      </c>
      <c r="T459">
        <v>1</v>
      </c>
      <c r="U459" t="s">
        <v>1262</v>
      </c>
      <c r="V459" t="s">
        <v>1260</v>
      </c>
      <c r="W459" t="s">
        <v>1241</v>
      </c>
      <c r="X459" t="s">
        <v>1208</v>
      </c>
      <c r="Y459" t="s">
        <v>1203</v>
      </c>
      <c r="Z459">
        <v>239.67</v>
      </c>
      <c r="AA459">
        <v>434.51</v>
      </c>
      <c r="AB459">
        <v>43.451000000000001</v>
      </c>
      <c r="AC459">
        <v>391.05899999999997</v>
      </c>
      <c r="AD459">
        <v>239.67</v>
      </c>
      <c r="AE459">
        <v>151.38899999999998</v>
      </c>
      <c r="AF459">
        <v>0.38712572783135024</v>
      </c>
      <c r="AG459">
        <v>2025</v>
      </c>
      <c r="AH459">
        <v>1</v>
      </c>
      <c r="AI459" t="s">
        <v>1425</v>
      </c>
      <c r="AJ459" t="s">
        <v>1424</v>
      </c>
      <c r="AK459" t="s">
        <v>1240</v>
      </c>
      <c r="AL459">
        <v>0</v>
      </c>
    </row>
    <row r="460" spans="1:38">
      <c r="A460" t="s">
        <v>321</v>
      </c>
      <c r="B460" s="13">
        <v>45963</v>
      </c>
      <c r="C460" t="s">
        <v>322</v>
      </c>
      <c r="D460" t="s">
        <v>323</v>
      </c>
      <c r="E460" t="s">
        <v>324</v>
      </c>
      <c r="F460" t="s">
        <v>111</v>
      </c>
      <c r="G460" t="s">
        <v>117</v>
      </c>
      <c r="H460" t="s">
        <v>97</v>
      </c>
      <c r="I460">
        <v>1</v>
      </c>
      <c r="J460">
        <v>351.6</v>
      </c>
      <c r="K460">
        <v>0</v>
      </c>
      <c r="L460" t="s">
        <v>106</v>
      </c>
      <c r="M460">
        <v>2</v>
      </c>
      <c r="N460" t="s">
        <v>91</v>
      </c>
      <c r="O460" t="s">
        <v>97</v>
      </c>
      <c r="P460" t="s">
        <v>323</v>
      </c>
      <c r="Q460" t="s">
        <v>322</v>
      </c>
      <c r="R460" t="s">
        <v>111</v>
      </c>
      <c r="S460" t="s">
        <v>106</v>
      </c>
      <c r="T460">
        <v>1</v>
      </c>
      <c r="U460" t="s">
        <v>1358</v>
      </c>
      <c r="V460" t="s">
        <v>1284</v>
      </c>
      <c r="W460" t="s">
        <v>1237</v>
      </c>
      <c r="X460" t="s">
        <v>1209</v>
      </c>
      <c r="Y460" t="s">
        <v>1203</v>
      </c>
      <c r="Z460">
        <v>152.88</v>
      </c>
      <c r="AA460">
        <v>351.6</v>
      </c>
      <c r="AB460">
        <v>0</v>
      </c>
      <c r="AC460">
        <v>351.6</v>
      </c>
      <c r="AD460">
        <v>152.88</v>
      </c>
      <c r="AE460">
        <v>198.72000000000003</v>
      </c>
      <c r="AF460">
        <v>0.56518771331058026</v>
      </c>
      <c r="AG460">
        <v>2025</v>
      </c>
      <c r="AH460">
        <v>11</v>
      </c>
      <c r="AI460" t="s">
        <v>1426</v>
      </c>
      <c r="AJ460" t="s">
        <v>1427</v>
      </c>
      <c r="AK460" t="s">
        <v>1285</v>
      </c>
      <c r="AL460">
        <v>0</v>
      </c>
    </row>
    <row r="461" spans="1:38">
      <c r="A461" t="s">
        <v>325</v>
      </c>
      <c r="B461" s="13">
        <v>45712</v>
      </c>
      <c r="C461" t="s">
        <v>326</v>
      </c>
      <c r="D461" t="s">
        <v>221</v>
      </c>
      <c r="E461" t="s">
        <v>327</v>
      </c>
      <c r="F461" t="s">
        <v>103</v>
      </c>
      <c r="G461" t="s">
        <v>171</v>
      </c>
      <c r="H461" t="s">
        <v>89</v>
      </c>
      <c r="I461">
        <v>1</v>
      </c>
      <c r="J461">
        <v>31.95</v>
      </c>
      <c r="K461">
        <v>0</v>
      </c>
      <c r="L461" t="s">
        <v>106</v>
      </c>
      <c r="M461">
        <v>9</v>
      </c>
      <c r="N461" t="s">
        <v>91</v>
      </c>
      <c r="O461" t="s">
        <v>89</v>
      </c>
      <c r="P461" t="s">
        <v>221</v>
      </c>
      <c r="Q461" t="s">
        <v>326</v>
      </c>
      <c r="R461" t="s">
        <v>103</v>
      </c>
      <c r="S461" t="s">
        <v>106</v>
      </c>
      <c r="T461">
        <v>1</v>
      </c>
      <c r="U461" t="s">
        <v>1338</v>
      </c>
      <c r="V461" t="s">
        <v>1325</v>
      </c>
      <c r="W461" t="s">
        <v>1237</v>
      </c>
      <c r="X461" t="s">
        <v>1204</v>
      </c>
      <c r="Y461" t="s">
        <v>1203</v>
      </c>
      <c r="Z461">
        <v>14.58</v>
      </c>
      <c r="AA461">
        <v>31.95</v>
      </c>
      <c r="AB461">
        <v>0</v>
      </c>
      <c r="AC461">
        <v>31.95</v>
      </c>
      <c r="AD461">
        <v>14.58</v>
      </c>
      <c r="AE461">
        <v>17.369999999999997</v>
      </c>
      <c r="AF461">
        <v>0.54366197183098586</v>
      </c>
      <c r="AG461">
        <v>2025</v>
      </c>
      <c r="AH461">
        <v>2</v>
      </c>
      <c r="AI461" t="s">
        <v>1430</v>
      </c>
      <c r="AJ461" t="s">
        <v>1424</v>
      </c>
      <c r="AK461" t="s">
        <v>1326</v>
      </c>
      <c r="AL461">
        <v>0</v>
      </c>
    </row>
    <row r="462" spans="1:38">
      <c r="A462" t="s">
        <v>348</v>
      </c>
      <c r="B462" s="13">
        <v>45727</v>
      </c>
      <c r="C462" t="s">
        <v>349</v>
      </c>
      <c r="D462" t="s">
        <v>323</v>
      </c>
      <c r="E462" t="s">
        <v>350</v>
      </c>
      <c r="F462" t="s">
        <v>111</v>
      </c>
      <c r="G462" t="s">
        <v>122</v>
      </c>
      <c r="H462" t="s">
        <v>97</v>
      </c>
      <c r="I462">
        <v>1</v>
      </c>
      <c r="J462">
        <v>342.73</v>
      </c>
      <c r="K462">
        <v>0</v>
      </c>
      <c r="L462" t="s">
        <v>90</v>
      </c>
      <c r="M462">
        <v>0</v>
      </c>
      <c r="N462" t="s">
        <v>91</v>
      </c>
      <c r="O462" t="s">
        <v>97</v>
      </c>
      <c r="P462" t="s">
        <v>323</v>
      </c>
      <c r="Q462" t="s">
        <v>349</v>
      </c>
      <c r="R462" t="s">
        <v>111</v>
      </c>
      <c r="S462" t="s">
        <v>369</v>
      </c>
      <c r="T462">
        <v>1</v>
      </c>
      <c r="U462" t="s">
        <v>1335</v>
      </c>
      <c r="V462" t="s">
        <v>1297</v>
      </c>
      <c r="W462" t="s">
        <v>1241</v>
      </c>
      <c r="X462" t="s">
        <v>1209</v>
      </c>
      <c r="Y462" t="s">
        <v>1203</v>
      </c>
      <c r="Z462">
        <v>152.88</v>
      </c>
      <c r="AA462">
        <v>342.73</v>
      </c>
      <c r="AB462">
        <v>0</v>
      </c>
      <c r="AC462">
        <v>342.73</v>
      </c>
      <c r="AD462">
        <v>152.88</v>
      </c>
      <c r="AE462">
        <v>189.85000000000002</v>
      </c>
      <c r="AF462">
        <v>0.55393458407492779</v>
      </c>
      <c r="AG462">
        <v>2025</v>
      </c>
      <c r="AH462">
        <v>3</v>
      </c>
      <c r="AI462" t="s">
        <v>1423</v>
      </c>
      <c r="AJ462" t="s">
        <v>1424</v>
      </c>
      <c r="AK462" t="s">
        <v>1258</v>
      </c>
      <c r="AL462">
        <v>0</v>
      </c>
    </row>
    <row r="463" spans="1:38">
      <c r="A463" t="s">
        <v>355</v>
      </c>
      <c r="B463" s="13">
        <v>45997</v>
      </c>
      <c r="C463" t="s">
        <v>356</v>
      </c>
      <c r="D463" t="s">
        <v>165</v>
      </c>
      <c r="E463" t="s">
        <v>357</v>
      </c>
      <c r="F463" t="s">
        <v>116</v>
      </c>
      <c r="G463" t="s">
        <v>183</v>
      </c>
      <c r="H463" t="s">
        <v>97</v>
      </c>
      <c r="I463">
        <v>1</v>
      </c>
      <c r="J463">
        <v>105.21</v>
      </c>
      <c r="K463">
        <v>0.15</v>
      </c>
      <c r="L463" t="s">
        <v>106</v>
      </c>
      <c r="M463">
        <v>3</v>
      </c>
      <c r="N463" t="s">
        <v>91</v>
      </c>
      <c r="O463" t="s">
        <v>97</v>
      </c>
      <c r="P463" t="s">
        <v>165</v>
      </c>
      <c r="Q463" t="s">
        <v>356</v>
      </c>
      <c r="R463" t="s">
        <v>116</v>
      </c>
      <c r="S463" t="s">
        <v>106</v>
      </c>
      <c r="T463">
        <v>1</v>
      </c>
      <c r="U463" t="s">
        <v>1253</v>
      </c>
      <c r="V463" t="s">
        <v>1249</v>
      </c>
      <c r="W463" t="s">
        <v>1237</v>
      </c>
      <c r="X463" t="s">
        <v>1210</v>
      </c>
      <c r="Y463" t="s">
        <v>1203</v>
      </c>
      <c r="Z463">
        <v>46.07</v>
      </c>
      <c r="AA463">
        <v>105.21</v>
      </c>
      <c r="AB463">
        <v>15.781499999999998</v>
      </c>
      <c r="AC463">
        <v>89.4285</v>
      </c>
      <c r="AD463">
        <v>46.07</v>
      </c>
      <c r="AE463">
        <v>43.358499999999999</v>
      </c>
      <c r="AF463">
        <v>0.48483984412128123</v>
      </c>
      <c r="AG463">
        <v>2025</v>
      </c>
      <c r="AH463">
        <v>12</v>
      </c>
      <c r="AI463" t="s">
        <v>1428</v>
      </c>
      <c r="AJ463" t="s">
        <v>1427</v>
      </c>
      <c r="AK463" t="s">
        <v>1250</v>
      </c>
      <c r="AL463">
        <v>0</v>
      </c>
    </row>
    <row r="464" spans="1:38">
      <c r="A464" t="s">
        <v>358</v>
      </c>
      <c r="B464" s="13">
        <v>45979</v>
      </c>
      <c r="C464" t="s">
        <v>359</v>
      </c>
      <c r="D464" t="s">
        <v>360</v>
      </c>
      <c r="E464" t="s">
        <v>361</v>
      </c>
      <c r="F464" t="s">
        <v>87</v>
      </c>
      <c r="G464" t="s">
        <v>117</v>
      </c>
      <c r="H464" t="s">
        <v>89</v>
      </c>
      <c r="I464">
        <v>2</v>
      </c>
      <c r="J464">
        <v>64.459999999999994</v>
      </c>
      <c r="K464">
        <v>0.05</v>
      </c>
      <c r="L464" t="s">
        <v>106</v>
      </c>
      <c r="M464">
        <v>6</v>
      </c>
      <c r="N464" t="s">
        <v>91</v>
      </c>
      <c r="O464" t="s">
        <v>89</v>
      </c>
      <c r="P464" t="s">
        <v>360</v>
      </c>
      <c r="Q464" t="s">
        <v>359</v>
      </c>
      <c r="R464" t="s">
        <v>87</v>
      </c>
      <c r="S464" t="s">
        <v>106</v>
      </c>
      <c r="T464">
        <v>1</v>
      </c>
      <c r="U464" t="s">
        <v>1296</v>
      </c>
      <c r="V464" t="s">
        <v>1297</v>
      </c>
      <c r="W464" t="s">
        <v>1245</v>
      </c>
      <c r="X464" t="s">
        <v>1206</v>
      </c>
      <c r="Y464" t="s">
        <v>1203</v>
      </c>
      <c r="Z464">
        <v>37.46</v>
      </c>
      <c r="AA464">
        <v>128.91999999999999</v>
      </c>
      <c r="AB464">
        <v>6.4459999999999997</v>
      </c>
      <c r="AC464">
        <v>122.47399999999999</v>
      </c>
      <c r="AD464">
        <v>74.92</v>
      </c>
      <c r="AE464">
        <v>47.553999999999988</v>
      </c>
      <c r="AF464">
        <v>0.38827832846155097</v>
      </c>
      <c r="AG464">
        <v>2025</v>
      </c>
      <c r="AH464">
        <v>11</v>
      </c>
      <c r="AI464" t="s">
        <v>1426</v>
      </c>
      <c r="AJ464" t="s">
        <v>1427</v>
      </c>
      <c r="AK464" t="s">
        <v>1258</v>
      </c>
      <c r="AL464">
        <v>0</v>
      </c>
    </row>
    <row r="465" spans="1:38">
      <c r="A465" t="s">
        <v>382</v>
      </c>
      <c r="B465" s="13">
        <v>45720</v>
      </c>
      <c r="C465" t="s">
        <v>209</v>
      </c>
      <c r="D465" t="s">
        <v>165</v>
      </c>
      <c r="E465" t="s">
        <v>211</v>
      </c>
      <c r="F465" t="s">
        <v>116</v>
      </c>
      <c r="G465" t="s">
        <v>96</v>
      </c>
      <c r="H465" t="s">
        <v>97</v>
      </c>
      <c r="I465">
        <v>1</v>
      </c>
      <c r="J465">
        <v>107.22</v>
      </c>
      <c r="K465">
        <v>0.1</v>
      </c>
      <c r="L465" t="s">
        <v>106</v>
      </c>
      <c r="M465">
        <v>4</v>
      </c>
      <c r="N465" t="s">
        <v>91</v>
      </c>
      <c r="O465" t="s">
        <v>97</v>
      </c>
      <c r="P465" t="s">
        <v>165</v>
      </c>
      <c r="Q465" t="s">
        <v>209</v>
      </c>
      <c r="R465" t="s">
        <v>116</v>
      </c>
      <c r="S465" t="s">
        <v>106</v>
      </c>
      <c r="T465">
        <v>1</v>
      </c>
      <c r="U465" t="s">
        <v>1248</v>
      </c>
      <c r="V465" t="s">
        <v>1249</v>
      </c>
      <c r="W465" t="s">
        <v>1237</v>
      </c>
      <c r="X465" t="s">
        <v>1210</v>
      </c>
      <c r="Y465" t="s">
        <v>1203</v>
      </c>
      <c r="Z465">
        <v>46.07</v>
      </c>
      <c r="AA465">
        <v>107.22</v>
      </c>
      <c r="AB465">
        <v>10.722000000000001</v>
      </c>
      <c r="AC465">
        <v>96.49799999999999</v>
      </c>
      <c r="AD465">
        <v>46.07</v>
      </c>
      <c r="AE465">
        <v>50.42799999999999</v>
      </c>
      <c r="AF465">
        <v>0.5225807788762461</v>
      </c>
      <c r="AG465">
        <v>2025</v>
      </c>
      <c r="AH465">
        <v>3</v>
      </c>
      <c r="AI465" t="s">
        <v>1423</v>
      </c>
      <c r="AJ465" t="s">
        <v>1424</v>
      </c>
      <c r="AK465" t="s">
        <v>1250</v>
      </c>
      <c r="AL465">
        <v>0</v>
      </c>
    </row>
    <row r="466" spans="1:38">
      <c r="A466" t="s">
        <v>384</v>
      </c>
      <c r="B466" s="13">
        <v>45789</v>
      </c>
      <c r="C466" t="s">
        <v>132</v>
      </c>
      <c r="D466" t="s">
        <v>101</v>
      </c>
      <c r="E466" t="s">
        <v>134</v>
      </c>
      <c r="F466" t="s">
        <v>87</v>
      </c>
      <c r="G466" t="s">
        <v>183</v>
      </c>
      <c r="H466" t="s">
        <v>89</v>
      </c>
      <c r="I466">
        <v>1</v>
      </c>
      <c r="J466">
        <v>300.5</v>
      </c>
      <c r="K466">
        <v>0.05</v>
      </c>
      <c r="L466" t="s">
        <v>106</v>
      </c>
      <c r="M466">
        <v>8</v>
      </c>
      <c r="N466" t="s">
        <v>91</v>
      </c>
      <c r="O466" t="s">
        <v>89</v>
      </c>
      <c r="P466" t="s">
        <v>101</v>
      </c>
      <c r="Q466" t="s">
        <v>132</v>
      </c>
      <c r="R466" t="s">
        <v>87</v>
      </c>
      <c r="S466" t="s">
        <v>106</v>
      </c>
      <c r="T466">
        <v>1</v>
      </c>
      <c r="U466" t="s">
        <v>1346</v>
      </c>
      <c r="V466" t="s">
        <v>1288</v>
      </c>
      <c r="W466" t="s">
        <v>1245</v>
      </c>
      <c r="X466" t="s">
        <v>1207</v>
      </c>
      <c r="Y466" t="s">
        <v>1203</v>
      </c>
      <c r="Z466">
        <v>139.86000000000001</v>
      </c>
      <c r="AA466">
        <v>300.5</v>
      </c>
      <c r="AB466">
        <v>15.025</v>
      </c>
      <c r="AC466">
        <v>285.47500000000002</v>
      </c>
      <c r="AD466">
        <v>139.86000000000001</v>
      </c>
      <c r="AE466">
        <v>145.61500000000001</v>
      </c>
      <c r="AF466">
        <v>0.51007969174183376</v>
      </c>
      <c r="AG466">
        <v>2025</v>
      </c>
      <c r="AH466">
        <v>5</v>
      </c>
      <c r="AI466" t="s">
        <v>1419</v>
      </c>
      <c r="AJ466" t="s">
        <v>1420</v>
      </c>
      <c r="AK466" t="s">
        <v>1250</v>
      </c>
      <c r="AL466">
        <v>0</v>
      </c>
    </row>
    <row r="467" spans="1:38">
      <c r="A467" t="s">
        <v>385</v>
      </c>
      <c r="B467" s="13">
        <v>45837</v>
      </c>
      <c r="C467" t="s">
        <v>386</v>
      </c>
      <c r="D467" t="s">
        <v>360</v>
      </c>
      <c r="E467" t="s">
        <v>387</v>
      </c>
      <c r="F467" t="s">
        <v>116</v>
      </c>
      <c r="G467" t="s">
        <v>96</v>
      </c>
      <c r="H467" t="s">
        <v>89</v>
      </c>
      <c r="I467">
        <v>3</v>
      </c>
      <c r="J467">
        <v>63.14</v>
      </c>
      <c r="K467">
        <v>0</v>
      </c>
      <c r="L467" t="s">
        <v>90</v>
      </c>
      <c r="M467">
        <v>9</v>
      </c>
      <c r="N467" t="s">
        <v>91</v>
      </c>
      <c r="O467" t="s">
        <v>89</v>
      </c>
      <c r="P467" t="s">
        <v>360</v>
      </c>
      <c r="Q467" t="s">
        <v>386</v>
      </c>
      <c r="R467" t="s">
        <v>116</v>
      </c>
      <c r="S467" t="s">
        <v>369</v>
      </c>
      <c r="T467">
        <v>1</v>
      </c>
      <c r="U467" t="s">
        <v>1254</v>
      </c>
      <c r="V467" t="s">
        <v>1255</v>
      </c>
      <c r="W467" t="s">
        <v>1245</v>
      </c>
      <c r="X467" t="s">
        <v>1206</v>
      </c>
      <c r="Y467" t="s">
        <v>1203</v>
      </c>
      <c r="Z467">
        <v>37.46</v>
      </c>
      <c r="AA467">
        <v>189.42000000000002</v>
      </c>
      <c r="AB467">
        <v>0</v>
      </c>
      <c r="AC467">
        <v>189.42000000000002</v>
      </c>
      <c r="AD467">
        <v>112.38</v>
      </c>
      <c r="AE467">
        <v>77.04000000000002</v>
      </c>
      <c r="AF467">
        <v>0.40671523598352877</v>
      </c>
      <c r="AG467">
        <v>2025</v>
      </c>
      <c r="AH467">
        <v>6</v>
      </c>
      <c r="AI467" t="s">
        <v>1429</v>
      </c>
      <c r="AJ467" t="s">
        <v>1420</v>
      </c>
      <c r="AK467" t="s">
        <v>1244</v>
      </c>
      <c r="AL467">
        <v>0</v>
      </c>
    </row>
    <row r="468" spans="1:38">
      <c r="A468" t="s">
        <v>391</v>
      </c>
      <c r="B468" s="13">
        <v>45816</v>
      </c>
      <c r="C468" t="s">
        <v>216</v>
      </c>
      <c r="D468" t="s">
        <v>221</v>
      </c>
      <c r="E468" t="s">
        <v>392</v>
      </c>
      <c r="F468" t="s">
        <v>116</v>
      </c>
      <c r="G468" t="s">
        <v>96</v>
      </c>
      <c r="H468" t="s">
        <v>89</v>
      </c>
      <c r="I468">
        <v>2</v>
      </c>
      <c r="J468">
        <v>29.54</v>
      </c>
      <c r="K468">
        <v>0</v>
      </c>
      <c r="L468" t="s">
        <v>90</v>
      </c>
      <c r="M468">
        <v>5</v>
      </c>
      <c r="N468" t="s">
        <v>91</v>
      </c>
      <c r="O468" t="s">
        <v>89</v>
      </c>
      <c r="P468" t="s">
        <v>221</v>
      </c>
      <c r="Q468" t="s">
        <v>216</v>
      </c>
      <c r="R468" t="s">
        <v>116</v>
      </c>
      <c r="S468" t="s">
        <v>369</v>
      </c>
      <c r="T468">
        <v>1</v>
      </c>
      <c r="U468" t="s">
        <v>1253</v>
      </c>
      <c r="V468" t="s">
        <v>1260</v>
      </c>
      <c r="W468" t="s">
        <v>1237</v>
      </c>
      <c r="X468" t="s">
        <v>1204</v>
      </c>
      <c r="Y468" t="s">
        <v>1203</v>
      </c>
      <c r="Z468">
        <v>14.58</v>
      </c>
      <c r="AA468">
        <v>59.08</v>
      </c>
      <c r="AB468">
        <v>0</v>
      </c>
      <c r="AC468">
        <v>59.08</v>
      </c>
      <c r="AD468">
        <v>29.16</v>
      </c>
      <c r="AE468">
        <v>29.919999999999998</v>
      </c>
      <c r="AF468">
        <v>0.50643195666892349</v>
      </c>
      <c r="AG468">
        <v>2025</v>
      </c>
      <c r="AH468">
        <v>6</v>
      </c>
      <c r="AI468" t="s">
        <v>1429</v>
      </c>
      <c r="AJ468" t="s">
        <v>1420</v>
      </c>
      <c r="AK468" t="s">
        <v>1240</v>
      </c>
      <c r="AL468">
        <v>0</v>
      </c>
    </row>
    <row r="469" spans="1:38">
      <c r="A469" t="s">
        <v>405</v>
      </c>
      <c r="B469" s="13">
        <v>45814</v>
      </c>
      <c r="C469" t="s">
        <v>406</v>
      </c>
      <c r="D469" t="s">
        <v>221</v>
      </c>
      <c r="E469" t="s">
        <v>407</v>
      </c>
      <c r="F469" t="s">
        <v>87</v>
      </c>
      <c r="G469" t="s">
        <v>117</v>
      </c>
      <c r="H469" t="s">
        <v>97</v>
      </c>
      <c r="I469">
        <v>1</v>
      </c>
      <c r="J469">
        <v>29.65</v>
      </c>
      <c r="K469">
        <v>0.05</v>
      </c>
      <c r="L469" t="s">
        <v>253</v>
      </c>
      <c r="M469">
        <v>4</v>
      </c>
      <c r="N469" t="s">
        <v>91</v>
      </c>
      <c r="O469" t="s">
        <v>97</v>
      </c>
      <c r="P469" t="s">
        <v>221</v>
      </c>
      <c r="Q469" t="s">
        <v>406</v>
      </c>
      <c r="R469" t="s">
        <v>87</v>
      </c>
      <c r="S469" t="s">
        <v>106</v>
      </c>
      <c r="T469">
        <v>1</v>
      </c>
      <c r="U469" t="s">
        <v>1291</v>
      </c>
      <c r="V469" t="s">
        <v>1239</v>
      </c>
      <c r="W469" t="s">
        <v>1237</v>
      </c>
      <c r="X469" t="s">
        <v>1204</v>
      </c>
      <c r="Y469" t="s">
        <v>1203</v>
      </c>
      <c r="Z469">
        <v>14.58</v>
      </c>
      <c r="AA469">
        <v>29.65</v>
      </c>
      <c r="AB469">
        <v>1.4824999999999999</v>
      </c>
      <c r="AC469">
        <v>28.167499999999997</v>
      </c>
      <c r="AD469">
        <v>14.58</v>
      </c>
      <c r="AE469">
        <v>13.587499999999997</v>
      </c>
      <c r="AF469">
        <v>0.48238217804206968</v>
      </c>
      <c r="AG469">
        <v>2025</v>
      </c>
      <c r="AH469">
        <v>6</v>
      </c>
      <c r="AI469" t="s">
        <v>1429</v>
      </c>
      <c r="AJ469" t="s">
        <v>1420</v>
      </c>
      <c r="AK469" t="s">
        <v>1240</v>
      </c>
      <c r="AL469">
        <v>0</v>
      </c>
    </row>
    <row r="470" spans="1:38">
      <c r="A470" t="s">
        <v>412</v>
      </c>
      <c r="B470" s="13">
        <v>45870</v>
      </c>
      <c r="C470" t="s">
        <v>84</v>
      </c>
      <c r="D470" t="s">
        <v>249</v>
      </c>
      <c r="E470" t="s">
        <v>86</v>
      </c>
      <c r="F470" t="s">
        <v>103</v>
      </c>
      <c r="G470" t="s">
        <v>104</v>
      </c>
      <c r="H470" t="s">
        <v>89</v>
      </c>
      <c r="I470">
        <v>1</v>
      </c>
      <c r="J470">
        <v>438.44</v>
      </c>
      <c r="K470">
        <v>0.1</v>
      </c>
      <c r="L470" t="s">
        <v>106</v>
      </c>
      <c r="M470">
        <v>4</v>
      </c>
      <c r="N470" t="s">
        <v>91</v>
      </c>
      <c r="O470" t="s">
        <v>89</v>
      </c>
      <c r="P470" t="s">
        <v>249</v>
      </c>
      <c r="Q470" t="s">
        <v>84</v>
      </c>
      <c r="R470" t="s">
        <v>103</v>
      </c>
      <c r="S470" t="s">
        <v>106</v>
      </c>
      <c r="T470">
        <v>1</v>
      </c>
      <c r="U470" t="s">
        <v>1354</v>
      </c>
      <c r="V470" t="s">
        <v>1275</v>
      </c>
      <c r="W470" t="s">
        <v>1237</v>
      </c>
      <c r="X470" t="s">
        <v>1208</v>
      </c>
      <c r="Y470" t="s">
        <v>1203</v>
      </c>
      <c r="Z470">
        <v>239.67</v>
      </c>
      <c r="AA470">
        <v>438.44</v>
      </c>
      <c r="AB470">
        <v>43.844000000000001</v>
      </c>
      <c r="AC470">
        <v>394.596</v>
      </c>
      <c r="AD470">
        <v>239.67</v>
      </c>
      <c r="AE470">
        <v>154.92600000000002</v>
      </c>
      <c r="AF470">
        <v>0.39261928656144518</v>
      </c>
      <c r="AG470">
        <v>2025</v>
      </c>
      <c r="AH470">
        <v>8</v>
      </c>
      <c r="AI470" t="s">
        <v>1417</v>
      </c>
      <c r="AJ470" t="s">
        <v>1418</v>
      </c>
      <c r="AK470" t="s">
        <v>1258</v>
      </c>
      <c r="AL470">
        <v>0</v>
      </c>
    </row>
    <row r="471" spans="1:38">
      <c r="A471" t="s">
        <v>413</v>
      </c>
      <c r="B471" s="13">
        <v>45702</v>
      </c>
      <c r="C471" t="s">
        <v>414</v>
      </c>
      <c r="D471" t="s">
        <v>249</v>
      </c>
      <c r="E471" t="s">
        <v>415</v>
      </c>
      <c r="F471" t="s">
        <v>145</v>
      </c>
      <c r="G471" t="s">
        <v>96</v>
      </c>
      <c r="H471" t="s">
        <v>97</v>
      </c>
      <c r="I471">
        <v>2</v>
      </c>
      <c r="J471">
        <v>394.57</v>
      </c>
      <c r="K471">
        <v>0.05</v>
      </c>
      <c r="L471" t="s">
        <v>90</v>
      </c>
      <c r="M471">
        <v>0</v>
      </c>
      <c r="N471" t="s">
        <v>91</v>
      </c>
      <c r="O471" t="s">
        <v>97</v>
      </c>
      <c r="P471" t="s">
        <v>249</v>
      </c>
      <c r="Q471" t="s">
        <v>414</v>
      </c>
      <c r="R471" t="s">
        <v>145</v>
      </c>
      <c r="S471" t="s">
        <v>369</v>
      </c>
      <c r="T471">
        <v>1</v>
      </c>
      <c r="U471" t="s">
        <v>1305</v>
      </c>
      <c r="V471" t="s">
        <v>1288</v>
      </c>
      <c r="W471" t="s">
        <v>1245</v>
      </c>
      <c r="X471" t="s">
        <v>1208</v>
      </c>
      <c r="Y471" t="s">
        <v>1203</v>
      </c>
      <c r="Z471">
        <v>239.67</v>
      </c>
      <c r="AA471">
        <v>789.14</v>
      </c>
      <c r="AB471">
        <v>39.457000000000001</v>
      </c>
      <c r="AC471">
        <v>749.68299999999999</v>
      </c>
      <c r="AD471">
        <v>479.34</v>
      </c>
      <c r="AE471">
        <v>270.34300000000002</v>
      </c>
      <c r="AF471">
        <v>0.36060975105477916</v>
      </c>
      <c r="AG471">
        <v>2025</v>
      </c>
      <c r="AH471">
        <v>2</v>
      </c>
      <c r="AI471" t="s">
        <v>1430</v>
      </c>
      <c r="AJ471" t="s">
        <v>1424</v>
      </c>
      <c r="AK471" t="s">
        <v>1250</v>
      </c>
      <c r="AL471">
        <v>0</v>
      </c>
    </row>
    <row r="472" spans="1:38">
      <c r="A472" t="s">
        <v>421</v>
      </c>
      <c r="B472" s="13">
        <v>46019</v>
      </c>
      <c r="C472" t="s">
        <v>356</v>
      </c>
      <c r="D472" t="s">
        <v>221</v>
      </c>
      <c r="E472" t="s">
        <v>357</v>
      </c>
      <c r="F472" t="s">
        <v>87</v>
      </c>
      <c r="G472" t="s">
        <v>183</v>
      </c>
      <c r="H472" t="s">
        <v>97</v>
      </c>
      <c r="I472">
        <v>1</v>
      </c>
      <c r="J472">
        <v>29.65</v>
      </c>
      <c r="K472">
        <v>0.15</v>
      </c>
      <c r="L472" t="s">
        <v>154</v>
      </c>
      <c r="M472">
        <v>3</v>
      </c>
      <c r="N472" t="s">
        <v>91</v>
      </c>
      <c r="O472" t="s">
        <v>97</v>
      </c>
      <c r="P472" t="s">
        <v>221</v>
      </c>
      <c r="Q472" t="s">
        <v>356</v>
      </c>
      <c r="R472" t="s">
        <v>87</v>
      </c>
      <c r="S472" t="s">
        <v>154</v>
      </c>
      <c r="T472">
        <v>1</v>
      </c>
      <c r="U472" t="s">
        <v>1253</v>
      </c>
      <c r="V472" t="s">
        <v>1249</v>
      </c>
      <c r="W472" t="s">
        <v>1237</v>
      </c>
      <c r="X472" t="s">
        <v>1204</v>
      </c>
      <c r="Y472" t="s">
        <v>1203</v>
      </c>
      <c r="Z472">
        <v>14.58</v>
      </c>
      <c r="AA472">
        <v>29.65</v>
      </c>
      <c r="AB472">
        <v>4.4474999999999998</v>
      </c>
      <c r="AC472">
        <v>25.202500000000001</v>
      </c>
      <c r="AD472">
        <v>14.58</v>
      </c>
      <c r="AE472">
        <v>10.6225</v>
      </c>
      <c r="AF472">
        <v>0.42148596369407798</v>
      </c>
      <c r="AG472">
        <v>2025</v>
      </c>
      <c r="AH472">
        <v>12</v>
      </c>
      <c r="AI472" t="s">
        <v>1428</v>
      </c>
      <c r="AJ472" t="s">
        <v>1427</v>
      </c>
      <c r="AK472" t="s">
        <v>1250</v>
      </c>
      <c r="AL472">
        <v>0</v>
      </c>
    </row>
    <row r="473" spans="1:38">
      <c r="A473" t="s">
        <v>440</v>
      </c>
      <c r="B473" s="13">
        <v>45678</v>
      </c>
      <c r="C473" t="s">
        <v>374</v>
      </c>
      <c r="D473" t="s">
        <v>165</v>
      </c>
      <c r="E473" t="s">
        <v>375</v>
      </c>
      <c r="F473" t="s">
        <v>87</v>
      </c>
      <c r="G473" t="s">
        <v>171</v>
      </c>
      <c r="H473" t="s">
        <v>89</v>
      </c>
      <c r="I473">
        <v>1</v>
      </c>
      <c r="J473">
        <v>106.24</v>
      </c>
      <c r="K473">
        <v>0</v>
      </c>
      <c r="L473" t="s">
        <v>106</v>
      </c>
      <c r="M473">
        <v>9</v>
      </c>
      <c r="N473" t="s">
        <v>91</v>
      </c>
      <c r="O473" t="s">
        <v>89</v>
      </c>
      <c r="P473" t="s">
        <v>165</v>
      </c>
      <c r="Q473" t="s">
        <v>374</v>
      </c>
      <c r="R473" t="s">
        <v>87</v>
      </c>
      <c r="S473" t="s">
        <v>106</v>
      </c>
      <c r="T473">
        <v>1</v>
      </c>
      <c r="U473" t="s">
        <v>1287</v>
      </c>
      <c r="V473" t="s">
        <v>1288</v>
      </c>
      <c r="W473" t="s">
        <v>1241</v>
      </c>
      <c r="X473" t="s">
        <v>1210</v>
      </c>
      <c r="Y473" t="s">
        <v>1203</v>
      </c>
      <c r="Z473">
        <v>46.07</v>
      </c>
      <c r="AA473">
        <v>106.24</v>
      </c>
      <c r="AB473">
        <v>0</v>
      </c>
      <c r="AC473">
        <v>106.24</v>
      </c>
      <c r="AD473">
        <v>46.07</v>
      </c>
      <c r="AE473">
        <v>60.169999999999995</v>
      </c>
      <c r="AF473">
        <v>0.56635918674698793</v>
      </c>
      <c r="AG473">
        <v>2025</v>
      </c>
      <c r="AH473">
        <v>1</v>
      </c>
      <c r="AI473" t="s">
        <v>1425</v>
      </c>
      <c r="AJ473" t="s">
        <v>1424</v>
      </c>
      <c r="AK473" t="s">
        <v>1250</v>
      </c>
      <c r="AL473">
        <v>0</v>
      </c>
    </row>
    <row r="474" spans="1:38">
      <c r="A474" t="s">
        <v>447</v>
      </c>
      <c r="B474" s="13">
        <v>45767</v>
      </c>
      <c r="C474" t="s">
        <v>448</v>
      </c>
      <c r="D474" t="s">
        <v>323</v>
      </c>
      <c r="E474" t="s">
        <v>449</v>
      </c>
      <c r="F474" t="s">
        <v>111</v>
      </c>
      <c r="G474" t="s">
        <v>104</v>
      </c>
      <c r="H474" t="s">
        <v>97</v>
      </c>
      <c r="I474">
        <v>1</v>
      </c>
      <c r="J474">
        <v>333.66</v>
      </c>
      <c r="K474">
        <v>0.05</v>
      </c>
      <c r="L474" t="s">
        <v>106</v>
      </c>
      <c r="M474">
        <v>1</v>
      </c>
      <c r="N474" t="s">
        <v>91</v>
      </c>
      <c r="O474" t="s">
        <v>97</v>
      </c>
      <c r="P474" t="s">
        <v>323</v>
      </c>
      <c r="Q474" t="s">
        <v>448</v>
      </c>
      <c r="R474" t="s">
        <v>111</v>
      </c>
      <c r="S474" t="s">
        <v>106</v>
      </c>
      <c r="T474">
        <v>1</v>
      </c>
      <c r="U474" t="s">
        <v>1322</v>
      </c>
      <c r="V474" t="s">
        <v>1297</v>
      </c>
      <c r="W474" t="s">
        <v>1245</v>
      </c>
      <c r="X474" t="s">
        <v>1209</v>
      </c>
      <c r="Y474" t="s">
        <v>1203</v>
      </c>
      <c r="Z474">
        <v>152.88</v>
      </c>
      <c r="AA474">
        <v>333.66</v>
      </c>
      <c r="AB474">
        <v>16.683000000000003</v>
      </c>
      <c r="AC474">
        <v>316.97700000000003</v>
      </c>
      <c r="AD474">
        <v>152.88</v>
      </c>
      <c r="AE474">
        <v>164.09700000000004</v>
      </c>
      <c r="AF474">
        <v>0.51769371279304188</v>
      </c>
      <c r="AG474">
        <v>2025</v>
      </c>
      <c r="AH474">
        <v>4</v>
      </c>
      <c r="AI474" t="s">
        <v>1421</v>
      </c>
      <c r="AJ474" t="s">
        <v>1420</v>
      </c>
      <c r="AK474" t="s">
        <v>1258</v>
      </c>
      <c r="AL474">
        <v>0</v>
      </c>
    </row>
    <row r="475" spans="1:38">
      <c r="A475" t="s">
        <v>450</v>
      </c>
      <c r="B475" s="13">
        <v>45963</v>
      </c>
      <c r="C475" t="s">
        <v>359</v>
      </c>
      <c r="D475" t="s">
        <v>249</v>
      </c>
      <c r="E475" t="s">
        <v>361</v>
      </c>
      <c r="F475" t="s">
        <v>145</v>
      </c>
      <c r="G475" t="s">
        <v>130</v>
      </c>
      <c r="H475" t="s">
        <v>97</v>
      </c>
      <c r="I475">
        <v>1</v>
      </c>
      <c r="J475">
        <v>433.79</v>
      </c>
      <c r="K475">
        <v>0.05</v>
      </c>
      <c r="L475" t="s">
        <v>106</v>
      </c>
      <c r="M475">
        <v>3</v>
      </c>
      <c r="N475" t="s">
        <v>91</v>
      </c>
      <c r="O475" t="s">
        <v>97</v>
      </c>
      <c r="P475" t="s">
        <v>249</v>
      </c>
      <c r="Q475" t="s">
        <v>359</v>
      </c>
      <c r="R475" t="s">
        <v>145</v>
      </c>
      <c r="S475" t="s">
        <v>106</v>
      </c>
      <c r="T475">
        <v>1</v>
      </c>
      <c r="U475" t="s">
        <v>1296</v>
      </c>
      <c r="V475" t="s">
        <v>1297</v>
      </c>
      <c r="W475" t="s">
        <v>1245</v>
      </c>
      <c r="X475" t="s">
        <v>1208</v>
      </c>
      <c r="Y475" t="s">
        <v>1203</v>
      </c>
      <c r="Z475">
        <v>239.67</v>
      </c>
      <c r="AA475">
        <v>433.79</v>
      </c>
      <c r="AB475">
        <v>21.689500000000002</v>
      </c>
      <c r="AC475">
        <v>412.10050000000001</v>
      </c>
      <c r="AD475">
        <v>239.67</v>
      </c>
      <c r="AE475">
        <v>172.43050000000002</v>
      </c>
      <c r="AF475">
        <v>0.41841856537422306</v>
      </c>
      <c r="AG475">
        <v>2025</v>
      </c>
      <c r="AH475">
        <v>11</v>
      </c>
      <c r="AI475" t="s">
        <v>1426</v>
      </c>
      <c r="AJ475" t="s">
        <v>1427</v>
      </c>
      <c r="AK475" t="s">
        <v>1258</v>
      </c>
      <c r="AL475">
        <v>0</v>
      </c>
    </row>
    <row r="476" spans="1:38">
      <c r="A476" t="s">
        <v>451</v>
      </c>
      <c r="B476" s="13">
        <v>45981</v>
      </c>
      <c r="C476" t="s">
        <v>230</v>
      </c>
      <c r="D476" t="s">
        <v>221</v>
      </c>
      <c r="E476" t="s">
        <v>232</v>
      </c>
      <c r="F476" t="s">
        <v>103</v>
      </c>
      <c r="G476" t="s">
        <v>96</v>
      </c>
      <c r="H476" t="s">
        <v>89</v>
      </c>
      <c r="I476">
        <v>3</v>
      </c>
      <c r="J476">
        <v>31.68</v>
      </c>
      <c r="K476">
        <v>0.05</v>
      </c>
      <c r="L476" t="s">
        <v>106</v>
      </c>
      <c r="M476">
        <v>4</v>
      </c>
      <c r="N476" t="s">
        <v>91</v>
      </c>
      <c r="O476" t="s">
        <v>89</v>
      </c>
      <c r="P476" t="s">
        <v>221</v>
      </c>
      <c r="Q476" t="s">
        <v>230</v>
      </c>
      <c r="R476" t="s">
        <v>103</v>
      </c>
      <c r="S476" t="s">
        <v>106</v>
      </c>
      <c r="T476">
        <v>1</v>
      </c>
      <c r="U476" t="s">
        <v>1312</v>
      </c>
      <c r="V476" t="s">
        <v>1247</v>
      </c>
      <c r="W476" t="s">
        <v>1241</v>
      </c>
      <c r="X476" t="s">
        <v>1204</v>
      </c>
      <c r="Y476" t="s">
        <v>1203</v>
      </c>
      <c r="Z476">
        <v>14.58</v>
      </c>
      <c r="AA476">
        <v>95.039999999999992</v>
      </c>
      <c r="AB476">
        <v>4.7519999999999998</v>
      </c>
      <c r="AC476">
        <v>90.287999999999997</v>
      </c>
      <c r="AD476">
        <v>43.74</v>
      </c>
      <c r="AE476">
        <v>46.547999999999995</v>
      </c>
      <c r="AF476">
        <v>0.51555023923444976</v>
      </c>
      <c r="AG476">
        <v>2025</v>
      </c>
      <c r="AH476">
        <v>11</v>
      </c>
      <c r="AI476" t="s">
        <v>1426</v>
      </c>
      <c r="AJ476" t="s">
        <v>1427</v>
      </c>
      <c r="AK476" t="s">
        <v>1240</v>
      </c>
      <c r="AL476">
        <v>0</v>
      </c>
    </row>
    <row r="477" spans="1:38">
      <c r="A477" t="s">
        <v>482</v>
      </c>
      <c r="B477" s="13">
        <v>45864</v>
      </c>
      <c r="C477" t="s">
        <v>322</v>
      </c>
      <c r="D477" t="s">
        <v>165</v>
      </c>
      <c r="E477" t="s">
        <v>470</v>
      </c>
      <c r="F477" t="s">
        <v>87</v>
      </c>
      <c r="G477" t="s">
        <v>104</v>
      </c>
      <c r="H477" t="s">
        <v>89</v>
      </c>
      <c r="I477">
        <v>1</v>
      </c>
      <c r="J477">
        <v>99.03</v>
      </c>
      <c r="K477">
        <v>0.15</v>
      </c>
      <c r="L477" t="s">
        <v>106</v>
      </c>
      <c r="M477">
        <v>6</v>
      </c>
      <c r="N477" t="s">
        <v>91</v>
      </c>
      <c r="O477" t="s">
        <v>89</v>
      </c>
      <c r="P477" t="s">
        <v>165</v>
      </c>
      <c r="Q477" t="s">
        <v>322</v>
      </c>
      <c r="R477" t="s">
        <v>87</v>
      </c>
      <c r="S477" t="s">
        <v>106</v>
      </c>
      <c r="T477">
        <v>1</v>
      </c>
      <c r="U477" t="s">
        <v>1358</v>
      </c>
      <c r="V477" t="s">
        <v>1284</v>
      </c>
      <c r="W477" t="s">
        <v>1237</v>
      </c>
      <c r="X477" t="s">
        <v>1210</v>
      </c>
      <c r="Y477" t="s">
        <v>1203</v>
      </c>
      <c r="Z477">
        <v>46.07</v>
      </c>
      <c r="AA477">
        <v>99.03</v>
      </c>
      <c r="AB477">
        <v>14.8545</v>
      </c>
      <c r="AC477">
        <v>84.1755</v>
      </c>
      <c r="AD477">
        <v>46.07</v>
      </c>
      <c r="AE477">
        <v>38.105499999999999</v>
      </c>
      <c r="AF477">
        <v>0.45269110370594767</v>
      </c>
      <c r="AG477">
        <v>2025</v>
      </c>
      <c r="AH477">
        <v>7</v>
      </c>
      <c r="AI477" t="s">
        <v>1422</v>
      </c>
      <c r="AJ477" t="s">
        <v>1418</v>
      </c>
      <c r="AK477" t="s">
        <v>1285</v>
      </c>
      <c r="AL477">
        <v>0</v>
      </c>
    </row>
    <row r="478" spans="1:38">
      <c r="A478" t="s">
        <v>485</v>
      </c>
      <c r="B478" s="13">
        <v>45741</v>
      </c>
      <c r="C478" t="s">
        <v>273</v>
      </c>
      <c r="D478" t="s">
        <v>249</v>
      </c>
      <c r="E478" t="s">
        <v>274</v>
      </c>
      <c r="F478" t="s">
        <v>116</v>
      </c>
      <c r="G478" t="s">
        <v>183</v>
      </c>
      <c r="H478" t="s">
        <v>97</v>
      </c>
      <c r="I478">
        <v>1</v>
      </c>
      <c r="J478">
        <v>396.12</v>
      </c>
      <c r="K478">
        <v>0</v>
      </c>
      <c r="L478" t="s">
        <v>98</v>
      </c>
      <c r="M478">
        <v>4</v>
      </c>
      <c r="N478" t="s">
        <v>91</v>
      </c>
      <c r="O478" t="s">
        <v>97</v>
      </c>
      <c r="P478" t="s">
        <v>249</v>
      </c>
      <c r="Q478" t="s">
        <v>273</v>
      </c>
      <c r="R478" t="s">
        <v>116</v>
      </c>
      <c r="S478" t="s">
        <v>98</v>
      </c>
      <c r="T478">
        <v>1</v>
      </c>
      <c r="U478" t="s">
        <v>1314</v>
      </c>
      <c r="V478" t="s">
        <v>1247</v>
      </c>
      <c r="W478" t="s">
        <v>1237</v>
      </c>
      <c r="X478" t="s">
        <v>1208</v>
      </c>
      <c r="Y478" t="s">
        <v>1203</v>
      </c>
      <c r="Z478">
        <v>239.67</v>
      </c>
      <c r="AA478">
        <v>396.12</v>
      </c>
      <c r="AB478">
        <v>0</v>
      </c>
      <c r="AC478">
        <v>396.12</v>
      </c>
      <c r="AD478">
        <v>239.67</v>
      </c>
      <c r="AE478">
        <v>156.45000000000002</v>
      </c>
      <c r="AF478">
        <v>0.39495607391699489</v>
      </c>
      <c r="AG478">
        <v>2025</v>
      </c>
      <c r="AH478">
        <v>3</v>
      </c>
      <c r="AI478" t="s">
        <v>1423</v>
      </c>
      <c r="AJ478" t="s">
        <v>1424</v>
      </c>
      <c r="AK478" t="s">
        <v>1240</v>
      </c>
      <c r="AL478">
        <v>0</v>
      </c>
    </row>
    <row r="479" spans="1:38">
      <c r="A479" t="s">
        <v>509</v>
      </c>
      <c r="B479" s="13">
        <v>45757</v>
      </c>
      <c r="C479" t="s">
        <v>427</v>
      </c>
      <c r="D479" t="s">
        <v>323</v>
      </c>
      <c r="E479" t="s">
        <v>428</v>
      </c>
      <c r="F479" t="s">
        <v>103</v>
      </c>
      <c r="G479" t="s">
        <v>117</v>
      </c>
      <c r="H479" t="s">
        <v>97</v>
      </c>
      <c r="I479">
        <v>1</v>
      </c>
      <c r="J479">
        <v>316.97000000000003</v>
      </c>
      <c r="K479">
        <v>0.05</v>
      </c>
      <c r="L479" t="s">
        <v>98</v>
      </c>
      <c r="M479">
        <v>4</v>
      </c>
      <c r="N479" t="s">
        <v>91</v>
      </c>
      <c r="O479" t="s">
        <v>97</v>
      </c>
      <c r="P479" t="s">
        <v>323</v>
      </c>
      <c r="Q479" t="s">
        <v>427</v>
      </c>
      <c r="R479" t="s">
        <v>103</v>
      </c>
      <c r="S479" t="s">
        <v>98</v>
      </c>
      <c r="T479">
        <v>1</v>
      </c>
      <c r="U479" t="s">
        <v>1311</v>
      </c>
      <c r="V479" t="s">
        <v>1277</v>
      </c>
      <c r="W479" t="s">
        <v>1237</v>
      </c>
      <c r="X479" t="s">
        <v>1209</v>
      </c>
      <c r="Y479" t="s">
        <v>1203</v>
      </c>
      <c r="Z479">
        <v>152.88</v>
      </c>
      <c r="AA479">
        <v>316.97000000000003</v>
      </c>
      <c r="AB479">
        <v>15.848500000000001</v>
      </c>
      <c r="AC479">
        <v>301.12150000000003</v>
      </c>
      <c r="AD479">
        <v>152.88</v>
      </c>
      <c r="AE479">
        <v>148.24150000000003</v>
      </c>
      <c r="AF479">
        <v>0.49229795946154631</v>
      </c>
      <c r="AG479">
        <v>2025</v>
      </c>
      <c r="AH479">
        <v>4</v>
      </c>
      <c r="AI479" t="s">
        <v>1421</v>
      </c>
      <c r="AJ479" t="s">
        <v>1420</v>
      </c>
      <c r="AK479" t="s">
        <v>1244</v>
      </c>
      <c r="AL479">
        <v>0</v>
      </c>
    </row>
    <row r="480" spans="1:38">
      <c r="A480" t="s">
        <v>519</v>
      </c>
      <c r="B480" s="13">
        <v>45801</v>
      </c>
      <c r="C480" t="s">
        <v>453</v>
      </c>
      <c r="D480" t="s">
        <v>520</v>
      </c>
      <c r="E480" t="s">
        <v>454</v>
      </c>
      <c r="F480" t="s">
        <v>103</v>
      </c>
      <c r="G480" t="s">
        <v>104</v>
      </c>
      <c r="H480" t="s">
        <v>97</v>
      </c>
      <c r="I480">
        <v>1</v>
      </c>
      <c r="J480">
        <v>380.52</v>
      </c>
      <c r="K480">
        <v>0.05</v>
      </c>
      <c r="L480" t="s">
        <v>98</v>
      </c>
      <c r="M480">
        <v>2</v>
      </c>
      <c r="N480" t="s">
        <v>91</v>
      </c>
      <c r="O480" t="s">
        <v>97</v>
      </c>
      <c r="P480" t="s">
        <v>520</v>
      </c>
      <c r="Q480" t="s">
        <v>453</v>
      </c>
      <c r="R480" t="s">
        <v>103</v>
      </c>
      <c r="S480" t="s">
        <v>98</v>
      </c>
      <c r="T480">
        <v>1</v>
      </c>
      <c r="U480" t="s">
        <v>1318</v>
      </c>
      <c r="V480" t="s">
        <v>1235</v>
      </c>
      <c r="W480" t="s">
        <v>1245</v>
      </c>
      <c r="X480" t="s">
        <v>1202</v>
      </c>
      <c r="Y480" t="s">
        <v>1203</v>
      </c>
      <c r="Z480">
        <v>241.16</v>
      </c>
      <c r="AA480">
        <v>380.52</v>
      </c>
      <c r="AB480">
        <v>19.026</v>
      </c>
      <c r="AC480">
        <v>361.49399999999997</v>
      </c>
      <c r="AD480">
        <v>241.16</v>
      </c>
      <c r="AE480">
        <v>120.33399999999997</v>
      </c>
      <c r="AF480">
        <v>0.33287966051995327</v>
      </c>
      <c r="AG480">
        <v>2025</v>
      </c>
      <c r="AH480">
        <v>5</v>
      </c>
      <c r="AI480" t="s">
        <v>1419</v>
      </c>
      <c r="AJ480" t="s">
        <v>1420</v>
      </c>
      <c r="AK480" t="s">
        <v>1236</v>
      </c>
      <c r="AL480">
        <v>0</v>
      </c>
    </row>
    <row r="481" spans="1:38">
      <c r="A481" t="s">
        <v>528</v>
      </c>
      <c r="B481" s="13">
        <v>45752</v>
      </c>
      <c r="C481" t="s">
        <v>466</v>
      </c>
      <c r="D481" t="s">
        <v>101</v>
      </c>
      <c r="E481" t="s">
        <v>467</v>
      </c>
      <c r="F481" t="s">
        <v>116</v>
      </c>
      <c r="G481" t="s">
        <v>171</v>
      </c>
      <c r="H481" t="s">
        <v>89</v>
      </c>
      <c r="I481">
        <v>4</v>
      </c>
      <c r="J481">
        <v>308.58999999999997</v>
      </c>
      <c r="K481">
        <v>0</v>
      </c>
      <c r="L481" t="s">
        <v>98</v>
      </c>
      <c r="M481">
        <v>1</v>
      </c>
      <c r="N481" t="s">
        <v>91</v>
      </c>
      <c r="O481" t="s">
        <v>89</v>
      </c>
      <c r="P481" t="s">
        <v>101</v>
      </c>
      <c r="Q481" t="s">
        <v>466</v>
      </c>
      <c r="R481" t="s">
        <v>116</v>
      </c>
      <c r="S481" t="s">
        <v>98</v>
      </c>
      <c r="T481">
        <v>1</v>
      </c>
      <c r="U481" t="s">
        <v>1340</v>
      </c>
      <c r="V481" t="s">
        <v>1247</v>
      </c>
      <c r="W481" t="s">
        <v>1245</v>
      </c>
      <c r="X481" t="s">
        <v>1207</v>
      </c>
      <c r="Y481" t="s">
        <v>1203</v>
      </c>
      <c r="Z481">
        <v>139.86000000000001</v>
      </c>
      <c r="AA481">
        <v>1234.3599999999999</v>
      </c>
      <c r="AB481">
        <v>0</v>
      </c>
      <c r="AC481">
        <v>1234.3599999999999</v>
      </c>
      <c r="AD481">
        <v>559.44000000000005</v>
      </c>
      <c r="AE481">
        <v>674.91999999999985</v>
      </c>
      <c r="AF481">
        <v>0.54677727729349612</v>
      </c>
      <c r="AG481">
        <v>2025</v>
      </c>
      <c r="AH481">
        <v>4</v>
      </c>
      <c r="AI481" t="s">
        <v>1421</v>
      </c>
      <c r="AJ481" t="s">
        <v>1420</v>
      </c>
      <c r="AK481" t="s">
        <v>1240</v>
      </c>
      <c r="AL481">
        <v>0</v>
      </c>
    </row>
    <row r="482" spans="1:38">
      <c r="A482" t="s">
        <v>529</v>
      </c>
      <c r="B482" s="13">
        <v>45686</v>
      </c>
      <c r="C482" t="s">
        <v>108</v>
      </c>
      <c r="D482" t="s">
        <v>520</v>
      </c>
      <c r="E482" t="s">
        <v>110</v>
      </c>
      <c r="F482" t="s">
        <v>111</v>
      </c>
      <c r="G482" t="s">
        <v>122</v>
      </c>
      <c r="H482" t="s">
        <v>97</v>
      </c>
      <c r="I482">
        <v>1</v>
      </c>
      <c r="J482">
        <v>372.42</v>
      </c>
      <c r="K482">
        <v>0</v>
      </c>
      <c r="L482" t="s">
        <v>90</v>
      </c>
      <c r="M482">
        <v>1</v>
      </c>
      <c r="N482" t="s">
        <v>91</v>
      </c>
      <c r="O482" t="s">
        <v>97</v>
      </c>
      <c r="P482" t="s">
        <v>520</v>
      </c>
      <c r="Q482" t="s">
        <v>108</v>
      </c>
      <c r="R482" t="s">
        <v>111</v>
      </c>
      <c r="S482" t="s">
        <v>369</v>
      </c>
      <c r="T482">
        <v>1</v>
      </c>
      <c r="U482" t="s">
        <v>1319</v>
      </c>
      <c r="V482" t="s">
        <v>1275</v>
      </c>
      <c r="W482" t="s">
        <v>1237</v>
      </c>
      <c r="X482" t="s">
        <v>1202</v>
      </c>
      <c r="Y482" t="s">
        <v>1203</v>
      </c>
      <c r="Z482">
        <v>241.16</v>
      </c>
      <c r="AA482">
        <v>372.42</v>
      </c>
      <c r="AB482">
        <v>0</v>
      </c>
      <c r="AC482">
        <v>372.42</v>
      </c>
      <c r="AD482">
        <v>241.16</v>
      </c>
      <c r="AE482">
        <v>131.26000000000002</v>
      </c>
      <c r="AF482">
        <v>0.35245153321518718</v>
      </c>
      <c r="AG482">
        <v>2025</v>
      </c>
      <c r="AH482">
        <v>1</v>
      </c>
      <c r="AI482" t="s">
        <v>1425</v>
      </c>
      <c r="AJ482" t="s">
        <v>1424</v>
      </c>
      <c r="AK482" t="s">
        <v>1258</v>
      </c>
      <c r="AL482">
        <v>0</v>
      </c>
    </row>
    <row r="483" spans="1:38">
      <c r="A483" t="s">
        <v>537</v>
      </c>
      <c r="B483" s="13">
        <v>45933</v>
      </c>
      <c r="C483" t="s">
        <v>538</v>
      </c>
      <c r="D483" t="s">
        <v>165</v>
      </c>
      <c r="E483" t="s">
        <v>539</v>
      </c>
      <c r="F483" t="s">
        <v>111</v>
      </c>
      <c r="G483" t="s">
        <v>171</v>
      </c>
      <c r="H483" t="s">
        <v>89</v>
      </c>
      <c r="I483">
        <v>1</v>
      </c>
      <c r="J483">
        <v>104.87</v>
      </c>
      <c r="K483">
        <v>0.1</v>
      </c>
      <c r="L483" t="s">
        <v>106</v>
      </c>
      <c r="M483">
        <v>5</v>
      </c>
      <c r="N483" t="s">
        <v>91</v>
      </c>
      <c r="O483" t="s">
        <v>89</v>
      </c>
      <c r="P483" t="s">
        <v>165</v>
      </c>
      <c r="Q483" t="s">
        <v>538</v>
      </c>
      <c r="R483" t="s">
        <v>111</v>
      </c>
      <c r="S483" t="s">
        <v>106</v>
      </c>
      <c r="T483">
        <v>1</v>
      </c>
      <c r="U483" t="s">
        <v>1333</v>
      </c>
      <c r="V483" t="s">
        <v>1284</v>
      </c>
      <c r="W483" t="s">
        <v>1237</v>
      </c>
      <c r="X483" t="s">
        <v>1210</v>
      </c>
      <c r="Y483" t="s">
        <v>1203</v>
      </c>
      <c r="Z483">
        <v>46.07</v>
      </c>
      <c r="AA483">
        <v>104.87</v>
      </c>
      <c r="AB483">
        <v>10.487000000000002</v>
      </c>
      <c r="AC483">
        <v>94.38300000000001</v>
      </c>
      <c r="AD483">
        <v>46.07</v>
      </c>
      <c r="AE483">
        <v>48.313000000000009</v>
      </c>
      <c r="AF483">
        <v>0.51188243645571774</v>
      </c>
      <c r="AG483">
        <v>2025</v>
      </c>
      <c r="AH483">
        <v>10</v>
      </c>
      <c r="AI483" t="s">
        <v>1431</v>
      </c>
      <c r="AJ483" t="s">
        <v>1427</v>
      </c>
      <c r="AK483" t="s">
        <v>1285</v>
      </c>
      <c r="AL483">
        <v>0</v>
      </c>
    </row>
    <row r="484" spans="1:38">
      <c r="A484" t="s">
        <v>542</v>
      </c>
      <c r="B484" s="13">
        <v>45864</v>
      </c>
      <c r="C484" t="s">
        <v>543</v>
      </c>
      <c r="D484" t="s">
        <v>165</v>
      </c>
      <c r="E484" t="s">
        <v>544</v>
      </c>
      <c r="F484" t="s">
        <v>145</v>
      </c>
      <c r="G484" t="s">
        <v>122</v>
      </c>
      <c r="H484" t="s">
        <v>89</v>
      </c>
      <c r="I484">
        <v>3</v>
      </c>
      <c r="J484">
        <v>107.18</v>
      </c>
      <c r="K484">
        <v>0</v>
      </c>
      <c r="L484" t="s">
        <v>98</v>
      </c>
      <c r="M484">
        <v>5</v>
      </c>
      <c r="N484" t="s">
        <v>91</v>
      </c>
      <c r="O484" t="s">
        <v>89</v>
      </c>
      <c r="P484" t="s">
        <v>165</v>
      </c>
      <c r="Q484" t="s">
        <v>543</v>
      </c>
      <c r="R484" t="s">
        <v>145</v>
      </c>
      <c r="S484" t="s">
        <v>98</v>
      </c>
      <c r="T484">
        <v>1</v>
      </c>
      <c r="U484" t="s">
        <v>1281</v>
      </c>
      <c r="V484" t="s">
        <v>1275</v>
      </c>
      <c r="W484" t="s">
        <v>1241</v>
      </c>
      <c r="X484" t="s">
        <v>1210</v>
      </c>
      <c r="Y484" t="s">
        <v>1203</v>
      </c>
      <c r="Z484">
        <v>46.07</v>
      </c>
      <c r="AA484">
        <v>321.54000000000002</v>
      </c>
      <c r="AB484">
        <v>0</v>
      </c>
      <c r="AC484">
        <v>321.54000000000002</v>
      </c>
      <c r="AD484">
        <v>138.21</v>
      </c>
      <c r="AE484">
        <v>183.33</v>
      </c>
      <c r="AF484">
        <v>0.5701623437208434</v>
      </c>
      <c r="AG484">
        <v>2025</v>
      </c>
      <c r="AH484">
        <v>7</v>
      </c>
      <c r="AI484" t="s">
        <v>1422</v>
      </c>
      <c r="AJ484" t="s">
        <v>1418</v>
      </c>
      <c r="AK484" t="s">
        <v>1258</v>
      </c>
      <c r="AL484">
        <v>0</v>
      </c>
    </row>
    <row r="485" spans="1:38">
      <c r="A485" t="s">
        <v>553</v>
      </c>
      <c r="B485" s="13">
        <v>45998</v>
      </c>
      <c r="C485" t="s">
        <v>531</v>
      </c>
      <c r="D485" t="s">
        <v>323</v>
      </c>
      <c r="E485" t="s">
        <v>532</v>
      </c>
      <c r="F485" t="s">
        <v>111</v>
      </c>
      <c r="G485" t="s">
        <v>117</v>
      </c>
      <c r="H485" t="s">
        <v>89</v>
      </c>
      <c r="I485">
        <v>3</v>
      </c>
      <c r="J485">
        <v>327.55</v>
      </c>
      <c r="K485">
        <v>0.05</v>
      </c>
      <c r="L485" t="s">
        <v>90</v>
      </c>
      <c r="M485">
        <v>1</v>
      </c>
      <c r="N485" t="s">
        <v>91</v>
      </c>
      <c r="O485" t="s">
        <v>89</v>
      </c>
      <c r="P485" t="s">
        <v>323</v>
      </c>
      <c r="Q485" t="s">
        <v>531</v>
      </c>
      <c r="R485" t="s">
        <v>111</v>
      </c>
      <c r="S485" t="s">
        <v>369</v>
      </c>
      <c r="T485">
        <v>1</v>
      </c>
      <c r="U485" t="s">
        <v>1294</v>
      </c>
      <c r="V485" t="s">
        <v>1260</v>
      </c>
      <c r="W485" t="s">
        <v>1237</v>
      </c>
      <c r="X485" t="s">
        <v>1209</v>
      </c>
      <c r="Y485" t="s">
        <v>1203</v>
      </c>
      <c r="Z485">
        <v>152.88</v>
      </c>
      <c r="AA485">
        <v>982.65000000000009</v>
      </c>
      <c r="AB485">
        <v>49.132500000000007</v>
      </c>
      <c r="AC485">
        <v>933.51750000000004</v>
      </c>
      <c r="AD485">
        <v>458.64</v>
      </c>
      <c r="AE485">
        <v>474.87750000000005</v>
      </c>
      <c r="AF485">
        <v>0.50869694462074899</v>
      </c>
      <c r="AG485">
        <v>2025</v>
      </c>
      <c r="AH485">
        <v>12</v>
      </c>
      <c r="AI485" t="s">
        <v>1428</v>
      </c>
      <c r="AJ485" t="s">
        <v>1427</v>
      </c>
      <c r="AK485" t="s">
        <v>1240</v>
      </c>
      <c r="AL485">
        <v>0</v>
      </c>
    </row>
    <row r="486" spans="1:38">
      <c r="A486" t="s">
        <v>555</v>
      </c>
      <c r="B486" s="13">
        <v>45741</v>
      </c>
      <c r="C486" t="s">
        <v>193</v>
      </c>
      <c r="D486" t="s">
        <v>252</v>
      </c>
      <c r="E486" t="s">
        <v>195</v>
      </c>
      <c r="F486" t="s">
        <v>87</v>
      </c>
      <c r="G486" t="s">
        <v>122</v>
      </c>
      <c r="H486" t="s">
        <v>89</v>
      </c>
      <c r="I486">
        <v>1</v>
      </c>
      <c r="J486">
        <v>279.27</v>
      </c>
      <c r="K486">
        <v>0.2</v>
      </c>
      <c r="L486" t="s">
        <v>353</v>
      </c>
      <c r="M486">
        <v>1</v>
      </c>
      <c r="N486" t="s">
        <v>91</v>
      </c>
      <c r="O486" t="s">
        <v>89</v>
      </c>
      <c r="P486" t="s">
        <v>252</v>
      </c>
      <c r="Q486" t="s">
        <v>193</v>
      </c>
      <c r="R486" t="s">
        <v>87</v>
      </c>
      <c r="S486" t="s">
        <v>106</v>
      </c>
      <c r="T486">
        <v>1</v>
      </c>
      <c r="U486" t="s">
        <v>1272</v>
      </c>
      <c r="V486" t="s">
        <v>1243</v>
      </c>
      <c r="W486" t="s">
        <v>1241</v>
      </c>
      <c r="X486" t="s">
        <v>1205</v>
      </c>
      <c r="Y486" t="s">
        <v>1203</v>
      </c>
      <c r="Z486">
        <v>186.94</v>
      </c>
      <c r="AA486">
        <v>279.27</v>
      </c>
      <c r="AB486">
        <v>55.853999999999999</v>
      </c>
      <c r="AC486">
        <v>223.416</v>
      </c>
      <c r="AD486">
        <v>186.94</v>
      </c>
      <c r="AE486">
        <v>36.475999999999999</v>
      </c>
      <c r="AF486">
        <v>0.16326494073835357</v>
      </c>
      <c r="AG486">
        <v>2025</v>
      </c>
      <c r="AH486">
        <v>3</v>
      </c>
      <c r="AI486" t="s">
        <v>1423</v>
      </c>
      <c r="AJ486" t="s">
        <v>1424</v>
      </c>
      <c r="AK486" t="s">
        <v>1244</v>
      </c>
      <c r="AL486">
        <v>0</v>
      </c>
    </row>
    <row r="487" spans="1:38">
      <c r="A487" t="s">
        <v>559</v>
      </c>
      <c r="B487" s="13">
        <v>45940</v>
      </c>
      <c r="C487" t="s">
        <v>239</v>
      </c>
      <c r="D487" t="s">
        <v>323</v>
      </c>
      <c r="E487" t="s">
        <v>560</v>
      </c>
      <c r="F487" t="s">
        <v>116</v>
      </c>
      <c r="G487" t="s">
        <v>88</v>
      </c>
      <c r="H487" t="s">
        <v>105</v>
      </c>
      <c r="I487">
        <v>2</v>
      </c>
      <c r="J487">
        <v>332.58</v>
      </c>
      <c r="K487">
        <v>0</v>
      </c>
      <c r="L487" t="s">
        <v>90</v>
      </c>
      <c r="M487">
        <v>2</v>
      </c>
      <c r="N487" t="s">
        <v>91</v>
      </c>
      <c r="O487" t="s">
        <v>105</v>
      </c>
      <c r="P487" t="s">
        <v>323</v>
      </c>
      <c r="Q487" t="s">
        <v>239</v>
      </c>
      <c r="R487" t="s">
        <v>116</v>
      </c>
      <c r="S487" t="s">
        <v>369</v>
      </c>
      <c r="T487">
        <v>1</v>
      </c>
      <c r="U487" t="s">
        <v>1336</v>
      </c>
      <c r="V487" t="s">
        <v>1297</v>
      </c>
      <c r="W487" t="s">
        <v>1237</v>
      </c>
      <c r="X487" t="s">
        <v>1209</v>
      </c>
      <c r="Y487" t="s">
        <v>1203</v>
      </c>
      <c r="Z487">
        <v>152.88</v>
      </c>
      <c r="AA487">
        <v>665.16</v>
      </c>
      <c r="AB487">
        <v>0</v>
      </c>
      <c r="AC487">
        <v>665.16</v>
      </c>
      <c r="AD487">
        <v>305.76</v>
      </c>
      <c r="AE487">
        <v>359.4</v>
      </c>
      <c r="AF487">
        <v>0.5403211257441819</v>
      </c>
      <c r="AG487">
        <v>2025</v>
      </c>
      <c r="AH487">
        <v>10</v>
      </c>
      <c r="AI487" t="s">
        <v>1431</v>
      </c>
      <c r="AJ487" t="s">
        <v>1427</v>
      </c>
      <c r="AK487" t="s">
        <v>1258</v>
      </c>
      <c r="AL487">
        <v>0</v>
      </c>
    </row>
    <row r="488" spans="1:38">
      <c r="A488" t="s">
        <v>563</v>
      </c>
      <c r="B488" s="13">
        <v>45728</v>
      </c>
      <c r="C488" t="s">
        <v>564</v>
      </c>
      <c r="D488" t="s">
        <v>221</v>
      </c>
      <c r="E488" t="s">
        <v>565</v>
      </c>
      <c r="F488" t="s">
        <v>111</v>
      </c>
      <c r="G488" t="s">
        <v>96</v>
      </c>
      <c r="H488" t="s">
        <v>89</v>
      </c>
      <c r="I488">
        <v>1</v>
      </c>
      <c r="J488">
        <v>29.43</v>
      </c>
      <c r="K488">
        <v>0</v>
      </c>
      <c r="L488" t="s">
        <v>90</v>
      </c>
      <c r="M488">
        <v>6</v>
      </c>
      <c r="N488" t="s">
        <v>91</v>
      </c>
      <c r="O488" t="s">
        <v>89</v>
      </c>
      <c r="P488" t="s">
        <v>221</v>
      </c>
      <c r="Q488" t="s">
        <v>564</v>
      </c>
      <c r="R488" t="s">
        <v>111</v>
      </c>
      <c r="S488" t="s">
        <v>369</v>
      </c>
      <c r="T488">
        <v>1</v>
      </c>
      <c r="U488" t="s">
        <v>1339</v>
      </c>
      <c r="V488" t="s">
        <v>1260</v>
      </c>
      <c r="W488" t="s">
        <v>1245</v>
      </c>
      <c r="X488" t="s">
        <v>1204</v>
      </c>
      <c r="Y488" t="s">
        <v>1203</v>
      </c>
      <c r="Z488">
        <v>14.58</v>
      </c>
      <c r="AA488">
        <v>29.43</v>
      </c>
      <c r="AB488">
        <v>0</v>
      </c>
      <c r="AC488">
        <v>29.43</v>
      </c>
      <c r="AD488">
        <v>14.58</v>
      </c>
      <c r="AE488">
        <v>14.85</v>
      </c>
      <c r="AF488">
        <v>0.50458715596330272</v>
      </c>
      <c r="AG488">
        <v>2025</v>
      </c>
      <c r="AH488">
        <v>3</v>
      </c>
      <c r="AI488" t="s">
        <v>1423</v>
      </c>
      <c r="AJ488" t="s">
        <v>1424</v>
      </c>
      <c r="AK488" t="s">
        <v>1240</v>
      </c>
      <c r="AL488">
        <v>0</v>
      </c>
    </row>
    <row r="489" spans="1:38">
      <c r="A489" t="s">
        <v>571</v>
      </c>
      <c r="B489" s="13">
        <v>45691</v>
      </c>
      <c r="C489" t="s">
        <v>119</v>
      </c>
      <c r="D489" t="s">
        <v>165</v>
      </c>
      <c r="E489" t="s">
        <v>121</v>
      </c>
      <c r="F489" t="s">
        <v>103</v>
      </c>
      <c r="G489" t="s">
        <v>130</v>
      </c>
      <c r="H489" t="s">
        <v>89</v>
      </c>
      <c r="I489">
        <v>1</v>
      </c>
      <c r="J489">
        <v>105.22</v>
      </c>
      <c r="K489">
        <v>0.15</v>
      </c>
      <c r="L489" t="s">
        <v>106</v>
      </c>
      <c r="M489">
        <v>5</v>
      </c>
      <c r="N489" t="s">
        <v>91</v>
      </c>
      <c r="O489" t="s">
        <v>89</v>
      </c>
      <c r="P489" t="s">
        <v>165</v>
      </c>
      <c r="Q489" t="s">
        <v>119</v>
      </c>
      <c r="R489" t="s">
        <v>103</v>
      </c>
      <c r="S489" t="s">
        <v>106</v>
      </c>
      <c r="T489">
        <v>1</v>
      </c>
      <c r="U489" t="s">
        <v>1308</v>
      </c>
      <c r="V489" t="s">
        <v>1288</v>
      </c>
      <c r="W489" t="s">
        <v>1241</v>
      </c>
      <c r="X489" t="s">
        <v>1210</v>
      </c>
      <c r="Y489" t="s">
        <v>1203</v>
      </c>
      <c r="Z489">
        <v>46.07</v>
      </c>
      <c r="AA489">
        <v>105.22</v>
      </c>
      <c r="AB489">
        <v>15.782999999999999</v>
      </c>
      <c r="AC489">
        <v>89.436999999999998</v>
      </c>
      <c r="AD489">
        <v>46.07</v>
      </c>
      <c r="AE489">
        <v>43.366999999999997</v>
      </c>
      <c r="AF489">
        <v>0.48488880440980803</v>
      </c>
      <c r="AG489">
        <v>2025</v>
      </c>
      <c r="AH489">
        <v>2</v>
      </c>
      <c r="AI489" t="s">
        <v>1430</v>
      </c>
      <c r="AJ489" t="s">
        <v>1424</v>
      </c>
      <c r="AK489" t="s">
        <v>1250</v>
      </c>
      <c r="AL489">
        <v>0</v>
      </c>
    </row>
    <row r="490" spans="1:38">
      <c r="A490" t="s">
        <v>578</v>
      </c>
      <c r="B490" s="13">
        <v>45774</v>
      </c>
      <c r="C490" t="s">
        <v>273</v>
      </c>
      <c r="D490" t="s">
        <v>323</v>
      </c>
      <c r="E490" t="s">
        <v>274</v>
      </c>
      <c r="F490" t="s">
        <v>87</v>
      </c>
      <c r="G490" t="s">
        <v>88</v>
      </c>
      <c r="H490" t="s">
        <v>97</v>
      </c>
      <c r="I490">
        <v>1</v>
      </c>
      <c r="J490">
        <v>328.44</v>
      </c>
      <c r="K490">
        <v>0</v>
      </c>
      <c r="L490" t="s">
        <v>106</v>
      </c>
      <c r="M490">
        <v>2</v>
      </c>
      <c r="N490" t="s">
        <v>91</v>
      </c>
      <c r="O490" t="s">
        <v>97</v>
      </c>
      <c r="P490" t="s">
        <v>323</v>
      </c>
      <c r="Q490" t="s">
        <v>273</v>
      </c>
      <c r="R490" t="s">
        <v>87</v>
      </c>
      <c r="S490" t="s">
        <v>106</v>
      </c>
      <c r="T490">
        <v>1</v>
      </c>
      <c r="U490" t="s">
        <v>1314</v>
      </c>
      <c r="V490" t="s">
        <v>1247</v>
      </c>
      <c r="W490" t="s">
        <v>1237</v>
      </c>
      <c r="X490" t="s">
        <v>1209</v>
      </c>
      <c r="Y490" t="s">
        <v>1203</v>
      </c>
      <c r="Z490">
        <v>152.88</v>
      </c>
      <c r="AA490">
        <v>328.44</v>
      </c>
      <c r="AB490">
        <v>0</v>
      </c>
      <c r="AC490">
        <v>328.44</v>
      </c>
      <c r="AD490">
        <v>152.88</v>
      </c>
      <c r="AE490">
        <v>175.56</v>
      </c>
      <c r="AF490">
        <v>0.53452685421994883</v>
      </c>
      <c r="AG490">
        <v>2025</v>
      </c>
      <c r="AH490">
        <v>4</v>
      </c>
      <c r="AI490" t="s">
        <v>1421</v>
      </c>
      <c r="AJ490" t="s">
        <v>1420</v>
      </c>
      <c r="AK490" t="s">
        <v>1240</v>
      </c>
      <c r="AL490">
        <v>0</v>
      </c>
    </row>
    <row r="491" spans="1:38">
      <c r="A491" t="s">
        <v>581</v>
      </c>
      <c r="B491" s="13">
        <v>45670</v>
      </c>
      <c r="C491" t="s">
        <v>414</v>
      </c>
      <c r="D491" t="s">
        <v>221</v>
      </c>
      <c r="E491" t="s">
        <v>415</v>
      </c>
      <c r="F491" t="s">
        <v>187</v>
      </c>
      <c r="G491" t="s">
        <v>122</v>
      </c>
      <c r="H491" t="s">
        <v>97</v>
      </c>
      <c r="I491">
        <v>2</v>
      </c>
      <c r="J491">
        <v>29.86</v>
      </c>
      <c r="K491">
        <v>0.1</v>
      </c>
      <c r="L491" t="s">
        <v>98</v>
      </c>
      <c r="M491">
        <v>3</v>
      </c>
      <c r="N491" t="s">
        <v>91</v>
      </c>
      <c r="O491" t="s">
        <v>97</v>
      </c>
      <c r="P491" t="s">
        <v>221</v>
      </c>
      <c r="Q491" t="s">
        <v>414</v>
      </c>
      <c r="R491" t="s">
        <v>103</v>
      </c>
      <c r="S491" t="s">
        <v>98</v>
      </c>
      <c r="T491">
        <v>1</v>
      </c>
      <c r="U491" t="s">
        <v>1305</v>
      </c>
      <c r="V491" t="s">
        <v>1288</v>
      </c>
      <c r="W491" t="s">
        <v>1245</v>
      </c>
      <c r="X491" t="s">
        <v>1204</v>
      </c>
      <c r="Y491" t="s">
        <v>1203</v>
      </c>
      <c r="Z491">
        <v>14.58</v>
      </c>
      <c r="AA491">
        <v>59.72</v>
      </c>
      <c r="AB491">
        <v>5.9720000000000004</v>
      </c>
      <c r="AC491">
        <v>53.747999999999998</v>
      </c>
      <c r="AD491">
        <v>29.16</v>
      </c>
      <c r="AE491">
        <v>24.587999999999997</v>
      </c>
      <c r="AF491">
        <v>0.45746818486269253</v>
      </c>
      <c r="AG491">
        <v>2025</v>
      </c>
      <c r="AH491">
        <v>1</v>
      </c>
      <c r="AI491" t="s">
        <v>1425</v>
      </c>
      <c r="AJ491" t="s">
        <v>1424</v>
      </c>
      <c r="AK491" t="s">
        <v>1250</v>
      </c>
      <c r="AL491">
        <v>0</v>
      </c>
    </row>
    <row r="492" spans="1:38">
      <c r="A492" t="s">
        <v>583</v>
      </c>
      <c r="B492" s="13">
        <v>45700</v>
      </c>
      <c r="C492" t="s">
        <v>386</v>
      </c>
      <c r="D492" t="s">
        <v>520</v>
      </c>
      <c r="E492" t="s">
        <v>576</v>
      </c>
      <c r="F492" t="s">
        <v>111</v>
      </c>
      <c r="G492" t="s">
        <v>122</v>
      </c>
      <c r="H492" t="s">
        <v>89</v>
      </c>
      <c r="I492">
        <v>2</v>
      </c>
      <c r="J492">
        <v>349.44</v>
      </c>
      <c r="K492">
        <v>0.05</v>
      </c>
      <c r="L492" t="s">
        <v>98</v>
      </c>
      <c r="M492">
        <v>1</v>
      </c>
      <c r="N492" t="s">
        <v>91</v>
      </c>
      <c r="O492" t="s">
        <v>89</v>
      </c>
      <c r="P492" t="s">
        <v>520</v>
      </c>
      <c r="Q492" t="s">
        <v>386</v>
      </c>
      <c r="R492" t="s">
        <v>111</v>
      </c>
      <c r="S492" t="s">
        <v>98</v>
      </c>
      <c r="T492">
        <v>1</v>
      </c>
      <c r="U492" t="s">
        <v>1254</v>
      </c>
      <c r="V492" t="s">
        <v>1255</v>
      </c>
      <c r="W492" t="s">
        <v>1245</v>
      </c>
      <c r="X492" t="s">
        <v>1202</v>
      </c>
      <c r="Y492" t="s">
        <v>1203</v>
      </c>
      <c r="Z492">
        <v>241.16</v>
      </c>
      <c r="AA492">
        <v>698.88</v>
      </c>
      <c r="AB492">
        <v>34.944000000000003</v>
      </c>
      <c r="AC492">
        <v>663.93600000000004</v>
      </c>
      <c r="AD492">
        <v>482.32</v>
      </c>
      <c r="AE492">
        <v>181.61600000000004</v>
      </c>
      <c r="AF492">
        <v>0.27354443801812228</v>
      </c>
      <c r="AG492">
        <v>2025</v>
      </c>
      <c r="AH492">
        <v>2</v>
      </c>
      <c r="AI492" t="s">
        <v>1430</v>
      </c>
      <c r="AJ492" t="s">
        <v>1424</v>
      </c>
      <c r="AK492" t="s">
        <v>1244</v>
      </c>
      <c r="AL492">
        <v>0</v>
      </c>
    </row>
    <row r="493" spans="1:38">
      <c r="A493" t="s">
        <v>590</v>
      </c>
      <c r="B493" s="13">
        <v>45666</v>
      </c>
      <c r="C493" t="s">
        <v>203</v>
      </c>
      <c r="D493" t="s">
        <v>252</v>
      </c>
      <c r="E493" t="s">
        <v>204</v>
      </c>
      <c r="F493" t="s">
        <v>111</v>
      </c>
      <c r="G493" t="s">
        <v>104</v>
      </c>
      <c r="H493" t="s">
        <v>97</v>
      </c>
      <c r="I493">
        <v>4</v>
      </c>
      <c r="J493">
        <v>263.74</v>
      </c>
      <c r="K493">
        <v>0</v>
      </c>
      <c r="L493" t="s">
        <v>98</v>
      </c>
      <c r="M493">
        <v>1</v>
      </c>
      <c r="N493" t="s">
        <v>147</v>
      </c>
      <c r="O493" t="s">
        <v>97</v>
      </c>
      <c r="P493" t="s">
        <v>252</v>
      </c>
      <c r="Q493" t="s">
        <v>203</v>
      </c>
      <c r="R493" t="s">
        <v>111</v>
      </c>
      <c r="S493" t="s">
        <v>98</v>
      </c>
      <c r="T493">
        <v>1</v>
      </c>
      <c r="U493" t="s">
        <v>1279</v>
      </c>
      <c r="V493" t="s">
        <v>1257</v>
      </c>
      <c r="W493" t="s">
        <v>1237</v>
      </c>
      <c r="X493" t="s">
        <v>1205</v>
      </c>
      <c r="Y493" t="s">
        <v>1203</v>
      </c>
      <c r="Z493">
        <v>186.94</v>
      </c>
      <c r="AA493">
        <v>1054.96</v>
      </c>
      <c r="AB493">
        <v>0</v>
      </c>
      <c r="AC493">
        <v>1054.96</v>
      </c>
      <c r="AD493">
        <v>747.76</v>
      </c>
      <c r="AE493">
        <v>307.20000000000005</v>
      </c>
      <c r="AF493">
        <v>0.29119587472510811</v>
      </c>
      <c r="AG493">
        <v>2025</v>
      </c>
      <c r="AH493">
        <v>1</v>
      </c>
      <c r="AI493" t="s">
        <v>1425</v>
      </c>
      <c r="AJ493" t="s">
        <v>1424</v>
      </c>
      <c r="AK493" t="s">
        <v>1258</v>
      </c>
      <c r="AL493">
        <v>1</v>
      </c>
    </row>
    <row r="494" spans="1:38">
      <c r="A494" t="s">
        <v>609</v>
      </c>
      <c r="B494" s="13">
        <v>45923</v>
      </c>
      <c r="C494" t="s">
        <v>610</v>
      </c>
      <c r="D494" t="s">
        <v>221</v>
      </c>
      <c r="E494" t="s">
        <v>611</v>
      </c>
      <c r="F494" t="s">
        <v>111</v>
      </c>
      <c r="G494" t="s">
        <v>117</v>
      </c>
      <c r="H494" t="s">
        <v>89</v>
      </c>
      <c r="I494">
        <v>1</v>
      </c>
      <c r="J494">
        <v>30.43</v>
      </c>
      <c r="K494">
        <v>0.25</v>
      </c>
      <c r="L494" t="s">
        <v>98</v>
      </c>
      <c r="M494">
        <v>9</v>
      </c>
      <c r="N494" t="s">
        <v>147</v>
      </c>
      <c r="O494" t="s">
        <v>89</v>
      </c>
      <c r="P494" t="s">
        <v>221</v>
      </c>
      <c r="Q494" t="s">
        <v>610</v>
      </c>
      <c r="R494" t="s">
        <v>111</v>
      </c>
      <c r="S494" t="s">
        <v>98</v>
      </c>
      <c r="T494">
        <v>1</v>
      </c>
      <c r="U494" t="s">
        <v>1304</v>
      </c>
      <c r="V494" t="s">
        <v>1297</v>
      </c>
      <c r="W494" t="s">
        <v>1241</v>
      </c>
      <c r="X494" t="s">
        <v>1204</v>
      </c>
      <c r="Y494" t="s">
        <v>1203</v>
      </c>
      <c r="Z494">
        <v>14.58</v>
      </c>
      <c r="AA494">
        <v>30.43</v>
      </c>
      <c r="AB494">
        <v>7.6074999999999999</v>
      </c>
      <c r="AC494">
        <v>22.822499999999998</v>
      </c>
      <c r="AD494">
        <v>14.58</v>
      </c>
      <c r="AE494">
        <v>8.2424999999999979</v>
      </c>
      <c r="AF494">
        <v>0.36115675320407487</v>
      </c>
      <c r="AG494">
        <v>2025</v>
      </c>
      <c r="AH494">
        <v>9</v>
      </c>
      <c r="AI494" t="s">
        <v>1432</v>
      </c>
      <c r="AJ494" t="s">
        <v>1418</v>
      </c>
      <c r="AK494" t="s">
        <v>1258</v>
      </c>
      <c r="AL494">
        <v>1</v>
      </c>
    </row>
    <row r="495" spans="1:38">
      <c r="A495" t="s">
        <v>615</v>
      </c>
      <c r="B495" s="13">
        <v>45712</v>
      </c>
      <c r="C495" t="s">
        <v>225</v>
      </c>
      <c r="D495" t="s">
        <v>323</v>
      </c>
      <c r="E495" t="s">
        <v>616</v>
      </c>
      <c r="F495" t="s">
        <v>145</v>
      </c>
      <c r="G495" t="s">
        <v>96</v>
      </c>
      <c r="H495" t="s">
        <v>89</v>
      </c>
      <c r="I495">
        <v>5</v>
      </c>
      <c r="J495">
        <v>340.28</v>
      </c>
      <c r="K495">
        <v>0</v>
      </c>
      <c r="L495" t="s">
        <v>98</v>
      </c>
      <c r="M495">
        <v>4</v>
      </c>
      <c r="N495" t="s">
        <v>91</v>
      </c>
      <c r="O495" t="s">
        <v>89</v>
      </c>
      <c r="P495" t="s">
        <v>323</v>
      </c>
      <c r="Q495" t="s">
        <v>225</v>
      </c>
      <c r="R495" t="s">
        <v>145</v>
      </c>
      <c r="S495" t="s">
        <v>98</v>
      </c>
      <c r="T495">
        <v>1</v>
      </c>
      <c r="U495" t="s">
        <v>1328</v>
      </c>
      <c r="V495" t="s">
        <v>1247</v>
      </c>
      <c r="W495" t="s">
        <v>1237</v>
      </c>
      <c r="X495" t="s">
        <v>1209</v>
      </c>
      <c r="Y495" t="s">
        <v>1203</v>
      </c>
      <c r="Z495">
        <v>152.88</v>
      </c>
      <c r="AA495">
        <v>1701.3999999999999</v>
      </c>
      <c r="AB495">
        <v>0</v>
      </c>
      <c r="AC495">
        <v>1701.3999999999999</v>
      </c>
      <c r="AD495">
        <v>764.4</v>
      </c>
      <c r="AE495">
        <v>936.99999999999989</v>
      </c>
      <c r="AF495">
        <v>0.55072293405430817</v>
      </c>
      <c r="AG495">
        <v>2025</v>
      </c>
      <c r="AH495">
        <v>2</v>
      </c>
      <c r="AI495" t="s">
        <v>1430</v>
      </c>
      <c r="AJ495" t="s">
        <v>1424</v>
      </c>
      <c r="AK495" t="s">
        <v>1240</v>
      </c>
      <c r="AL495">
        <v>0</v>
      </c>
    </row>
    <row r="496" spans="1:38">
      <c r="A496" t="s">
        <v>620</v>
      </c>
      <c r="B496" s="13">
        <v>45834</v>
      </c>
      <c r="C496" t="s">
        <v>399</v>
      </c>
      <c r="D496" t="s">
        <v>323</v>
      </c>
      <c r="E496" t="s">
        <v>400</v>
      </c>
      <c r="F496" t="s">
        <v>116</v>
      </c>
      <c r="G496" t="s">
        <v>171</v>
      </c>
      <c r="H496" t="s">
        <v>97</v>
      </c>
      <c r="I496">
        <v>1</v>
      </c>
      <c r="J496">
        <v>338.18</v>
      </c>
      <c r="K496">
        <v>0.15</v>
      </c>
      <c r="L496" t="s">
        <v>98</v>
      </c>
      <c r="M496">
        <v>1</v>
      </c>
      <c r="N496" t="s">
        <v>91</v>
      </c>
      <c r="O496" t="s">
        <v>97</v>
      </c>
      <c r="P496" t="s">
        <v>323</v>
      </c>
      <c r="Q496" t="s">
        <v>399</v>
      </c>
      <c r="R496" t="s">
        <v>116</v>
      </c>
      <c r="S496" t="s">
        <v>98</v>
      </c>
      <c r="T496">
        <v>1</v>
      </c>
      <c r="U496" t="s">
        <v>1296</v>
      </c>
      <c r="V496" t="s">
        <v>1239</v>
      </c>
      <c r="W496" t="s">
        <v>1241</v>
      </c>
      <c r="X496" t="s">
        <v>1209</v>
      </c>
      <c r="Y496" t="s">
        <v>1203</v>
      </c>
      <c r="Z496">
        <v>152.88</v>
      </c>
      <c r="AA496">
        <v>338.18</v>
      </c>
      <c r="AB496">
        <v>50.726999999999997</v>
      </c>
      <c r="AC496">
        <v>287.45300000000003</v>
      </c>
      <c r="AD496">
        <v>152.88</v>
      </c>
      <c r="AE496">
        <v>134.57300000000004</v>
      </c>
      <c r="AF496">
        <v>0.46815653341589764</v>
      </c>
      <c r="AG496">
        <v>2025</v>
      </c>
      <c r="AH496">
        <v>6</v>
      </c>
      <c r="AI496" t="s">
        <v>1429</v>
      </c>
      <c r="AJ496" t="s">
        <v>1420</v>
      </c>
      <c r="AK496" t="s">
        <v>1240</v>
      </c>
      <c r="AL496">
        <v>0</v>
      </c>
    </row>
    <row r="497" spans="1:38">
      <c r="A497" t="s">
        <v>621</v>
      </c>
      <c r="B497" s="13">
        <v>45719</v>
      </c>
      <c r="C497" t="s">
        <v>396</v>
      </c>
      <c r="D497" t="s">
        <v>221</v>
      </c>
      <c r="E497" t="s">
        <v>397</v>
      </c>
      <c r="F497" t="s">
        <v>145</v>
      </c>
      <c r="G497" t="s">
        <v>104</v>
      </c>
      <c r="H497" t="s">
        <v>89</v>
      </c>
      <c r="I497">
        <v>1</v>
      </c>
      <c r="J497">
        <v>29.8</v>
      </c>
      <c r="K497">
        <v>0.2</v>
      </c>
      <c r="L497" t="s">
        <v>106</v>
      </c>
      <c r="M497">
        <v>7</v>
      </c>
      <c r="N497" t="s">
        <v>91</v>
      </c>
      <c r="O497" t="s">
        <v>89</v>
      </c>
      <c r="P497" t="s">
        <v>221</v>
      </c>
      <c r="Q497" t="s">
        <v>396</v>
      </c>
      <c r="R497" t="s">
        <v>145</v>
      </c>
      <c r="S497" t="s">
        <v>106</v>
      </c>
      <c r="T497">
        <v>1</v>
      </c>
      <c r="U497" t="s">
        <v>1309</v>
      </c>
      <c r="V497" t="s">
        <v>1247</v>
      </c>
      <c r="W497" t="s">
        <v>1237</v>
      </c>
      <c r="X497" t="s">
        <v>1204</v>
      </c>
      <c r="Y497" t="s">
        <v>1203</v>
      </c>
      <c r="Z497">
        <v>14.58</v>
      </c>
      <c r="AA497">
        <v>29.8</v>
      </c>
      <c r="AB497">
        <v>5.9600000000000009</v>
      </c>
      <c r="AC497">
        <v>23.84</v>
      </c>
      <c r="AD497">
        <v>14.58</v>
      </c>
      <c r="AE497">
        <v>9.26</v>
      </c>
      <c r="AF497">
        <v>0.38842281879194629</v>
      </c>
      <c r="AG497">
        <v>2025</v>
      </c>
      <c r="AH497">
        <v>3</v>
      </c>
      <c r="AI497" t="s">
        <v>1423</v>
      </c>
      <c r="AJ497" t="s">
        <v>1424</v>
      </c>
      <c r="AK497" t="s">
        <v>1240</v>
      </c>
      <c r="AL497">
        <v>0</v>
      </c>
    </row>
    <row r="498" spans="1:38">
      <c r="A498" t="s">
        <v>624</v>
      </c>
      <c r="B498" s="13">
        <v>45927</v>
      </c>
      <c r="C498" t="s">
        <v>543</v>
      </c>
      <c r="D498" t="s">
        <v>165</v>
      </c>
      <c r="E498" t="s">
        <v>544</v>
      </c>
      <c r="F498" t="s">
        <v>103</v>
      </c>
      <c r="G498" t="s">
        <v>183</v>
      </c>
      <c r="H498" t="s">
        <v>97</v>
      </c>
      <c r="I498">
        <v>1</v>
      </c>
      <c r="J498">
        <v>97.2</v>
      </c>
      <c r="K498">
        <v>0.15</v>
      </c>
      <c r="L498" t="s">
        <v>98</v>
      </c>
      <c r="M498">
        <v>3</v>
      </c>
      <c r="N498" t="s">
        <v>91</v>
      </c>
      <c r="O498" t="s">
        <v>97</v>
      </c>
      <c r="P498" t="s">
        <v>165</v>
      </c>
      <c r="Q498" t="s">
        <v>543</v>
      </c>
      <c r="R498" t="s">
        <v>103</v>
      </c>
      <c r="S498" t="s">
        <v>98</v>
      </c>
      <c r="T498">
        <v>1</v>
      </c>
      <c r="U498" t="s">
        <v>1281</v>
      </c>
      <c r="V498" t="s">
        <v>1275</v>
      </c>
      <c r="W498" t="s">
        <v>1241</v>
      </c>
      <c r="X498" t="s">
        <v>1210</v>
      </c>
      <c r="Y498" t="s">
        <v>1203</v>
      </c>
      <c r="Z498">
        <v>46.07</v>
      </c>
      <c r="AA498">
        <v>97.2</v>
      </c>
      <c r="AB498">
        <v>14.58</v>
      </c>
      <c r="AC498">
        <v>82.62</v>
      </c>
      <c r="AD498">
        <v>46.07</v>
      </c>
      <c r="AE498">
        <v>36.550000000000004</v>
      </c>
      <c r="AF498">
        <v>0.4423868312757202</v>
      </c>
      <c r="AG498">
        <v>2025</v>
      </c>
      <c r="AH498">
        <v>9</v>
      </c>
      <c r="AI498" t="s">
        <v>1432</v>
      </c>
      <c r="AJ498" t="s">
        <v>1418</v>
      </c>
      <c r="AK498" t="s">
        <v>1258</v>
      </c>
      <c r="AL498">
        <v>0</v>
      </c>
    </row>
    <row r="499" spans="1:38">
      <c r="A499" t="s">
        <v>631</v>
      </c>
      <c r="B499" s="13">
        <v>45850</v>
      </c>
      <c r="C499" t="s">
        <v>600</v>
      </c>
      <c r="D499" t="s">
        <v>520</v>
      </c>
      <c r="E499" t="s">
        <v>601</v>
      </c>
      <c r="F499" t="s">
        <v>103</v>
      </c>
      <c r="G499" t="s">
        <v>183</v>
      </c>
      <c r="H499" t="s">
        <v>97</v>
      </c>
      <c r="I499">
        <v>2</v>
      </c>
      <c r="J499">
        <v>373.3</v>
      </c>
      <c r="K499">
        <v>0</v>
      </c>
      <c r="L499" t="s">
        <v>106</v>
      </c>
      <c r="M499">
        <v>4</v>
      </c>
      <c r="N499" t="s">
        <v>147</v>
      </c>
      <c r="O499" t="s">
        <v>97</v>
      </c>
      <c r="P499" t="s">
        <v>520</v>
      </c>
      <c r="Q499" t="s">
        <v>600</v>
      </c>
      <c r="R499" t="s">
        <v>103</v>
      </c>
      <c r="S499" t="s">
        <v>106</v>
      </c>
      <c r="T499">
        <v>1</v>
      </c>
      <c r="U499" t="s">
        <v>1351</v>
      </c>
      <c r="V499" t="s">
        <v>1257</v>
      </c>
      <c r="W499" t="s">
        <v>1237</v>
      </c>
      <c r="X499" t="s">
        <v>1202</v>
      </c>
      <c r="Y499" t="s">
        <v>1203</v>
      </c>
      <c r="Z499">
        <v>241.16</v>
      </c>
      <c r="AA499">
        <v>746.6</v>
      </c>
      <c r="AB499">
        <v>0</v>
      </c>
      <c r="AC499">
        <v>746.6</v>
      </c>
      <c r="AD499">
        <v>482.32</v>
      </c>
      <c r="AE499">
        <v>264.28000000000003</v>
      </c>
      <c r="AF499">
        <v>0.35397803375301368</v>
      </c>
      <c r="AG499">
        <v>2025</v>
      </c>
      <c r="AH499">
        <v>7</v>
      </c>
      <c r="AI499" t="s">
        <v>1422</v>
      </c>
      <c r="AJ499" t="s">
        <v>1418</v>
      </c>
      <c r="AK499" t="s">
        <v>1258</v>
      </c>
      <c r="AL499">
        <v>1</v>
      </c>
    </row>
    <row r="500" spans="1:38">
      <c r="A500" t="s">
        <v>633</v>
      </c>
      <c r="B500" s="13">
        <v>45743</v>
      </c>
      <c r="C500" t="s">
        <v>113</v>
      </c>
      <c r="D500" t="s">
        <v>249</v>
      </c>
      <c r="E500" t="s">
        <v>115</v>
      </c>
      <c r="F500" t="s">
        <v>111</v>
      </c>
      <c r="G500" t="s">
        <v>104</v>
      </c>
      <c r="H500" t="s">
        <v>97</v>
      </c>
      <c r="I500">
        <v>2</v>
      </c>
      <c r="J500">
        <v>416.38</v>
      </c>
      <c r="K500">
        <v>0.1</v>
      </c>
      <c r="L500" t="s">
        <v>106</v>
      </c>
      <c r="M500">
        <v>4</v>
      </c>
      <c r="N500" t="s">
        <v>91</v>
      </c>
      <c r="O500" t="s">
        <v>97</v>
      </c>
      <c r="P500" t="s">
        <v>249</v>
      </c>
      <c r="Q500" t="s">
        <v>113</v>
      </c>
      <c r="R500" t="s">
        <v>111</v>
      </c>
      <c r="S500" t="s">
        <v>106</v>
      </c>
      <c r="T500">
        <v>1</v>
      </c>
      <c r="U500" t="s">
        <v>1300</v>
      </c>
      <c r="V500" t="s">
        <v>1288</v>
      </c>
      <c r="W500" t="s">
        <v>1237</v>
      </c>
      <c r="X500" t="s">
        <v>1208</v>
      </c>
      <c r="Y500" t="s">
        <v>1203</v>
      </c>
      <c r="Z500">
        <v>239.67</v>
      </c>
      <c r="AA500">
        <v>832.76</v>
      </c>
      <c r="AB500">
        <v>83.27600000000001</v>
      </c>
      <c r="AC500">
        <v>749.48399999999992</v>
      </c>
      <c r="AD500">
        <v>479.34</v>
      </c>
      <c r="AE500">
        <v>270.14399999999995</v>
      </c>
      <c r="AF500">
        <v>0.36043998270810312</v>
      </c>
      <c r="AG500">
        <v>2025</v>
      </c>
      <c r="AH500">
        <v>3</v>
      </c>
      <c r="AI500" t="s">
        <v>1423</v>
      </c>
      <c r="AJ500" t="s">
        <v>1424</v>
      </c>
      <c r="AK500" t="s">
        <v>1250</v>
      </c>
      <c r="AL500">
        <v>0</v>
      </c>
    </row>
    <row r="501" spans="1:38">
      <c r="A501" t="s">
        <v>640</v>
      </c>
      <c r="B501" s="13">
        <v>45884</v>
      </c>
      <c r="C501" t="s">
        <v>113</v>
      </c>
      <c r="D501" t="s">
        <v>101</v>
      </c>
      <c r="E501" t="s">
        <v>115</v>
      </c>
      <c r="F501" t="s">
        <v>87</v>
      </c>
      <c r="G501" t="s">
        <v>183</v>
      </c>
      <c r="H501" t="s">
        <v>89</v>
      </c>
      <c r="I501">
        <v>1</v>
      </c>
      <c r="J501">
        <v>296.18</v>
      </c>
      <c r="K501">
        <v>0</v>
      </c>
      <c r="L501" t="s">
        <v>106</v>
      </c>
      <c r="M501">
        <v>4</v>
      </c>
      <c r="N501" t="s">
        <v>91</v>
      </c>
      <c r="O501" t="s">
        <v>89</v>
      </c>
      <c r="P501" t="s">
        <v>101</v>
      </c>
      <c r="Q501" t="s">
        <v>113</v>
      </c>
      <c r="R501" t="s">
        <v>87</v>
      </c>
      <c r="S501" t="s">
        <v>106</v>
      </c>
      <c r="T501">
        <v>1</v>
      </c>
      <c r="U501" t="s">
        <v>1300</v>
      </c>
      <c r="V501" t="s">
        <v>1288</v>
      </c>
      <c r="W501" t="s">
        <v>1237</v>
      </c>
      <c r="X501" t="s">
        <v>1207</v>
      </c>
      <c r="Y501" t="s">
        <v>1203</v>
      </c>
      <c r="Z501">
        <v>139.86000000000001</v>
      </c>
      <c r="AA501">
        <v>296.18</v>
      </c>
      <c r="AB501">
        <v>0</v>
      </c>
      <c r="AC501">
        <v>296.18</v>
      </c>
      <c r="AD501">
        <v>139.86000000000001</v>
      </c>
      <c r="AE501">
        <v>156.32</v>
      </c>
      <c r="AF501">
        <v>0.52778715645891006</v>
      </c>
      <c r="AG501">
        <v>2025</v>
      </c>
      <c r="AH501">
        <v>8</v>
      </c>
      <c r="AI501" t="s">
        <v>1417</v>
      </c>
      <c r="AJ501" t="s">
        <v>1418</v>
      </c>
      <c r="AK501" t="s">
        <v>1250</v>
      </c>
      <c r="AL501">
        <v>0</v>
      </c>
    </row>
    <row r="502" spans="1:38">
      <c r="A502" t="s">
        <v>652</v>
      </c>
      <c r="B502" s="13">
        <v>45847</v>
      </c>
      <c r="C502" t="s">
        <v>653</v>
      </c>
      <c r="D502" t="s">
        <v>249</v>
      </c>
      <c r="E502" t="s">
        <v>654</v>
      </c>
      <c r="F502" t="s">
        <v>655</v>
      </c>
      <c r="G502" t="s">
        <v>130</v>
      </c>
      <c r="H502" t="s">
        <v>105</v>
      </c>
      <c r="I502">
        <v>3</v>
      </c>
      <c r="J502">
        <v>404.74</v>
      </c>
      <c r="K502">
        <v>0.05</v>
      </c>
      <c r="L502" t="s">
        <v>98</v>
      </c>
      <c r="M502">
        <v>3</v>
      </c>
      <c r="N502" t="s">
        <v>147</v>
      </c>
      <c r="O502" t="s">
        <v>105</v>
      </c>
      <c r="P502" t="s">
        <v>249</v>
      </c>
      <c r="Q502" t="s">
        <v>653</v>
      </c>
      <c r="R502" t="s">
        <v>87</v>
      </c>
      <c r="S502" t="s">
        <v>98</v>
      </c>
      <c r="T502">
        <v>1</v>
      </c>
      <c r="U502" t="s">
        <v>1343</v>
      </c>
      <c r="V502" t="s">
        <v>1255</v>
      </c>
      <c r="W502" t="s">
        <v>1237</v>
      </c>
      <c r="X502" t="s">
        <v>1208</v>
      </c>
      <c r="Y502" t="s">
        <v>1203</v>
      </c>
      <c r="Z502">
        <v>239.67</v>
      </c>
      <c r="AA502">
        <v>1214.22</v>
      </c>
      <c r="AB502">
        <v>60.711000000000006</v>
      </c>
      <c r="AC502">
        <v>1153.509</v>
      </c>
      <c r="AD502">
        <v>719.01</v>
      </c>
      <c r="AE502">
        <v>434.49900000000002</v>
      </c>
      <c r="AF502">
        <v>0.37667586468766173</v>
      </c>
      <c r="AG502">
        <v>2025</v>
      </c>
      <c r="AH502">
        <v>7</v>
      </c>
      <c r="AI502" t="s">
        <v>1422</v>
      </c>
      <c r="AJ502" t="s">
        <v>1418</v>
      </c>
      <c r="AK502" t="s">
        <v>1244</v>
      </c>
      <c r="AL502">
        <v>1</v>
      </c>
    </row>
    <row r="503" spans="1:38">
      <c r="A503" t="s">
        <v>659</v>
      </c>
      <c r="B503" s="13">
        <v>45700</v>
      </c>
      <c r="C503" t="s">
        <v>203</v>
      </c>
      <c r="D503" t="s">
        <v>165</v>
      </c>
      <c r="E503" t="s">
        <v>573</v>
      </c>
      <c r="F503" t="s">
        <v>116</v>
      </c>
      <c r="G503" t="s">
        <v>171</v>
      </c>
      <c r="H503" t="s">
        <v>105</v>
      </c>
      <c r="I503">
        <v>1</v>
      </c>
      <c r="J503">
        <v>104.04</v>
      </c>
      <c r="K503">
        <v>0</v>
      </c>
      <c r="L503" t="s">
        <v>98</v>
      </c>
      <c r="M503">
        <v>6</v>
      </c>
      <c r="N503" t="s">
        <v>91</v>
      </c>
      <c r="O503" t="s">
        <v>105</v>
      </c>
      <c r="P503" t="s">
        <v>165</v>
      </c>
      <c r="Q503" t="s">
        <v>203</v>
      </c>
      <c r="R503" t="s">
        <v>116</v>
      </c>
      <c r="S503" t="s">
        <v>98</v>
      </c>
      <c r="T503">
        <v>1</v>
      </c>
      <c r="U503" t="s">
        <v>1279</v>
      </c>
      <c r="V503" t="s">
        <v>1257</v>
      </c>
      <c r="W503" t="s">
        <v>1237</v>
      </c>
      <c r="X503" t="s">
        <v>1210</v>
      </c>
      <c r="Y503" t="s">
        <v>1203</v>
      </c>
      <c r="Z503">
        <v>46.07</v>
      </c>
      <c r="AA503">
        <v>104.04</v>
      </c>
      <c r="AB503">
        <v>0</v>
      </c>
      <c r="AC503">
        <v>104.04</v>
      </c>
      <c r="AD503">
        <v>46.07</v>
      </c>
      <c r="AE503">
        <v>57.970000000000006</v>
      </c>
      <c r="AF503">
        <v>0.55718954248366015</v>
      </c>
      <c r="AG503">
        <v>2025</v>
      </c>
      <c r="AH503">
        <v>2</v>
      </c>
      <c r="AI503" t="s">
        <v>1430</v>
      </c>
      <c r="AJ503" t="s">
        <v>1424</v>
      </c>
      <c r="AK503" t="s">
        <v>1258</v>
      </c>
      <c r="AL503">
        <v>0</v>
      </c>
    </row>
    <row r="504" spans="1:38">
      <c r="A504" t="s">
        <v>665</v>
      </c>
      <c r="B504" s="13">
        <v>45854</v>
      </c>
      <c r="C504" t="s">
        <v>480</v>
      </c>
      <c r="D504" t="s">
        <v>165</v>
      </c>
      <c r="E504" t="s">
        <v>481</v>
      </c>
      <c r="F504" t="s">
        <v>103</v>
      </c>
      <c r="G504" t="s">
        <v>122</v>
      </c>
      <c r="H504" t="s">
        <v>97</v>
      </c>
      <c r="I504">
        <v>5</v>
      </c>
      <c r="J504">
        <v>102.86</v>
      </c>
      <c r="K504">
        <v>0.05</v>
      </c>
      <c r="L504" t="s">
        <v>106</v>
      </c>
      <c r="M504">
        <v>2</v>
      </c>
      <c r="N504" t="s">
        <v>91</v>
      </c>
      <c r="O504" t="s">
        <v>97</v>
      </c>
      <c r="P504" t="s">
        <v>165</v>
      </c>
      <c r="Q504" t="s">
        <v>480</v>
      </c>
      <c r="R504" t="s">
        <v>103</v>
      </c>
      <c r="S504" t="s">
        <v>106</v>
      </c>
      <c r="T504">
        <v>1</v>
      </c>
      <c r="U504" t="s">
        <v>1306</v>
      </c>
      <c r="V504" t="s">
        <v>1247</v>
      </c>
      <c r="W504" t="s">
        <v>1237</v>
      </c>
      <c r="X504" t="s">
        <v>1210</v>
      </c>
      <c r="Y504" t="s">
        <v>1203</v>
      </c>
      <c r="Z504">
        <v>46.07</v>
      </c>
      <c r="AA504">
        <v>514.29999999999995</v>
      </c>
      <c r="AB504">
        <v>25.715</v>
      </c>
      <c r="AC504">
        <v>488.58499999999998</v>
      </c>
      <c r="AD504">
        <v>230.35</v>
      </c>
      <c r="AE504">
        <v>258.23500000000001</v>
      </c>
      <c r="AF504">
        <v>0.52853648802153164</v>
      </c>
      <c r="AG504">
        <v>2025</v>
      </c>
      <c r="AH504">
        <v>7</v>
      </c>
      <c r="AI504" t="s">
        <v>1422</v>
      </c>
      <c r="AJ504" t="s">
        <v>1418</v>
      </c>
      <c r="AK504" t="s">
        <v>1240</v>
      </c>
      <c r="AL504">
        <v>0</v>
      </c>
    </row>
    <row r="505" spans="1:38">
      <c r="A505" t="s">
        <v>673</v>
      </c>
      <c r="B505" s="13">
        <v>46004</v>
      </c>
      <c r="C505" t="s">
        <v>594</v>
      </c>
      <c r="D505" t="s">
        <v>252</v>
      </c>
      <c r="E505" t="s">
        <v>595</v>
      </c>
      <c r="F505" t="s">
        <v>116</v>
      </c>
      <c r="G505" t="s">
        <v>117</v>
      </c>
      <c r="H505" t="s">
        <v>105</v>
      </c>
      <c r="I505">
        <v>3</v>
      </c>
      <c r="J505">
        <v>272.70999999999998</v>
      </c>
      <c r="K505">
        <v>0.25</v>
      </c>
      <c r="L505" t="s">
        <v>106</v>
      </c>
      <c r="M505">
        <v>3</v>
      </c>
      <c r="N505" t="s">
        <v>91</v>
      </c>
      <c r="O505" t="s">
        <v>105</v>
      </c>
      <c r="P505" t="s">
        <v>252</v>
      </c>
      <c r="Q505" t="s">
        <v>594</v>
      </c>
      <c r="R505" t="s">
        <v>116</v>
      </c>
      <c r="S505" t="s">
        <v>106</v>
      </c>
      <c r="T505">
        <v>1</v>
      </c>
      <c r="U505" t="s">
        <v>1251</v>
      </c>
      <c r="V505" t="s">
        <v>1277</v>
      </c>
      <c r="W505" t="s">
        <v>1241</v>
      </c>
      <c r="X505" t="s">
        <v>1205</v>
      </c>
      <c r="Y505" t="s">
        <v>1203</v>
      </c>
      <c r="Z505">
        <v>186.94</v>
      </c>
      <c r="AA505">
        <v>818.12999999999988</v>
      </c>
      <c r="AB505">
        <v>204.53249999999997</v>
      </c>
      <c r="AC505">
        <v>613.59749999999985</v>
      </c>
      <c r="AD505">
        <v>560.81999999999994</v>
      </c>
      <c r="AE505">
        <v>52.777499999999918</v>
      </c>
      <c r="AF505">
        <v>8.6013225282045525E-2</v>
      </c>
      <c r="AG505">
        <v>2025</v>
      </c>
      <c r="AH505">
        <v>12</v>
      </c>
      <c r="AI505" t="s">
        <v>1428</v>
      </c>
      <c r="AJ505" t="s">
        <v>1427</v>
      </c>
      <c r="AK505" t="s">
        <v>1244</v>
      </c>
      <c r="AL505">
        <v>0</v>
      </c>
    </row>
    <row r="506" spans="1:38">
      <c r="A506" t="s">
        <v>681</v>
      </c>
      <c r="B506" s="13">
        <v>45758</v>
      </c>
      <c r="C506" t="s">
        <v>177</v>
      </c>
      <c r="D506" t="s">
        <v>249</v>
      </c>
      <c r="E506" t="s">
        <v>682</v>
      </c>
      <c r="F506" t="s">
        <v>111</v>
      </c>
      <c r="G506" t="s">
        <v>88</v>
      </c>
      <c r="H506" t="s">
        <v>97</v>
      </c>
      <c r="I506">
        <v>2</v>
      </c>
      <c r="J506">
        <v>405.16</v>
      </c>
      <c r="K506">
        <v>0</v>
      </c>
      <c r="L506" t="s">
        <v>106</v>
      </c>
      <c r="M506">
        <v>1</v>
      </c>
      <c r="N506" t="s">
        <v>91</v>
      </c>
      <c r="O506" t="s">
        <v>97</v>
      </c>
      <c r="P506" t="s">
        <v>249</v>
      </c>
      <c r="Q506" t="s">
        <v>177</v>
      </c>
      <c r="R506" t="s">
        <v>111</v>
      </c>
      <c r="S506" t="s">
        <v>106</v>
      </c>
      <c r="T506">
        <v>1</v>
      </c>
      <c r="U506" t="s">
        <v>1293</v>
      </c>
      <c r="V506" t="s">
        <v>1235</v>
      </c>
      <c r="W506" t="s">
        <v>1241</v>
      </c>
      <c r="X506" t="s">
        <v>1208</v>
      </c>
      <c r="Y506" t="s">
        <v>1203</v>
      </c>
      <c r="Z506">
        <v>239.67</v>
      </c>
      <c r="AA506">
        <v>810.32</v>
      </c>
      <c r="AB506">
        <v>0</v>
      </c>
      <c r="AC506">
        <v>810.32</v>
      </c>
      <c r="AD506">
        <v>479.34</v>
      </c>
      <c r="AE506">
        <v>330.98000000000008</v>
      </c>
      <c r="AF506">
        <v>0.40845591864942254</v>
      </c>
      <c r="AG506">
        <v>2025</v>
      </c>
      <c r="AH506">
        <v>4</v>
      </c>
      <c r="AI506" t="s">
        <v>1421</v>
      </c>
      <c r="AJ506" t="s">
        <v>1420</v>
      </c>
      <c r="AK506" t="s">
        <v>1236</v>
      </c>
      <c r="AL506">
        <v>0</v>
      </c>
    </row>
    <row r="507" spans="1:38">
      <c r="A507" t="s">
        <v>686</v>
      </c>
      <c r="B507" s="13">
        <v>45682</v>
      </c>
      <c r="C507" t="s">
        <v>374</v>
      </c>
      <c r="D507" t="s">
        <v>323</v>
      </c>
      <c r="E507" t="s">
        <v>375</v>
      </c>
      <c r="F507" t="s">
        <v>145</v>
      </c>
      <c r="G507" t="s">
        <v>96</v>
      </c>
      <c r="H507" t="s">
        <v>89</v>
      </c>
      <c r="I507">
        <v>1</v>
      </c>
      <c r="J507">
        <v>337.81</v>
      </c>
      <c r="K507">
        <v>0.1</v>
      </c>
      <c r="L507" t="s">
        <v>98</v>
      </c>
      <c r="M507">
        <v>5</v>
      </c>
      <c r="N507" t="s">
        <v>147</v>
      </c>
      <c r="O507" t="s">
        <v>89</v>
      </c>
      <c r="P507" t="s">
        <v>323</v>
      </c>
      <c r="Q507" t="s">
        <v>374</v>
      </c>
      <c r="R507" t="s">
        <v>145</v>
      </c>
      <c r="S507" t="s">
        <v>98</v>
      </c>
      <c r="T507">
        <v>1</v>
      </c>
      <c r="U507" t="s">
        <v>1287</v>
      </c>
      <c r="V507" t="s">
        <v>1288</v>
      </c>
      <c r="W507" t="s">
        <v>1241</v>
      </c>
      <c r="X507" t="s">
        <v>1209</v>
      </c>
      <c r="Y507" t="s">
        <v>1203</v>
      </c>
      <c r="Z507">
        <v>152.88</v>
      </c>
      <c r="AA507">
        <v>337.81</v>
      </c>
      <c r="AB507">
        <v>33.780999999999999</v>
      </c>
      <c r="AC507">
        <v>304.029</v>
      </c>
      <c r="AD507">
        <v>152.88</v>
      </c>
      <c r="AE507">
        <v>151.149</v>
      </c>
      <c r="AF507">
        <v>0.49715323209299112</v>
      </c>
      <c r="AG507">
        <v>2025</v>
      </c>
      <c r="AH507">
        <v>1</v>
      </c>
      <c r="AI507" t="s">
        <v>1425</v>
      </c>
      <c r="AJ507" t="s">
        <v>1424</v>
      </c>
      <c r="AK507" t="s">
        <v>1250</v>
      </c>
      <c r="AL507">
        <v>1</v>
      </c>
    </row>
    <row r="508" spans="1:38">
      <c r="A508" t="s">
        <v>694</v>
      </c>
      <c r="B508" s="13">
        <v>45769</v>
      </c>
      <c r="C508" t="s">
        <v>695</v>
      </c>
      <c r="D508" t="s">
        <v>165</v>
      </c>
      <c r="E508" t="s">
        <v>696</v>
      </c>
      <c r="F508" t="s">
        <v>145</v>
      </c>
      <c r="G508" t="s">
        <v>88</v>
      </c>
      <c r="H508" t="s">
        <v>233</v>
      </c>
      <c r="I508">
        <v>2</v>
      </c>
      <c r="J508">
        <v>100.73</v>
      </c>
      <c r="K508">
        <v>0</v>
      </c>
      <c r="L508" t="s">
        <v>90</v>
      </c>
      <c r="M508">
        <v>3</v>
      </c>
      <c r="N508" t="s">
        <v>91</v>
      </c>
      <c r="O508" t="s">
        <v>97</v>
      </c>
      <c r="P508" t="s">
        <v>165</v>
      </c>
      <c r="Q508" t="s">
        <v>695</v>
      </c>
      <c r="R508" t="s">
        <v>145</v>
      </c>
      <c r="S508" t="s">
        <v>369</v>
      </c>
      <c r="T508">
        <v>1</v>
      </c>
      <c r="U508" t="s">
        <v>1268</v>
      </c>
      <c r="V508" t="s">
        <v>1239</v>
      </c>
      <c r="W508" t="s">
        <v>1241</v>
      </c>
      <c r="X508" t="s">
        <v>1210</v>
      </c>
      <c r="Y508" t="s">
        <v>1203</v>
      </c>
      <c r="Z508">
        <v>46.07</v>
      </c>
      <c r="AA508">
        <v>201.46</v>
      </c>
      <c r="AB508">
        <v>0</v>
      </c>
      <c r="AC508">
        <v>201.46</v>
      </c>
      <c r="AD508">
        <v>92.14</v>
      </c>
      <c r="AE508">
        <v>109.32000000000001</v>
      </c>
      <c r="AF508">
        <v>0.54263873721830636</v>
      </c>
      <c r="AG508">
        <v>2025</v>
      </c>
      <c r="AH508">
        <v>4</v>
      </c>
      <c r="AI508" t="s">
        <v>1421</v>
      </c>
      <c r="AJ508" t="s">
        <v>1420</v>
      </c>
      <c r="AK508" t="s">
        <v>1240</v>
      </c>
      <c r="AL508">
        <v>0</v>
      </c>
    </row>
    <row r="509" spans="1:38">
      <c r="A509" t="s">
        <v>701</v>
      </c>
      <c r="B509" s="13">
        <v>45828</v>
      </c>
      <c r="C509" t="s">
        <v>209</v>
      </c>
      <c r="D509" t="s">
        <v>360</v>
      </c>
      <c r="E509" t="s">
        <v>211</v>
      </c>
      <c r="F509" t="s">
        <v>103</v>
      </c>
      <c r="G509" t="s">
        <v>183</v>
      </c>
      <c r="H509" t="s">
        <v>89</v>
      </c>
      <c r="I509">
        <v>1</v>
      </c>
      <c r="J509">
        <v>64.86</v>
      </c>
      <c r="K509">
        <v>0.1</v>
      </c>
      <c r="L509" t="s">
        <v>106</v>
      </c>
      <c r="M509">
        <v>3</v>
      </c>
      <c r="N509" t="s">
        <v>91</v>
      </c>
      <c r="O509" t="s">
        <v>89</v>
      </c>
      <c r="P509" t="s">
        <v>360</v>
      </c>
      <c r="Q509" t="s">
        <v>209</v>
      </c>
      <c r="R509" t="s">
        <v>103</v>
      </c>
      <c r="S509" t="s">
        <v>106</v>
      </c>
      <c r="T509">
        <v>1</v>
      </c>
      <c r="U509" t="s">
        <v>1248</v>
      </c>
      <c r="V509" t="s">
        <v>1249</v>
      </c>
      <c r="W509" t="s">
        <v>1237</v>
      </c>
      <c r="X509" t="s">
        <v>1206</v>
      </c>
      <c r="Y509" t="s">
        <v>1203</v>
      </c>
      <c r="Z509">
        <v>37.46</v>
      </c>
      <c r="AA509">
        <v>64.86</v>
      </c>
      <c r="AB509">
        <v>6.4860000000000007</v>
      </c>
      <c r="AC509">
        <v>58.373999999999995</v>
      </c>
      <c r="AD509">
        <v>37.46</v>
      </c>
      <c r="AE509">
        <v>20.913999999999994</v>
      </c>
      <c r="AF509">
        <v>0.35827594476993174</v>
      </c>
      <c r="AG509">
        <v>2025</v>
      </c>
      <c r="AH509">
        <v>6</v>
      </c>
      <c r="AI509" t="s">
        <v>1429</v>
      </c>
      <c r="AJ509" t="s">
        <v>1420</v>
      </c>
      <c r="AK509" t="s">
        <v>1250</v>
      </c>
      <c r="AL509">
        <v>0</v>
      </c>
    </row>
    <row r="510" spans="1:38">
      <c r="A510" t="s">
        <v>704</v>
      </c>
      <c r="B510" s="13">
        <v>45798</v>
      </c>
      <c r="C510" t="s">
        <v>466</v>
      </c>
      <c r="D510" t="s">
        <v>323</v>
      </c>
      <c r="E510" t="s">
        <v>467</v>
      </c>
      <c r="F510" t="s">
        <v>145</v>
      </c>
      <c r="G510" t="s">
        <v>130</v>
      </c>
      <c r="H510" t="s">
        <v>97</v>
      </c>
      <c r="I510">
        <v>2</v>
      </c>
      <c r="J510">
        <v>324.64</v>
      </c>
      <c r="K510">
        <v>0.15</v>
      </c>
      <c r="L510" t="s">
        <v>154</v>
      </c>
      <c r="M510">
        <v>1</v>
      </c>
      <c r="N510" t="s">
        <v>91</v>
      </c>
      <c r="O510" t="s">
        <v>97</v>
      </c>
      <c r="P510" t="s">
        <v>323</v>
      </c>
      <c r="Q510" t="s">
        <v>466</v>
      </c>
      <c r="R510" t="s">
        <v>145</v>
      </c>
      <c r="S510" t="s">
        <v>154</v>
      </c>
      <c r="T510">
        <v>1</v>
      </c>
      <c r="U510" t="s">
        <v>1340</v>
      </c>
      <c r="V510" t="s">
        <v>1247</v>
      </c>
      <c r="W510" t="s">
        <v>1245</v>
      </c>
      <c r="X510" t="s">
        <v>1209</v>
      </c>
      <c r="Y510" t="s">
        <v>1203</v>
      </c>
      <c r="Z510">
        <v>152.88</v>
      </c>
      <c r="AA510">
        <v>649.28</v>
      </c>
      <c r="AB510">
        <v>97.391999999999996</v>
      </c>
      <c r="AC510">
        <v>551.88799999999992</v>
      </c>
      <c r="AD510">
        <v>305.76</v>
      </c>
      <c r="AE510">
        <v>246.12799999999993</v>
      </c>
      <c r="AF510">
        <v>0.44597454555996863</v>
      </c>
      <c r="AG510">
        <v>2025</v>
      </c>
      <c r="AH510">
        <v>5</v>
      </c>
      <c r="AI510" t="s">
        <v>1419</v>
      </c>
      <c r="AJ510" t="s">
        <v>1420</v>
      </c>
      <c r="AK510" t="s">
        <v>1240</v>
      </c>
      <c r="AL510">
        <v>0</v>
      </c>
    </row>
    <row r="511" spans="1:38">
      <c r="A511" t="s">
        <v>709</v>
      </c>
      <c r="B511" s="13">
        <v>45973</v>
      </c>
      <c r="C511" t="s">
        <v>613</v>
      </c>
      <c r="D511" t="s">
        <v>323</v>
      </c>
      <c r="E511" t="s">
        <v>710</v>
      </c>
      <c r="F511" t="s">
        <v>111</v>
      </c>
      <c r="G511" t="s">
        <v>122</v>
      </c>
      <c r="H511" t="s">
        <v>97</v>
      </c>
      <c r="I511">
        <v>1</v>
      </c>
      <c r="J511">
        <v>316.62</v>
      </c>
      <c r="K511">
        <v>0</v>
      </c>
      <c r="L511" t="s">
        <v>106</v>
      </c>
      <c r="M511">
        <v>1</v>
      </c>
      <c r="N511" t="s">
        <v>91</v>
      </c>
      <c r="O511" t="s">
        <v>97</v>
      </c>
      <c r="P511" t="s">
        <v>323</v>
      </c>
      <c r="Q511" t="s">
        <v>613</v>
      </c>
      <c r="R511" t="s">
        <v>111</v>
      </c>
      <c r="S511" t="s">
        <v>106</v>
      </c>
      <c r="T511">
        <v>1</v>
      </c>
      <c r="U511" t="s">
        <v>1289</v>
      </c>
      <c r="V511" t="s">
        <v>1260</v>
      </c>
      <c r="W511" t="s">
        <v>1245</v>
      </c>
      <c r="X511" t="s">
        <v>1209</v>
      </c>
      <c r="Y511" t="s">
        <v>1203</v>
      </c>
      <c r="Z511">
        <v>152.88</v>
      </c>
      <c r="AA511">
        <v>316.62</v>
      </c>
      <c r="AB511">
        <v>0</v>
      </c>
      <c r="AC511">
        <v>316.62</v>
      </c>
      <c r="AD511">
        <v>152.88</v>
      </c>
      <c r="AE511">
        <v>163.74</v>
      </c>
      <c r="AF511">
        <v>0.51714989577411408</v>
      </c>
      <c r="AG511">
        <v>2025</v>
      </c>
      <c r="AH511">
        <v>11</v>
      </c>
      <c r="AI511" t="s">
        <v>1426</v>
      </c>
      <c r="AJ511" t="s">
        <v>1427</v>
      </c>
      <c r="AK511" t="s">
        <v>1240</v>
      </c>
      <c r="AL511">
        <v>0</v>
      </c>
    </row>
    <row r="512" spans="1:38">
      <c r="A512" t="s">
        <v>714</v>
      </c>
      <c r="B512" s="13">
        <v>45682</v>
      </c>
      <c r="C512" t="s">
        <v>330</v>
      </c>
      <c r="D512" t="s">
        <v>165</v>
      </c>
      <c r="E512" t="s">
        <v>424</v>
      </c>
      <c r="F512" t="s">
        <v>87</v>
      </c>
      <c r="G512" t="s">
        <v>130</v>
      </c>
      <c r="H512" t="s">
        <v>89</v>
      </c>
      <c r="I512">
        <v>4</v>
      </c>
      <c r="J512">
        <v>106.03</v>
      </c>
      <c r="K512">
        <v>0.05</v>
      </c>
      <c r="L512" t="s">
        <v>106</v>
      </c>
      <c r="M512">
        <v>7</v>
      </c>
      <c r="N512" t="s">
        <v>91</v>
      </c>
      <c r="O512" t="s">
        <v>89</v>
      </c>
      <c r="P512" t="s">
        <v>165</v>
      </c>
      <c r="Q512" t="s">
        <v>330</v>
      </c>
      <c r="R512" t="s">
        <v>87</v>
      </c>
      <c r="S512" t="s">
        <v>106</v>
      </c>
      <c r="T512">
        <v>1</v>
      </c>
      <c r="U512" t="s">
        <v>1350</v>
      </c>
      <c r="V512" t="s">
        <v>1275</v>
      </c>
      <c r="W512" t="s">
        <v>1237</v>
      </c>
      <c r="X512" t="s">
        <v>1210</v>
      </c>
      <c r="Y512" t="s">
        <v>1203</v>
      </c>
      <c r="Z512">
        <v>46.07</v>
      </c>
      <c r="AA512">
        <v>424.12</v>
      </c>
      <c r="AB512">
        <v>21.206000000000003</v>
      </c>
      <c r="AC512">
        <v>402.91399999999999</v>
      </c>
      <c r="AD512">
        <v>184.28</v>
      </c>
      <c r="AE512">
        <v>218.63399999999999</v>
      </c>
      <c r="AF512">
        <v>0.54263192641605895</v>
      </c>
      <c r="AG512">
        <v>2025</v>
      </c>
      <c r="AH512">
        <v>1</v>
      </c>
      <c r="AI512" t="s">
        <v>1425</v>
      </c>
      <c r="AJ512" t="s">
        <v>1424</v>
      </c>
      <c r="AK512" t="s">
        <v>1258</v>
      </c>
      <c r="AL512">
        <v>0</v>
      </c>
    </row>
    <row r="513" spans="1:38">
      <c r="A513" t="s">
        <v>731</v>
      </c>
      <c r="B513" s="13">
        <v>45866</v>
      </c>
      <c r="C513" t="s">
        <v>290</v>
      </c>
      <c r="D513" t="s">
        <v>252</v>
      </c>
      <c r="E513" t="s">
        <v>732</v>
      </c>
      <c r="F513" t="s">
        <v>111</v>
      </c>
      <c r="G513" t="s">
        <v>183</v>
      </c>
      <c r="H513" t="s">
        <v>97</v>
      </c>
      <c r="I513">
        <v>2</v>
      </c>
      <c r="J513">
        <v>268.60000000000002</v>
      </c>
      <c r="K513">
        <v>0.15</v>
      </c>
      <c r="L513" t="s">
        <v>90</v>
      </c>
      <c r="M513">
        <v>1</v>
      </c>
      <c r="N513" t="s">
        <v>91</v>
      </c>
      <c r="O513" t="s">
        <v>97</v>
      </c>
      <c r="P513" t="s">
        <v>252</v>
      </c>
      <c r="Q513" t="s">
        <v>290</v>
      </c>
      <c r="R513" t="s">
        <v>111</v>
      </c>
      <c r="S513" t="s">
        <v>369</v>
      </c>
      <c r="T513">
        <v>1</v>
      </c>
      <c r="U513" t="s">
        <v>1356</v>
      </c>
      <c r="V513" t="s">
        <v>1255</v>
      </c>
      <c r="W513" t="s">
        <v>1245</v>
      </c>
      <c r="X513" t="s">
        <v>1205</v>
      </c>
      <c r="Y513" t="s">
        <v>1203</v>
      </c>
      <c r="Z513">
        <v>186.94</v>
      </c>
      <c r="AA513">
        <v>537.20000000000005</v>
      </c>
      <c r="AB513">
        <v>80.58</v>
      </c>
      <c r="AC513">
        <v>456.62000000000006</v>
      </c>
      <c r="AD513">
        <v>373.88</v>
      </c>
      <c r="AE513">
        <v>82.740000000000066</v>
      </c>
      <c r="AF513">
        <v>0.18120099864219713</v>
      </c>
      <c r="AG513">
        <v>2025</v>
      </c>
      <c r="AH513">
        <v>7</v>
      </c>
      <c r="AI513" t="s">
        <v>1422</v>
      </c>
      <c r="AJ513" t="s">
        <v>1418</v>
      </c>
      <c r="AK513" t="s">
        <v>1244</v>
      </c>
      <c r="AL513">
        <v>0</v>
      </c>
    </row>
    <row r="514" spans="1:38">
      <c r="A514" t="s">
        <v>733</v>
      </c>
      <c r="B514" s="13">
        <v>45727</v>
      </c>
      <c r="C514" t="s">
        <v>396</v>
      </c>
      <c r="D514" t="s">
        <v>323</v>
      </c>
      <c r="E514" t="s">
        <v>397</v>
      </c>
      <c r="F514" t="s">
        <v>116</v>
      </c>
      <c r="G514" t="s">
        <v>104</v>
      </c>
      <c r="H514" t="s">
        <v>97</v>
      </c>
      <c r="I514">
        <v>3</v>
      </c>
      <c r="J514">
        <v>325.47000000000003</v>
      </c>
      <c r="K514">
        <v>0.25</v>
      </c>
      <c r="L514" t="s">
        <v>90</v>
      </c>
      <c r="M514">
        <v>3</v>
      </c>
      <c r="N514" t="s">
        <v>91</v>
      </c>
      <c r="O514" t="s">
        <v>97</v>
      </c>
      <c r="P514" t="s">
        <v>323</v>
      </c>
      <c r="Q514" t="s">
        <v>396</v>
      </c>
      <c r="R514" t="s">
        <v>116</v>
      </c>
      <c r="S514" t="s">
        <v>369</v>
      </c>
      <c r="T514">
        <v>1</v>
      </c>
      <c r="U514" t="s">
        <v>1309</v>
      </c>
      <c r="V514" t="s">
        <v>1247</v>
      </c>
      <c r="W514" t="s">
        <v>1237</v>
      </c>
      <c r="X514" t="s">
        <v>1209</v>
      </c>
      <c r="Y514" t="s">
        <v>1203</v>
      </c>
      <c r="Z514">
        <v>152.88</v>
      </c>
      <c r="AA514">
        <v>976.41000000000008</v>
      </c>
      <c r="AB514">
        <v>244.10250000000002</v>
      </c>
      <c r="AC514">
        <v>732.30750000000012</v>
      </c>
      <c r="AD514">
        <v>458.64</v>
      </c>
      <c r="AE514">
        <v>273.66750000000013</v>
      </c>
      <c r="AF514">
        <v>0.37370571788490503</v>
      </c>
      <c r="AG514">
        <v>2025</v>
      </c>
      <c r="AH514">
        <v>3</v>
      </c>
      <c r="AI514" t="s">
        <v>1423</v>
      </c>
      <c r="AJ514" t="s">
        <v>1424</v>
      </c>
      <c r="AK514" t="s">
        <v>1240</v>
      </c>
      <c r="AL514">
        <v>0</v>
      </c>
    </row>
    <row r="515" spans="1:38">
      <c r="A515" t="s">
        <v>736</v>
      </c>
      <c r="B515" s="13">
        <v>45840</v>
      </c>
      <c r="C515" t="s">
        <v>647</v>
      </c>
      <c r="D515" t="s">
        <v>249</v>
      </c>
      <c r="E515" t="s">
        <v>648</v>
      </c>
      <c r="F515" t="s">
        <v>103</v>
      </c>
      <c r="G515" t="s">
        <v>183</v>
      </c>
      <c r="H515" t="s">
        <v>105</v>
      </c>
      <c r="I515">
        <v>2</v>
      </c>
      <c r="J515">
        <v>430.2</v>
      </c>
      <c r="K515">
        <v>0</v>
      </c>
      <c r="L515" t="s">
        <v>106</v>
      </c>
      <c r="M515">
        <v>6</v>
      </c>
      <c r="N515" t="s">
        <v>91</v>
      </c>
      <c r="O515" t="s">
        <v>105</v>
      </c>
      <c r="P515" t="s">
        <v>249</v>
      </c>
      <c r="Q515" t="s">
        <v>647</v>
      </c>
      <c r="R515" t="s">
        <v>103</v>
      </c>
      <c r="S515" t="s">
        <v>106</v>
      </c>
      <c r="T515">
        <v>1</v>
      </c>
      <c r="U515" t="s">
        <v>1303</v>
      </c>
      <c r="V515" t="s">
        <v>1255</v>
      </c>
      <c r="W515" t="s">
        <v>1237</v>
      </c>
      <c r="X515" t="s">
        <v>1208</v>
      </c>
      <c r="Y515" t="s">
        <v>1203</v>
      </c>
      <c r="Z515">
        <v>239.67</v>
      </c>
      <c r="AA515">
        <v>860.4</v>
      </c>
      <c r="AB515">
        <v>0</v>
      </c>
      <c r="AC515">
        <v>860.4</v>
      </c>
      <c r="AD515">
        <v>479.34</v>
      </c>
      <c r="AE515">
        <v>381.06</v>
      </c>
      <c r="AF515">
        <v>0.44288702928870294</v>
      </c>
      <c r="AG515">
        <v>2025</v>
      </c>
      <c r="AH515">
        <v>7</v>
      </c>
      <c r="AI515" t="s">
        <v>1422</v>
      </c>
      <c r="AJ515" t="s">
        <v>1418</v>
      </c>
      <c r="AK515" t="s">
        <v>1244</v>
      </c>
      <c r="AL515">
        <v>0</v>
      </c>
    </row>
    <row r="516" spans="1:38">
      <c r="A516" t="s">
        <v>740</v>
      </c>
      <c r="B516" s="13">
        <v>45864</v>
      </c>
      <c r="C516" t="s">
        <v>543</v>
      </c>
      <c r="D516" t="s">
        <v>101</v>
      </c>
      <c r="E516" t="s">
        <v>544</v>
      </c>
      <c r="F516" t="s">
        <v>111</v>
      </c>
      <c r="G516" t="s">
        <v>117</v>
      </c>
      <c r="H516" t="s">
        <v>233</v>
      </c>
      <c r="I516">
        <v>1</v>
      </c>
      <c r="J516">
        <v>289.89</v>
      </c>
      <c r="K516">
        <v>0.05</v>
      </c>
      <c r="L516" t="s">
        <v>98</v>
      </c>
      <c r="M516">
        <v>1</v>
      </c>
      <c r="N516" t="s">
        <v>91</v>
      </c>
      <c r="O516" t="s">
        <v>97</v>
      </c>
      <c r="P516" t="s">
        <v>101</v>
      </c>
      <c r="Q516" t="s">
        <v>543</v>
      </c>
      <c r="R516" t="s">
        <v>111</v>
      </c>
      <c r="S516" t="s">
        <v>98</v>
      </c>
      <c r="T516">
        <v>1</v>
      </c>
      <c r="U516" t="s">
        <v>1281</v>
      </c>
      <c r="V516" t="s">
        <v>1275</v>
      </c>
      <c r="W516" t="s">
        <v>1241</v>
      </c>
      <c r="X516" t="s">
        <v>1207</v>
      </c>
      <c r="Y516" t="s">
        <v>1203</v>
      </c>
      <c r="Z516">
        <v>139.86000000000001</v>
      </c>
      <c r="AA516">
        <v>289.89</v>
      </c>
      <c r="AB516">
        <v>14.4945</v>
      </c>
      <c r="AC516">
        <v>275.39549999999997</v>
      </c>
      <c r="AD516">
        <v>139.86000000000001</v>
      </c>
      <c r="AE516">
        <v>135.53549999999996</v>
      </c>
      <c r="AF516">
        <v>0.492148564519028</v>
      </c>
      <c r="AG516">
        <v>2025</v>
      </c>
      <c r="AH516">
        <v>7</v>
      </c>
      <c r="AI516" t="s">
        <v>1422</v>
      </c>
      <c r="AJ516" t="s">
        <v>1418</v>
      </c>
      <c r="AK516" t="s">
        <v>1258</v>
      </c>
      <c r="AL516">
        <v>0</v>
      </c>
    </row>
    <row r="517" spans="1:38">
      <c r="A517" t="s">
        <v>745</v>
      </c>
      <c r="B517" s="13">
        <v>45946</v>
      </c>
      <c r="C517" t="s">
        <v>661</v>
      </c>
      <c r="D517" t="s">
        <v>249</v>
      </c>
      <c r="E517" t="s">
        <v>662</v>
      </c>
      <c r="F517" t="s">
        <v>111</v>
      </c>
      <c r="G517" t="s">
        <v>171</v>
      </c>
      <c r="H517" t="s">
        <v>89</v>
      </c>
      <c r="I517">
        <v>2</v>
      </c>
      <c r="J517">
        <v>430.93</v>
      </c>
      <c r="K517">
        <v>0.15</v>
      </c>
      <c r="L517" t="s">
        <v>106</v>
      </c>
      <c r="M517">
        <v>4</v>
      </c>
      <c r="N517" t="s">
        <v>91</v>
      </c>
      <c r="O517" t="s">
        <v>89</v>
      </c>
      <c r="P517" t="s">
        <v>249</v>
      </c>
      <c r="Q517" t="s">
        <v>661</v>
      </c>
      <c r="R517" t="s">
        <v>111</v>
      </c>
      <c r="S517" t="s">
        <v>106</v>
      </c>
      <c r="T517">
        <v>1</v>
      </c>
      <c r="U517" t="s">
        <v>1352</v>
      </c>
      <c r="V517" t="s">
        <v>1235</v>
      </c>
      <c r="W517" t="s">
        <v>1237</v>
      </c>
      <c r="X517" t="s">
        <v>1208</v>
      </c>
      <c r="Y517" t="s">
        <v>1203</v>
      </c>
      <c r="Z517">
        <v>239.67</v>
      </c>
      <c r="AA517">
        <v>861.86</v>
      </c>
      <c r="AB517">
        <v>129.279</v>
      </c>
      <c r="AC517">
        <v>732.58100000000002</v>
      </c>
      <c r="AD517">
        <v>479.34</v>
      </c>
      <c r="AE517">
        <v>253.24100000000004</v>
      </c>
      <c r="AF517">
        <v>0.34568327597903853</v>
      </c>
      <c r="AG517">
        <v>2025</v>
      </c>
      <c r="AH517">
        <v>10</v>
      </c>
      <c r="AI517" t="s">
        <v>1431</v>
      </c>
      <c r="AJ517" t="s">
        <v>1427</v>
      </c>
      <c r="AK517" t="s">
        <v>1236</v>
      </c>
      <c r="AL517">
        <v>0</v>
      </c>
    </row>
    <row r="518" spans="1:38">
      <c r="A518" t="s">
        <v>748</v>
      </c>
      <c r="B518" s="13">
        <v>45937</v>
      </c>
      <c r="C518" t="s">
        <v>124</v>
      </c>
      <c r="D518" t="s">
        <v>323</v>
      </c>
      <c r="E518" t="s">
        <v>126</v>
      </c>
      <c r="F518" t="s">
        <v>116</v>
      </c>
      <c r="G518" t="s">
        <v>88</v>
      </c>
      <c r="H518" t="s">
        <v>89</v>
      </c>
      <c r="I518">
        <v>2</v>
      </c>
      <c r="J518">
        <v>330.56</v>
      </c>
      <c r="K518">
        <v>0.2</v>
      </c>
      <c r="L518" t="s">
        <v>106</v>
      </c>
      <c r="M518">
        <v>3</v>
      </c>
      <c r="N518" t="s">
        <v>91</v>
      </c>
      <c r="O518" t="s">
        <v>89</v>
      </c>
      <c r="P518" t="s">
        <v>323</v>
      </c>
      <c r="Q518" t="s">
        <v>124</v>
      </c>
      <c r="R518" t="s">
        <v>116</v>
      </c>
      <c r="S518" t="s">
        <v>106</v>
      </c>
      <c r="T518">
        <v>1</v>
      </c>
      <c r="U518" t="s">
        <v>1270</v>
      </c>
      <c r="V518" t="s">
        <v>1235</v>
      </c>
      <c r="W518" t="s">
        <v>1245</v>
      </c>
      <c r="X518" t="s">
        <v>1209</v>
      </c>
      <c r="Y518" t="s">
        <v>1203</v>
      </c>
      <c r="Z518">
        <v>152.88</v>
      </c>
      <c r="AA518">
        <v>661.12</v>
      </c>
      <c r="AB518">
        <v>132.22400000000002</v>
      </c>
      <c r="AC518">
        <v>528.89599999999996</v>
      </c>
      <c r="AD518">
        <v>305.76</v>
      </c>
      <c r="AE518">
        <v>223.13599999999997</v>
      </c>
      <c r="AF518">
        <v>0.42189012584704738</v>
      </c>
      <c r="AG518">
        <v>2025</v>
      </c>
      <c r="AH518">
        <v>10</v>
      </c>
      <c r="AI518" t="s">
        <v>1431</v>
      </c>
      <c r="AJ518" t="s">
        <v>1427</v>
      </c>
      <c r="AK518" t="s">
        <v>1236</v>
      </c>
      <c r="AL518">
        <v>0</v>
      </c>
    </row>
    <row r="519" spans="1:38">
      <c r="A519" t="s">
        <v>754</v>
      </c>
      <c r="B519" s="13">
        <v>45817</v>
      </c>
      <c r="C519" t="s">
        <v>173</v>
      </c>
      <c r="D519" t="s">
        <v>165</v>
      </c>
      <c r="E519" t="s">
        <v>175</v>
      </c>
      <c r="F519" t="s">
        <v>111</v>
      </c>
      <c r="G519" t="s">
        <v>183</v>
      </c>
      <c r="H519" t="s">
        <v>89</v>
      </c>
      <c r="I519">
        <v>2</v>
      </c>
      <c r="J519">
        <v>106.69</v>
      </c>
      <c r="K519">
        <v>0.1</v>
      </c>
      <c r="L519" t="s">
        <v>106</v>
      </c>
      <c r="M519">
        <v>1</v>
      </c>
      <c r="N519" t="s">
        <v>91</v>
      </c>
      <c r="O519" t="s">
        <v>89</v>
      </c>
      <c r="P519" t="s">
        <v>165</v>
      </c>
      <c r="Q519" t="s">
        <v>173</v>
      </c>
      <c r="R519" t="s">
        <v>111</v>
      </c>
      <c r="S519" t="s">
        <v>106</v>
      </c>
      <c r="T519">
        <v>1</v>
      </c>
      <c r="U519" t="s">
        <v>1327</v>
      </c>
      <c r="V519" t="s">
        <v>1275</v>
      </c>
      <c r="W519" t="s">
        <v>1241</v>
      </c>
      <c r="X519" t="s">
        <v>1210</v>
      </c>
      <c r="Y519" t="s">
        <v>1203</v>
      </c>
      <c r="Z519">
        <v>46.07</v>
      </c>
      <c r="AA519">
        <v>213.38</v>
      </c>
      <c r="AB519">
        <v>21.338000000000001</v>
      </c>
      <c r="AC519">
        <v>192.042</v>
      </c>
      <c r="AD519">
        <v>92.14</v>
      </c>
      <c r="AE519">
        <v>99.902000000000001</v>
      </c>
      <c r="AF519">
        <v>0.5202091209214651</v>
      </c>
      <c r="AG519">
        <v>2025</v>
      </c>
      <c r="AH519">
        <v>6</v>
      </c>
      <c r="AI519" t="s">
        <v>1429</v>
      </c>
      <c r="AJ519" t="s">
        <v>1420</v>
      </c>
      <c r="AK519" t="s">
        <v>1258</v>
      </c>
      <c r="AL519">
        <v>0</v>
      </c>
    </row>
    <row r="520" spans="1:38">
      <c r="A520" t="s">
        <v>763</v>
      </c>
      <c r="B520" s="13">
        <v>45782</v>
      </c>
      <c r="C520" t="s">
        <v>386</v>
      </c>
      <c r="D520" t="s">
        <v>252</v>
      </c>
      <c r="E520" t="s">
        <v>576</v>
      </c>
      <c r="F520" t="s">
        <v>145</v>
      </c>
      <c r="G520" t="s">
        <v>122</v>
      </c>
      <c r="H520" t="s">
        <v>97</v>
      </c>
      <c r="I520">
        <v>4</v>
      </c>
      <c r="J520">
        <v>253.99</v>
      </c>
      <c r="K520">
        <v>0</v>
      </c>
      <c r="L520" t="s">
        <v>253</v>
      </c>
      <c r="M520">
        <v>4</v>
      </c>
      <c r="N520" t="s">
        <v>91</v>
      </c>
      <c r="O520" t="s">
        <v>97</v>
      </c>
      <c r="P520" t="s">
        <v>252</v>
      </c>
      <c r="Q520" t="s">
        <v>386</v>
      </c>
      <c r="R520" t="s">
        <v>145</v>
      </c>
      <c r="S520" t="s">
        <v>106</v>
      </c>
      <c r="T520">
        <v>1</v>
      </c>
      <c r="U520" t="s">
        <v>1254</v>
      </c>
      <c r="V520" t="s">
        <v>1255</v>
      </c>
      <c r="W520" t="s">
        <v>1245</v>
      </c>
      <c r="X520" t="s">
        <v>1205</v>
      </c>
      <c r="Y520" t="s">
        <v>1203</v>
      </c>
      <c r="Z520">
        <v>186.94</v>
      </c>
      <c r="AA520">
        <v>1015.96</v>
      </c>
      <c r="AB520">
        <v>0</v>
      </c>
      <c r="AC520">
        <v>1015.96</v>
      </c>
      <c r="AD520">
        <v>747.76</v>
      </c>
      <c r="AE520">
        <v>268.20000000000005</v>
      </c>
      <c r="AF520">
        <v>0.26398677113272179</v>
      </c>
      <c r="AG520">
        <v>2025</v>
      </c>
      <c r="AH520">
        <v>5</v>
      </c>
      <c r="AI520" t="s">
        <v>1419</v>
      </c>
      <c r="AJ520" t="s">
        <v>1420</v>
      </c>
      <c r="AK520" t="s">
        <v>1244</v>
      </c>
      <c r="AL520">
        <v>0</v>
      </c>
    </row>
    <row r="521" spans="1:38">
      <c r="A521" t="s">
        <v>769</v>
      </c>
      <c r="B521" s="13">
        <v>45666</v>
      </c>
      <c r="C521" t="s">
        <v>100</v>
      </c>
      <c r="D521" t="s">
        <v>323</v>
      </c>
      <c r="E521" t="s">
        <v>102</v>
      </c>
      <c r="F521" t="s">
        <v>111</v>
      </c>
      <c r="G521" t="s">
        <v>117</v>
      </c>
      <c r="H521" t="s">
        <v>97</v>
      </c>
      <c r="I521">
        <v>1</v>
      </c>
      <c r="J521">
        <v>339.34</v>
      </c>
      <c r="K521">
        <v>0.05</v>
      </c>
      <c r="L521" t="s">
        <v>106</v>
      </c>
      <c r="M521">
        <v>0</v>
      </c>
      <c r="N521" t="s">
        <v>91</v>
      </c>
      <c r="O521" t="s">
        <v>97</v>
      </c>
      <c r="P521" t="s">
        <v>323</v>
      </c>
      <c r="Q521" t="s">
        <v>100</v>
      </c>
      <c r="R521" t="s">
        <v>111</v>
      </c>
      <c r="S521" t="s">
        <v>106</v>
      </c>
      <c r="T521">
        <v>1</v>
      </c>
      <c r="U521" t="s">
        <v>1242</v>
      </c>
      <c r="V521" t="s">
        <v>1243</v>
      </c>
      <c r="W521" t="s">
        <v>1245</v>
      </c>
      <c r="X521" t="s">
        <v>1209</v>
      </c>
      <c r="Y521" t="s">
        <v>1203</v>
      </c>
      <c r="Z521">
        <v>152.88</v>
      </c>
      <c r="AA521">
        <v>339.34</v>
      </c>
      <c r="AB521">
        <v>16.966999999999999</v>
      </c>
      <c r="AC521">
        <v>322.37299999999999</v>
      </c>
      <c r="AD521">
        <v>152.88</v>
      </c>
      <c r="AE521">
        <v>169.49299999999999</v>
      </c>
      <c r="AF521">
        <v>0.52576673604799407</v>
      </c>
      <c r="AG521">
        <v>2025</v>
      </c>
      <c r="AH521">
        <v>1</v>
      </c>
      <c r="AI521" t="s">
        <v>1425</v>
      </c>
      <c r="AJ521" t="s">
        <v>1424</v>
      </c>
      <c r="AK521" t="s">
        <v>1244</v>
      </c>
      <c r="AL521">
        <v>0</v>
      </c>
    </row>
    <row r="522" spans="1:38">
      <c r="A522" t="s">
        <v>771</v>
      </c>
      <c r="B522" s="13">
        <v>45771</v>
      </c>
      <c r="C522" t="s">
        <v>402</v>
      </c>
      <c r="D522" t="s">
        <v>252</v>
      </c>
      <c r="E522" t="s">
        <v>403</v>
      </c>
      <c r="F522" t="s">
        <v>116</v>
      </c>
      <c r="G522" t="s">
        <v>104</v>
      </c>
      <c r="H522" t="s">
        <v>89</v>
      </c>
      <c r="I522">
        <v>2</v>
      </c>
      <c r="J522">
        <v>283.27999999999997</v>
      </c>
      <c r="K522">
        <v>0.1</v>
      </c>
      <c r="L522" t="s">
        <v>253</v>
      </c>
      <c r="M522">
        <v>4</v>
      </c>
      <c r="N522" t="s">
        <v>147</v>
      </c>
      <c r="O522" t="s">
        <v>89</v>
      </c>
      <c r="P522" t="s">
        <v>252</v>
      </c>
      <c r="Q522" t="s">
        <v>402</v>
      </c>
      <c r="R522" t="s">
        <v>116</v>
      </c>
      <c r="S522" t="s">
        <v>106</v>
      </c>
      <c r="T522">
        <v>1</v>
      </c>
      <c r="U522" t="s">
        <v>1256</v>
      </c>
      <c r="V522" t="s">
        <v>1257</v>
      </c>
      <c r="W522" t="s">
        <v>1245</v>
      </c>
      <c r="X522" t="s">
        <v>1205</v>
      </c>
      <c r="Y522" t="s">
        <v>1203</v>
      </c>
      <c r="Z522">
        <v>186.94</v>
      </c>
      <c r="AA522">
        <v>566.55999999999995</v>
      </c>
      <c r="AB522">
        <v>56.655999999999999</v>
      </c>
      <c r="AC522">
        <v>509.90399999999994</v>
      </c>
      <c r="AD522">
        <v>373.88</v>
      </c>
      <c r="AE522">
        <v>136.02399999999994</v>
      </c>
      <c r="AF522">
        <v>0.26676393987887909</v>
      </c>
      <c r="AG522">
        <v>2025</v>
      </c>
      <c r="AH522">
        <v>4</v>
      </c>
      <c r="AI522" t="s">
        <v>1421</v>
      </c>
      <c r="AJ522" t="s">
        <v>1420</v>
      </c>
      <c r="AK522" t="s">
        <v>1258</v>
      </c>
      <c r="AL522">
        <v>1</v>
      </c>
    </row>
    <row r="523" spans="1:38">
      <c r="A523" t="s">
        <v>777</v>
      </c>
      <c r="B523" s="13">
        <v>45756</v>
      </c>
      <c r="C523" t="s">
        <v>197</v>
      </c>
      <c r="D523" t="s">
        <v>221</v>
      </c>
      <c r="E523" t="s">
        <v>198</v>
      </c>
      <c r="F523" t="s">
        <v>116</v>
      </c>
      <c r="G523" t="s">
        <v>104</v>
      </c>
      <c r="H523" t="s">
        <v>89</v>
      </c>
      <c r="I523">
        <v>1</v>
      </c>
      <c r="J523">
        <v>31.76</v>
      </c>
      <c r="K523">
        <v>0.05</v>
      </c>
      <c r="L523" t="s">
        <v>106</v>
      </c>
      <c r="M523">
        <v>7</v>
      </c>
      <c r="N523" t="s">
        <v>91</v>
      </c>
      <c r="O523" t="s">
        <v>89</v>
      </c>
      <c r="P523" t="s">
        <v>221</v>
      </c>
      <c r="Q523" t="s">
        <v>197</v>
      </c>
      <c r="R523" t="s">
        <v>116</v>
      </c>
      <c r="S523" t="s">
        <v>106</v>
      </c>
      <c r="T523">
        <v>1</v>
      </c>
      <c r="U523" t="s">
        <v>1337</v>
      </c>
      <c r="V523" t="s">
        <v>1257</v>
      </c>
      <c r="W523" t="s">
        <v>1241</v>
      </c>
      <c r="X523" t="s">
        <v>1204</v>
      </c>
      <c r="Y523" t="s">
        <v>1203</v>
      </c>
      <c r="Z523">
        <v>14.58</v>
      </c>
      <c r="AA523">
        <v>31.76</v>
      </c>
      <c r="AB523">
        <v>1.5880000000000001</v>
      </c>
      <c r="AC523">
        <v>30.172000000000001</v>
      </c>
      <c r="AD523">
        <v>14.58</v>
      </c>
      <c r="AE523">
        <v>15.592000000000001</v>
      </c>
      <c r="AF523">
        <v>0.51677051570992971</v>
      </c>
      <c r="AG523">
        <v>2025</v>
      </c>
      <c r="AH523">
        <v>4</v>
      </c>
      <c r="AI523" t="s">
        <v>1421</v>
      </c>
      <c r="AJ523" t="s">
        <v>1420</v>
      </c>
      <c r="AK523" t="s">
        <v>1258</v>
      </c>
      <c r="AL523">
        <v>0</v>
      </c>
    </row>
    <row r="524" spans="1:38">
      <c r="A524" t="s">
        <v>782</v>
      </c>
      <c r="B524" s="13">
        <v>45794</v>
      </c>
      <c r="C524" t="s">
        <v>286</v>
      </c>
      <c r="D524" t="s">
        <v>360</v>
      </c>
      <c r="E524" t="s">
        <v>287</v>
      </c>
      <c r="F524" t="s">
        <v>103</v>
      </c>
      <c r="G524" t="s">
        <v>183</v>
      </c>
      <c r="H524" t="s">
        <v>89</v>
      </c>
      <c r="I524">
        <v>4</v>
      </c>
      <c r="J524">
        <v>66.459999999999994</v>
      </c>
      <c r="K524">
        <v>0</v>
      </c>
      <c r="L524" t="s">
        <v>106</v>
      </c>
      <c r="M524">
        <v>3</v>
      </c>
      <c r="N524" t="s">
        <v>91</v>
      </c>
      <c r="O524" t="s">
        <v>89</v>
      </c>
      <c r="P524" t="s">
        <v>360</v>
      </c>
      <c r="Q524" t="s">
        <v>286</v>
      </c>
      <c r="R524" t="s">
        <v>103</v>
      </c>
      <c r="S524" t="s">
        <v>106</v>
      </c>
      <c r="T524">
        <v>1</v>
      </c>
      <c r="U524" t="s">
        <v>1296</v>
      </c>
      <c r="V524" t="s">
        <v>1284</v>
      </c>
      <c r="W524" t="s">
        <v>1237</v>
      </c>
      <c r="X524" t="s">
        <v>1206</v>
      </c>
      <c r="Y524" t="s">
        <v>1203</v>
      </c>
      <c r="Z524">
        <v>37.46</v>
      </c>
      <c r="AA524">
        <v>265.83999999999997</v>
      </c>
      <c r="AB524">
        <v>0</v>
      </c>
      <c r="AC524">
        <v>265.83999999999997</v>
      </c>
      <c r="AD524">
        <v>149.84</v>
      </c>
      <c r="AE524">
        <v>115.99999999999997</v>
      </c>
      <c r="AF524">
        <v>0.43635269334938304</v>
      </c>
      <c r="AG524">
        <v>2025</v>
      </c>
      <c r="AH524">
        <v>5</v>
      </c>
      <c r="AI524" t="s">
        <v>1419</v>
      </c>
      <c r="AJ524" t="s">
        <v>1420</v>
      </c>
      <c r="AK524" t="s">
        <v>1285</v>
      </c>
      <c r="AL524">
        <v>0</v>
      </c>
    </row>
    <row r="525" spans="1:38">
      <c r="A525" t="s">
        <v>789</v>
      </c>
      <c r="B525" s="13">
        <v>45663</v>
      </c>
      <c r="C525" t="s">
        <v>448</v>
      </c>
      <c r="D525" t="s">
        <v>165</v>
      </c>
      <c r="E525" t="s">
        <v>790</v>
      </c>
      <c r="F525" t="s">
        <v>116</v>
      </c>
      <c r="G525" t="s">
        <v>183</v>
      </c>
      <c r="H525" t="s">
        <v>89</v>
      </c>
      <c r="I525">
        <v>2</v>
      </c>
      <c r="J525">
        <v>102.81</v>
      </c>
      <c r="K525">
        <v>0</v>
      </c>
      <c r="L525" t="s">
        <v>90</v>
      </c>
      <c r="M525">
        <v>7</v>
      </c>
      <c r="N525" t="s">
        <v>91</v>
      </c>
      <c r="O525" t="s">
        <v>89</v>
      </c>
      <c r="P525" t="s">
        <v>165</v>
      </c>
      <c r="Q525" t="s">
        <v>448</v>
      </c>
      <c r="R525" t="s">
        <v>116</v>
      </c>
      <c r="S525" t="s">
        <v>369</v>
      </c>
      <c r="T525">
        <v>1</v>
      </c>
      <c r="U525" t="s">
        <v>1322</v>
      </c>
      <c r="V525" t="s">
        <v>1297</v>
      </c>
      <c r="W525" t="s">
        <v>1245</v>
      </c>
      <c r="X525" t="s">
        <v>1210</v>
      </c>
      <c r="Y525" t="s">
        <v>1203</v>
      </c>
      <c r="Z525">
        <v>46.07</v>
      </c>
      <c r="AA525">
        <v>205.62</v>
      </c>
      <c r="AB525">
        <v>0</v>
      </c>
      <c r="AC525">
        <v>205.62</v>
      </c>
      <c r="AD525">
        <v>92.14</v>
      </c>
      <c r="AE525">
        <v>113.48</v>
      </c>
      <c r="AF525">
        <v>0.55189183931524166</v>
      </c>
      <c r="AG525">
        <v>2025</v>
      </c>
      <c r="AH525">
        <v>1</v>
      </c>
      <c r="AI525" t="s">
        <v>1425</v>
      </c>
      <c r="AJ525" t="s">
        <v>1424</v>
      </c>
      <c r="AK525" t="s">
        <v>1258</v>
      </c>
      <c r="AL525">
        <v>0</v>
      </c>
    </row>
    <row r="526" spans="1:38">
      <c r="A526" t="s">
        <v>795</v>
      </c>
      <c r="B526" s="13">
        <v>45670</v>
      </c>
      <c r="C526" t="s">
        <v>313</v>
      </c>
      <c r="D526" t="s">
        <v>252</v>
      </c>
      <c r="E526" t="s">
        <v>314</v>
      </c>
      <c r="F526" t="s">
        <v>111</v>
      </c>
      <c r="G526" t="s">
        <v>104</v>
      </c>
      <c r="H526" t="s">
        <v>105</v>
      </c>
      <c r="I526">
        <v>2</v>
      </c>
      <c r="J526">
        <v>262.64999999999998</v>
      </c>
      <c r="K526">
        <v>0.05</v>
      </c>
      <c r="L526" t="s">
        <v>106</v>
      </c>
      <c r="M526">
        <v>8</v>
      </c>
      <c r="N526" t="s">
        <v>91</v>
      </c>
      <c r="O526" t="s">
        <v>105</v>
      </c>
      <c r="P526" t="s">
        <v>252</v>
      </c>
      <c r="Q526" t="s">
        <v>313</v>
      </c>
      <c r="R526" t="s">
        <v>111</v>
      </c>
      <c r="S526" t="s">
        <v>106</v>
      </c>
      <c r="T526">
        <v>1</v>
      </c>
      <c r="U526" t="s">
        <v>1328</v>
      </c>
      <c r="V526" t="s">
        <v>1255</v>
      </c>
      <c r="W526" t="s">
        <v>1245</v>
      </c>
      <c r="X526" t="s">
        <v>1205</v>
      </c>
      <c r="Y526" t="s">
        <v>1203</v>
      </c>
      <c r="Z526">
        <v>186.94</v>
      </c>
      <c r="AA526">
        <v>525.29999999999995</v>
      </c>
      <c r="AB526">
        <v>26.265000000000001</v>
      </c>
      <c r="AC526">
        <v>499.03499999999997</v>
      </c>
      <c r="AD526">
        <v>373.88</v>
      </c>
      <c r="AE526">
        <v>125.15499999999997</v>
      </c>
      <c r="AF526">
        <v>0.25079403248269155</v>
      </c>
      <c r="AG526">
        <v>2025</v>
      </c>
      <c r="AH526">
        <v>1</v>
      </c>
      <c r="AI526" t="s">
        <v>1425</v>
      </c>
      <c r="AJ526" t="s">
        <v>1424</v>
      </c>
      <c r="AK526" t="s">
        <v>1244</v>
      </c>
      <c r="AL526">
        <v>0</v>
      </c>
    </row>
    <row r="527" spans="1:38">
      <c r="A527" t="s">
        <v>797</v>
      </c>
      <c r="B527" s="13">
        <v>45793</v>
      </c>
      <c r="C527" t="s">
        <v>322</v>
      </c>
      <c r="D527" t="s">
        <v>221</v>
      </c>
      <c r="E527" t="s">
        <v>470</v>
      </c>
      <c r="F527" t="s">
        <v>87</v>
      </c>
      <c r="G527" t="s">
        <v>96</v>
      </c>
      <c r="H527" t="s">
        <v>89</v>
      </c>
      <c r="I527">
        <v>4</v>
      </c>
      <c r="J527">
        <v>29.49</v>
      </c>
      <c r="K527">
        <v>0</v>
      </c>
      <c r="L527" t="s">
        <v>90</v>
      </c>
      <c r="M527">
        <v>2</v>
      </c>
      <c r="N527" t="s">
        <v>91</v>
      </c>
      <c r="O527" t="s">
        <v>89</v>
      </c>
      <c r="P527" t="s">
        <v>221</v>
      </c>
      <c r="Q527" t="s">
        <v>322</v>
      </c>
      <c r="R527" t="s">
        <v>87</v>
      </c>
      <c r="S527" t="s">
        <v>369</v>
      </c>
      <c r="T527">
        <v>1</v>
      </c>
      <c r="U527" t="s">
        <v>1358</v>
      </c>
      <c r="V527" t="s">
        <v>1284</v>
      </c>
      <c r="W527" t="s">
        <v>1237</v>
      </c>
      <c r="X527" t="s">
        <v>1204</v>
      </c>
      <c r="Y527" t="s">
        <v>1203</v>
      </c>
      <c r="Z527">
        <v>14.58</v>
      </c>
      <c r="AA527">
        <v>117.96</v>
      </c>
      <c r="AB527">
        <v>0</v>
      </c>
      <c r="AC527">
        <v>117.96</v>
      </c>
      <c r="AD527">
        <v>58.32</v>
      </c>
      <c r="AE527">
        <v>59.639999999999993</v>
      </c>
      <c r="AF527">
        <v>0.50559511698880977</v>
      </c>
      <c r="AG527">
        <v>2025</v>
      </c>
      <c r="AH527">
        <v>5</v>
      </c>
      <c r="AI527" t="s">
        <v>1419</v>
      </c>
      <c r="AJ527" t="s">
        <v>1420</v>
      </c>
      <c r="AK527" t="s">
        <v>1285</v>
      </c>
      <c r="AL527">
        <v>0</v>
      </c>
    </row>
    <row r="528" spans="1:38">
      <c r="A528" t="s">
        <v>811</v>
      </c>
      <c r="B528" s="13">
        <v>45678</v>
      </c>
      <c r="C528" t="s">
        <v>243</v>
      </c>
      <c r="D528" t="s">
        <v>323</v>
      </c>
      <c r="E528" t="s">
        <v>245</v>
      </c>
      <c r="F528" t="s">
        <v>111</v>
      </c>
      <c r="G528" t="s">
        <v>122</v>
      </c>
      <c r="H528" t="s">
        <v>89</v>
      </c>
      <c r="I528">
        <v>3</v>
      </c>
      <c r="J528">
        <v>318.11</v>
      </c>
      <c r="K528">
        <v>0.05</v>
      </c>
      <c r="L528" t="s">
        <v>106</v>
      </c>
      <c r="M528">
        <v>5</v>
      </c>
      <c r="N528" t="s">
        <v>91</v>
      </c>
      <c r="O528" t="s">
        <v>89</v>
      </c>
      <c r="P528" t="s">
        <v>323</v>
      </c>
      <c r="Q528" t="s">
        <v>243</v>
      </c>
      <c r="R528" t="s">
        <v>111</v>
      </c>
      <c r="S528" t="s">
        <v>106</v>
      </c>
      <c r="T528">
        <v>1</v>
      </c>
      <c r="U528" t="s">
        <v>1301</v>
      </c>
      <c r="V528" t="s">
        <v>1260</v>
      </c>
      <c r="W528" t="s">
        <v>1245</v>
      </c>
      <c r="X528" t="s">
        <v>1209</v>
      </c>
      <c r="Y528" t="s">
        <v>1203</v>
      </c>
      <c r="Z528">
        <v>152.88</v>
      </c>
      <c r="AA528">
        <v>954.33</v>
      </c>
      <c r="AB528">
        <v>47.716500000000003</v>
      </c>
      <c r="AC528">
        <v>906.61350000000004</v>
      </c>
      <c r="AD528">
        <v>458.64</v>
      </c>
      <c r="AE528">
        <v>447.97350000000006</v>
      </c>
      <c r="AF528">
        <v>0.49411739401630356</v>
      </c>
      <c r="AG528">
        <v>2025</v>
      </c>
      <c r="AH528">
        <v>1</v>
      </c>
      <c r="AI528" t="s">
        <v>1425</v>
      </c>
      <c r="AJ528" t="s">
        <v>1424</v>
      </c>
      <c r="AK528" t="s">
        <v>1240</v>
      </c>
      <c r="AL528">
        <v>0</v>
      </c>
    </row>
    <row r="529" spans="1:38">
      <c r="A529" t="s">
        <v>813</v>
      </c>
      <c r="B529" s="13">
        <v>46018</v>
      </c>
      <c r="C529" t="s">
        <v>472</v>
      </c>
      <c r="D529" t="s">
        <v>252</v>
      </c>
      <c r="E529" t="s">
        <v>473</v>
      </c>
      <c r="F529" t="s">
        <v>87</v>
      </c>
      <c r="G529" t="s">
        <v>130</v>
      </c>
      <c r="H529" t="s">
        <v>89</v>
      </c>
      <c r="I529">
        <v>2</v>
      </c>
      <c r="J529">
        <v>266.48</v>
      </c>
      <c r="K529">
        <v>0.05</v>
      </c>
      <c r="L529" t="s">
        <v>98</v>
      </c>
      <c r="M529">
        <v>6</v>
      </c>
      <c r="N529" t="s">
        <v>91</v>
      </c>
      <c r="O529" t="s">
        <v>89</v>
      </c>
      <c r="P529" t="s">
        <v>252</v>
      </c>
      <c r="Q529" t="s">
        <v>472</v>
      </c>
      <c r="R529" t="s">
        <v>87</v>
      </c>
      <c r="S529" t="s">
        <v>98</v>
      </c>
      <c r="T529">
        <v>1</v>
      </c>
      <c r="U529" t="s">
        <v>1267</v>
      </c>
      <c r="V529" t="s">
        <v>1247</v>
      </c>
      <c r="W529" t="s">
        <v>1241</v>
      </c>
      <c r="X529" t="s">
        <v>1205</v>
      </c>
      <c r="Y529" t="s">
        <v>1203</v>
      </c>
      <c r="Z529">
        <v>186.94</v>
      </c>
      <c r="AA529">
        <v>532.96</v>
      </c>
      <c r="AB529">
        <v>26.648000000000003</v>
      </c>
      <c r="AC529">
        <v>506.31200000000001</v>
      </c>
      <c r="AD529">
        <v>373.88</v>
      </c>
      <c r="AE529">
        <v>132.43200000000002</v>
      </c>
      <c r="AF529">
        <v>0.26156204079697898</v>
      </c>
      <c r="AG529">
        <v>2025</v>
      </c>
      <c r="AH529">
        <v>12</v>
      </c>
      <c r="AI529" t="s">
        <v>1428</v>
      </c>
      <c r="AJ529" t="s">
        <v>1427</v>
      </c>
      <c r="AK529" t="s">
        <v>1240</v>
      </c>
      <c r="AL529">
        <v>0</v>
      </c>
    </row>
    <row r="530" spans="1:38">
      <c r="A530" t="s">
        <v>820</v>
      </c>
      <c r="B530" s="13">
        <v>45881</v>
      </c>
      <c r="C530" t="s">
        <v>487</v>
      </c>
      <c r="D530" t="s">
        <v>249</v>
      </c>
      <c r="E530" t="s">
        <v>806</v>
      </c>
      <c r="F530" t="s">
        <v>103</v>
      </c>
      <c r="G530" t="s">
        <v>122</v>
      </c>
      <c r="H530" t="s">
        <v>105</v>
      </c>
      <c r="I530">
        <v>3</v>
      </c>
      <c r="J530">
        <v>439.62</v>
      </c>
      <c r="K530">
        <v>0</v>
      </c>
      <c r="L530" t="s">
        <v>98</v>
      </c>
      <c r="M530">
        <v>6</v>
      </c>
      <c r="N530" t="s">
        <v>91</v>
      </c>
      <c r="O530" t="s">
        <v>105</v>
      </c>
      <c r="P530" t="s">
        <v>249</v>
      </c>
      <c r="Q530" t="s">
        <v>487</v>
      </c>
      <c r="R530" t="s">
        <v>103</v>
      </c>
      <c r="S530" t="s">
        <v>98</v>
      </c>
      <c r="T530">
        <v>1</v>
      </c>
      <c r="U530" t="s">
        <v>1347</v>
      </c>
      <c r="V530" t="s">
        <v>1249</v>
      </c>
      <c r="W530" t="s">
        <v>1237</v>
      </c>
      <c r="X530" t="s">
        <v>1208</v>
      </c>
      <c r="Y530" t="s">
        <v>1203</v>
      </c>
      <c r="Z530">
        <v>239.67</v>
      </c>
      <c r="AA530">
        <v>1318.8600000000001</v>
      </c>
      <c r="AB530">
        <v>0</v>
      </c>
      <c r="AC530">
        <v>1318.8600000000001</v>
      </c>
      <c r="AD530">
        <v>719.01</v>
      </c>
      <c r="AE530">
        <v>599.85000000000014</v>
      </c>
      <c r="AF530">
        <v>0.45482462126381878</v>
      </c>
      <c r="AG530">
        <v>2025</v>
      </c>
      <c r="AH530">
        <v>8</v>
      </c>
      <c r="AI530" t="s">
        <v>1417</v>
      </c>
      <c r="AJ530" t="s">
        <v>1418</v>
      </c>
      <c r="AK530" t="s">
        <v>1250</v>
      </c>
      <c r="AL530">
        <v>0</v>
      </c>
    </row>
    <row r="531" spans="1:38">
      <c r="A531" t="s">
        <v>821</v>
      </c>
      <c r="B531" s="13">
        <v>45697</v>
      </c>
      <c r="C531" t="s">
        <v>213</v>
      </c>
      <c r="D531" t="s">
        <v>323</v>
      </c>
      <c r="E531" t="s">
        <v>214</v>
      </c>
      <c r="F531" t="s">
        <v>145</v>
      </c>
      <c r="G531" t="s">
        <v>117</v>
      </c>
      <c r="H531" t="s">
        <v>89</v>
      </c>
      <c r="I531">
        <v>4</v>
      </c>
      <c r="J531">
        <v>329.97</v>
      </c>
      <c r="K531">
        <v>0</v>
      </c>
      <c r="L531" t="s">
        <v>90</v>
      </c>
      <c r="M531">
        <v>8</v>
      </c>
      <c r="N531" t="s">
        <v>91</v>
      </c>
      <c r="O531" t="s">
        <v>89</v>
      </c>
      <c r="P531" t="s">
        <v>323</v>
      </c>
      <c r="Q531" t="s">
        <v>213</v>
      </c>
      <c r="R531" t="s">
        <v>145</v>
      </c>
      <c r="S531" t="s">
        <v>369</v>
      </c>
      <c r="T531">
        <v>1</v>
      </c>
      <c r="U531" t="s">
        <v>1234</v>
      </c>
      <c r="V531" t="s">
        <v>1235</v>
      </c>
      <c r="W531" t="s">
        <v>1237</v>
      </c>
      <c r="X531" t="s">
        <v>1209</v>
      </c>
      <c r="Y531" t="s">
        <v>1203</v>
      </c>
      <c r="Z531">
        <v>152.88</v>
      </c>
      <c r="AA531">
        <v>1319.88</v>
      </c>
      <c r="AB531">
        <v>0</v>
      </c>
      <c r="AC531">
        <v>1319.88</v>
      </c>
      <c r="AD531">
        <v>611.52</v>
      </c>
      <c r="AE531">
        <v>708.36000000000013</v>
      </c>
      <c r="AF531">
        <v>0.53668515319574517</v>
      </c>
      <c r="AG531">
        <v>2025</v>
      </c>
      <c r="AH531">
        <v>2</v>
      </c>
      <c r="AI531" t="s">
        <v>1430</v>
      </c>
      <c r="AJ531" t="s">
        <v>1424</v>
      </c>
      <c r="AK531" t="s">
        <v>1236</v>
      </c>
      <c r="AL531">
        <v>0</v>
      </c>
    </row>
    <row r="532" spans="1:38">
      <c r="A532" t="s">
        <v>822</v>
      </c>
      <c r="B532" s="13">
        <v>45838</v>
      </c>
      <c r="C532" t="s">
        <v>206</v>
      </c>
      <c r="D532" t="s">
        <v>165</v>
      </c>
      <c r="E532" t="s">
        <v>823</v>
      </c>
      <c r="F532" t="s">
        <v>87</v>
      </c>
      <c r="G532" t="s">
        <v>96</v>
      </c>
      <c r="H532" t="s">
        <v>97</v>
      </c>
      <c r="I532">
        <v>1</v>
      </c>
      <c r="J532">
        <v>105.56</v>
      </c>
      <c r="K532">
        <v>0.05</v>
      </c>
      <c r="L532" t="s">
        <v>90</v>
      </c>
      <c r="M532">
        <v>1</v>
      </c>
      <c r="N532" t="s">
        <v>91</v>
      </c>
      <c r="O532" t="s">
        <v>97</v>
      </c>
      <c r="P532" t="s">
        <v>165</v>
      </c>
      <c r="Q532" t="s">
        <v>206</v>
      </c>
      <c r="R532" t="s">
        <v>87</v>
      </c>
      <c r="S532" t="s">
        <v>369</v>
      </c>
      <c r="T532">
        <v>1</v>
      </c>
      <c r="U532" t="s">
        <v>1310</v>
      </c>
      <c r="V532" t="s">
        <v>1297</v>
      </c>
      <c r="W532" t="s">
        <v>1237</v>
      </c>
      <c r="X532" t="s">
        <v>1210</v>
      </c>
      <c r="Y532" t="s">
        <v>1203</v>
      </c>
      <c r="Z532">
        <v>46.07</v>
      </c>
      <c r="AA532">
        <v>105.56</v>
      </c>
      <c r="AB532">
        <v>5.2780000000000005</v>
      </c>
      <c r="AC532">
        <v>100.282</v>
      </c>
      <c r="AD532">
        <v>46.07</v>
      </c>
      <c r="AE532">
        <v>54.211999999999996</v>
      </c>
      <c r="AF532">
        <v>0.54059552063181826</v>
      </c>
      <c r="AG532">
        <v>2025</v>
      </c>
      <c r="AH532">
        <v>6</v>
      </c>
      <c r="AI532" t="s">
        <v>1429</v>
      </c>
      <c r="AJ532" t="s">
        <v>1420</v>
      </c>
      <c r="AK532" t="s">
        <v>1258</v>
      </c>
      <c r="AL532">
        <v>0</v>
      </c>
    </row>
    <row r="533" spans="1:38">
      <c r="A533" t="s">
        <v>824</v>
      </c>
      <c r="B533" s="13">
        <v>45691</v>
      </c>
      <c r="C533" t="s">
        <v>374</v>
      </c>
      <c r="D533" t="s">
        <v>249</v>
      </c>
      <c r="E533" t="s">
        <v>825</v>
      </c>
      <c r="F533" t="s">
        <v>111</v>
      </c>
      <c r="G533" t="s">
        <v>117</v>
      </c>
      <c r="H533" t="s">
        <v>105</v>
      </c>
      <c r="I533">
        <v>1</v>
      </c>
      <c r="J533">
        <v>411.6</v>
      </c>
      <c r="K533">
        <v>0</v>
      </c>
      <c r="L533" t="s">
        <v>90</v>
      </c>
      <c r="M533">
        <v>4</v>
      </c>
      <c r="N533" t="s">
        <v>91</v>
      </c>
      <c r="O533" t="s">
        <v>105</v>
      </c>
      <c r="P533" t="s">
        <v>249</v>
      </c>
      <c r="Q533" t="s">
        <v>374</v>
      </c>
      <c r="R533" t="s">
        <v>111</v>
      </c>
      <c r="S533" t="s">
        <v>369</v>
      </c>
      <c r="T533">
        <v>1</v>
      </c>
      <c r="U533" t="s">
        <v>1287</v>
      </c>
      <c r="V533" t="s">
        <v>1288</v>
      </c>
      <c r="W533" t="s">
        <v>1241</v>
      </c>
      <c r="X533" t="s">
        <v>1208</v>
      </c>
      <c r="Y533" t="s">
        <v>1203</v>
      </c>
      <c r="Z533">
        <v>239.67</v>
      </c>
      <c r="AA533">
        <v>411.6</v>
      </c>
      <c r="AB533">
        <v>0</v>
      </c>
      <c r="AC533">
        <v>411.6</v>
      </c>
      <c r="AD533">
        <v>239.67</v>
      </c>
      <c r="AE533">
        <v>171.93000000000004</v>
      </c>
      <c r="AF533">
        <v>0.41771137026239075</v>
      </c>
      <c r="AG533">
        <v>2025</v>
      </c>
      <c r="AH533">
        <v>2</v>
      </c>
      <c r="AI533" t="s">
        <v>1430</v>
      </c>
      <c r="AJ533" t="s">
        <v>1424</v>
      </c>
      <c r="AK533" t="s">
        <v>1250</v>
      </c>
      <c r="AL533">
        <v>0</v>
      </c>
    </row>
    <row r="534" spans="1:38">
      <c r="A534" t="s">
        <v>826</v>
      </c>
      <c r="B534" s="13">
        <v>45922</v>
      </c>
      <c r="C534" t="s">
        <v>151</v>
      </c>
      <c r="D534" t="s">
        <v>360</v>
      </c>
      <c r="E534" t="s">
        <v>827</v>
      </c>
      <c r="F534" t="s">
        <v>111</v>
      </c>
      <c r="G534" t="s">
        <v>171</v>
      </c>
      <c r="H534" t="s">
        <v>89</v>
      </c>
      <c r="I534">
        <v>1</v>
      </c>
      <c r="J534">
        <v>62.36</v>
      </c>
      <c r="K534">
        <v>0</v>
      </c>
      <c r="L534" t="s">
        <v>90</v>
      </c>
      <c r="M534">
        <v>6</v>
      </c>
      <c r="N534" t="s">
        <v>91</v>
      </c>
      <c r="O534" t="s">
        <v>89</v>
      </c>
      <c r="P534" t="s">
        <v>360</v>
      </c>
      <c r="Q534" t="s">
        <v>151</v>
      </c>
      <c r="R534" t="s">
        <v>111</v>
      </c>
      <c r="S534" t="s">
        <v>369</v>
      </c>
      <c r="T534">
        <v>1</v>
      </c>
      <c r="U534" t="s">
        <v>1263</v>
      </c>
      <c r="V534" t="s">
        <v>1239</v>
      </c>
      <c r="W534" t="s">
        <v>1241</v>
      </c>
      <c r="X534" t="s">
        <v>1206</v>
      </c>
      <c r="Y534" t="s">
        <v>1203</v>
      </c>
      <c r="Z534">
        <v>37.46</v>
      </c>
      <c r="AA534">
        <v>62.36</v>
      </c>
      <c r="AB534">
        <v>0</v>
      </c>
      <c r="AC534">
        <v>62.36</v>
      </c>
      <c r="AD534">
        <v>37.46</v>
      </c>
      <c r="AE534">
        <v>24.9</v>
      </c>
      <c r="AF534">
        <v>0.39929441949967925</v>
      </c>
      <c r="AG534">
        <v>2025</v>
      </c>
      <c r="AH534">
        <v>9</v>
      </c>
      <c r="AI534" t="s">
        <v>1432</v>
      </c>
      <c r="AJ534" t="s">
        <v>1418</v>
      </c>
      <c r="AK534" t="s">
        <v>1240</v>
      </c>
      <c r="AL534">
        <v>0</v>
      </c>
    </row>
    <row r="535" spans="1:38">
      <c r="A535" t="s">
        <v>830</v>
      </c>
      <c r="B535" s="13">
        <v>45788</v>
      </c>
      <c r="C535" t="s">
        <v>366</v>
      </c>
      <c r="D535" t="s">
        <v>360</v>
      </c>
      <c r="E535" t="s">
        <v>367</v>
      </c>
      <c r="F535" t="s">
        <v>116</v>
      </c>
      <c r="G535" t="s">
        <v>183</v>
      </c>
      <c r="H535" t="s">
        <v>89</v>
      </c>
      <c r="I535">
        <v>1</v>
      </c>
      <c r="J535">
        <v>67.59</v>
      </c>
      <c r="K535">
        <v>0.2</v>
      </c>
      <c r="L535" t="s">
        <v>98</v>
      </c>
      <c r="M535">
        <v>3</v>
      </c>
      <c r="N535" t="s">
        <v>91</v>
      </c>
      <c r="O535" t="s">
        <v>89</v>
      </c>
      <c r="P535" t="s">
        <v>360</v>
      </c>
      <c r="Q535" t="s">
        <v>366</v>
      </c>
      <c r="R535" t="s">
        <v>116</v>
      </c>
      <c r="S535" t="s">
        <v>98</v>
      </c>
      <c r="T535">
        <v>1</v>
      </c>
      <c r="U535" t="s">
        <v>1259</v>
      </c>
      <c r="V535" t="s">
        <v>1297</v>
      </c>
      <c r="W535" t="s">
        <v>1237</v>
      </c>
      <c r="X535" t="s">
        <v>1206</v>
      </c>
      <c r="Y535" t="s">
        <v>1203</v>
      </c>
      <c r="Z535">
        <v>37.46</v>
      </c>
      <c r="AA535">
        <v>67.59</v>
      </c>
      <c r="AB535">
        <v>13.518000000000001</v>
      </c>
      <c r="AC535">
        <v>54.072000000000003</v>
      </c>
      <c r="AD535">
        <v>37.46</v>
      </c>
      <c r="AE535">
        <v>16.612000000000002</v>
      </c>
      <c r="AF535">
        <v>0.30722000295901764</v>
      </c>
      <c r="AG535">
        <v>2025</v>
      </c>
      <c r="AH535">
        <v>5</v>
      </c>
      <c r="AI535" t="s">
        <v>1419</v>
      </c>
      <c r="AJ535" t="s">
        <v>1420</v>
      </c>
      <c r="AK535" t="s">
        <v>1258</v>
      </c>
      <c r="AL535">
        <v>0</v>
      </c>
    </row>
    <row r="536" spans="1:38">
      <c r="A536" t="s">
        <v>836</v>
      </c>
      <c r="B536" s="13">
        <v>45747</v>
      </c>
      <c r="C536" t="s">
        <v>466</v>
      </c>
      <c r="D536" t="s">
        <v>249</v>
      </c>
      <c r="E536" t="s">
        <v>467</v>
      </c>
      <c r="F536" t="s">
        <v>103</v>
      </c>
      <c r="G536" t="s">
        <v>88</v>
      </c>
      <c r="H536" t="s">
        <v>89</v>
      </c>
      <c r="I536">
        <v>2</v>
      </c>
      <c r="J536">
        <v>405.32</v>
      </c>
      <c r="K536">
        <v>0</v>
      </c>
      <c r="L536" t="s">
        <v>106</v>
      </c>
      <c r="M536">
        <v>5</v>
      </c>
      <c r="N536" t="s">
        <v>91</v>
      </c>
      <c r="O536" t="s">
        <v>89</v>
      </c>
      <c r="P536" t="s">
        <v>249</v>
      </c>
      <c r="Q536" t="s">
        <v>466</v>
      </c>
      <c r="R536" t="s">
        <v>103</v>
      </c>
      <c r="S536" t="s">
        <v>106</v>
      </c>
      <c r="T536">
        <v>1</v>
      </c>
      <c r="U536" t="s">
        <v>1340</v>
      </c>
      <c r="V536" t="s">
        <v>1247</v>
      </c>
      <c r="W536" t="s">
        <v>1245</v>
      </c>
      <c r="X536" t="s">
        <v>1208</v>
      </c>
      <c r="Y536" t="s">
        <v>1203</v>
      </c>
      <c r="Z536">
        <v>239.67</v>
      </c>
      <c r="AA536">
        <v>810.64</v>
      </c>
      <c r="AB536">
        <v>0</v>
      </c>
      <c r="AC536">
        <v>810.64</v>
      </c>
      <c r="AD536">
        <v>479.34</v>
      </c>
      <c r="AE536">
        <v>331.3</v>
      </c>
      <c r="AF536">
        <v>0.40868943057337415</v>
      </c>
      <c r="AG536">
        <v>2025</v>
      </c>
      <c r="AH536">
        <v>3</v>
      </c>
      <c r="AI536" t="s">
        <v>1423</v>
      </c>
      <c r="AJ536" t="s">
        <v>1424</v>
      </c>
      <c r="AK536" t="s">
        <v>1240</v>
      </c>
      <c r="AL536">
        <v>0</v>
      </c>
    </row>
    <row r="537" spans="1:38">
      <c r="A537" t="s">
        <v>842</v>
      </c>
      <c r="B537" s="13">
        <v>45980</v>
      </c>
      <c r="C537" t="s">
        <v>706</v>
      </c>
      <c r="D537" t="s">
        <v>360</v>
      </c>
      <c r="E537" t="s">
        <v>843</v>
      </c>
      <c r="F537" t="s">
        <v>87</v>
      </c>
      <c r="G537" t="s">
        <v>130</v>
      </c>
      <c r="H537" t="s">
        <v>97</v>
      </c>
      <c r="I537">
        <v>1</v>
      </c>
      <c r="J537">
        <v>65.44</v>
      </c>
      <c r="K537">
        <v>0.1</v>
      </c>
      <c r="L537" t="s">
        <v>106</v>
      </c>
      <c r="M537">
        <v>4</v>
      </c>
      <c r="N537" t="s">
        <v>91</v>
      </c>
      <c r="O537" t="s">
        <v>97</v>
      </c>
      <c r="P537" t="s">
        <v>360</v>
      </c>
      <c r="Q537" t="s">
        <v>706</v>
      </c>
      <c r="R537" t="s">
        <v>87</v>
      </c>
      <c r="S537" t="s">
        <v>106</v>
      </c>
      <c r="T537">
        <v>1</v>
      </c>
      <c r="U537" t="s">
        <v>1251</v>
      </c>
      <c r="V537" t="s">
        <v>1247</v>
      </c>
      <c r="W537" t="s">
        <v>1237</v>
      </c>
      <c r="X537" t="s">
        <v>1206</v>
      </c>
      <c r="Y537" t="s">
        <v>1203</v>
      </c>
      <c r="Z537">
        <v>37.46</v>
      </c>
      <c r="AA537">
        <v>65.44</v>
      </c>
      <c r="AB537">
        <v>6.5440000000000005</v>
      </c>
      <c r="AC537">
        <v>58.896000000000001</v>
      </c>
      <c r="AD537">
        <v>37.46</v>
      </c>
      <c r="AE537">
        <v>21.436</v>
      </c>
      <c r="AF537">
        <v>0.3639635968486824</v>
      </c>
      <c r="AG537">
        <v>2025</v>
      </c>
      <c r="AH537">
        <v>11</v>
      </c>
      <c r="AI537" t="s">
        <v>1426</v>
      </c>
      <c r="AJ537" t="s">
        <v>1427</v>
      </c>
      <c r="AK537" t="s">
        <v>1240</v>
      </c>
      <c r="AL537">
        <v>0</v>
      </c>
    </row>
    <row r="538" spans="1:38">
      <c r="A538" t="s">
        <v>848</v>
      </c>
      <c r="B538" s="13">
        <v>45743</v>
      </c>
      <c r="C538" t="s">
        <v>225</v>
      </c>
      <c r="D538" t="s">
        <v>249</v>
      </c>
      <c r="E538" t="s">
        <v>227</v>
      </c>
      <c r="F538" t="s">
        <v>849</v>
      </c>
      <c r="G538" t="s">
        <v>88</v>
      </c>
      <c r="H538" t="s">
        <v>97</v>
      </c>
      <c r="I538">
        <v>1</v>
      </c>
      <c r="J538">
        <v>394.3</v>
      </c>
      <c r="K538">
        <v>0</v>
      </c>
      <c r="L538" t="s">
        <v>106</v>
      </c>
      <c r="M538">
        <v>4</v>
      </c>
      <c r="N538" t="s">
        <v>91</v>
      </c>
      <c r="O538" t="s">
        <v>97</v>
      </c>
      <c r="P538" t="s">
        <v>249</v>
      </c>
      <c r="Q538" t="s">
        <v>225</v>
      </c>
      <c r="R538" t="s">
        <v>145</v>
      </c>
      <c r="S538" t="s">
        <v>106</v>
      </c>
      <c r="T538">
        <v>1</v>
      </c>
      <c r="U538" t="s">
        <v>1328</v>
      </c>
      <c r="V538" t="s">
        <v>1247</v>
      </c>
      <c r="W538" t="s">
        <v>1237</v>
      </c>
      <c r="X538" t="s">
        <v>1208</v>
      </c>
      <c r="Y538" t="s">
        <v>1203</v>
      </c>
      <c r="Z538">
        <v>239.67</v>
      </c>
      <c r="AA538">
        <v>394.3</v>
      </c>
      <c r="AB538">
        <v>0</v>
      </c>
      <c r="AC538">
        <v>394.3</v>
      </c>
      <c r="AD538">
        <v>239.67</v>
      </c>
      <c r="AE538">
        <v>154.63000000000002</v>
      </c>
      <c r="AF538">
        <v>0.39216332741567339</v>
      </c>
      <c r="AG538">
        <v>2025</v>
      </c>
      <c r="AH538">
        <v>3</v>
      </c>
      <c r="AI538" t="s">
        <v>1423</v>
      </c>
      <c r="AJ538" t="s">
        <v>1424</v>
      </c>
      <c r="AK538" t="s">
        <v>1240</v>
      </c>
      <c r="AL538">
        <v>0</v>
      </c>
    </row>
    <row r="539" spans="1:38">
      <c r="A539" t="s">
        <v>855</v>
      </c>
      <c r="B539" s="13">
        <v>45881</v>
      </c>
      <c r="C539" t="s">
        <v>209</v>
      </c>
      <c r="D539" t="s">
        <v>520</v>
      </c>
      <c r="E539" t="s">
        <v>211</v>
      </c>
      <c r="F539" t="s">
        <v>87</v>
      </c>
      <c r="G539" t="s">
        <v>171</v>
      </c>
      <c r="H539" t="s">
        <v>97</v>
      </c>
      <c r="I539">
        <v>3</v>
      </c>
      <c r="J539">
        <v>380.43</v>
      </c>
      <c r="K539">
        <v>0</v>
      </c>
      <c r="L539" t="s">
        <v>98</v>
      </c>
      <c r="M539">
        <v>1</v>
      </c>
      <c r="N539" t="s">
        <v>147</v>
      </c>
      <c r="O539" t="s">
        <v>97</v>
      </c>
      <c r="P539" t="s">
        <v>520</v>
      </c>
      <c r="Q539" t="s">
        <v>209</v>
      </c>
      <c r="R539" t="s">
        <v>87</v>
      </c>
      <c r="S539" t="s">
        <v>98</v>
      </c>
      <c r="T539">
        <v>1</v>
      </c>
      <c r="U539" t="s">
        <v>1248</v>
      </c>
      <c r="V539" t="s">
        <v>1249</v>
      </c>
      <c r="W539" t="s">
        <v>1237</v>
      </c>
      <c r="X539" t="s">
        <v>1202</v>
      </c>
      <c r="Y539" t="s">
        <v>1203</v>
      </c>
      <c r="Z539">
        <v>241.16</v>
      </c>
      <c r="AA539">
        <v>1141.29</v>
      </c>
      <c r="AB539">
        <v>0</v>
      </c>
      <c r="AC539">
        <v>1141.29</v>
      </c>
      <c r="AD539">
        <v>723.48</v>
      </c>
      <c r="AE539">
        <v>417.80999999999995</v>
      </c>
      <c r="AF539">
        <v>0.36608574507793806</v>
      </c>
      <c r="AG539">
        <v>2025</v>
      </c>
      <c r="AH539">
        <v>8</v>
      </c>
      <c r="AI539" t="s">
        <v>1417</v>
      </c>
      <c r="AJ539" t="s">
        <v>1418</v>
      </c>
      <c r="AK539" t="s">
        <v>1250</v>
      </c>
      <c r="AL539">
        <v>1</v>
      </c>
    </row>
    <row r="540" spans="1:38">
      <c r="A540" t="s">
        <v>858</v>
      </c>
      <c r="B540" s="13">
        <v>45719</v>
      </c>
      <c r="C540" t="s">
        <v>216</v>
      </c>
      <c r="D540" t="s">
        <v>360</v>
      </c>
      <c r="E540" t="s">
        <v>218</v>
      </c>
      <c r="F540" t="s">
        <v>111</v>
      </c>
      <c r="G540" t="s">
        <v>171</v>
      </c>
      <c r="H540" t="s">
        <v>89</v>
      </c>
      <c r="I540">
        <v>3</v>
      </c>
      <c r="J540">
        <v>65.599999999999994</v>
      </c>
      <c r="K540">
        <v>0.05</v>
      </c>
      <c r="L540" t="s">
        <v>90</v>
      </c>
      <c r="M540">
        <v>4</v>
      </c>
      <c r="N540" t="s">
        <v>91</v>
      </c>
      <c r="O540" t="s">
        <v>89</v>
      </c>
      <c r="P540" t="s">
        <v>360</v>
      </c>
      <c r="Q540" t="s">
        <v>216</v>
      </c>
      <c r="R540" t="s">
        <v>111</v>
      </c>
      <c r="S540" t="s">
        <v>369</v>
      </c>
      <c r="T540">
        <v>1</v>
      </c>
      <c r="U540" t="s">
        <v>1253</v>
      </c>
      <c r="V540" t="s">
        <v>1260</v>
      </c>
      <c r="W540" t="s">
        <v>1237</v>
      </c>
      <c r="X540" t="s">
        <v>1206</v>
      </c>
      <c r="Y540" t="s">
        <v>1203</v>
      </c>
      <c r="Z540">
        <v>37.46</v>
      </c>
      <c r="AA540">
        <v>196.79999999999998</v>
      </c>
      <c r="AB540">
        <v>9.84</v>
      </c>
      <c r="AC540">
        <v>186.95999999999998</v>
      </c>
      <c r="AD540">
        <v>112.38</v>
      </c>
      <c r="AE540">
        <v>74.579999999999984</v>
      </c>
      <c r="AF540">
        <v>0.39890885750962768</v>
      </c>
      <c r="AG540">
        <v>2025</v>
      </c>
      <c r="AH540">
        <v>3</v>
      </c>
      <c r="AI540" t="s">
        <v>1423</v>
      </c>
      <c r="AJ540" t="s">
        <v>1424</v>
      </c>
      <c r="AK540" t="s">
        <v>1240</v>
      </c>
      <c r="AL540">
        <v>0</v>
      </c>
    </row>
    <row r="541" spans="1:38">
      <c r="A541" t="s">
        <v>863</v>
      </c>
      <c r="B541" s="13">
        <v>45847</v>
      </c>
      <c r="C541" t="s">
        <v>193</v>
      </c>
      <c r="D541" t="s">
        <v>520</v>
      </c>
      <c r="E541" t="s">
        <v>195</v>
      </c>
      <c r="F541" t="s">
        <v>103</v>
      </c>
      <c r="G541" t="s">
        <v>88</v>
      </c>
      <c r="H541" t="s">
        <v>97</v>
      </c>
      <c r="I541">
        <v>1</v>
      </c>
      <c r="J541">
        <v>376.37</v>
      </c>
      <c r="K541">
        <v>0.15</v>
      </c>
      <c r="L541" t="s">
        <v>106</v>
      </c>
      <c r="M541">
        <v>4</v>
      </c>
      <c r="N541" t="s">
        <v>147</v>
      </c>
      <c r="O541" t="s">
        <v>97</v>
      </c>
      <c r="P541" t="s">
        <v>520</v>
      </c>
      <c r="Q541" t="s">
        <v>193</v>
      </c>
      <c r="R541" t="s">
        <v>103</v>
      </c>
      <c r="S541" t="s">
        <v>106</v>
      </c>
      <c r="T541">
        <v>1</v>
      </c>
      <c r="U541" t="s">
        <v>1272</v>
      </c>
      <c r="V541" t="s">
        <v>1243</v>
      </c>
      <c r="W541" t="s">
        <v>1241</v>
      </c>
      <c r="X541" t="s">
        <v>1202</v>
      </c>
      <c r="Y541" t="s">
        <v>1203</v>
      </c>
      <c r="Z541">
        <v>241.16</v>
      </c>
      <c r="AA541">
        <v>376.37</v>
      </c>
      <c r="AB541">
        <v>56.455500000000001</v>
      </c>
      <c r="AC541">
        <v>319.91449999999998</v>
      </c>
      <c r="AD541">
        <v>241.16</v>
      </c>
      <c r="AE541">
        <v>78.754499999999979</v>
      </c>
      <c r="AF541">
        <v>0.24617358700527792</v>
      </c>
      <c r="AG541">
        <v>2025</v>
      </c>
      <c r="AH541">
        <v>7</v>
      </c>
      <c r="AI541" t="s">
        <v>1422</v>
      </c>
      <c r="AJ541" t="s">
        <v>1418</v>
      </c>
      <c r="AK541" t="s">
        <v>1244</v>
      </c>
      <c r="AL541">
        <v>1</v>
      </c>
    </row>
    <row r="542" spans="1:38">
      <c r="A542" t="s">
        <v>864</v>
      </c>
      <c r="B542" s="13">
        <v>45689</v>
      </c>
      <c r="C542" t="s">
        <v>273</v>
      </c>
      <c r="D542" t="s">
        <v>520</v>
      </c>
      <c r="E542" t="s">
        <v>274</v>
      </c>
      <c r="F542" t="s">
        <v>111</v>
      </c>
      <c r="G542" t="s">
        <v>104</v>
      </c>
      <c r="H542" t="s">
        <v>105</v>
      </c>
      <c r="I542">
        <v>5</v>
      </c>
      <c r="J542">
        <v>356.85</v>
      </c>
      <c r="K542">
        <v>0</v>
      </c>
      <c r="L542" t="s">
        <v>90</v>
      </c>
      <c r="M542">
        <v>1</v>
      </c>
      <c r="N542" t="s">
        <v>91</v>
      </c>
      <c r="O542" t="s">
        <v>105</v>
      </c>
      <c r="P542" t="s">
        <v>520</v>
      </c>
      <c r="Q542" t="s">
        <v>273</v>
      </c>
      <c r="R542" t="s">
        <v>111</v>
      </c>
      <c r="S542" t="s">
        <v>369</v>
      </c>
      <c r="T542">
        <v>1</v>
      </c>
      <c r="U542" t="s">
        <v>1314</v>
      </c>
      <c r="V542" t="s">
        <v>1247</v>
      </c>
      <c r="W542" t="s">
        <v>1237</v>
      </c>
      <c r="X542" t="s">
        <v>1202</v>
      </c>
      <c r="Y542" t="s">
        <v>1203</v>
      </c>
      <c r="Z542">
        <v>241.16</v>
      </c>
      <c r="AA542">
        <v>1784.25</v>
      </c>
      <c r="AB542">
        <v>0</v>
      </c>
      <c r="AC542">
        <v>1784.25</v>
      </c>
      <c r="AD542">
        <v>1205.8</v>
      </c>
      <c r="AE542">
        <v>578.45000000000005</v>
      </c>
      <c r="AF542">
        <v>0.32419784223062914</v>
      </c>
      <c r="AG542">
        <v>2025</v>
      </c>
      <c r="AH542">
        <v>2</v>
      </c>
      <c r="AI542" t="s">
        <v>1430</v>
      </c>
      <c r="AJ542" t="s">
        <v>1424</v>
      </c>
      <c r="AK542" t="s">
        <v>1240</v>
      </c>
      <c r="AL542">
        <v>0</v>
      </c>
    </row>
    <row r="543" spans="1:38">
      <c r="A543" t="s">
        <v>865</v>
      </c>
      <c r="B543" s="13">
        <v>45671</v>
      </c>
      <c r="C543" t="s">
        <v>322</v>
      </c>
      <c r="D543" t="s">
        <v>252</v>
      </c>
      <c r="E543" t="s">
        <v>470</v>
      </c>
      <c r="F543" t="s">
        <v>116</v>
      </c>
      <c r="G543" t="s">
        <v>96</v>
      </c>
      <c r="H543" t="s">
        <v>97</v>
      </c>
      <c r="I543">
        <v>5</v>
      </c>
      <c r="J543">
        <v>277.52999999999997</v>
      </c>
      <c r="K543">
        <v>0.25</v>
      </c>
      <c r="L543" t="s">
        <v>106</v>
      </c>
      <c r="M543">
        <v>0</v>
      </c>
      <c r="N543" t="s">
        <v>91</v>
      </c>
      <c r="O543" t="s">
        <v>97</v>
      </c>
      <c r="P543" t="s">
        <v>252</v>
      </c>
      <c r="Q543" t="s">
        <v>322</v>
      </c>
      <c r="R543" t="s">
        <v>116</v>
      </c>
      <c r="S543" t="s">
        <v>106</v>
      </c>
      <c r="T543">
        <v>1</v>
      </c>
      <c r="U543" t="s">
        <v>1358</v>
      </c>
      <c r="V543" t="s">
        <v>1284</v>
      </c>
      <c r="W543" t="s">
        <v>1237</v>
      </c>
      <c r="X543" t="s">
        <v>1205</v>
      </c>
      <c r="Y543" t="s">
        <v>1203</v>
      </c>
      <c r="Z543">
        <v>186.94</v>
      </c>
      <c r="AA543">
        <v>1387.6499999999999</v>
      </c>
      <c r="AB543">
        <v>346.91249999999997</v>
      </c>
      <c r="AC543">
        <v>1040.7375</v>
      </c>
      <c r="AD543">
        <v>934.7</v>
      </c>
      <c r="AE543">
        <v>106.03749999999991</v>
      </c>
      <c r="AF543">
        <v>0.10188688309972486</v>
      </c>
      <c r="AG543">
        <v>2025</v>
      </c>
      <c r="AH543">
        <v>1</v>
      </c>
      <c r="AI543" t="s">
        <v>1425</v>
      </c>
      <c r="AJ543" t="s">
        <v>1424</v>
      </c>
      <c r="AK543" t="s">
        <v>1285</v>
      </c>
      <c r="AL543">
        <v>0</v>
      </c>
    </row>
    <row r="544" spans="1:38">
      <c r="A544" t="s">
        <v>879</v>
      </c>
      <c r="B544" s="13">
        <v>45961</v>
      </c>
      <c r="C544" t="s">
        <v>758</v>
      </c>
      <c r="D544" t="s">
        <v>252</v>
      </c>
      <c r="E544" t="s">
        <v>759</v>
      </c>
      <c r="F544" t="s">
        <v>145</v>
      </c>
      <c r="G544" t="s">
        <v>96</v>
      </c>
      <c r="H544" t="s">
        <v>89</v>
      </c>
      <c r="I544">
        <v>1</v>
      </c>
      <c r="J544">
        <v>263.44</v>
      </c>
      <c r="K544">
        <v>0</v>
      </c>
      <c r="M544">
        <v>2</v>
      </c>
      <c r="N544" t="s">
        <v>91</v>
      </c>
      <c r="O544" t="s">
        <v>89</v>
      </c>
      <c r="P544" t="s">
        <v>252</v>
      </c>
      <c r="Q544" t="s">
        <v>758</v>
      </c>
      <c r="R544" t="s">
        <v>145</v>
      </c>
      <c r="S544" t="s">
        <v>1413</v>
      </c>
      <c r="T544">
        <v>1</v>
      </c>
      <c r="U544" t="s">
        <v>1286</v>
      </c>
      <c r="V544" t="s">
        <v>1277</v>
      </c>
      <c r="W544" t="s">
        <v>1245</v>
      </c>
      <c r="X544" t="s">
        <v>1205</v>
      </c>
      <c r="Y544" t="s">
        <v>1203</v>
      </c>
      <c r="Z544">
        <v>186.94</v>
      </c>
      <c r="AA544">
        <v>263.44</v>
      </c>
      <c r="AB544">
        <v>0</v>
      </c>
      <c r="AC544">
        <v>263.44</v>
      </c>
      <c r="AD544">
        <v>186.94</v>
      </c>
      <c r="AE544">
        <v>76.5</v>
      </c>
      <c r="AF544">
        <v>0.29038870331005162</v>
      </c>
      <c r="AG544">
        <v>2025</v>
      </c>
      <c r="AH544">
        <v>10</v>
      </c>
      <c r="AI544" t="s">
        <v>1431</v>
      </c>
      <c r="AJ544" t="s">
        <v>1427</v>
      </c>
      <c r="AK544" t="s">
        <v>1244</v>
      </c>
      <c r="AL544">
        <v>0</v>
      </c>
    </row>
    <row r="545" spans="1:38">
      <c r="A545" t="s">
        <v>885</v>
      </c>
      <c r="B545" s="13">
        <v>45993</v>
      </c>
      <c r="C545" t="s">
        <v>610</v>
      </c>
      <c r="D545" t="s">
        <v>360</v>
      </c>
      <c r="E545" t="s">
        <v>611</v>
      </c>
      <c r="F545" t="s">
        <v>87</v>
      </c>
      <c r="G545" t="s">
        <v>117</v>
      </c>
      <c r="H545" t="s">
        <v>89</v>
      </c>
      <c r="I545">
        <v>4</v>
      </c>
      <c r="J545">
        <v>66.59</v>
      </c>
      <c r="K545">
        <v>0.15</v>
      </c>
      <c r="L545" t="s">
        <v>90</v>
      </c>
      <c r="M545">
        <v>4</v>
      </c>
      <c r="N545" t="s">
        <v>91</v>
      </c>
      <c r="O545" t="s">
        <v>89</v>
      </c>
      <c r="P545" t="s">
        <v>360</v>
      </c>
      <c r="Q545" t="s">
        <v>610</v>
      </c>
      <c r="R545" t="s">
        <v>87</v>
      </c>
      <c r="S545" t="s">
        <v>369</v>
      </c>
      <c r="T545">
        <v>1</v>
      </c>
      <c r="U545" t="s">
        <v>1304</v>
      </c>
      <c r="V545" t="s">
        <v>1297</v>
      </c>
      <c r="W545" t="s">
        <v>1241</v>
      </c>
      <c r="X545" t="s">
        <v>1206</v>
      </c>
      <c r="Y545" t="s">
        <v>1203</v>
      </c>
      <c r="Z545">
        <v>37.46</v>
      </c>
      <c r="AA545">
        <v>266.36</v>
      </c>
      <c r="AB545">
        <v>39.954000000000001</v>
      </c>
      <c r="AC545">
        <v>226.40600000000001</v>
      </c>
      <c r="AD545">
        <v>149.84</v>
      </c>
      <c r="AE545">
        <v>76.566000000000003</v>
      </c>
      <c r="AF545">
        <v>0.33818008356668994</v>
      </c>
      <c r="AG545">
        <v>2025</v>
      </c>
      <c r="AH545">
        <v>12</v>
      </c>
      <c r="AI545" t="s">
        <v>1428</v>
      </c>
      <c r="AJ545" t="s">
        <v>1427</v>
      </c>
      <c r="AK545" t="s">
        <v>1258</v>
      </c>
      <c r="AL545">
        <v>0</v>
      </c>
    </row>
    <row r="546" spans="1:38">
      <c r="A546" t="s">
        <v>887</v>
      </c>
      <c r="B546" s="13">
        <v>46019</v>
      </c>
      <c r="C546" t="s">
        <v>173</v>
      </c>
      <c r="D546" t="s">
        <v>323</v>
      </c>
      <c r="E546" t="s">
        <v>175</v>
      </c>
      <c r="F546" t="s">
        <v>87</v>
      </c>
      <c r="G546" t="s">
        <v>183</v>
      </c>
      <c r="H546" t="s">
        <v>97</v>
      </c>
      <c r="I546">
        <v>2</v>
      </c>
      <c r="J546">
        <v>350.32</v>
      </c>
      <c r="K546">
        <v>0.2</v>
      </c>
      <c r="L546" t="s">
        <v>106</v>
      </c>
      <c r="M546">
        <v>2</v>
      </c>
      <c r="N546" t="s">
        <v>91</v>
      </c>
      <c r="O546" t="s">
        <v>97</v>
      </c>
      <c r="P546" t="s">
        <v>323</v>
      </c>
      <c r="Q546" t="s">
        <v>173</v>
      </c>
      <c r="R546" t="s">
        <v>87</v>
      </c>
      <c r="S546" t="s">
        <v>106</v>
      </c>
      <c r="T546">
        <v>1</v>
      </c>
      <c r="U546" t="s">
        <v>1327</v>
      </c>
      <c r="V546" t="s">
        <v>1275</v>
      </c>
      <c r="W546" t="s">
        <v>1241</v>
      </c>
      <c r="X546" t="s">
        <v>1209</v>
      </c>
      <c r="Y546" t="s">
        <v>1203</v>
      </c>
      <c r="Z546">
        <v>152.88</v>
      </c>
      <c r="AA546">
        <v>700.64</v>
      </c>
      <c r="AB546">
        <v>140.12800000000001</v>
      </c>
      <c r="AC546">
        <v>560.51199999999994</v>
      </c>
      <c r="AD546">
        <v>305.76</v>
      </c>
      <c r="AE546">
        <v>254.75199999999995</v>
      </c>
      <c r="AF546">
        <v>0.45449874400548068</v>
      </c>
      <c r="AG546">
        <v>2025</v>
      </c>
      <c r="AH546">
        <v>12</v>
      </c>
      <c r="AI546" t="s">
        <v>1428</v>
      </c>
      <c r="AJ546" t="s">
        <v>1427</v>
      </c>
      <c r="AK546" t="s">
        <v>1258</v>
      </c>
      <c r="AL546">
        <v>0</v>
      </c>
    </row>
    <row r="547" spans="1:38">
      <c r="A547" t="s">
        <v>893</v>
      </c>
      <c r="B547" s="13">
        <v>45754</v>
      </c>
      <c r="C547" t="s">
        <v>225</v>
      </c>
      <c r="D547" t="s">
        <v>165</v>
      </c>
      <c r="E547" t="s">
        <v>227</v>
      </c>
      <c r="F547" t="s">
        <v>111</v>
      </c>
      <c r="G547" t="s">
        <v>104</v>
      </c>
      <c r="H547" t="s">
        <v>105</v>
      </c>
      <c r="I547">
        <v>1</v>
      </c>
      <c r="J547">
        <v>103.89</v>
      </c>
      <c r="K547">
        <v>0.25</v>
      </c>
      <c r="L547" t="s">
        <v>98</v>
      </c>
      <c r="M547">
        <v>8</v>
      </c>
      <c r="N547" t="s">
        <v>91</v>
      </c>
      <c r="O547" t="s">
        <v>105</v>
      </c>
      <c r="P547" t="s">
        <v>165</v>
      </c>
      <c r="Q547" t="s">
        <v>225</v>
      </c>
      <c r="R547" t="s">
        <v>111</v>
      </c>
      <c r="S547" t="s">
        <v>98</v>
      </c>
      <c r="T547">
        <v>1</v>
      </c>
      <c r="U547" t="s">
        <v>1328</v>
      </c>
      <c r="V547" t="s">
        <v>1247</v>
      </c>
      <c r="W547" t="s">
        <v>1237</v>
      </c>
      <c r="X547" t="s">
        <v>1210</v>
      </c>
      <c r="Y547" t="s">
        <v>1203</v>
      </c>
      <c r="Z547">
        <v>46.07</v>
      </c>
      <c r="AA547">
        <v>103.89</v>
      </c>
      <c r="AB547">
        <v>25.9725</v>
      </c>
      <c r="AC547">
        <v>77.917500000000004</v>
      </c>
      <c r="AD547">
        <v>46.07</v>
      </c>
      <c r="AE547">
        <v>31.847500000000004</v>
      </c>
      <c r="AF547">
        <v>0.40873359643212376</v>
      </c>
      <c r="AG547">
        <v>2025</v>
      </c>
      <c r="AH547">
        <v>4</v>
      </c>
      <c r="AI547" t="s">
        <v>1421</v>
      </c>
      <c r="AJ547" t="s">
        <v>1420</v>
      </c>
      <c r="AK547" t="s">
        <v>1240</v>
      </c>
      <c r="AL547">
        <v>0</v>
      </c>
    </row>
    <row r="548" spans="1:38">
      <c r="A548" t="s">
        <v>898</v>
      </c>
      <c r="B548" s="13">
        <v>45837</v>
      </c>
      <c r="C548" t="s">
        <v>466</v>
      </c>
      <c r="D548" t="s">
        <v>101</v>
      </c>
      <c r="E548" t="s">
        <v>467</v>
      </c>
      <c r="F548" t="s">
        <v>111</v>
      </c>
      <c r="G548" t="s">
        <v>117</v>
      </c>
      <c r="H548" t="s">
        <v>89</v>
      </c>
      <c r="I548">
        <v>3</v>
      </c>
      <c r="J548">
        <v>314.99</v>
      </c>
      <c r="K548">
        <v>0.15</v>
      </c>
      <c r="L548" t="s">
        <v>98</v>
      </c>
      <c r="M548">
        <v>9</v>
      </c>
      <c r="N548" t="s">
        <v>91</v>
      </c>
      <c r="O548" t="s">
        <v>89</v>
      </c>
      <c r="P548" t="s">
        <v>101</v>
      </c>
      <c r="Q548" t="s">
        <v>466</v>
      </c>
      <c r="R548" t="s">
        <v>111</v>
      </c>
      <c r="S548" t="s">
        <v>98</v>
      </c>
      <c r="T548">
        <v>1</v>
      </c>
      <c r="U548" t="s">
        <v>1340</v>
      </c>
      <c r="V548" t="s">
        <v>1247</v>
      </c>
      <c r="W548" t="s">
        <v>1245</v>
      </c>
      <c r="X548" t="s">
        <v>1207</v>
      </c>
      <c r="Y548" t="s">
        <v>1203</v>
      </c>
      <c r="Z548">
        <v>139.86000000000001</v>
      </c>
      <c r="AA548">
        <v>944.97</v>
      </c>
      <c r="AB548">
        <v>141.74549999999999</v>
      </c>
      <c r="AC548">
        <v>803.22450000000003</v>
      </c>
      <c r="AD548">
        <v>419.58000000000004</v>
      </c>
      <c r="AE548">
        <v>383.64449999999999</v>
      </c>
      <c r="AF548">
        <v>0.47763047566402667</v>
      </c>
      <c r="AG548">
        <v>2025</v>
      </c>
      <c r="AH548">
        <v>6</v>
      </c>
      <c r="AI548" t="s">
        <v>1429</v>
      </c>
      <c r="AJ548" t="s">
        <v>1420</v>
      </c>
      <c r="AK548" t="s">
        <v>1240</v>
      </c>
      <c r="AL548">
        <v>0</v>
      </c>
    </row>
    <row r="549" spans="1:38">
      <c r="A549" t="s">
        <v>900</v>
      </c>
      <c r="B549" s="13">
        <v>45785</v>
      </c>
      <c r="C549" t="s">
        <v>100</v>
      </c>
      <c r="D549" t="s">
        <v>101</v>
      </c>
      <c r="E549" t="s">
        <v>102</v>
      </c>
      <c r="F549" t="s">
        <v>145</v>
      </c>
      <c r="G549" t="s">
        <v>104</v>
      </c>
      <c r="H549" t="s">
        <v>89</v>
      </c>
      <c r="I549">
        <v>4</v>
      </c>
      <c r="J549">
        <v>310.64999999999998</v>
      </c>
      <c r="K549">
        <v>0.1</v>
      </c>
      <c r="L549" t="s">
        <v>98</v>
      </c>
      <c r="M549">
        <v>1</v>
      </c>
      <c r="N549" t="s">
        <v>91</v>
      </c>
      <c r="O549" t="s">
        <v>89</v>
      </c>
      <c r="P549" t="s">
        <v>101</v>
      </c>
      <c r="Q549" t="s">
        <v>100</v>
      </c>
      <c r="R549" t="s">
        <v>145</v>
      </c>
      <c r="S549" t="s">
        <v>98</v>
      </c>
      <c r="T549">
        <v>1</v>
      </c>
      <c r="U549" t="s">
        <v>1242</v>
      </c>
      <c r="V549" t="s">
        <v>1243</v>
      </c>
      <c r="W549" t="s">
        <v>1245</v>
      </c>
      <c r="X549" t="s">
        <v>1207</v>
      </c>
      <c r="Y549" t="s">
        <v>1203</v>
      </c>
      <c r="Z549">
        <v>139.86000000000001</v>
      </c>
      <c r="AA549">
        <v>1242.5999999999999</v>
      </c>
      <c r="AB549">
        <v>124.25999999999999</v>
      </c>
      <c r="AC549">
        <v>1118.3399999999999</v>
      </c>
      <c r="AD549">
        <v>559.44000000000005</v>
      </c>
      <c r="AE549">
        <v>558.89999999999986</v>
      </c>
      <c r="AF549">
        <v>0.49975857073877344</v>
      </c>
      <c r="AG549">
        <v>2025</v>
      </c>
      <c r="AH549">
        <v>5</v>
      </c>
      <c r="AI549" t="s">
        <v>1419</v>
      </c>
      <c r="AJ549" t="s">
        <v>1420</v>
      </c>
      <c r="AK549" t="s">
        <v>1244</v>
      </c>
      <c r="AL549">
        <v>0</v>
      </c>
    </row>
    <row r="550" spans="1:38">
      <c r="A550" t="s">
        <v>901</v>
      </c>
      <c r="B550" s="13">
        <v>45806</v>
      </c>
      <c r="C550" t="s">
        <v>366</v>
      </c>
      <c r="D550" t="s">
        <v>249</v>
      </c>
      <c r="E550" t="s">
        <v>367</v>
      </c>
      <c r="F550" t="s">
        <v>87</v>
      </c>
      <c r="G550" t="s">
        <v>122</v>
      </c>
      <c r="H550" t="s">
        <v>97</v>
      </c>
      <c r="I550">
        <v>2</v>
      </c>
      <c r="J550">
        <v>440.76</v>
      </c>
      <c r="K550">
        <v>0.2</v>
      </c>
      <c r="L550" t="s">
        <v>106</v>
      </c>
      <c r="M550">
        <v>2</v>
      </c>
      <c r="N550" t="s">
        <v>91</v>
      </c>
      <c r="O550" t="s">
        <v>97</v>
      </c>
      <c r="P550" t="s">
        <v>249</v>
      </c>
      <c r="Q550" t="s">
        <v>366</v>
      </c>
      <c r="R550" t="s">
        <v>87</v>
      </c>
      <c r="S550" t="s">
        <v>106</v>
      </c>
      <c r="T550">
        <v>1</v>
      </c>
      <c r="U550" t="s">
        <v>1259</v>
      </c>
      <c r="V550" t="s">
        <v>1297</v>
      </c>
      <c r="W550" t="s">
        <v>1237</v>
      </c>
      <c r="X550" t="s">
        <v>1208</v>
      </c>
      <c r="Y550" t="s">
        <v>1203</v>
      </c>
      <c r="Z550">
        <v>239.67</v>
      </c>
      <c r="AA550">
        <v>881.52</v>
      </c>
      <c r="AB550">
        <v>176.304</v>
      </c>
      <c r="AC550">
        <v>705.21600000000001</v>
      </c>
      <c r="AD550">
        <v>479.34</v>
      </c>
      <c r="AE550">
        <v>225.87600000000003</v>
      </c>
      <c r="AF550">
        <v>0.32029335692894095</v>
      </c>
      <c r="AG550">
        <v>2025</v>
      </c>
      <c r="AH550">
        <v>5</v>
      </c>
      <c r="AI550" t="s">
        <v>1419</v>
      </c>
      <c r="AJ550" t="s">
        <v>1420</v>
      </c>
      <c r="AK550" t="s">
        <v>1258</v>
      </c>
      <c r="AL550">
        <v>0</v>
      </c>
    </row>
    <row r="551" spans="1:38">
      <c r="A551" t="s">
        <v>903</v>
      </c>
      <c r="B551" s="13">
        <v>45693</v>
      </c>
      <c r="C551" t="s">
        <v>448</v>
      </c>
      <c r="D551" t="s">
        <v>360</v>
      </c>
      <c r="E551" t="s">
        <v>790</v>
      </c>
      <c r="F551" t="s">
        <v>111</v>
      </c>
      <c r="G551" t="s">
        <v>117</v>
      </c>
      <c r="H551" t="s">
        <v>97</v>
      </c>
      <c r="I551">
        <v>1</v>
      </c>
      <c r="J551">
        <v>68.52</v>
      </c>
      <c r="K551">
        <v>0.1</v>
      </c>
      <c r="L551" t="s">
        <v>106</v>
      </c>
      <c r="M551">
        <v>1</v>
      </c>
      <c r="N551" t="s">
        <v>91</v>
      </c>
      <c r="O551" t="s">
        <v>97</v>
      </c>
      <c r="P551" t="s">
        <v>360</v>
      </c>
      <c r="Q551" t="s">
        <v>448</v>
      </c>
      <c r="R551" t="s">
        <v>111</v>
      </c>
      <c r="S551" t="s">
        <v>106</v>
      </c>
      <c r="T551">
        <v>1</v>
      </c>
      <c r="U551" t="s">
        <v>1322</v>
      </c>
      <c r="V551" t="s">
        <v>1297</v>
      </c>
      <c r="W551" t="s">
        <v>1245</v>
      </c>
      <c r="X551" t="s">
        <v>1206</v>
      </c>
      <c r="Y551" t="s">
        <v>1203</v>
      </c>
      <c r="Z551">
        <v>37.46</v>
      </c>
      <c r="AA551">
        <v>68.52</v>
      </c>
      <c r="AB551">
        <v>6.8520000000000003</v>
      </c>
      <c r="AC551">
        <v>61.667999999999992</v>
      </c>
      <c r="AD551">
        <v>37.46</v>
      </c>
      <c r="AE551">
        <v>24.207999999999991</v>
      </c>
      <c r="AF551">
        <v>0.3925536745151455</v>
      </c>
      <c r="AG551">
        <v>2025</v>
      </c>
      <c r="AH551">
        <v>2</v>
      </c>
      <c r="AI551" t="s">
        <v>1430</v>
      </c>
      <c r="AJ551" t="s">
        <v>1424</v>
      </c>
      <c r="AK551" t="s">
        <v>1258</v>
      </c>
      <c r="AL551">
        <v>0</v>
      </c>
    </row>
    <row r="552" spans="1:38">
      <c r="A552" t="s">
        <v>906</v>
      </c>
      <c r="B552" s="13">
        <v>45974</v>
      </c>
      <c r="C552" t="s">
        <v>213</v>
      </c>
      <c r="D552" t="s">
        <v>249</v>
      </c>
      <c r="E552" t="s">
        <v>907</v>
      </c>
      <c r="F552" t="s">
        <v>103</v>
      </c>
      <c r="G552" t="s">
        <v>122</v>
      </c>
      <c r="H552" t="s">
        <v>97</v>
      </c>
      <c r="I552">
        <v>2</v>
      </c>
      <c r="J552">
        <v>401.68</v>
      </c>
      <c r="K552">
        <v>0.1</v>
      </c>
      <c r="L552" t="s">
        <v>98</v>
      </c>
      <c r="M552">
        <v>3</v>
      </c>
      <c r="N552" t="s">
        <v>91</v>
      </c>
      <c r="O552" t="s">
        <v>97</v>
      </c>
      <c r="P552" t="s">
        <v>249</v>
      </c>
      <c r="Q552" t="s">
        <v>213</v>
      </c>
      <c r="R552" t="s">
        <v>103</v>
      </c>
      <c r="S552" t="s">
        <v>98</v>
      </c>
      <c r="T552">
        <v>1</v>
      </c>
      <c r="U552" t="s">
        <v>1234</v>
      </c>
      <c r="V552" t="s">
        <v>1235</v>
      </c>
      <c r="W552" t="s">
        <v>1237</v>
      </c>
      <c r="X552" t="s">
        <v>1208</v>
      </c>
      <c r="Y552" t="s">
        <v>1203</v>
      </c>
      <c r="Z552">
        <v>239.67</v>
      </c>
      <c r="AA552">
        <v>803.36</v>
      </c>
      <c r="AB552">
        <v>80.336000000000013</v>
      </c>
      <c r="AC552">
        <v>723.024</v>
      </c>
      <c r="AD552">
        <v>479.34</v>
      </c>
      <c r="AE552">
        <v>243.68400000000003</v>
      </c>
      <c r="AF552">
        <v>0.3370344552877913</v>
      </c>
      <c r="AG552">
        <v>2025</v>
      </c>
      <c r="AH552">
        <v>11</v>
      </c>
      <c r="AI552" t="s">
        <v>1426</v>
      </c>
      <c r="AJ552" t="s">
        <v>1427</v>
      </c>
      <c r="AK552" t="s">
        <v>1236</v>
      </c>
      <c r="AL552">
        <v>0</v>
      </c>
    </row>
    <row r="553" spans="1:38">
      <c r="A553" t="s">
        <v>922</v>
      </c>
      <c r="B553" s="13">
        <v>45849</v>
      </c>
      <c r="C553" t="s">
        <v>809</v>
      </c>
      <c r="D553" t="s">
        <v>249</v>
      </c>
      <c r="E553" t="s">
        <v>810</v>
      </c>
      <c r="F553" t="s">
        <v>111</v>
      </c>
      <c r="G553" t="s">
        <v>130</v>
      </c>
      <c r="H553" t="s">
        <v>97</v>
      </c>
      <c r="I553">
        <v>1</v>
      </c>
      <c r="J553">
        <v>420.77</v>
      </c>
      <c r="K553">
        <v>0.05</v>
      </c>
      <c r="M553">
        <v>1</v>
      </c>
      <c r="N553" t="s">
        <v>91</v>
      </c>
      <c r="O553" t="s">
        <v>97</v>
      </c>
      <c r="P553" t="s">
        <v>249</v>
      </c>
      <c r="Q553" t="s">
        <v>809</v>
      </c>
      <c r="R553" t="s">
        <v>111</v>
      </c>
      <c r="S553" t="s">
        <v>1413</v>
      </c>
      <c r="T553">
        <v>1</v>
      </c>
      <c r="U553" t="s">
        <v>1299</v>
      </c>
      <c r="V553" t="s">
        <v>1247</v>
      </c>
      <c r="W553" t="s">
        <v>1237</v>
      </c>
      <c r="X553" t="s">
        <v>1208</v>
      </c>
      <c r="Y553" t="s">
        <v>1203</v>
      </c>
      <c r="Z553">
        <v>239.67</v>
      </c>
      <c r="AA553">
        <v>420.77</v>
      </c>
      <c r="AB553">
        <v>21.038499999999999</v>
      </c>
      <c r="AC553">
        <v>399.73149999999998</v>
      </c>
      <c r="AD553">
        <v>239.67</v>
      </c>
      <c r="AE553">
        <v>160.0615</v>
      </c>
      <c r="AF553">
        <v>0.40042253362569624</v>
      </c>
      <c r="AG553">
        <v>2025</v>
      </c>
      <c r="AH553">
        <v>7</v>
      </c>
      <c r="AI553" t="s">
        <v>1422</v>
      </c>
      <c r="AJ553" t="s">
        <v>1418</v>
      </c>
      <c r="AK553" t="s">
        <v>1240</v>
      </c>
      <c r="AL553">
        <v>0</v>
      </c>
    </row>
    <row r="554" spans="1:38">
      <c r="A554" t="s">
        <v>926</v>
      </c>
      <c r="B554" s="13">
        <v>45819</v>
      </c>
      <c r="C554" t="s">
        <v>500</v>
      </c>
      <c r="D554" t="s">
        <v>323</v>
      </c>
      <c r="E554" t="s">
        <v>501</v>
      </c>
      <c r="F554" t="s">
        <v>116</v>
      </c>
      <c r="G554" t="s">
        <v>130</v>
      </c>
      <c r="H554" t="s">
        <v>233</v>
      </c>
      <c r="I554">
        <v>1</v>
      </c>
      <c r="J554">
        <v>345.91</v>
      </c>
      <c r="K554">
        <v>0.2</v>
      </c>
      <c r="L554" t="s">
        <v>106</v>
      </c>
      <c r="M554">
        <v>1</v>
      </c>
      <c r="N554" t="s">
        <v>91</v>
      </c>
      <c r="O554" t="s">
        <v>97</v>
      </c>
      <c r="P554" t="s">
        <v>323</v>
      </c>
      <c r="Q554" t="s">
        <v>500</v>
      </c>
      <c r="R554" t="s">
        <v>116</v>
      </c>
      <c r="S554" t="s">
        <v>106</v>
      </c>
      <c r="T554">
        <v>1</v>
      </c>
      <c r="U554" t="s">
        <v>1298</v>
      </c>
      <c r="V554" t="s">
        <v>1297</v>
      </c>
      <c r="W554" t="s">
        <v>1245</v>
      </c>
      <c r="X554" t="s">
        <v>1209</v>
      </c>
      <c r="Y554" t="s">
        <v>1203</v>
      </c>
      <c r="Z554">
        <v>152.88</v>
      </c>
      <c r="AA554">
        <v>345.91</v>
      </c>
      <c r="AB554">
        <v>69.182000000000002</v>
      </c>
      <c r="AC554">
        <v>276.72800000000001</v>
      </c>
      <c r="AD554">
        <v>152.88</v>
      </c>
      <c r="AE554">
        <v>123.84800000000001</v>
      </c>
      <c r="AF554">
        <v>0.44754415888525922</v>
      </c>
      <c r="AG554">
        <v>2025</v>
      </c>
      <c r="AH554">
        <v>6</v>
      </c>
      <c r="AI554" t="s">
        <v>1429</v>
      </c>
      <c r="AJ554" t="s">
        <v>1420</v>
      </c>
      <c r="AK554" t="s">
        <v>1258</v>
      </c>
      <c r="AL554">
        <v>0</v>
      </c>
    </row>
    <row r="555" spans="1:38">
      <c r="A555" t="s">
        <v>946</v>
      </c>
      <c r="B555" s="13">
        <v>45957</v>
      </c>
      <c r="C555" t="s">
        <v>706</v>
      </c>
      <c r="D555" t="s">
        <v>101</v>
      </c>
      <c r="E555" t="s">
        <v>843</v>
      </c>
      <c r="F555" t="s">
        <v>111</v>
      </c>
      <c r="G555" t="s">
        <v>171</v>
      </c>
      <c r="H555" t="s">
        <v>97</v>
      </c>
      <c r="I555">
        <v>1</v>
      </c>
      <c r="J555">
        <v>316.77999999999997</v>
      </c>
      <c r="K555">
        <v>0</v>
      </c>
      <c r="L555" t="s">
        <v>106</v>
      </c>
      <c r="M555">
        <v>4</v>
      </c>
      <c r="N555" t="s">
        <v>91</v>
      </c>
      <c r="O555" t="s">
        <v>97</v>
      </c>
      <c r="P555" t="s">
        <v>101</v>
      </c>
      <c r="Q555" t="s">
        <v>706</v>
      </c>
      <c r="R555" t="s">
        <v>111</v>
      </c>
      <c r="S555" t="s">
        <v>106</v>
      </c>
      <c r="T555">
        <v>1</v>
      </c>
      <c r="U555" t="s">
        <v>1251</v>
      </c>
      <c r="V555" t="s">
        <v>1247</v>
      </c>
      <c r="W555" t="s">
        <v>1237</v>
      </c>
      <c r="X555" t="s">
        <v>1207</v>
      </c>
      <c r="Y555" t="s">
        <v>1203</v>
      </c>
      <c r="Z555">
        <v>139.86000000000001</v>
      </c>
      <c r="AA555">
        <v>316.77999999999997</v>
      </c>
      <c r="AB555">
        <v>0</v>
      </c>
      <c r="AC555">
        <v>316.77999999999997</v>
      </c>
      <c r="AD555">
        <v>139.86000000000001</v>
      </c>
      <c r="AE555">
        <v>176.91999999999996</v>
      </c>
      <c r="AF555">
        <v>0.55849485447313585</v>
      </c>
      <c r="AG555">
        <v>2025</v>
      </c>
      <c r="AH555">
        <v>10</v>
      </c>
      <c r="AI555" t="s">
        <v>1431</v>
      </c>
      <c r="AJ555" t="s">
        <v>1427</v>
      </c>
      <c r="AK555" t="s">
        <v>1240</v>
      </c>
      <c r="AL555">
        <v>0</v>
      </c>
    </row>
    <row r="556" spans="1:38">
      <c r="A556" t="s">
        <v>952</v>
      </c>
      <c r="B556" s="13">
        <v>45752</v>
      </c>
      <c r="C556" t="s">
        <v>200</v>
      </c>
      <c r="D556" t="s">
        <v>360</v>
      </c>
      <c r="E556" t="s">
        <v>201</v>
      </c>
      <c r="F556" t="s">
        <v>87</v>
      </c>
      <c r="G556" t="s">
        <v>117</v>
      </c>
      <c r="H556" t="s">
        <v>105</v>
      </c>
      <c r="I556">
        <v>2</v>
      </c>
      <c r="J556">
        <v>63.34</v>
      </c>
      <c r="K556">
        <v>0.1</v>
      </c>
      <c r="L556" t="s">
        <v>98</v>
      </c>
      <c r="M556">
        <v>6</v>
      </c>
      <c r="N556" t="s">
        <v>91</v>
      </c>
      <c r="O556" t="s">
        <v>105</v>
      </c>
      <c r="P556" t="s">
        <v>360</v>
      </c>
      <c r="Q556" t="s">
        <v>200</v>
      </c>
      <c r="R556" t="s">
        <v>87</v>
      </c>
      <c r="S556" t="s">
        <v>98</v>
      </c>
      <c r="T556">
        <v>1</v>
      </c>
      <c r="U556" t="s">
        <v>1357</v>
      </c>
      <c r="V556" t="s">
        <v>1257</v>
      </c>
      <c r="W556" t="s">
        <v>1241</v>
      </c>
      <c r="X556" t="s">
        <v>1206</v>
      </c>
      <c r="Y556" t="s">
        <v>1203</v>
      </c>
      <c r="Z556">
        <v>37.46</v>
      </c>
      <c r="AA556">
        <v>126.68</v>
      </c>
      <c r="AB556">
        <v>12.668000000000001</v>
      </c>
      <c r="AC556">
        <v>114.012</v>
      </c>
      <c r="AD556">
        <v>74.92</v>
      </c>
      <c r="AE556">
        <v>39.091999999999999</v>
      </c>
      <c r="AF556">
        <v>0.34287618847138895</v>
      </c>
      <c r="AG556">
        <v>2025</v>
      </c>
      <c r="AH556">
        <v>4</v>
      </c>
      <c r="AI556" t="s">
        <v>1421</v>
      </c>
      <c r="AJ556" t="s">
        <v>1420</v>
      </c>
      <c r="AK556" t="s">
        <v>1258</v>
      </c>
      <c r="AL556">
        <v>0</v>
      </c>
    </row>
    <row r="557" spans="1:38">
      <c r="A557" t="s">
        <v>954</v>
      </c>
      <c r="B557" s="13">
        <v>45666</v>
      </c>
      <c r="C557" t="s">
        <v>366</v>
      </c>
      <c r="D557" t="s">
        <v>165</v>
      </c>
      <c r="E557" t="s">
        <v>367</v>
      </c>
      <c r="F557" t="s">
        <v>103</v>
      </c>
      <c r="G557" t="s">
        <v>122</v>
      </c>
      <c r="H557" t="s">
        <v>89</v>
      </c>
      <c r="I557">
        <v>3</v>
      </c>
      <c r="J557">
        <v>101.4</v>
      </c>
      <c r="K557">
        <v>0.1</v>
      </c>
      <c r="L557" t="s">
        <v>90</v>
      </c>
      <c r="M557">
        <v>4</v>
      </c>
      <c r="N557" t="s">
        <v>91</v>
      </c>
      <c r="O557" t="s">
        <v>89</v>
      </c>
      <c r="P557" t="s">
        <v>165</v>
      </c>
      <c r="Q557" t="s">
        <v>366</v>
      </c>
      <c r="R557" t="s">
        <v>103</v>
      </c>
      <c r="S557" t="s">
        <v>369</v>
      </c>
      <c r="T557">
        <v>1</v>
      </c>
      <c r="U557" t="s">
        <v>1259</v>
      </c>
      <c r="V557" t="s">
        <v>1297</v>
      </c>
      <c r="W557" t="s">
        <v>1237</v>
      </c>
      <c r="X557" t="s">
        <v>1210</v>
      </c>
      <c r="Y557" t="s">
        <v>1203</v>
      </c>
      <c r="Z557">
        <v>46.07</v>
      </c>
      <c r="AA557">
        <v>304.20000000000005</v>
      </c>
      <c r="AB557">
        <v>30.420000000000005</v>
      </c>
      <c r="AC557">
        <v>273.78000000000003</v>
      </c>
      <c r="AD557">
        <v>138.21</v>
      </c>
      <c r="AE557">
        <v>135.57000000000002</v>
      </c>
      <c r="AF557">
        <v>0.49517861056322598</v>
      </c>
      <c r="AG557">
        <v>2025</v>
      </c>
      <c r="AH557">
        <v>1</v>
      </c>
      <c r="AI557" t="s">
        <v>1425</v>
      </c>
      <c r="AJ557" t="s">
        <v>1424</v>
      </c>
      <c r="AK557" t="s">
        <v>1258</v>
      </c>
      <c r="AL557">
        <v>0</v>
      </c>
    </row>
    <row r="558" spans="1:38">
      <c r="A558" t="s">
        <v>956</v>
      </c>
      <c r="B558" s="13">
        <v>45993</v>
      </c>
      <c r="C558" t="s">
        <v>500</v>
      </c>
      <c r="D558" t="s">
        <v>249</v>
      </c>
      <c r="E558" t="s">
        <v>501</v>
      </c>
      <c r="F558" t="s">
        <v>655</v>
      </c>
      <c r="G558" t="s">
        <v>117</v>
      </c>
      <c r="H558" t="s">
        <v>89</v>
      </c>
      <c r="I558">
        <v>2</v>
      </c>
      <c r="J558">
        <v>416.28</v>
      </c>
      <c r="K558">
        <v>0</v>
      </c>
      <c r="L558" t="s">
        <v>90</v>
      </c>
      <c r="M558">
        <v>9</v>
      </c>
      <c r="N558" t="s">
        <v>91</v>
      </c>
      <c r="O558" t="s">
        <v>89</v>
      </c>
      <c r="P558" t="s">
        <v>249</v>
      </c>
      <c r="Q558" t="s">
        <v>500</v>
      </c>
      <c r="R558" t="s">
        <v>87</v>
      </c>
      <c r="S558" t="s">
        <v>369</v>
      </c>
      <c r="T558">
        <v>1</v>
      </c>
      <c r="U558" t="s">
        <v>1298</v>
      </c>
      <c r="V558" t="s">
        <v>1297</v>
      </c>
      <c r="W558" t="s">
        <v>1245</v>
      </c>
      <c r="X558" t="s">
        <v>1208</v>
      </c>
      <c r="Y558" t="s">
        <v>1203</v>
      </c>
      <c r="Z558">
        <v>239.67</v>
      </c>
      <c r="AA558">
        <v>832.56</v>
      </c>
      <c r="AB558">
        <v>0</v>
      </c>
      <c r="AC558">
        <v>832.56</v>
      </c>
      <c r="AD558">
        <v>479.34</v>
      </c>
      <c r="AE558">
        <v>353.21999999999997</v>
      </c>
      <c r="AF558">
        <v>0.42425771115595273</v>
      </c>
      <c r="AG558">
        <v>2025</v>
      </c>
      <c r="AH558">
        <v>12</v>
      </c>
      <c r="AI558" t="s">
        <v>1428</v>
      </c>
      <c r="AJ558" t="s">
        <v>1427</v>
      </c>
      <c r="AK558" t="s">
        <v>1258</v>
      </c>
      <c r="AL558">
        <v>0</v>
      </c>
    </row>
    <row r="559" spans="1:38">
      <c r="A559" t="s">
        <v>964</v>
      </c>
      <c r="B559" s="13">
        <v>45863</v>
      </c>
      <c r="C559" t="s">
        <v>531</v>
      </c>
      <c r="D559" t="s">
        <v>101</v>
      </c>
      <c r="E559" t="s">
        <v>532</v>
      </c>
      <c r="F559" t="s">
        <v>111</v>
      </c>
      <c r="G559" t="s">
        <v>183</v>
      </c>
      <c r="H559" t="s">
        <v>89</v>
      </c>
      <c r="I559">
        <v>1</v>
      </c>
      <c r="J559">
        <v>314.3</v>
      </c>
      <c r="K559">
        <v>0.05</v>
      </c>
      <c r="L559" t="s">
        <v>106</v>
      </c>
      <c r="M559">
        <v>3</v>
      </c>
      <c r="N559" t="s">
        <v>91</v>
      </c>
      <c r="O559" t="s">
        <v>89</v>
      </c>
      <c r="P559" t="s">
        <v>101</v>
      </c>
      <c r="Q559" t="s">
        <v>531</v>
      </c>
      <c r="R559" t="s">
        <v>111</v>
      </c>
      <c r="S559" t="s">
        <v>106</v>
      </c>
      <c r="T559">
        <v>1</v>
      </c>
      <c r="U559" t="s">
        <v>1294</v>
      </c>
      <c r="V559" t="s">
        <v>1260</v>
      </c>
      <c r="W559" t="s">
        <v>1237</v>
      </c>
      <c r="X559" t="s">
        <v>1207</v>
      </c>
      <c r="Y559" t="s">
        <v>1203</v>
      </c>
      <c r="Z559">
        <v>139.86000000000001</v>
      </c>
      <c r="AA559">
        <v>314.3</v>
      </c>
      <c r="AB559">
        <v>15.715000000000002</v>
      </c>
      <c r="AC559">
        <v>298.58500000000004</v>
      </c>
      <c r="AD559">
        <v>139.86000000000001</v>
      </c>
      <c r="AE559">
        <v>158.72500000000002</v>
      </c>
      <c r="AF559">
        <v>0.53159066932364318</v>
      </c>
      <c r="AG559">
        <v>2025</v>
      </c>
      <c r="AH559">
        <v>7</v>
      </c>
      <c r="AI559" t="s">
        <v>1422</v>
      </c>
      <c r="AJ559" t="s">
        <v>1418</v>
      </c>
      <c r="AK559" t="s">
        <v>1240</v>
      </c>
      <c r="AL559">
        <v>0</v>
      </c>
    </row>
    <row r="560" spans="1:38">
      <c r="A560" t="s">
        <v>984</v>
      </c>
      <c r="B560" s="13">
        <v>45780</v>
      </c>
      <c r="C560" t="s">
        <v>290</v>
      </c>
      <c r="D560" t="s">
        <v>252</v>
      </c>
      <c r="E560" t="s">
        <v>732</v>
      </c>
      <c r="F560" t="s">
        <v>111</v>
      </c>
      <c r="G560" t="s">
        <v>104</v>
      </c>
      <c r="H560" t="s">
        <v>105</v>
      </c>
      <c r="I560">
        <v>1</v>
      </c>
      <c r="J560">
        <v>263.81</v>
      </c>
      <c r="K560">
        <v>0</v>
      </c>
      <c r="L560" t="s">
        <v>106</v>
      </c>
      <c r="M560">
        <v>7</v>
      </c>
      <c r="N560" t="s">
        <v>91</v>
      </c>
      <c r="O560" t="s">
        <v>105</v>
      </c>
      <c r="P560" t="s">
        <v>252</v>
      </c>
      <c r="Q560" t="s">
        <v>290</v>
      </c>
      <c r="R560" t="s">
        <v>111</v>
      </c>
      <c r="S560" t="s">
        <v>106</v>
      </c>
      <c r="T560">
        <v>1</v>
      </c>
      <c r="U560" t="s">
        <v>1356</v>
      </c>
      <c r="V560" t="s">
        <v>1255</v>
      </c>
      <c r="W560" t="s">
        <v>1245</v>
      </c>
      <c r="X560" t="s">
        <v>1205</v>
      </c>
      <c r="Y560" t="s">
        <v>1203</v>
      </c>
      <c r="Z560">
        <v>186.94</v>
      </c>
      <c r="AA560">
        <v>263.81</v>
      </c>
      <c r="AB560">
        <v>0</v>
      </c>
      <c r="AC560">
        <v>263.81</v>
      </c>
      <c r="AD560">
        <v>186.94</v>
      </c>
      <c r="AE560">
        <v>76.87</v>
      </c>
      <c r="AF560">
        <v>0.29138395057048633</v>
      </c>
      <c r="AG560">
        <v>2025</v>
      </c>
      <c r="AH560">
        <v>5</v>
      </c>
      <c r="AI560" t="s">
        <v>1419</v>
      </c>
      <c r="AJ560" t="s">
        <v>1420</v>
      </c>
      <c r="AK560" t="s">
        <v>1244</v>
      </c>
      <c r="AL560">
        <v>0</v>
      </c>
    </row>
    <row r="561" spans="1:38">
      <c r="A561" t="s">
        <v>993</v>
      </c>
      <c r="B561" s="13">
        <v>45882</v>
      </c>
      <c r="C561" t="s">
        <v>396</v>
      </c>
      <c r="D561" t="s">
        <v>520</v>
      </c>
      <c r="E561" t="s">
        <v>397</v>
      </c>
      <c r="F561" t="s">
        <v>87</v>
      </c>
      <c r="G561" t="s">
        <v>88</v>
      </c>
      <c r="H561" t="s">
        <v>89</v>
      </c>
      <c r="I561">
        <v>1</v>
      </c>
      <c r="J561">
        <v>368.38</v>
      </c>
      <c r="K561">
        <v>0.15</v>
      </c>
      <c r="L561" t="s">
        <v>146</v>
      </c>
      <c r="M561">
        <v>5</v>
      </c>
      <c r="N561" t="s">
        <v>91</v>
      </c>
      <c r="O561" t="s">
        <v>89</v>
      </c>
      <c r="P561" t="s">
        <v>520</v>
      </c>
      <c r="Q561" t="s">
        <v>396</v>
      </c>
      <c r="R561" t="s">
        <v>87</v>
      </c>
      <c r="S561" t="s">
        <v>154</v>
      </c>
      <c r="T561">
        <v>1</v>
      </c>
      <c r="U561" t="s">
        <v>1309</v>
      </c>
      <c r="V561" t="s">
        <v>1247</v>
      </c>
      <c r="W561" t="s">
        <v>1237</v>
      </c>
      <c r="X561" t="s">
        <v>1202</v>
      </c>
      <c r="Y561" t="s">
        <v>1203</v>
      </c>
      <c r="Z561">
        <v>241.16</v>
      </c>
      <c r="AA561">
        <v>368.38</v>
      </c>
      <c r="AB561">
        <v>55.256999999999998</v>
      </c>
      <c r="AC561">
        <v>313.12299999999999</v>
      </c>
      <c r="AD561">
        <v>241.16</v>
      </c>
      <c r="AE561">
        <v>71.962999999999994</v>
      </c>
      <c r="AF561">
        <v>0.22982342402186998</v>
      </c>
      <c r="AG561">
        <v>2025</v>
      </c>
      <c r="AH561">
        <v>8</v>
      </c>
      <c r="AI561" t="s">
        <v>1417</v>
      </c>
      <c r="AJ561" t="s">
        <v>1418</v>
      </c>
      <c r="AK561" t="s">
        <v>1240</v>
      </c>
      <c r="AL561">
        <v>0</v>
      </c>
    </row>
    <row r="562" spans="1:38">
      <c r="A562" t="s">
        <v>996</v>
      </c>
      <c r="B562" s="13">
        <v>46005</v>
      </c>
      <c r="C562" t="s">
        <v>180</v>
      </c>
      <c r="D562" t="s">
        <v>249</v>
      </c>
      <c r="E562" t="s">
        <v>182</v>
      </c>
      <c r="F562" t="s">
        <v>116</v>
      </c>
      <c r="G562" t="s">
        <v>117</v>
      </c>
      <c r="H562" t="s">
        <v>89</v>
      </c>
      <c r="I562">
        <v>1</v>
      </c>
      <c r="J562">
        <v>428.94</v>
      </c>
      <c r="K562">
        <v>0</v>
      </c>
      <c r="L562" t="s">
        <v>106</v>
      </c>
      <c r="M562">
        <v>4</v>
      </c>
      <c r="N562" t="s">
        <v>91</v>
      </c>
      <c r="O562" t="s">
        <v>89</v>
      </c>
      <c r="P562" t="s">
        <v>249</v>
      </c>
      <c r="Q562" t="s">
        <v>180</v>
      </c>
      <c r="R562" t="s">
        <v>116</v>
      </c>
      <c r="S562" t="s">
        <v>106</v>
      </c>
      <c r="T562">
        <v>1</v>
      </c>
      <c r="U562" t="s">
        <v>1332</v>
      </c>
      <c r="V562" t="s">
        <v>1249</v>
      </c>
      <c r="W562" t="s">
        <v>1237</v>
      </c>
      <c r="X562" t="s">
        <v>1208</v>
      </c>
      <c r="Y562" t="s">
        <v>1203</v>
      </c>
      <c r="Z562">
        <v>239.67</v>
      </c>
      <c r="AA562">
        <v>428.94</v>
      </c>
      <c r="AB562">
        <v>0</v>
      </c>
      <c r="AC562">
        <v>428.94</v>
      </c>
      <c r="AD562">
        <v>239.67</v>
      </c>
      <c r="AE562">
        <v>189.27</v>
      </c>
      <c r="AF562">
        <v>0.44125052454888797</v>
      </c>
      <c r="AG562">
        <v>2025</v>
      </c>
      <c r="AH562">
        <v>12</v>
      </c>
      <c r="AI562" t="s">
        <v>1428</v>
      </c>
      <c r="AJ562" t="s">
        <v>1427</v>
      </c>
      <c r="AK562" t="s">
        <v>1250</v>
      </c>
      <c r="AL562">
        <v>0</v>
      </c>
    </row>
    <row r="563" spans="1:38">
      <c r="A563" t="s">
        <v>1005</v>
      </c>
      <c r="B563" s="13">
        <v>45801</v>
      </c>
      <c r="C563" t="s">
        <v>402</v>
      </c>
      <c r="D563" t="s">
        <v>520</v>
      </c>
      <c r="E563" t="s">
        <v>1006</v>
      </c>
      <c r="F563" t="s">
        <v>116</v>
      </c>
      <c r="G563" t="s">
        <v>88</v>
      </c>
      <c r="H563" t="s">
        <v>89</v>
      </c>
      <c r="I563">
        <v>2</v>
      </c>
      <c r="J563">
        <v>384</v>
      </c>
      <c r="K563">
        <v>0</v>
      </c>
      <c r="L563" t="s">
        <v>98</v>
      </c>
      <c r="M563">
        <v>4</v>
      </c>
      <c r="N563" t="s">
        <v>91</v>
      </c>
      <c r="O563" t="s">
        <v>89</v>
      </c>
      <c r="P563" t="s">
        <v>520</v>
      </c>
      <c r="Q563" t="s">
        <v>402</v>
      </c>
      <c r="R563" t="s">
        <v>116</v>
      </c>
      <c r="S563" t="s">
        <v>98</v>
      </c>
      <c r="T563">
        <v>1</v>
      </c>
      <c r="U563" t="s">
        <v>1256</v>
      </c>
      <c r="V563" t="s">
        <v>1257</v>
      </c>
      <c r="W563" t="s">
        <v>1245</v>
      </c>
      <c r="X563" t="s">
        <v>1202</v>
      </c>
      <c r="Y563" t="s">
        <v>1203</v>
      </c>
      <c r="Z563">
        <v>241.16</v>
      </c>
      <c r="AA563">
        <v>768</v>
      </c>
      <c r="AB563">
        <v>0</v>
      </c>
      <c r="AC563">
        <v>768</v>
      </c>
      <c r="AD563">
        <v>482.32</v>
      </c>
      <c r="AE563">
        <v>285.68</v>
      </c>
      <c r="AF563">
        <v>0.37197916666666669</v>
      </c>
      <c r="AG563">
        <v>2025</v>
      </c>
      <c r="AH563">
        <v>5</v>
      </c>
      <c r="AI563" t="s">
        <v>1419</v>
      </c>
      <c r="AJ563" t="s">
        <v>1420</v>
      </c>
      <c r="AK563" t="s">
        <v>1258</v>
      </c>
      <c r="AL563">
        <v>0</v>
      </c>
    </row>
    <row r="564" spans="1:38">
      <c r="A564" t="s">
        <v>1007</v>
      </c>
      <c r="B564" s="13">
        <v>45662</v>
      </c>
      <c r="C564" t="s">
        <v>374</v>
      </c>
      <c r="D564" t="s">
        <v>249</v>
      </c>
      <c r="E564" t="s">
        <v>375</v>
      </c>
      <c r="F564" t="s">
        <v>111</v>
      </c>
      <c r="G564" t="s">
        <v>96</v>
      </c>
      <c r="H564" t="s">
        <v>105</v>
      </c>
      <c r="I564">
        <v>2</v>
      </c>
      <c r="J564">
        <v>414.63</v>
      </c>
      <c r="K564">
        <v>0.15</v>
      </c>
      <c r="L564" t="s">
        <v>106</v>
      </c>
      <c r="M564">
        <v>5</v>
      </c>
      <c r="N564" t="s">
        <v>91</v>
      </c>
      <c r="O564" t="s">
        <v>105</v>
      </c>
      <c r="P564" t="s">
        <v>249</v>
      </c>
      <c r="Q564" t="s">
        <v>374</v>
      </c>
      <c r="R564" t="s">
        <v>111</v>
      </c>
      <c r="S564" t="s">
        <v>106</v>
      </c>
      <c r="T564">
        <v>1</v>
      </c>
      <c r="U564" t="s">
        <v>1287</v>
      </c>
      <c r="V564" t="s">
        <v>1288</v>
      </c>
      <c r="W564" t="s">
        <v>1241</v>
      </c>
      <c r="X564" t="s">
        <v>1208</v>
      </c>
      <c r="Y564" t="s">
        <v>1203</v>
      </c>
      <c r="Z564">
        <v>239.67</v>
      </c>
      <c r="AA564">
        <v>829.26</v>
      </c>
      <c r="AB564">
        <v>124.389</v>
      </c>
      <c r="AC564">
        <v>704.87099999999998</v>
      </c>
      <c r="AD564">
        <v>479.34</v>
      </c>
      <c r="AE564">
        <v>225.53100000000001</v>
      </c>
      <c r="AF564">
        <v>0.31996067365517949</v>
      </c>
      <c r="AG564">
        <v>2025</v>
      </c>
      <c r="AH564">
        <v>1</v>
      </c>
      <c r="AI564" t="s">
        <v>1425</v>
      </c>
      <c r="AJ564" t="s">
        <v>1424</v>
      </c>
      <c r="AK564" t="s">
        <v>1250</v>
      </c>
      <c r="AL564">
        <v>0</v>
      </c>
    </row>
    <row r="565" spans="1:38">
      <c r="A565" t="s">
        <v>1011</v>
      </c>
      <c r="B565" s="13">
        <v>45746</v>
      </c>
      <c r="C565" t="s">
        <v>164</v>
      </c>
      <c r="D565" t="s">
        <v>101</v>
      </c>
      <c r="E565" t="s">
        <v>166</v>
      </c>
      <c r="F565" t="s">
        <v>87</v>
      </c>
      <c r="G565" t="s">
        <v>122</v>
      </c>
      <c r="H565" t="s">
        <v>89</v>
      </c>
      <c r="I565">
        <v>1</v>
      </c>
      <c r="J565">
        <v>298.7</v>
      </c>
      <c r="K565">
        <v>0</v>
      </c>
      <c r="L565" t="s">
        <v>504</v>
      </c>
      <c r="M565">
        <v>6</v>
      </c>
      <c r="N565" t="s">
        <v>91</v>
      </c>
      <c r="O565" t="s">
        <v>89</v>
      </c>
      <c r="P565" t="s">
        <v>101</v>
      </c>
      <c r="Q565" t="s">
        <v>164</v>
      </c>
      <c r="R565" t="s">
        <v>87</v>
      </c>
      <c r="S565" t="s">
        <v>98</v>
      </c>
      <c r="T565">
        <v>1</v>
      </c>
      <c r="U565" t="s">
        <v>1282</v>
      </c>
      <c r="V565" t="s">
        <v>1275</v>
      </c>
      <c r="W565" t="s">
        <v>1237</v>
      </c>
      <c r="X565" t="s">
        <v>1207</v>
      </c>
      <c r="Y565" t="s">
        <v>1203</v>
      </c>
      <c r="Z565">
        <v>139.86000000000001</v>
      </c>
      <c r="AA565">
        <v>298.7</v>
      </c>
      <c r="AB565">
        <v>0</v>
      </c>
      <c r="AC565">
        <v>298.7</v>
      </c>
      <c r="AD565">
        <v>139.86000000000001</v>
      </c>
      <c r="AE565">
        <v>158.83999999999997</v>
      </c>
      <c r="AF565">
        <v>0.53177100770003338</v>
      </c>
      <c r="AG565">
        <v>2025</v>
      </c>
      <c r="AH565">
        <v>3</v>
      </c>
      <c r="AI565" t="s">
        <v>1423</v>
      </c>
      <c r="AJ565" t="s">
        <v>1424</v>
      </c>
      <c r="AK565" t="s">
        <v>1258</v>
      </c>
      <c r="AL565">
        <v>0</v>
      </c>
    </row>
    <row r="566" spans="1:38">
      <c r="A566" t="s">
        <v>1012</v>
      </c>
      <c r="B566" s="13">
        <v>45706</v>
      </c>
      <c r="C566" t="s">
        <v>335</v>
      </c>
      <c r="D566" t="s">
        <v>323</v>
      </c>
      <c r="E566" t="s">
        <v>336</v>
      </c>
      <c r="F566" t="s">
        <v>145</v>
      </c>
      <c r="G566" t="s">
        <v>122</v>
      </c>
      <c r="H566" t="s">
        <v>89</v>
      </c>
      <c r="I566">
        <v>2</v>
      </c>
      <c r="J566">
        <v>317.93</v>
      </c>
      <c r="K566">
        <v>0.2</v>
      </c>
      <c r="L566" t="s">
        <v>90</v>
      </c>
      <c r="M566">
        <v>1</v>
      </c>
      <c r="N566" t="s">
        <v>91</v>
      </c>
      <c r="O566" t="s">
        <v>89</v>
      </c>
      <c r="P566" t="s">
        <v>323</v>
      </c>
      <c r="Q566" t="s">
        <v>335</v>
      </c>
      <c r="R566" t="s">
        <v>145</v>
      </c>
      <c r="S566" t="s">
        <v>369</v>
      </c>
      <c r="T566">
        <v>1</v>
      </c>
      <c r="U566" t="s">
        <v>1290</v>
      </c>
      <c r="V566" t="s">
        <v>1257</v>
      </c>
      <c r="W566" t="s">
        <v>1241</v>
      </c>
      <c r="X566" t="s">
        <v>1209</v>
      </c>
      <c r="Y566" t="s">
        <v>1203</v>
      </c>
      <c r="Z566">
        <v>152.88</v>
      </c>
      <c r="AA566">
        <v>635.86</v>
      </c>
      <c r="AB566">
        <v>127.17200000000001</v>
      </c>
      <c r="AC566">
        <v>508.68799999999999</v>
      </c>
      <c r="AD566">
        <v>305.76</v>
      </c>
      <c r="AE566">
        <v>202.928</v>
      </c>
      <c r="AF566">
        <v>0.39892429151070991</v>
      </c>
      <c r="AG566">
        <v>2025</v>
      </c>
      <c r="AH566">
        <v>2</v>
      </c>
      <c r="AI566" t="s">
        <v>1430</v>
      </c>
      <c r="AJ566" t="s">
        <v>1424</v>
      </c>
      <c r="AK566" t="s">
        <v>1258</v>
      </c>
      <c r="AL566">
        <v>0</v>
      </c>
    </row>
    <row r="567" spans="1:38">
      <c r="A567" t="s">
        <v>1013</v>
      </c>
      <c r="B567" s="13">
        <v>45664</v>
      </c>
      <c r="C567" t="s">
        <v>600</v>
      </c>
      <c r="D567" t="s">
        <v>323</v>
      </c>
      <c r="E567" t="s">
        <v>601</v>
      </c>
      <c r="F567" t="s">
        <v>111</v>
      </c>
      <c r="G567" t="s">
        <v>117</v>
      </c>
      <c r="H567" t="s">
        <v>89</v>
      </c>
      <c r="I567">
        <v>4</v>
      </c>
      <c r="J567">
        <v>330.62</v>
      </c>
      <c r="K567">
        <v>0</v>
      </c>
      <c r="L567" t="s">
        <v>90</v>
      </c>
      <c r="M567">
        <v>1</v>
      </c>
      <c r="N567" t="s">
        <v>91</v>
      </c>
      <c r="O567" t="s">
        <v>89</v>
      </c>
      <c r="P567" t="s">
        <v>323</v>
      </c>
      <c r="Q567" t="s">
        <v>600</v>
      </c>
      <c r="R567" t="s">
        <v>111</v>
      </c>
      <c r="S567" t="s">
        <v>369</v>
      </c>
      <c r="T567">
        <v>1</v>
      </c>
      <c r="U567" t="s">
        <v>1351</v>
      </c>
      <c r="V567" t="s">
        <v>1257</v>
      </c>
      <c r="W567" t="s">
        <v>1237</v>
      </c>
      <c r="X567" t="s">
        <v>1209</v>
      </c>
      <c r="Y567" t="s">
        <v>1203</v>
      </c>
      <c r="Z567">
        <v>152.88</v>
      </c>
      <c r="AA567">
        <v>1322.48</v>
      </c>
      <c r="AB567">
        <v>0</v>
      </c>
      <c r="AC567">
        <v>1322.48</v>
      </c>
      <c r="AD567">
        <v>611.52</v>
      </c>
      <c r="AE567">
        <v>710.96</v>
      </c>
      <c r="AF567">
        <v>0.53759603169802195</v>
      </c>
      <c r="AG567">
        <v>2025</v>
      </c>
      <c r="AH567">
        <v>1</v>
      </c>
      <c r="AI567" t="s">
        <v>1425</v>
      </c>
      <c r="AJ567" t="s">
        <v>1424</v>
      </c>
      <c r="AK567" t="s">
        <v>1258</v>
      </c>
      <c r="AL567">
        <v>0</v>
      </c>
    </row>
    <row r="568" spans="1:38">
      <c r="A568" t="s">
        <v>1020</v>
      </c>
      <c r="B568" s="13">
        <v>45698</v>
      </c>
      <c r="C568" t="s">
        <v>851</v>
      </c>
      <c r="D568" t="s">
        <v>221</v>
      </c>
      <c r="E568" t="s">
        <v>1021</v>
      </c>
      <c r="F568" t="s">
        <v>145</v>
      </c>
      <c r="G568" t="s">
        <v>183</v>
      </c>
      <c r="H568" t="s">
        <v>89</v>
      </c>
      <c r="I568">
        <v>2</v>
      </c>
      <c r="J568">
        <v>31.95</v>
      </c>
      <c r="K568">
        <v>0.05</v>
      </c>
      <c r="L568" t="s">
        <v>90</v>
      </c>
      <c r="M568">
        <v>5</v>
      </c>
      <c r="N568" t="s">
        <v>91</v>
      </c>
      <c r="O568" t="s">
        <v>89</v>
      </c>
      <c r="P568" t="s">
        <v>221</v>
      </c>
      <c r="Q568" t="s">
        <v>851</v>
      </c>
      <c r="R568" t="s">
        <v>145</v>
      </c>
      <c r="S568" t="s">
        <v>369</v>
      </c>
      <c r="T568">
        <v>1</v>
      </c>
      <c r="U568" t="s">
        <v>1276</v>
      </c>
      <c r="V568" t="s">
        <v>1275</v>
      </c>
      <c r="W568" t="s">
        <v>1245</v>
      </c>
      <c r="X568" t="s">
        <v>1204</v>
      </c>
      <c r="Y568" t="s">
        <v>1203</v>
      </c>
      <c r="Z568">
        <v>14.58</v>
      </c>
      <c r="AA568">
        <v>63.9</v>
      </c>
      <c r="AB568">
        <v>3.1950000000000003</v>
      </c>
      <c r="AC568">
        <v>60.704999999999998</v>
      </c>
      <c r="AD568">
        <v>29.16</v>
      </c>
      <c r="AE568">
        <v>31.544999999999998</v>
      </c>
      <c r="AF568">
        <v>0.51964418087472197</v>
      </c>
      <c r="AG568">
        <v>2025</v>
      </c>
      <c r="AH568">
        <v>2</v>
      </c>
      <c r="AI568" t="s">
        <v>1430</v>
      </c>
      <c r="AJ568" t="s">
        <v>1424</v>
      </c>
      <c r="AK568" t="s">
        <v>1258</v>
      </c>
      <c r="AL568">
        <v>0</v>
      </c>
    </row>
    <row r="569" spans="1:38">
      <c r="A569" t="s">
        <v>1028</v>
      </c>
      <c r="B569" s="13">
        <v>45846</v>
      </c>
      <c r="C569" t="s">
        <v>197</v>
      </c>
      <c r="D569" t="s">
        <v>165</v>
      </c>
      <c r="E569" t="s">
        <v>198</v>
      </c>
      <c r="F569" t="s">
        <v>103</v>
      </c>
      <c r="G569" t="s">
        <v>171</v>
      </c>
      <c r="H569" t="s">
        <v>105</v>
      </c>
      <c r="I569">
        <v>1</v>
      </c>
      <c r="J569">
        <v>102.63</v>
      </c>
      <c r="K569">
        <v>0.05</v>
      </c>
      <c r="L569" t="s">
        <v>90</v>
      </c>
      <c r="M569">
        <v>3</v>
      </c>
      <c r="N569" t="s">
        <v>91</v>
      </c>
      <c r="O569" t="s">
        <v>105</v>
      </c>
      <c r="P569" t="s">
        <v>165</v>
      </c>
      <c r="Q569" t="s">
        <v>197</v>
      </c>
      <c r="R569" t="s">
        <v>103</v>
      </c>
      <c r="S569" t="s">
        <v>369</v>
      </c>
      <c r="T569">
        <v>1</v>
      </c>
      <c r="U569" t="s">
        <v>1337</v>
      </c>
      <c r="V569" t="s">
        <v>1257</v>
      </c>
      <c r="W569" t="s">
        <v>1241</v>
      </c>
      <c r="X569" t="s">
        <v>1210</v>
      </c>
      <c r="Y569" t="s">
        <v>1203</v>
      </c>
      <c r="Z569">
        <v>46.07</v>
      </c>
      <c r="AA569">
        <v>102.63</v>
      </c>
      <c r="AB569">
        <v>5.1315</v>
      </c>
      <c r="AC569">
        <v>97.498499999999993</v>
      </c>
      <c r="AD569">
        <v>46.07</v>
      </c>
      <c r="AE569">
        <v>51.428499999999993</v>
      </c>
      <c r="AF569">
        <v>0.52747990994733251</v>
      </c>
      <c r="AG569">
        <v>2025</v>
      </c>
      <c r="AH569">
        <v>7</v>
      </c>
      <c r="AI569" t="s">
        <v>1422</v>
      </c>
      <c r="AJ569" t="s">
        <v>1418</v>
      </c>
      <c r="AK569" t="s">
        <v>1258</v>
      </c>
      <c r="AL569">
        <v>0</v>
      </c>
    </row>
    <row r="570" spans="1:38">
      <c r="A570" t="s">
        <v>1030</v>
      </c>
      <c r="B570" s="13">
        <v>45705</v>
      </c>
      <c r="C570" t="s">
        <v>338</v>
      </c>
      <c r="D570" t="s">
        <v>252</v>
      </c>
      <c r="E570" t="s">
        <v>339</v>
      </c>
      <c r="F570" t="s">
        <v>111</v>
      </c>
      <c r="G570" t="s">
        <v>183</v>
      </c>
      <c r="H570" t="s">
        <v>89</v>
      </c>
      <c r="I570">
        <v>1</v>
      </c>
      <c r="J570">
        <v>285.14999999999998</v>
      </c>
      <c r="K570">
        <v>0.05</v>
      </c>
      <c r="L570" t="s">
        <v>98</v>
      </c>
      <c r="M570">
        <v>5</v>
      </c>
      <c r="N570" t="s">
        <v>91</v>
      </c>
      <c r="O570" t="s">
        <v>89</v>
      </c>
      <c r="P570" t="s">
        <v>252</v>
      </c>
      <c r="Q570" t="s">
        <v>338</v>
      </c>
      <c r="R570" t="s">
        <v>111</v>
      </c>
      <c r="S570" t="s">
        <v>98</v>
      </c>
      <c r="T570">
        <v>1</v>
      </c>
      <c r="U570" t="s">
        <v>1300</v>
      </c>
      <c r="V570" t="s">
        <v>1257</v>
      </c>
      <c r="W570" t="s">
        <v>1237</v>
      </c>
      <c r="X570" t="s">
        <v>1205</v>
      </c>
      <c r="Y570" t="s">
        <v>1203</v>
      </c>
      <c r="Z570">
        <v>186.94</v>
      </c>
      <c r="AA570">
        <v>285.14999999999998</v>
      </c>
      <c r="AB570">
        <v>14.2575</v>
      </c>
      <c r="AC570">
        <v>270.89249999999998</v>
      </c>
      <c r="AD570">
        <v>186.94</v>
      </c>
      <c r="AE570">
        <v>83.952499999999986</v>
      </c>
      <c r="AF570">
        <v>0.30991075795749234</v>
      </c>
      <c r="AG570">
        <v>2025</v>
      </c>
      <c r="AH570">
        <v>2</v>
      </c>
      <c r="AI570" t="s">
        <v>1430</v>
      </c>
      <c r="AJ570" t="s">
        <v>1424</v>
      </c>
      <c r="AK570" t="s">
        <v>1258</v>
      </c>
      <c r="AL570">
        <v>0</v>
      </c>
    </row>
    <row r="571" spans="1:38">
      <c r="A571" t="s">
        <v>1047</v>
      </c>
      <c r="B571" s="13">
        <v>45904</v>
      </c>
      <c r="C571" t="s">
        <v>463</v>
      </c>
      <c r="D571" t="s">
        <v>165</v>
      </c>
      <c r="E571" t="s">
        <v>464</v>
      </c>
      <c r="F571" t="s">
        <v>111</v>
      </c>
      <c r="G571" t="s">
        <v>171</v>
      </c>
      <c r="H571" t="s">
        <v>89</v>
      </c>
      <c r="I571">
        <v>1</v>
      </c>
      <c r="J571">
        <v>106.45</v>
      </c>
      <c r="K571">
        <v>0.1</v>
      </c>
      <c r="L571" t="s">
        <v>106</v>
      </c>
      <c r="M571">
        <v>7</v>
      </c>
      <c r="N571" t="s">
        <v>91</v>
      </c>
      <c r="O571" t="s">
        <v>89</v>
      </c>
      <c r="P571" t="s">
        <v>165</v>
      </c>
      <c r="Q571" t="s">
        <v>463</v>
      </c>
      <c r="R571" t="s">
        <v>111</v>
      </c>
      <c r="S571" t="s">
        <v>106</v>
      </c>
      <c r="T571">
        <v>1</v>
      </c>
      <c r="U571" t="s">
        <v>1280</v>
      </c>
      <c r="V571" t="s">
        <v>1249</v>
      </c>
      <c r="W571" t="s">
        <v>1245</v>
      </c>
      <c r="X571" t="s">
        <v>1210</v>
      </c>
      <c r="Y571" t="s">
        <v>1203</v>
      </c>
      <c r="Z571">
        <v>46.07</v>
      </c>
      <c r="AA571">
        <v>106.45</v>
      </c>
      <c r="AB571">
        <v>10.645000000000001</v>
      </c>
      <c r="AC571">
        <v>95.805000000000007</v>
      </c>
      <c r="AD571">
        <v>46.07</v>
      </c>
      <c r="AE571">
        <v>49.735000000000007</v>
      </c>
      <c r="AF571">
        <v>0.5191273941861072</v>
      </c>
      <c r="AG571">
        <v>2025</v>
      </c>
      <c r="AH571">
        <v>9</v>
      </c>
      <c r="AI571" t="s">
        <v>1432</v>
      </c>
      <c r="AJ571" t="s">
        <v>1418</v>
      </c>
      <c r="AK571" t="s">
        <v>1250</v>
      </c>
      <c r="AL571">
        <v>0</v>
      </c>
    </row>
    <row r="572" spans="1:38">
      <c r="A572" t="s">
        <v>1048</v>
      </c>
      <c r="B572" s="13">
        <v>45801</v>
      </c>
      <c r="C572" t="s">
        <v>695</v>
      </c>
      <c r="D572" t="s">
        <v>221</v>
      </c>
      <c r="E572" t="s">
        <v>696</v>
      </c>
      <c r="F572" t="s">
        <v>116</v>
      </c>
      <c r="G572" t="s">
        <v>88</v>
      </c>
      <c r="H572" t="s">
        <v>89</v>
      </c>
      <c r="I572">
        <v>1</v>
      </c>
      <c r="J572">
        <v>31.95</v>
      </c>
      <c r="K572">
        <v>0.15</v>
      </c>
      <c r="L572" t="s">
        <v>106</v>
      </c>
      <c r="M572">
        <v>4</v>
      </c>
      <c r="N572" t="s">
        <v>91</v>
      </c>
      <c r="O572" t="s">
        <v>89</v>
      </c>
      <c r="P572" t="s">
        <v>221</v>
      </c>
      <c r="Q572" t="s">
        <v>695</v>
      </c>
      <c r="R572" t="s">
        <v>116</v>
      </c>
      <c r="S572" t="s">
        <v>106</v>
      </c>
      <c r="T572">
        <v>1</v>
      </c>
      <c r="U572" t="s">
        <v>1268</v>
      </c>
      <c r="V572" t="s">
        <v>1239</v>
      </c>
      <c r="W572" t="s">
        <v>1241</v>
      </c>
      <c r="X572" t="s">
        <v>1204</v>
      </c>
      <c r="Y572" t="s">
        <v>1203</v>
      </c>
      <c r="Z572">
        <v>14.58</v>
      </c>
      <c r="AA572">
        <v>31.95</v>
      </c>
      <c r="AB572">
        <v>4.7924999999999995</v>
      </c>
      <c r="AC572">
        <v>27.157499999999999</v>
      </c>
      <c r="AD572">
        <v>14.58</v>
      </c>
      <c r="AE572">
        <v>12.577499999999999</v>
      </c>
      <c r="AF572">
        <v>0.46313173156586573</v>
      </c>
      <c r="AG572">
        <v>2025</v>
      </c>
      <c r="AH572">
        <v>5</v>
      </c>
      <c r="AI572" t="s">
        <v>1419</v>
      </c>
      <c r="AJ572" t="s">
        <v>1420</v>
      </c>
      <c r="AK572" t="s">
        <v>1240</v>
      </c>
      <c r="AL572">
        <v>0</v>
      </c>
    </row>
    <row r="573" spans="1:38">
      <c r="A573" t="s">
        <v>1061</v>
      </c>
      <c r="B573" s="13">
        <v>45725</v>
      </c>
      <c r="C573" t="s">
        <v>164</v>
      </c>
      <c r="D573" t="s">
        <v>252</v>
      </c>
      <c r="E573" t="s">
        <v>166</v>
      </c>
      <c r="F573" t="s">
        <v>145</v>
      </c>
      <c r="G573" t="s">
        <v>88</v>
      </c>
      <c r="H573" t="s">
        <v>97</v>
      </c>
      <c r="I573">
        <v>1</v>
      </c>
      <c r="J573">
        <v>262.02999999999997</v>
      </c>
      <c r="K573">
        <v>0.2</v>
      </c>
      <c r="L573" t="s">
        <v>98</v>
      </c>
      <c r="M573">
        <v>3</v>
      </c>
      <c r="N573" t="s">
        <v>91</v>
      </c>
      <c r="O573" t="s">
        <v>97</v>
      </c>
      <c r="P573" t="s">
        <v>252</v>
      </c>
      <c r="Q573" t="s">
        <v>164</v>
      </c>
      <c r="R573" t="s">
        <v>145</v>
      </c>
      <c r="S573" t="s">
        <v>98</v>
      </c>
      <c r="T573">
        <v>1</v>
      </c>
      <c r="U573" t="s">
        <v>1282</v>
      </c>
      <c r="V573" t="s">
        <v>1275</v>
      </c>
      <c r="W573" t="s">
        <v>1237</v>
      </c>
      <c r="X573" t="s">
        <v>1205</v>
      </c>
      <c r="Y573" t="s">
        <v>1203</v>
      </c>
      <c r="Z573">
        <v>186.94</v>
      </c>
      <c r="AA573">
        <v>262.02999999999997</v>
      </c>
      <c r="AB573">
        <v>52.405999999999999</v>
      </c>
      <c r="AC573">
        <v>209.62399999999997</v>
      </c>
      <c r="AD573">
        <v>186.94</v>
      </c>
      <c r="AE573">
        <v>22.683999999999969</v>
      </c>
      <c r="AF573">
        <v>0.10821280006106158</v>
      </c>
      <c r="AG573">
        <v>2025</v>
      </c>
      <c r="AH573">
        <v>3</v>
      </c>
      <c r="AI573" t="s">
        <v>1423</v>
      </c>
      <c r="AJ573" t="s">
        <v>1424</v>
      </c>
      <c r="AK573" t="s">
        <v>1258</v>
      </c>
      <c r="AL573">
        <v>0</v>
      </c>
    </row>
    <row r="574" spans="1:38">
      <c r="A574" t="s">
        <v>1063</v>
      </c>
      <c r="B574" s="13">
        <v>45827</v>
      </c>
      <c r="C574" t="s">
        <v>220</v>
      </c>
      <c r="D574" t="s">
        <v>221</v>
      </c>
      <c r="E574" t="s">
        <v>222</v>
      </c>
      <c r="F574" t="s">
        <v>103</v>
      </c>
      <c r="G574" t="s">
        <v>130</v>
      </c>
      <c r="H574" t="s">
        <v>105</v>
      </c>
      <c r="I574">
        <v>2</v>
      </c>
      <c r="J574">
        <v>28.79</v>
      </c>
      <c r="K574">
        <v>0.05</v>
      </c>
      <c r="L574" t="s">
        <v>90</v>
      </c>
      <c r="M574">
        <v>4</v>
      </c>
      <c r="N574" t="s">
        <v>91</v>
      </c>
      <c r="O574" t="s">
        <v>105</v>
      </c>
      <c r="P574" t="s">
        <v>221</v>
      </c>
      <c r="Q574" t="s">
        <v>220</v>
      </c>
      <c r="R574" t="s">
        <v>103</v>
      </c>
      <c r="S574" t="s">
        <v>369</v>
      </c>
      <c r="T574">
        <v>1</v>
      </c>
      <c r="U574" t="s">
        <v>1315</v>
      </c>
      <c r="V574" t="s">
        <v>1255</v>
      </c>
      <c r="W574" t="s">
        <v>1237</v>
      </c>
      <c r="X574" t="s">
        <v>1204</v>
      </c>
      <c r="Y574" t="s">
        <v>1203</v>
      </c>
      <c r="Z574">
        <v>14.58</v>
      </c>
      <c r="AA574">
        <v>57.58</v>
      </c>
      <c r="AB574">
        <v>2.879</v>
      </c>
      <c r="AC574">
        <v>54.701000000000001</v>
      </c>
      <c r="AD574">
        <v>29.16</v>
      </c>
      <c r="AE574">
        <v>25.541</v>
      </c>
      <c r="AF574">
        <v>0.4669201659933091</v>
      </c>
      <c r="AG574">
        <v>2025</v>
      </c>
      <c r="AH574">
        <v>6</v>
      </c>
      <c r="AI574" t="s">
        <v>1429</v>
      </c>
      <c r="AJ574" t="s">
        <v>1420</v>
      </c>
      <c r="AK574" t="s">
        <v>1244</v>
      </c>
      <c r="AL574">
        <v>0</v>
      </c>
    </row>
    <row r="575" spans="1:38">
      <c r="A575" t="s">
        <v>1077</v>
      </c>
      <c r="B575" s="13">
        <v>45660</v>
      </c>
      <c r="C575" t="s">
        <v>406</v>
      </c>
      <c r="D575" t="s">
        <v>252</v>
      </c>
      <c r="E575" t="s">
        <v>1078</v>
      </c>
      <c r="F575" t="s">
        <v>116</v>
      </c>
      <c r="G575" t="s">
        <v>104</v>
      </c>
      <c r="H575" t="s">
        <v>89</v>
      </c>
      <c r="I575">
        <v>1</v>
      </c>
      <c r="J575">
        <v>258</v>
      </c>
      <c r="K575">
        <v>0.2</v>
      </c>
      <c r="L575" t="s">
        <v>106</v>
      </c>
      <c r="M575">
        <v>8</v>
      </c>
      <c r="N575" t="s">
        <v>91</v>
      </c>
      <c r="O575" t="s">
        <v>89</v>
      </c>
      <c r="P575" t="s">
        <v>252</v>
      </c>
      <c r="Q575" t="s">
        <v>406</v>
      </c>
      <c r="R575" t="s">
        <v>116</v>
      </c>
      <c r="S575" t="s">
        <v>106</v>
      </c>
      <c r="T575">
        <v>1</v>
      </c>
      <c r="U575" t="s">
        <v>1291</v>
      </c>
      <c r="V575" t="s">
        <v>1239</v>
      </c>
      <c r="W575" t="s">
        <v>1237</v>
      </c>
      <c r="X575" t="s">
        <v>1205</v>
      </c>
      <c r="Y575" t="s">
        <v>1203</v>
      </c>
      <c r="Z575">
        <v>186.94</v>
      </c>
      <c r="AA575">
        <v>258</v>
      </c>
      <c r="AB575">
        <v>51.6</v>
      </c>
      <c r="AC575">
        <v>206.4</v>
      </c>
      <c r="AD575">
        <v>186.94</v>
      </c>
      <c r="AE575">
        <v>19.460000000000008</v>
      </c>
      <c r="AF575">
        <v>9.4282945736434143E-2</v>
      </c>
      <c r="AG575">
        <v>2025</v>
      </c>
      <c r="AH575">
        <v>1</v>
      </c>
      <c r="AI575" t="s">
        <v>1425</v>
      </c>
      <c r="AJ575" t="s">
        <v>1424</v>
      </c>
      <c r="AK575" t="s">
        <v>1240</v>
      </c>
      <c r="AL575">
        <v>0</v>
      </c>
    </row>
    <row r="576" spans="1:38">
      <c r="A576" t="s">
        <v>1085</v>
      </c>
      <c r="B576" s="13">
        <v>45997</v>
      </c>
      <c r="C576" t="s">
        <v>653</v>
      </c>
      <c r="D576" t="s">
        <v>101</v>
      </c>
      <c r="E576" t="s">
        <v>654</v>
      </c>
      <c r="F576" t="s">
        <v>111</v>
      </c>
      <c r="G576" t="s">
        <v>171</v>
      </c>
      <c r="H576" t="s">
        <v>89</v>
      </c>
      <c r="I576">
        <v>3</v>
      </c>
      <c r="J576">
        <v>312.94</v>
      </c>
      <c r="K576">
        <v>0.1</v>
      </c>
      <c r="L576" t="s">
        <v>98</v>
      </c>
      <c r="M576">
        <v>1</v>
      </c>
      <c r="N576" t="s">
        <v>91</v>
      </c>
      <c r="O576" t="s">
        <v>89</v>
      </c>
      <c r="P576" t="s">
        <v>101</v>
      </c>
      <c r="Q576" t="s">
        <v>653</v>
      </c>
      <c r="R576" t="s">
        <v>111</v>
      </c>
      <c r="S576" t="s">
        <v>98</v>
      </c>
      <c r="T576">
        <v>1</v>
      </c>
      <c r="U576" t="s">
        <v>1343</v>
      </c>
      <c r="V576" t="s">
        <v>1255</v>
      </c>
      <c r="W576" t="s">
        <v>1237</v>
      </c>
      <c r="X576" t="s">
        <v>1207</v>
      </c>
      <c r="Y576" t="s">
        <v>1203</v>
      </c>
      <c r="Z576">
        <v>139.86000000000001</v>
      </c>
      <c r="AA576">
        <v>938.81999999999994</v>
      </c>
      <c r="AB576">
        <v>93.882000000000005</v>
      </c>
      <c r="AC576">
        <v>844.93799999999987</v>
      </c>
      <c r="AD576">
        <v>419.58000000000004</v>
      </c>
      <c r="AE576">
        <v>425.35799999999983</v>
      </c>
      <c r="AF576">
        <v>0.50341918578641265</v>
      </c>
      <c r="AG576">
        <v>2025</v>
      </c>
      <c r="AH576">
        <v>12</v>
      </c>
      <c r="AI576" t="s">
        <v>1428</v>
      </c>
      <c r="AJ576" t="s">
        <v>1427</v>
      </c>
      <c r="AK576" t="s">
        <v>1244</v>
      </c>
      <c r="AL576">
        <v>0</v>
      </c>
    </row>
    <row r="577" spans="1:38">
      <c r="A577" t="s">
        <v>1094</v>
      </c>
      <c r="B577" s="13">
        <v>45912</v>
      </c>
      <c r="C577" t="s">
        <v>124</v>
      </c>
      <c r="D577" t="s">
        <v>323</v>
      </c>
      <c r="E577" t="s">
        <v>1095</v>
      </c>
      <c r="F577" t="s">
        <v>145</v>
      </c>
      <c r="G577" t="s">
        <v>183</v>
      </c>
      <c r="H577" t="s">
        <v>97</v>
      </c>
      <c r="I577">
        <v>2</v>
      </c>
      <c r="J577">
        <v>323.04000000000002</v>
      </c>
      <c r="K577">
        <v>0.05</v>
      </c>
      <c r="L577" t="s">
        <v>98</v>
      </c>
      <c r="M577">
        <v>1</v>
      </c>
      <c r="N577" t="s">
        <v>91</v>
      </c>
      <c r="O577" t="s">
        <v>97</v>
      </c>
      <c r="P577" t="s">
        <v>323</v>
      </c>
      <c r="Q577" t="s">
        <v>124</v>
      </c>
      <c r="R577" t="s">
        <v>145</v>
      </c>
      <c r="S577" t="s">
        <v>98</v>
      </c>
      <c r="T577">
        <v>1</v>
      </c>
      <c r="U577" t="s">
        <v>1270</v>
      </c>
      <c r="V577" t="s">
        <v>1235</v>
      </c>
      <c r="W577" t="s">
        <v>1245</v>
      </c>
      <c r="X577" t="s">
        <v>1209</v>
      </c>
      <c r="Y577" t="s">
        <v>1203</v>
      </c>
      <c r="Z577">
        <v>152.88</v>
      </c>
      <c r="AA577">
        <v>646.08000000000004</v>
      </c>
      <c r="AB577">
        <v>32.304000000000002</v>
      </c>
      <c r="AC577">
        <v>613.77600000000007</v>
      </c>
      <c r="AD577">
        <v>305.76</v>
      </c>
      <c r="AE577">
        <v>308.01600000000008</v>
      </c>
      <c r="AF577">
        <v>0.50183780401970757</v>
      </c>
      <c r="AG577">
        <v>2025</v>
      </c>
      <c r="AH577">
        <v>9</v>
      </c>
      <c r="AI577" t="s">
        <v>1432</v>
      </c>
      <c r="AJ577" t="s">
        <v>1418</v>
      </c>
      <c r="AK577" t="s">
        <v>1236</v>
      </c>
      <c r="AL577">
        <v>0</v>
      </c>
    </row>
    <row r="578" spans="1:38">
      <c r="A578" t="s">
        <v>1101</v>
      </c>
      <c r="B578" s="13">
        <v>45715</v>
      </c>
      <c r="C578" t="s">
        <v>410</v>
      </c>
      <c r="D578" t="s">
        <v>360</v>
      </c>
      <c r="E578" t="s">
        <v>411</v>
      </c>
      <c r="F578" t="s">
        <v>655</v>
      </c>
      <c r="G578" t="s">
        <v>104</v>
      </c>
      <c r="H578" t="s">
        <v>89</v>
      </c>
      <c r="I578">
        <v>1</v>
      </c>
      <c r="J578">
        <v>69.75</v>
      </c>
      <c r="K578">
        <v>0.05</v>
      </c>
      <c r="L578" t="s">
        <v>98</v>
      </c>
      <c r="M578">
        <v>4</v>
      </c>
      <c r="N578" t="s">
        <v>91</v>
      </c>
      <c r="O578" t="s">
        <v>89</v>
      </c>
      <c r="P578" t="s">
        <v>360</v>
      </c>
      <c r="Q578" t="s">
        <v>410</v>
      </c>
      <c r="R578" t="s">
        <v>87</v>
      </c>
      <c r="S578" t="s">
        <v>98</v>
      </c>
      <c r="T578">
        <v>1</v>
      </c>
      <c r="U578" t="s">
        <v>1234</v>
      </c>
      <c r="V578" t="s">
        <v>1284</v>
      </c>
      <c r="W578" t="s">
        <v>1237</v>
      </c>
      <c r="X578" t="s">
        <v>1206</v>
      </c>
      <c r="Y578" t="s">
        <v>1203</v>
      </c>
      <c r="Z578">
        <v>37.46</v>
      </c>
      <c r="AA578">
        <v>69.75</v>
      </c>
      <c r="AB578">
        <v>3.4875000000000003</v>
      </c>
      <c r="AC578">
        <v>66.262500000000003</v>
      </c>
      <c r="AD578">
        <v>37.46</v>
      </c>
      <c r="AE578">
        <v>28.802500000000002</v>
      </c>
      <c r="AF578">
        <v>0.43467270326353519</v>
      </c>
      <c r="AG578">
        <v>2025</v>
      </c>
      <c r="AH578">
        <v>2</v>
      </c>
      <c r="AI578" t="s">
        <v>1430</v>
      </c>
      <c r="AJ578" t="s">
        <v>1424</v>
      </c>
      <c r="AK578" t="s">
        <v>1285</v>
      </c>
      <c r="AL578">
        <v>0</v>
      </c>
    </row>
    <row r="579" spans="1:38">
      <c r="A579" t="s">
        <v>1113</v>
      </c>
      <c r="B579" s="13">
        <v>45658</v>
      </c>
      <c r="C579" t="s">
        <v>594</v>
      </c>
      <c r="D579" t="s">
        <v>323</v>
      </c>
      <c r="E579" t="s">
        <v>1114</v>
      </c>
      <c r="F579" t="s">
        <v>87</v>
      </c>
      <c r="G579" t="s">
        <v>96</v>
      </c>
      <c r="H579" t="s">
        <v>97</v>
      </c>
      <c r="I579">
        <v>3</v>
      </c>
      <c r="J579">
        <v>335.87</v>
      </c>
      <c r="K579">
        <v>0.2</v>
      </c>
      <c r="L579" t="s">
        <v>98</v>
      </c>
      <c r="M579">
        <v>2</v>
      </c>
      <c r="N579" t="s">
        <v>147</v>
      </c>
      <c r="O579" t="s">
        <v>97</v>
      </c>
      <c r="P579" t="s">
        <v>323</v>
      </c>
      <c r="Q579" t="s">
        <v>594</v>
      </c>
      <c r="R579" t="s">
        <v>87</v>
      </c>
      <c r="S579" t="s">
        <v>98</v>
      </c>
      <c r="T579">
        <v>1</v>
      </c>
      <c r="U579" t="s">
        <v>1251</v>
      </c>
      <c r="V579" t="s">
        <v>1277</v>
      </c>
      <c r="W579" t="s">
        <v>1241</v>
      </c>
      <c r="X579" t="s">
        <v>1209</v>
      </c>
      <c r="Y579" t="s">
        <v>1203</v>
      </c>
      <c r="Z579">
        <v>152.88</v>
      </c>
      <c r="AA579">
        <v>1007.61</v>
      </c>
      <c r="AB579">
        <v>201.52200000000002</v>
      </c>
      <c r="AC579">
        <v>806.08799999999997</v>
      </c>
      <c r="AD579">
        <v>458.64</v>
      </c>
      <c r="AE579">
        <v>347.44799999999998</v>
      </c>
      <c r="AF579">
        <v>0.43102986274451421</v>
      </c>
      <c r="AG579">
        <v>2025</v>
      </c>
      <c r="AH579">
        <v>1</v>
      </c>
      <c r="AI579" t="s">
        <v>1425</v>
      </c>
      <c r="AJ579" t="s">
        <v>1424</v>
      </c>
      <c r="AK579" t="s">
        <v>1244</v>
      </c>
      <c r="AL579">
        <v>1</v>
      </c>
    </row>
    <row r="580" spans="1:38">
      <c r="A580" t="s">
        <v>1117</v>
      </c>
      <c r="B580" s="13">
        <v>45905</v>
      </c>
      <c r="C580" t="s">
        <v>661</v>
      </c>
      <c r="D580" t="s">
        <v>101</v>
      </c>
      <c r="E580" t="s">
        <v>662</v>
      </c>
      <c r="F580" t="s">
        <v>87</v>
      </c>
      <c r="G580" t="s">
        <v>171</v>
      </c>
      <c r="H580" t="s">
        <v>97</v>
      </c>
      <c r="I580">
        <v>1</v>
      </c>
      <c r="J580">
        <v>320.24</v>
      </c>
      <c r="K580">
        <v>0.05</v>
      </c>
      <c r="L580" t="s">
        <v>106</v>
      </c>
      <c r="M580">
        <v>3</v>
      </c>
      <c r="N580" t="s">
        <v>91</v>
      </c>
      <c r="O580" t="s">
        <v>97</v>
      </c>
      <c r="P580" t="s">
        <v>101</v>
      </c>
      <c r="Q580" t="s">
        <v>661</v>
      </c>
      <c r="R580" t="s">
        <v>87</v>
      </c>
      <c r="S580" t="s">
        <v>106</v>
      </c>
      <c r="T580">
        <v>1</v>
      </c>
      <c r="U580" t="s">
        <v>1352</v>
      </c>
      <c r="V580" t="s">
        <v>1235</v>
      </c>
      <c r="W580" t="s">
        <v>1237</v>
      </c>
      <c r="X580" t="s">
        <v>1207</v>
      </c>
      <c r="Y580" t="s">
        <v>1203</v>
      </c>
      <c r="Z580">
        <v>139.86000000000001</v>
      </c>
      <c r="AA580">
        <v>320.24</v>
      </c>
      <c r="AB580">
        <v>16.012</v>
      </c>
      <c r="AC580">
        <v>304.22800000000001</v>
      </c>
      <c r="AD580">
        <v>139.86000000000001</v>
      </c>
      <c r="AE580">
        <v>164.36799999999999</v>
      </c>
      <c r="AF580">
        <v>0.54027900127535922</v>
      </c>
      <c r="AG580">
        <v>2025</v>
      </c>
      <c r="AH580">
        <v>9</v>
      </c>
      <c r="AI580" t="s">
        <v>1432</v>
      </c>
      <c r="AJ580" t="s">
        <v>1418</v>
      </c>
      <c r="AK580" t="s">
        <v>1236</v>
      </c>
      <c r="AL580">
        <v>0</v>
      </c>
    </row>
    <row r="581" spans="1:38">
      <c r="A581" t="s">
        <v>1129</v>
      </c>
      <c r="B581" s="13">
        <v>45870</v>
      </c>
      <c r="C581" t="s">
        <v>268</v>
      </c>
      <c r="D581" t="s">
        <v>221</v>
      </c>
      <c r="E581" t="s">
        <v>269</v>
      </c>
      <c r="F581" t="s">
        <v>145</v>
      </c>
      <c r="G581" t="s">
        <v>88</v>
      </c>
      <c r="H581" t="s">
        <v>89</v>
      </c>
      <c r="I581">
        <v>1</v>
      </c>
      <c r="J581">
        <v>29.28</v>
      </c>
      <c r="K581">
        <v>0.2</v>
      </c>
      <c r="L581" t="s">
        <v>90</v>
      </c>
      <c r="M581">
        <v>9</v>
      </c>
      <c r="N581" t="s">
        <v>91</v>
      </c>
      <c r="O581" t="s">
        <v>89</v>
      </c>
      <c r="P581" t="s">
        <v>221</v>
      </c>
      <c r="Q581" t="s">
        <v>268</v>
      </c>
      <c r="R581" t="s">
        <v>145</v>
      </c>
      <c r="S581" t="s">
        <v>369</v>
      </c>
      <c r="T581">
        <v>1</v>
      </c>
      <c r="U581" t="s">
        <v>1295</v>
      </c>
      <c r="V581" t="s">
        <v>1243</v>
      </c>
      <c r="W581" t="s">
        <v>1241</v>
      </c>
      <c r="X581" t="s">
        <v>1204</v>
      </c>
      <c r="Y581" t="s">
        <v>1203</v>
      </c>
      <c r="Z581">
        <v>14.58</v>
      </c>
      <c r="AA581">
        <v>29.28</v>
      </c>
      <c r="AB581">
        <v>5.8560000000000008</v>
      </c>
      <c r="AC581">
        <v>23.423999999999999</v>
      </c>
      <c r="AD581">
        <v>14.58</v>
      </c>
      <c r="AE581">
        <v>8.8439999999999994</v>
      </c>
      <c r="AF581">
        <v>0.37756147540983603</v>
      </c>
      <c r="AG581">
        <v>2025</v>
      </c>
      <c r="AH581">
        <v>8</v>
      </c>
      <c r="AI581" t="s">
        <v>1417</v>
      </c>
      <c r="AJ581" t="s">
        <v>1418</v>
      </c>
      <c r="AK581" t="s">
        <v>1244</v>
      </c>
      <c r="AL581">
        <v>0</v>
      </c>
    </row>
    <row r="582" spans="1:38">
      <c r="A582" t="s">
        <v>1134</v>
      </c>
      <c r="B582" s="13">
        <v>45988</v>
      </c>
      <c r="C582" t="s">
        <v>203</v>
      </c>
      <c r="D582" t="s">
        <v>101</v>
      </c>
      <c r="E582" t="s">
        <v>573</v>
      </c>
      <c r="F582" t="s">
        <v>87</v>
      </c>
      <c r="G582" t="s">
        <v>130</v>
      </c>
      <c r="H582" t="s">
        <v>89</v>
      </c>
      <c r="I582">
        <v>3</v>
      </c>
      <c r="J582">
        <v>308.36</v>
      </c>
      <c r="K582">
        <v>0.1</v>
      </c>
      <c r="L582" t="s">
        <v>106</v>
      </c>
      <c r="M582">
        <v>8</v>
      </c>
      <c r="N582" t="s">
        <v>91</v>
      </c>
      <c r="O582" t="s">
        <v>89</v>
      </c>
      <c r="P582" t="s">
        <v>101</v>
      </c>
      <c r="Q582" t="s">
        <v>203</v>
      </c>
      <c r="R582" t="s">
        <v>87</v>
      </c>
      <c r="S582" t="s">
        <v>106</v>
      </c>
      <c r="T582">
        <v>1</v>
      </c>
      <c r="U582" t="s">
        <v>1279</v>
      </c>
      <c r="V582" t="s">
        <v>1257</v>
      </c>
      <c r="W582" t="s">
        <v>1237</v>
      </c>
      <c r="X582" t="s">
        <v>1207</v>
      </c>
      <c r="Y582" t="s">
        <v>1203</v>
      </c>
      <c r="Z582">
        <v>139.86000000000001</v>
      </c>
      <c r="AA582">
        <v>925.08</v>
      </c>
      <c r="AB582">
        <v>92.50800000000001</v>
      </c>
      <c r="AC582">
        <v>832.572</v>
      </c>
      <c r="AD582">
        <v>419.58000000000004</v>
      </c>
      <c r="AE582">
        <v>412.99199999999996</v>
      </c>
      <c r="AF582">
        <v>0.49604358541963933</v>
      </c>
      <c r="AG582">
        <v>2025</v>
      </c>
      <c r="AH582">
        <v>11</v>
      </c>
      <c r="AI582" t="s">
        <v>1426</v>
      </c>
      <c r="AJ582" t="s">
        <v>1427</v>
      </c>
      <c r="AK582" t="s">
        <v>1258</v>
      </c>
      <c r="AL582">
        <v>0</v>
      </c>
    </row>
    <row r="583" spans="1:38">
      <c r="A583" t="s">
        <v>1136</v>
      </c>
      <c r="B583" s="13">
        <v>45735</v>
      </c>
      <c r="C583" t="s">
        <v>322</v>
      </c>
      <c r="D583" t="s">
        <v>252</v>
      </c>
      <c r="E583" t="s">
        <v>470</v>
      </c>
      <c r="F583" t="s">
        <v>145</v>
      </c>
      <c r="G583" t="s">
        <v>183</v>
      </c>
      <c r="H583" t="s">
        <v>105</v>
      </c>
      <c r="I583">
        <v>1</v>
      </c>
      <c r="J583">
        <v>280.38</v>
      </c>
      <c r="K583">
        <v>0.25</v>
      </c>
      <c r="L583" t="s">
        <v>98</v>
      </c>
      <c r="M583">
        <v>2</v>
      </c>
      <c r="N583" t="s">
        <v>147</v>
      </c>
      <c r="O583" t="s">
        <v>105</v>
      </c>
      <c r="P583" t="s">
        <v>252</v>
      </c>
      <c r="Q583" t="s">
        <v>322</v>
      </c>
      <c r="R583" t="s">
        <v>145</v>
      </c>
      <c r="S583" t="s">
        <v>98</v>
      </c>
      <c r="T583">
        <v>1</v>
      </c>
      <c r="U583" t="s">
        <v>1358</v>
      </c>
      <c r="V583" t="s">
        <v>1284</v>
      </c>
      <c r="W583" t="s">
        <v>1237</v>
      </c>
      <c r="X583" t="s">
        <v>1205</v>
      </c>
      <c r="Y583" t="s">
        <v>1203</v>
      </c>
      <c r="Z583">
        <v>186.94</v>
      </c>
      <c r="AA583">
        <v>280.38</v>
      </c>
      <c r="AB583">
        <v>70.094999999999999</v>
      </c>
      <c r="AC583">
        <v>210.285</v>
      </c>
      <c r="AD583">
        <v>186.94</v>
      </c>
      <c r="AE583">
        <v>23.344999999999999</v>
      </c>
      <c r="AF583">
        <v>0.11101600209239841</v>
      </c>
      <c r="AG583">
        <v>2025</v>
      </c>
      <c r="AH583">
        <v>3</v>
      </c>
      <c r="AI583" t="s">
        <v>1423</v>
      </c>
      <c r="AJ583" t="s">
        <v>1424</v>
      </c>
      <c r="AK583" t="s">
        <v>1285</v>
      </c>
      <c r="AL583">
        <v>1</v>
      </c>
    </row>
    <row r="584" spans="1:38">
      <c r="A584" t="s">
        <v>1140</v>
      </c>
      <c r="B584" s="13">
        <v>45833</v>
      </c>
      <c r="C584" t="s">
        <v>399</v>
      </c>
      <c r="D584" t="s">
        <v>252</v>
      </c>
      <c r="E584" t="s">
        <v>400</v>
      </c>
      <c r="F584" t="s">
        <v>87</v>
      </c>
      <c r="G584" t="s">
        <v>104</v>
      </c>
      <c r="H584" t="s">
        <v>97</v>
      </c>
      <c r="I584">
        <v>2</v>
      </c>
      <c r="J584">
        <v>279.02999999999997</v>
      </c>
      <c r="K584">
        <v>0.05</v>
      </c>
      <c r="L584" t="s">
        <v>106</v>
      </c>
      <c r="M584">
        <v>4</v>
      </c>
      <c r="N584" t="s">
        <v>91</v>
      </c>
      <c r="O584" t="s">
        <v>97</v>
      </c>
      <c r="P584" t="s">
        <v>252</v>
      </c>
      <c r="Q584" t="s">
        <v>399</v>
      </c>
      <c r="R584" t="s">
        <v>87</v>
      </c>
      <c r="S584" t="s">
        <v>106</v>
      </c>
      <c r="T584">
        <v>1</v>
      </c>
      <c r="U584" t="s">
        <v>1296</v>
      </c>
      <c r="V584" t="s">
        <v>1239</v>
      </c>
      <c r="W584" t="s">
        <v>1241</v>
      </c>
      <c r="X584" t="s">
        <v>1205</v>
      </c>
      <c r="Y584" t="s">
        <v>1203</v>
      </c>
      <c r="Z584">
        <v>186.94</v>
      </c>
      <c r="AA584">
        <v>558.05999999999995</v>
      </c>
      <c r="AB584">
        <v>27.902999999999999</v>
      </c>
      <c r="AC584">
        <v>530.15699999999993</v>
      </c>
      <c r="AD584">
        <v>373.88</v>
      </c>
      <c r="AE584">
        <v>156.27699999999993</v>
      </c>
      <c r="AF584">
        <v>0.29477494402601484</v>
      </c>
      <c r="AG584">
        <v>2025</v>
      </c>
      <c r="AH584">
        <v>6</v>
      </c>
      <c r="AI584" t="s">
        <v>1429</v>
      </c>
      <c r="AJ584" t="s">
        <v>1420</v>
      </c>
      <c r="AK584" t="s">
        <v>1240</v>
      </c>
      <c r="AL584">
        <v>0</v>
      </c>
    </row>
    <row r="585" spans="1:38">
      <c r="A585" t="s">
        <v>1141</v>
      </c>
      <c r="B585" s="13">
        <v>45768</v>
      </c>
      <c r="C585" t="s">
        <v>699</v>
      </c>
      <c r="D585" t="s">
        <v>323</v>
      </c>
      <c r="E585" t="s">
        <v>700</v>
      </c>
      <c r="F585" t="s">
        <v>103</v>
      </c>
      <c r="G585" t="s">
        <v>130</v>
      </c>
      <c r="H585" t="s">
        <v>105</v>
      </c>
      <c r="I585">
        <v>1</v>
      </c>
      <c r="J585">
        <v>312.32</v>
      </c>
      <c r="K585">
        <v>0.05</v>
      </c>
      <c r="L585" t="s">
        <v>106</v>
      </c>
      <c r="M585">
        <v>7</v>
      </c>
      <c r="N585" t="s">
        <v>91</v>
      </c>
      <c r="O585" t="s">
        <v>105</v>
      </c>
      <c r="P585" t="s">
        <v>323</v>
      </c>
      <c r="Q585" t="s">
        <v>699</v>
      </c>
      <c r="R585" t="s">
        <v>103</v>
      </c>
      <c r="S585" t="s">
        <v>106</v>
      </c>
      <c r="T585">
        <v>1</v>
      </c>
      <c r="U585" t="s">
        <v>1341</v>
      </c>
      <c r="V585" t="s">
        <v>1239</v>
      </c>
      <c r="W585" t="s">
        <v>1237</v>
      </c>
      <c r="X585" t="s">
        <v>1209</v>
      </c>
      <c r="Y585" t="s">
        <v>1203</v>
      </c>
      <c r="Z585">
        <v>152.88</v>
      </c>
      <c r="AA585">
        <v>312.32</v>
      </c>
      <c r="AB585">
        <v>15.616</v>
      </c>
      <c r="AC585">
        <v>296.70400000000001</v>
      </c>
      <c r="AD585">
        <v>152.88</v>
      </c>
      <c r="AE585">
        <v>143.82400000000001</v>
      </c>
      <c r="AF585">
        <v>0.48473899913718727</v>
      </c>
      <c r="AG585">
        <v>2025</v>
      </c>
      <c r="AH585">
        <v>4</v>
      </c>
      <c r="AI585" t="s">
        <v>1421</v>
      </c>
      <c r="AJ585" t="s">
        <v>1420</v>
      </c>
      <c r="AK585" t="s">
        <v>1240</v>
      </c>
      <c r="AL585">
        <v>0</v>
      </c>
    </row>
    <row r="586" spans="1:38">
      <c r="A586" t="s">
        <v>1144</v>
      </c>
      <c r="B586" s="13">
        <v>45875</v>
      </c>
      <c r="C586" t="s">
        <v>600</v>
      </c>
      <c r="D586" t="s">
        <v>165</v>
      </c>
      <c r="E586" t="s">
        <v>601</v>
      </c>
      <c r="F586" t="s">
        <v>145</v>
      </c>
      <c r="G586" t="s">
        <v>88</v>
      </c>
      <c r="H586" t="s">
        <v>97</v>
      </c>
      <c r="I586">
        <v>3</v>
      </c>
      <c r="J586">
        <v>103.07</v>
      </c>
      <c r="K586">
        <v>0.1</v>
      </c>
      <c r="L586" t="s">
        <v>90</v>
      </c>
      <c r="M586">
        <v>4</v>
      </c>
      <c r="N586" t="s">
        <v>91</v>
      </c>
      <c r="O586" t="s">
        <v>97</v>
      </c>
      <c r="P586" t="s">
        <v>165</v>
      </c>
      <c r="Q586" t="s">
        <v>600</v>
      </c>
      <c r="R586" t="s">
        <v>145</v>
      </c>
      <c r="S586" t="s">
        <v>369</v>
      </c>
      <c r="T586">
        <v>1</v>
      </c>
      <c r="U586" t="s">
        <v>1351</v>
      </c>
      <c r="V586" t="s">
        <v>1257</v>
      </c>
      <c r="W586" t="s">
        <v>1237</v>
      </c>
      <c r="X586" t="s">
        <v>1210</v>
      </c>
      <c r="Y586" t="s">
        <v>1203</v>
      </c>
      <c r="Z586">
        <v>46.07</v>
      </c>
      <c r="AA586">
        <v>309.20999999999998</v>
      </c>
      <c r="AB586">
        <v>30.920999999999999</v>
      </c>
      <c r="AC586">
        <v>278.28899999999999</v>
      </c>
      <c r="AD586">
        <v>138.21</v>
      </c>
      <c r="AE586">
        <v>140.07899999999998</v>
      </c>
      <c r="AF586">
        <v>0.5033580199001757</v>
      </c>
      <c r="AG586">
        <v>2025</v>
      </c>
      <c r="AH586">
        <v>8</v>
      </c>
      <c r="AI586" t="s">
        <v>1417</v>
      </c>
      <c r="AJ586" t="s">
        <v>1418</v>
      </c>
      <c r="AK586" t="s">
        <v>1258</v>
      </c>
      <c r="AL586">
        <v>0</v>
      </c>
    </row>
    <row r="587" spans="1:38">
      <c r="A587" t="s">
        <v>1147</v>
      </c>
      <c r="B587" s="13">
        <v>45747</v>
      </c>
      <c r="C587" t="s">
        <v>84</v>
      </c>
      <c r="D587" t="s">
        <v>520</v>
      </c>
      <c r="E587" t="s">
        <v>86</v>
      </c>
      <c r="F587" t="s">
        <v>116</v>
      </c>
      <c r="G587" t="s">
        <v>96</v>
      </c>
      <c r="H587" t="s">
        <v>89</v>
      </c>
      <c r="I587">
        <v>3</v>
      </c>
      <c r="J587">
        <v>363.97</v>
      </c>
      <c r="K587">
        <v>0</v>
      </c>
      <c r="L587" t="s">
        <v>90</v>
      </c>
      <c r="M587">
        <v>1</v>
      </c>
      <c r="N587" t="s">
        <v>91</v>
      </c>
      <c r="O587" t="s">
        <v>89</v>
      </c>
      <c r="P587" t="s">
        <v>520</v>
      </c>
      <c r="Q587" t="s">
        <v>84</v>
      </c>
      <c r="R587" t="s">
        <v>116</v>
      </c>
      <c r="S587" t="s">
        <v>369</v>
      </c>
      <c r="T587">
        <v>1</v>
      </c>
      <c r="U587" t="s">
        <v>1354</v>
      </c>
      <c r="V587" t="s">
        <v>1275</v>
      </c>
      <c r="W587" t="s">
        <v>1237</v>
      </c>
      <c r="X587" t="s">
        <v>1202</v>
      </c>
      <c r="Y587" t="s">
        <v>1203</v>
      </c>
      <c r="Z587">
        <v>241.16</v>
      </c>
      <c r="AA587">
        <v>1091.9100000000001</v>
      </c>
      <c r="AB587">
        <v>0</v>
      </c>
      <c r="AC587">
        <v>1091.9100000000001</v>
      </c>
      <c r="AD587">
        <v>723.48</v>
      </c>
      <c r="AE587">
        <v>368.43000000000006</v>
      </c>
      <c r="AF587">
        <v>0.33741791905926316</v>
      </c>
      <c r="AG587">
        <v>2025</v>
      </c>
      <c r="AH587">
        <v>3</v>
      </c>
      <c r="AI587" t="s">
        <v>1423</v>
      </c>
      <c r="AJ587" t="s">
        <v>1424</v>
      </c>
      <c r="AK587" t="s">
        <v>1258</v>
      </c>
      <c r="AL587">
        <v>0</v>
      </c>
    </row>
    <row r="588" spans="1:38">
      <c r="A588" t="s">
        <v>1150</v>
      </c>
      <c r="B588" s="13">
        <v>45854</v>
      </c>
      <c r="C588" t="s">
        <v>335</v>
      </c>
      <c r="D588" t="s">
        <v>323</v>
      </c>
      <c r="E588" t="s">
        <v>336</v>
      </c>
      <c r="F588" t="s">
        <v>111</v>
      </c>
      <c r="G588" t="s">
        <v>96</v>
      </c>
      <c r="H588" t="s">
        <v>89</v>
      </c>
      <c r="I588">
        <v>3</v>
      </c>
      <c r="J588">
        <v>319.41000000000003</v>
      </c>
      <c r="K588">
        <v>0.15</v>
      </c>
      <c r="L588" t="s">
        <v>90</v>
      </c>
      <c r="M588">
        <v>2</v>
      </c>
      <c r="N588" t="s">
        <v>91</v>
      </c>
      <c r="O588" t="s">
        <v>89</v>
      </c>
      <c r="P588" t="s">
        <v>323</v>
      </c>
      <c r="Q588" t="s">
        <v>335</v>
      </c>
      <c r="R588" t="s">
        <v>111</v>
      </c>
      <c r="S588" t="s">
        <v>369</v>
      </c>
      <c r="T588">
        <v>1</v>
      </c>
      <c r="U588" t="s">
        <v>1290</v>
      </c>
      <c r="V588" t="s">
        <v>1257</v>
      </c>
      <c r="W588" t="s">
        <v>1241</v>
      </c>
      <c r="X588" t="s">
        <v>1209</v>
      </c>
      <c r="Y588" t="s">
        <v>1203</v>
      </c>
      <c r="Z588">
        <v>152.88</v>
      </c>
      <c r="AA588">
        <v>958.23</v>
      </c>
      <c r="AB588">
        <v>143.7345</v>
      </c>
      <c r="AC588">
        <v>814.49549999999999</v>
      </c>
      <c r="AD588">
        <v>458.64</v>
      </c>
      <c r="AE588">
        <v>355.85550000000001</v>
      </c>
      <c r="AF588">
        <v>0.43690296631473102</v>
      </c>
      <c r="AG588">
        <v>2025</v>
      </c>
      <c r="AH588">
        <v>7</v>
      </c>
      <c r="AI588" t="s">
        <v>1422</v>
      </c>
      <c r="AJ588" t="s">
        <v>1418</v>
      </c>
      <c r="AK588" t="s">
        <v>1258</v>
      </c>
      <c r="AL588">
        <v>0</v>
      </c>
    </row>
    <row r="589" spans="1:38">
      <c r="A589" t="s">
        <v>1158</v>
      </c>
      <c r="B589" s="13">
        <v>45817</v>
      </c>
      <c r="C589" t="s">
        <v>758</v>
      </c>
      <c r="D589" t="s">
        <v>360</v>
      </c>
      <c r="E589" t="s">
        <v>759</v>
      </c>
      <c r="F589" t="s">
        <v>223</v>
      </c>
      <c r="G589" t="s">
        <v>130</v>
      </c>
      <c r="H589" t="s">
        <v>97</v>
      </c>
      <c r="I589">
        <v>5</v>
      </c>
      <c r="J589">
        <v>62.48</v>
      </c>
      <c r="K589">
        <v>0</v>
      </c>
      <c r="L589" t="s">
        <v>106</v>
      </c>
      <c r="M589">
        <v>0</v>
      </c>
      <c r="N589" t="s">
        <v>91</v>
      </c>
      <c r="O589" t="s">
        <v>97</v>
      </c>
      <c r="P589" t="s">
        <v>360</v>
      </c>
      <c r="Q589" t="s">
        <v>758</v>
      </c>
      <c r="R589" t="s">
        <v>111</v>
      </c>
      <c r="S589" t="s">
        <v>106</v>
      </c>
      <c r="T589">
        <v>1</v>
      </c>
      <c r="U589" t="s">
        <v>1286</v>
      </c>
      <c r="V589" t="s">
        <v>1277</v>
      </c>
      <c r="W589" t="s">
        <v>1245</v>
      </c>
      <c r="X589" t="s">
        <v>1206</v>
      </c>
      <c r="Y589" t="s">
        <v>1203</v>
      </c>
      <c r="Z589">
        <v>37.46</v>
      </c>
      <c r="AA589">
        <v>312.39999999999998</v>
      </c>
      <c r="AB589">
        <v>0</v>
      </c>
      <c r="AC589">
        <v>312.39999999999998</v>
      </c>
      <c r="AD589">
        <v>187.3</v>
      </c>
      <c r="AE589">
        <v>125.09999999999997</v>
      </c>
      <c r="AF589">
        <v>0.4004481434058898</v>
      </c>
      <c r="AG589">
        <v>2025</v>
      </c>
      <c r="AH589">
        <v>6</v>
      </c>
      <c r="AI589" t="s">
        <v>1429</v>
      </c>
      <c r="AJ589" t="s">
        <v>1420</v>
      </c>
      <c r="AK589" t="s">
        <v>1244</v>
      </c>
      <c r="AL589">
        <v>0</v>
      </c>
    </row>
    <row r="590" spans="1:38">
      <c r="A590" t="s">
        <v>1159</v>
      </c>
      <c r="B590" s="13">
        <v>46015</v>
      </c>
      <c r="C590" t="s">
        <v>438</v>
      </c>
      <c r="D590" t="s">
        <v>323</v>
      </c>
      <c r="E590" t="s">
        <v>439</v>
      </c>
      <c r="F590" t="s">
        <v>187</v>
      </c>
      <c r="G590" t="s">
        <v>104</v>
      </c>
      <c r="H590" t="s">
        <v>97</v>
      </c>
      <c r="I590">
        <v>2</v>
      </c>
      <c r="J590">
        <v>339.25</v>
      </c>
      <c r="K590">
        <v>0.05</v>
      </c>
      <c r="L590" t="s">
        <v>90</v>
      </c>
      <c r="M590">
        <v>0</v>
      </c>
      <c r="N590" t="s">
        <v>91</v>
      </c>
      <c r="O590" t="s">
        <v>97</v>
      </c>
      <c r="P590" t="s">
        <v>323</v>
      </c>
      <c r="Q590" t="s">
        <v>438</v>
      </c>
      <c r="R590" t="s">
        <v>103</v>
      </c>
      <c r="S590" t="s">
        <v>369</v>
      </c>
      <c r="T590">
        <v>1</v>
      </c>
      <c r="U590" t="s">
        <v>1278</v>
      </c>
      <c r="V590" t="s">
        <v>1257</v>
      </c>
      <c r="W590" t="s">
        <v>1237</v>
      </c>
      <c r="X590" t="s">
        <v>1209</v>
      </c>
      <c r="Y590" t="s">
        <v>1203</v>
      </c>
      <c r="Z590">
        <v>152.88</v>
      </c>
      <c r="AA590">
        <v>678.5</v>
      </c>
      <c r="AB590">
        <v>33.925000000000004</v>
      </c>
      <c r="AC590">
        <v>644.57500000000005</v>
      </c>
      <c r="AD590">
        <v>305.76</v>
      </c>
      <c r="AE590">
        <v>338.81500000000005</v>
      </c>
      <c r="AF590">
        <v>0.52564092619167668</v>
      </c>
      <c r="AG590">
        <v>2025</v>
      </c>
      <c r="AH590">
        <v>12</v>
      </c>
      <c r="AI590" t="s">
        <v>1428</v>
      </c>
      <c r="AJ590" t="s">
        <v>1427</v>
      </c>
      <c r="AK590" t="s">
        <v>1258</v>
      </c>
      <c r="AL590">
        <v>0</v>
      </c>
    </row>
    <row r="591" spans="1:38">
      <c r="A591" t="s">
        <v>1161</v>
      </c>
      <c r="B591" s="13">
        <v>45720</v>
      </c>
      <c r="C591" t="s">
        <v>516</v>
      </c>
      <c r="D591" t="s">
        <v>101</v>
      </c>
      <c r="E591" t="s">
        <v>1162</v>
      </c>
      <c r="F591" t="s">
        <v>103</v>
      </c>
      <c r="G591" t="s">
        <v>183</v>
      </c>
      <c r="H591" t="s">
        <v>89</v>
      </c>
      <c r="I591">
        <v>3</v>
      </c>
      <c r="J591">
        <v>301.69</v>
      </c>
      <c r="K591">
        <v>0.05</v>
      </c>
      <c r="L591" t="s">
        <v>106</v>
      </c>
      <c r="M591">
        <v>7</v>
      </c>
      <c r="N591" t="s">
        <v>91</v>
      </c>
      <c r="O591" t="s">
        <v>89</v>
      </c>
      <c r="P591" t="s">
        <v>101</v>
      </c>
      <c r="Q591" t="s">
        <v>516</v>
      </c>
      <c r="R591" t="s">
        <v>103</v>
      </c>
      <c r="S591" t="s">
        <v>106</v>
      </c>
      <c r="T591">
        <v>1</v>
      </c>
      <c r="U591" t="s">
        <v>1359</v>
      </c>
      <c r="V591" t="s">
        <v>1255</v>
      </c>
      <c r="W591" t="s">
        <v>1241</v>
      </c>
      <c r="X591" t="s">
        <v>1207</v>
      </c>
      <c r="Y591" t="s">
        <v>1203</v>
      </c>
      <c r="Z591">
        <v>139.86000000000001</v>
      </c>
      <c r="AA591">
        <v>905.06999999999994</v>
      </c>
      <c r="AB591">
        <v>45.253500000000003</v>
      </c>
      <c r="AC591">
        <v>859.81649999999991</v>
      </c>
      <c r="AD591">
        <v>419.58000000000004</v>
      </c>
      <c r="AE591">
        <v>440.23649999999986</v>
      </c>
      <c r="AF591">
        <v>0.51201215608214068</v>
      </c>
      <c r="AG591">
        <v>2025</v>
      </c>
      <c r="AH591">
        <v>3</v>
      </c>
      <c r="AI591" t="s">
        <v>1423</v>
      </c>
      <c r="AJ591" t="s">
        <v>1424</v>
      </c>
      <c r="AK591" t="s">
        <v>1244</v>
      </c>
      <c r="AL591">
        <v>0</v>
      </c>
    </row>
    <row r="592" spans="1:38">
      <c r="A592" t="s">
        <v>1166</v>
      </c>
      <c r="B592" s="13">
        <v>45879</v>
      </c>
      <c r="C592" t="s">
        <v>613</v>
      </c>
      <c r="D592" t="s">
        <v>101</v>
      </c>
      <c r="E592" t="s">
        <v>710</v>
      </c>
      <c r="F592" t="s">
        <v>103</v>
      </c>
      <c r="G592" t="s">
        <v>130</v>
      </c>
      <c r="H592" t="s">
        <v>105</v>
      </c>
      <c r="I592">
        <v>1</v>
      </c>
      <c r="J592">
        <v>291.2</v>
      </c>
      <c r="K592">
        <v>0.05</v>
      </c>
      <c r="L592" t="s">
        <v>106</v>
      </c>
      <c r="M592">
        <v>1</v>
      </c>
      <c r="N592" t="s">
        <v>91</v>
      </c>
      <c r="O592" t="s">
        <v>105</v>
      </c>
      <c r="P592" t="s">
        <v>101</v>
      </c>
      <c r="Q592" t="s">
        <v>613</v>
      </c>
      <c r="R592" t="s">
        <v>103</v>
      </c>
      <c r="S592" t="s">
        <v>106</v>
      </c>
      <c r="T592">
        <v>1</v>
      </c>
      <c r="U592" t="s">
        <v>1289</v>
      </c>
      <c r="V592" t="s">
        <v>1260</v>
      </c>
      <c r="W592" t="s">
        <v>1245</v>
      </c>
      <c r="X592" t="s">
        <v>1207</v>
      </c>
      <c r="Y592" t="s">
        <v>1203</v>
      </c>
      <c r="Z592">
        <v>139.86000000000001</v>
      </c>
      <c r="AA592">
        <v>291.2</v>
      </c>
      <c r="AB592">
        <v>14.56</v>
      </c>
      <c r="AC592">
        <v>276.64</v>
      </c>
      <c r="AD592">
        <v>139.86000000000001</v>
      </c>
      <c r="AE592">
        <v>136.77999999999997</v>
      </c>
      <c r="AF592">
        <v>0.49443319838056671</v>
      </c>
      <c r="AG592">
        <v>2025</v>
      </c>
      <c r="AH592">
        <v>8</v>
      </c>
      <c r="AI592" t="s">
        <v>1417</v>
      </c>
      <c r="AJ592" t="s">
        <v>1418</v>
      </c>
      <c r="AK592" t="s">
        <v>1240</v>
      </c>
      <c r="AL592">
        <v>0</v>
      </c>
    </row>
    <row r="593" spans="1:38">
      <c r="A593" t="s">
        <v>1167</v>
      </c>
      <c r="B593" s="13">
        <v>45855</v>
      </c>
      <c r="C593" t="s">
        <v>206</v>
      </c>
      <c r="D593" t="s">
        <v>252</v>
      </c>
      <c r="E593" t="s">
        <v>207</v>
      </c>
      <c r="F593" t="s">
        <v>145</v>
      </c>
      <c r="G593" t="s">
        <v>183</v>
      </c>
      <c r="H593" t="s">
        <v>97</v>
      </c>
      <c r="I593">
        <v>2</v>
      </c>
      <c r="J593">
        <v>282.41000000000003</v>
      </c>
      <c r="K593">
        <v>0.25</v>
      </c>
      <c r="L593" t="s">
        <v>106</v>
      </c>
      <c r="M593">
        <v>4</v>
      </c>
      <c r="N593" t="s">
        <v>91</v>
      </c>
      <c r="O593" t="s">
        <v>97</v>
      </c>
      <c r="P593" t="s">
        <v>252</v>
      </c>
      <c r="Q593" t="s">
        <v>206</v>
      </c>
      <c r="R593" t="s">
        <v>145</v>
      </c>
      <c r="S593" t="s">
        <v>106</v>
      </c>
      <c r="T593">
        <v>1</v>
      </c>
      <c r="U593" t="s">
        <v>1310</v>
      </c>
      <c r="V593" t="s">
        <v>1297</v>
      </c>
      <c r="W593" t="s">
        <v>1237</v>
      </c>
      <c r="X593" t="s">
        <v>1205</v>
      </c>
      <c r="Y593" t="s">
        <v>1203</v>
      </c>
      <c r="Z593">
        <v>186.94</v>
      </c>
      <c r="AA593">
        <v>564.82000000000005</v>
      </c>
      <c r="AB593">
        <v>141.20500000000001</v>
      </c>
      <c r="AC593">
        <v>423.61500000000001</v>
      </c>
      <c r="AD593">
        <v>373.88</v>
      </c>
      <c r="AE593">
        <v>49.735000000000014</v>
      </c>
      <c r="AF593">
        <v>0.11740613528793838</v>
      </c>
      <c r="AG593">
        <v>2025</v>
      </c>
      <c r="AH593">
        <v>7</v>
      </c>
      <c r="AI593" t="s">
        <v>1422</v>
      </c>
      <c r="AJ593" t="s">
        <v>1418</v>
      </c>
      <c r="AK593" t="s">
        <v>1258</v>
      </c>
      <c r="AL593">
        <v>0</v>
      </c>
    </row>
    <row r="594" spans="1:38">
      <c r="A594" t="s">
        <v>1169</v>
      </c>
      <c r="B594" s="13">
        <v>45919</v>
      </c>
      <c r="C594" t="s">
        <v>497</v>
      </c>
      <c r="D594" t="s">
        <v>360</v>
      </c>
      <c r="E594" t="s">
        <v>498</v>
      </c>
      <c r="F594" t="s">
        <v>87</v>
      </c>
      <c r="G594" t="s">
        <v>171</v>
      </c>
      <c r="H594" t="s">
        <v>89</v>
      </c>
      <c r="I594">
        <v>3</v>
      </c>
      <c r="J594">
        <v>69.22</v>
      </c>
      <c r="K594">
        <v>0.2</v>
      </c>
      <c r="L594" t="s">
        <v>98</v>
      </c>
      <c r="M594">
        <v>7</v>
      </c>
      <c r="N594" t="s">
        <v>147</v>
      </c>
      <c r="O594" t="s">
        <v>89</v>
      </c>
      <c r="P594" t="s">
        <v>360</v>
      </c>
      <c r="Q594" t="s">
        <v>497</v>
      </c>
      <c r="R594" t="s">
        <v>87</v>
      </c>
      <c r="S594" t="s">
        <v>98</v>
      </c>
      <c r="T594">
        <v>1</v>
      </c>
      <c r="U594" t="s">
        <v>1271</v>
      </c>
      <c r="V594" t="s">
        <v>1257</v>
      </c>
      <c r="W594" t="s">
        <v>1237</v>
      </c>
      <c r="X594" t="s">
        <v>1206</v>
      </c>
      <c r="Y594" t="s">
        <v>1203</v>
      </c>
      <c r="Z594">
        <v>37.46</v>
      </c>
      <c r="AA594">
        <v>207.66</v>
      </c>
      <c r="AB594">
        <v>41.532000000000004</v>
      </c>
      <c r="AC594">
        <v>166.12799999999999</v>
      </c>
      <c r="AD594">
        <v>112.38</v>
      </c>
      <c r="AE594">
        <v>53.74799999999999</v>
      </c>
      <c r="AF594">
        <v>0.32353366079167867</v>
      </c>
      <c r="AG594">
        <v>2025</v>
      </c>
      <c r="AH594">
        <v>9</v>
      </c>
      <c r="AI594" t="s">
        <v>1432</v>
      </c>
      <c r="AJ594" t="s">
        <v>1418</v>
      </c>
      <c r="AK594" t="s">
        <v>1258</v>
      </c>
      <c r="AL594">
        <v>1</v>
      </c>
    </row>
    <row r="595" spans="1:38">
      <c r="A595" t="s">
        <v>118</v>
      </c>
      <c r="B595" s="13">
        <v>45672</v>
      </c>
      <c r="C595" t="s">
        <v>119</v>
      </c>
      <c r="D595" t="s">
        <v>120</v>
      </c>
      <c r="E595" t="s">
        <v>121</v>
      </c>
      <c r="F595" t="s">
        <v>116</v>
      </c>
      <c r="G595" t="s">
        <v>122</v>
      </c>
      <c r="H595" t="s">
        <v>97</v>
      </c>
      <c r="I595">
        <v>2</v>
      </c>
      <c r="J595">
        <v>375.75</v>
      </c>
      <c r="K595">
        <v>0</v>
      </c>
      <c r="L595" t="s">
        <v>106</v>
      </c>
      <c r="M595">
        <v>2</v>
      </c>
      <c r="N595" t="s">
        <v>91</v>
      </c>
      <c r="O595" t="s">
        <v>97</v>
      </c>
      <c r="P595" t="s">
        <v>120</v>
      </c>
      <c r="Q595" t="s">
        <v>119</v>
      </c>
      <c r="R595" t="s">
        <v>116</v>
      </c>
      <c r="S595" t="s">
        <v>106</v>
      </c>
      <c r="T595">
        <v>1</v>
      </c>
      <c r="U595" t="s">
        <v>1308</v>
      </c>
      <c r="V595" t="s">
        <v>1288</v>
      </c>
      <c r="W595" t="s">
        <v>1241</v>
      </c>
      <c r="X595" t="s">
        <v>1199</v>
      </c>
      <c r="Y595" t="s">
        <v>1193</v>
      </c>
      <c r="Z595">
        <v>235.76</v>
      </c>
      <c r="AA595">
        <v>751.5</v>
      </c>
      <c r="AB595">
        <v>0</v>
      </c>
      <c r="AC595">
        <v>751.5</v>
      </c>
      <c r="AD595">
        <v>471.52</v>
      </c>
      <c r="AE595">
        <v>279.98</v>
      </c>
      <c r="AF595">
        <v>0.37256154357950766</v>
      </c>
      <c r="AG595">
        <v>2025</v>
      </c>
      <c r="AH595">
        <v>1</v>
      </c>
      <c r="AI595" t="s">
        <v>1425</v>
      </c>
      <c r="AJ595" t="s">
        <v>1424</v>
      </c>
      <c r="AK595" t="s">
        <v>1250</v>
      </c>
      <c r="AL595">
        <v>0</v>
      </c>
    </row>
    <row r="596" spans="1:38">
      <c r="A596" t="s">
        <v>137</v>
      </c>
      <c r="B596" s="13">
        <v>46016</v>
      </c>
      <c r="C596" t="s">
        <v>138</v>
      </c>
      <c r="D596" t="s">
        <v>139</v>
      </c>
      <c r="E596" t="s">
        <v>140</v>
      </c>
      <c r="F596" t="s">
        <v>116</v>
      </c>
      <c r="G596" t="s">
        <v>88</v>
      </c>
      <c r="H596" t="s">
        <v>89</v>
      </c>
      <c r="I596">
        <v>3</v>
      </c>
      <c r="J596">
        <v>79.569999999999993</v>
      </c>
      <c r="K596">
        <v>0</v>
      </c>
      <c r="L596" t="s">
        <v>90</v>
      </c>
      <c r="M596">
        <v>3</v>
      </c>
      <c r="N596" t="s">
        <v>91</v>
      </c>
      <c r="O596" t="s">
        <v>89</v>
      </c>
      <c r="P596" t="s">
        <v>139</v>
      </c>
      <c r="Q596" t="s">
        <v>138</v>
      </c>
      <c r="R596" t="s">
        <v>116</v>
      </c>
      <c r="S596" t="s">
        <v>369</v>
      </c>
      <c r="T596">
        <v>1</v>
      </c>
      <c r="U596" t="s">
        <v>1348</v>
      </c>
      <c r="V596" t="s">
        <v>1243</v>
      </c>
      <c r="W596" t="s">
        <v>1241</v>
      </c>
      <c r="X596" t="s">
        <v>1196</v>
      </c>
      <c r="Y596" t="s">
        <v>1193</v>
      </c>
      <c r="Z596">
        <v>45.17</v>
      </c>
      <c r="AA596">
        <v>238.70999999999998</v>
      </c>
      <c r="AB596">
        <v>0</v>
      </c>
      <c r="AC596">
        <v>238.70999999999998</v>
      </c>
      <c r="AD596">
        <v>135.51</v>
      </c>
      <c r="AE596">
        <v>103.19999999999999</v>
      </c>
      <c r="AF596">
        <v>0.43232374010305391</v>
      </c>
      <c r="AG596">
        <v>2025</v>
      </c>
      <c r="AH596">
        <v>12</v>
      </c>
      <c r="AI596" t="s">
        <v>1428</v>
      </c>
      <c r="AJ596" t="s">
        <v>1427</v>
      </c>
      <c r="AK596" t="s">
        <v>1244</v>
      </c>
      <c r="AL596">
        <v>0</v>
      </c>
    </row>
    <row r="597" spans="1:38">
      <c r="A597" t="s">
        <v>148</v>
      </c>
      <c r="B597" s="13">
        <v>45826</v>
      </c>
      <c r="C597" t="s">
        <v>108</v>
      </c>
      <c r="D597" t="s">
        <v>149</v>
      </c>
      <c r="E597" t="s">
        <v>110</v>
      </c>
      <c r="F597" t="s">
        <v>116</v>
      </c>
      <c r="G597" t="s">
        <v>96</v>
      </c>
      <c r="H597" t="s">
        <v>97</v>
      </c>
      <c r="I597">
        <v>1</v>
      </c>
      <c r="J597">
        <v>82.73</v>
      </c>
      <c r="K597">
        <v>0</v>
      </c>
      <c r="L597" t="s">
        <v>98</v>
      </c>
      <c r="M597">
        <v>3</v>
      </c>
      <c r="N597" t="s">
        <v>91</v>
      </c>
      <c r="O597" t="s">
        <v>97</v>
      </c>
      <c r="P597" t="s">
        <v>149</v>
      </c>
      <c r="Q597" t="s">
        <v>108</v>
      </c>
      <c r="R597" t="s">
        <v>116</v>
      </c>
      <c r="S597" t="s">
        <v>98</v>
      </c>
      <c r="T597">
        <v>1</v>
      </c>
      <c r="U597" t="s">
        <v>1319</v>
      </c>
      <c r="V597" t="s">
        <v>1275</v>
      </c>
      <c r="W597" t="s">
        <v>1237</v>
      </c>
      <c r="X597" t="s">
        <v>1195</v>
      </c>
      <c r="Y597" t="s">
        <v>1193</v>
      </c>
      <c r="Z597">
        <v>39.26</v>
      </c>
      <c r="AA597">
        <v>82.73</v>
      </c>
      <c r="AB597">
        <v>0</v>
      </c>
      <c r="AC597">
        <v>82.73</v>
      </c>
      <c r="AD597">
        <v>39.26</v>
      </c>
      <c r="AE597">
        <v>43.470000000000006</v>
      </c>
      <c r="AF597">
        <v>0.52544421612474324</v>
      </c>
      <c r="AG597">
        <v>2025</v>
      </c>
      <c r="AH597">
        <v>6</v>
      </c>
      <c r="AI597" t="s">
        <v>1429</v>
      </c>
      <c r="AJ597" t="s">
        <v>1420</v>
      </c>
      <c r="AK597" t="s">
        <v>1258</v>
      </c>
      <c r="AL597">
        <v>0</v>
      </c>
    </row>
    <row r="598" spans="1:38">
      <c r="A598" t="s">
        <v>155</v>
      </c>
      <c r="B598" s="13">
        <v>45810</v>
      </c>
      <c r="C598" t="s">
        <v>156</v>
      </c>
      <c r="D598" t="s">
        <v>157</v>
      </c>
      <c r="E598" t="s">
        <v>158</v>
      </c>
      <c r="F598" t="s">
        <v>111</v>
      </c>
      <c r="G598" t="s">
        <v>96</v>
      </c>
      <c r="H598" t="s">
        <v>97</v>
      </c>
      <c r="I598">
        <v>4</v>
      </c>
      <c r="J598">
        <v>306.48</v>
      </c>
      <c r="K598">
        <v>0.1</v>
      </c>
      <c r="L598" t="s">
        <v>106</v>
      </c>
      <c r="M598">
        <v>2</v>
      </c>
      <c r="N598" t="s">
        <v>91</v>
      </c>
      <c r="O598" t="s">
        <v>97</v>
      </c>
      <c r="P598" t="s">
        <v>157</v>
      </c>
      <c r="Q598" t="s">
        <v>156</v>
      </c>
      <c r="R598" t="s">
        <v>111</v>
      </c>
      <c r="S598" t="s">
        <v>106</v>
      </c>
      <c r="T598">
        <v>1</v>
      </c>
      <c r="U598" t="s">
        <v>1353</v>
      </c>
      <c r="V598" t="s">
        <v>1235</v>
      </c>
      <c r="W598" t="s">
        <v>1237</v>
      </c>
      <c r="X598" t="s">
        <v>1192</v>
      </c>
      <c r="Y598" t="s">
        <v>1193</v>
      </c>
      <c r="Z598">
        <v>176.13</v>
      </c>
      <c r="AA598">
        <v>1225.92</v>
      </c>
      <c r="AB598">
        <v>122.59200000000001</v>
      </c>
      <c r="AC598">
        <v>1103.328</v>
      </c>
      <c r="AD598">
        <v>704.52</v>
      </c>
      <c r="AE598">
        <v>398.80799999999999</v>
      </c>
      <c r="AF598">
        <v>0.36145914904724613</v>
      </c>
      <c r="AG598">
        <v>2025</v>
      </c>
      <c r="AH598">
        <v>6</v>
      </c>
      <c r="AI598" t="s">
        <v>1429</v>
      </c>
      <c r="AJ598" t="s">
        <v>1420</v>
      </c>
      <c r="AK598" t="s">
        <v>1236</v>
      </c>
      <c r="AL598">
        <v>0</v>
      </c>
    </row>
    <row r="599" spans="1:38">
      <c r="A599" t="s">
        <v>159</v>
      </c>
      <c r="B599" s="13">
        <v>45834</v>
      </c>
      <c r="C599" t="s">
        <v>160</v>
      </c>
      <c r="D599" t="s">
        <v>120</v>
      </c>
      <c r="E599" t="s">
        <v>161</v>
      </c>
      <c r="F599" t="s">
        <v>116</v>
      </c>
      <c r="G599" t="s">
        <v>96</v>
      </c>
      <c r="H599" t="s">
        <v>105</v>
      </c>
      <c r="I599">
        <v>1</v>
      </c>
      <c r="J599">
        <v>361.37</v>
      </c>
      <c r="K599">
        <v>0</v>
      </c>
      <c r="L599" t="s">
        <v>154</v>
      </c>
      <c r="M599">
        <v>3</v>
      </c>
      <c r="N599" t="s">
        <v>147</v>
      </c>
      <c r="O599" t="s">
        <v>105</v>
      </c>
      <c r="P599" t="s">
        <v>120</v>
      </c>
      <c r="Q599" t="s">
        <v>160</v>
      </c>
      <c r="R599" t="s">
        <v>116</v>
      </c>
      <c r="S599" t="s">
        <v>154</v>
      </c>
      <c r="T599">
        <v>1</v>
      </c>
      <c r="U599" t="s">
        <v>1321</v>
      </c>
      <c r="V599" t="s">
        <v>1255</v>
      </c>
      <c r="W599" t="s">
        <v>1237</v>
      </c>
      <c r="X599" t="s">
        <v>1199</v>
      </c>
      <c r="Y599" t="s">
        <v>1193</v>
      </c>
      <c r="Z599">
        <v>235.76</v>
      </c>
      <c r="AA599">
        <v>361.37</v>
      </c>
      <c r="AB599">
        <v>0</v>
      </c>
      <c r="AC599">
        <v>361.37</v>
      </c>
      <c r="AD599">
        <v>235.76</v>
      </c>
      <c r="AE599">
        <v>125.61000000000001</v>
      </c>
      <c r="AF599">
        <v>0.34759387884993226</v>
      </c>
      <c r="AG599">
        <v>2025</v>
      </c>
      <c r="AH599">
        <v>6</v>
      </c>
      <c r="AI599" t="s">
        <v>1429</v>
      </c>
      <c r="AJ599" t="s">
        <v>1420</v>
      </c>
      <c r="AK599" t="s">
        <v>1244</v>
      </c>
      <c r="AL599">
        <v>1</v>
      </c>
    </row>
    <row r="600" spans="1:38">
      <c r="A600" t="s">
        <v>162</v>
      </c>
      <c r="B600" s="13">
        <v>45676</v>
      </c>
      <c r="C600" t="s">
        <v>142</v>
      </c>
      <c r="D600" t="s">
        <v>139</v>
      </c>
      <c r="E600" t="s">
        <v>144</v>
      </c>
      <c r="F600" t="s">
        <v>103</v>
      </c>
      <c r="G600" t="s">
        <v>104</v>
      </c>
      <c r="H600" t="s">
        <v>89</v>
      </c>
      <c r="I600">
        <v>1</v>
      </c>
      <c r="J600">
        <v>77</v>
      </c>
      <c r="K600">
        <v>0.15</v>
      </c>
      <c r="L600" t="s">
        <v>90</v>
      </c>
      <c r="M600">
        <v>5</v>
      </c>
      <c r="N600" t="s">
        <v>91</v>
      </c>
      <c r="O600" t="s">
        <v>89</v>
      </c>
      <c r="P600" t="s">
        <v>139</v>
      </c>
      <c r="Q600" t="s">
        <v>142</v>
      </c>
      <c r="R600" t="s">
        <v>103</v>
      </c>
      <c r="S600" t="s">
        <v>369</v>
      </c>
      <c r="T600">
        <v>1</v>
      </c>
      <c r="U600" t="s">
        <v>1238</v>
      </c>
      <c r="V600" t="s">
        <v>1239</v>
      </c>
      <c r="W600" t="s">
        <v>1241</v>
      </c>
      <c r="X600" t="s">
        <v>1196</v>
      </c>
      <c r="Y600" t="s">
        <v>1193</v>
      </c>
      <c r="Z600">
        <v>45.17</v>
      </c>
      <c r="AA600">
        <v>77</v>
      </c>
      <c r="AB600">
        <v>11.549999999999999</v>
      </c>
      <c r="AC600">
        <v>65.45</v>
      </c>
      <c r="AD600">
        <v>45.17</v>
      </c>
      <c r="AE600">
        <v>20.28</v>
      </c>
      <c r="AF600">
        <v>0.3098548510313216</v>
      </c>
      <c r="AG600">
        <v>2025</v>
      </c>
      <c r="AH600">
        <v>1</v>
      </c>
      <c r="AI600" t="s">
        <v>1425</v>
      </c>
      <c r="AJ600" t="s">
        <v>1424</v>
      </c>
      <c r="AK600" t="s">
        <v>1240</v>
      </c>
      <c r="AL600">
        <v>0</v>
      </c>
    </row>
    <row r="601" spans="1:38">
      <c r="A601" t="s">
        <v>176</v>
      </c>
      <c r="B601" s="13">
        <v>45658</v>
      </c>
      <c r="C601" t="s">
        <v>177</v>
      </c>
      <c r="D601" t="s">
        <v>120</v>
      </c>
      <c r="E601" t="s">
        <v>178</v>
      </c>
      <c r="F601" t="s">
        <v>87</v>
      </c>
      <c r="G601" t="s">
        <v>171</v>
      </c>
      <c r="H601" t="s">
        <v>97</v>
      </c>
      <c r="I601">
        <v>2</v>
      </c>
      <c r="J601">
        <v>373.3</v>
      </c>
      <c r="K601">
        <v>0.05</v>
      </c>
      <c r="L601" t="s">
        <v>106</v>
      </c>
      <c r="M601">
        <v>1</v>
      </c>
      <c r="N601" t="s">
        <v>147</v>
      </c>
      <c r="O601" t="s">
        <v>97</v>
      </c>
      <c r="P601" t="s">
        <v>120</v>
      </c>
      <c r="Q601" t="s">
        <v>177</v>
      </c>
      <c r="R601" t="s">
        <v>87</v>
      </c>
      <c r="S601" t="s">
        <v>106</v>
      </c>
      <c r="T601">
        <v>1</v>
      </c>
      <c r="U601" t="s">
        <v>1293</v>
      </c>
      <c r="V601" t="s">
        <v>1235</v>
      </c>
      <c r="W601" t="s">
        <v>1241</v>
      </c>
      <c r="X601" t="s">
        <v>1199</v>
      </c>
      <c r="Y601" t="s">
        <v>1193</v>
      </c>
      <c r="Z601">
        <v>235.76</v>
      </c>
      <c r="AA601">
        <v>746.6</v>
      </c>
      <c r="AB601">
        <v>37.330000000000005</v>
      </c>
      <c r="AC601">
        <v>709.27</v>
      </c>
      <c r="AD601">
        <v>471.52</v>
      </c>
      <c r="AE601">
        <v>237.75</v>
      </c>
      <c r="AF601">
        <v>0.33520380109126285</v>
      </c>
      <c r="AG601">
        <v>2025</v>
      </c>
      <c r="AH601">
        <v>1</v>
      </c>
      <c r="AI601" t="s">
        <v>1425</v>
      </c>
      <c r="AJ601" t="s">
        <v>1424</v>
      </c>
      <c r="AK601" t="s">
        <v>1236</v>
      </c>
      <c r="AL601">
        <v>1</v>
      </c>
    </row>
    <row r="602" spans="1:38">
      <c r="A602" t="s">
        <v>205</v>
      </c>
      <c r="B602" s="13">
        <v>45670</v>
      </c>
      <c r="C602" t="s">
        <v>206</v>
      </c>
      <c r="D602" t="s">
        <v>149</v>
      </c>
      <c r="E602" t="s">
        <v>207</v>
      </c>
      <c r="F602" t="s">
        <v>87</v>
      </c>
      <c r="G602" t="s">
        <v>130</v>
      </c>
      <c r="H602" t="s">
        <v>89</v>
      </c>
      <c r="I602">
        <v>3</v>
      </c>
      <c r="J602">
        <v>81.11</v>
      </c>
      <c r="K602">
        <v>0.1</v>
      </c>
      <c r="L602" t="s">
        <v>154</v>
      </c>
      <c r="M602">
        <v>1</v>
      </c>
      <c r="N602" t="s">
        <v>91</v>
      </c>
      <c r="O602" t="s">
        <v>89</v>
      </c>
      <c r="P602" t="s">
        <v>149</v>
      </c>
      <c r="Q602" t="s">
        <v>206</v>
      </c>
      <c r="R602" t="s">
        <v>87</v>
      </c>
      <c r="S602" t="s">
        <v>154</v>
      </c>
      <c r="T602">
        <v>1</v>
      </c>
      <c r="U602" t="s">
        <v>1310</v>
      </c>
      <c r="V602" t="s">
        <v>1297</v>
      </c>
      <c r="W602" t="s">
        <v>1237</v>
      </c>
      <c r="X602" t="s">
        <v>1195</v>
      </c>
      <c r="Y602" t="s">
        <v>1193</v>
      </c>
      <c r="Z602">
        <v>39.26</v>
      </c>
      <c r="AA602">
        <v>243.32999999999998</v>
      </c>
      <c r="AB602">
        <v>24.332999999999998</v>
      </c>
      <c r="AC602">
        <v>218.99699999999999</v>
      </c>
      <c r="AD602">
        <v>117.78</v>
      </c>
      <c r="AE602">
        <v>101.21699999999998</v>
      </c>
      <c r="AF602">
        <v>0.46218441348511619</v>
      </c>
      <c r="AG602">
        <v>2025</v>
      </c>
      <c r="AH602">
        <v>1</v>
      </c>
      <c r="AI602" t="s">
        <v>1425</v>
      </c>
      <c r="AJ602" t="s">
        <v>1424</v>
      </c>
      <c r="AK602" t="s">
        <v>1258</v>
      </c>
      <c r="AL602">
        <v>0</v>
      </c>
    </row>
    <row r="603" spans="1:38">
      <c r="A603" t="s">
        <v>224</v>
      </c>
      <c r="B603" s="13">
        <v>45732</v>
      </c>
      <c r="C603" t="s">
        <v>225</v>
      </c>
      <c r="D603" t="s">
        <v>226</v>
      </c>
      <c r="E603" t="s">
        <v>227</v>
      </c>
      <c r="F603" t="s">
        <v>111</v>
      </c>
      <c r="G603" t="s">
        <v>130</v>
      </c>
      <c r="H603" t="s">
        <v>89</v>
      </c>
      <c r="I603">
        <v>1</v>
      </c>
      <c r="J603">
        <v>215.08</v>
      </c>
      <c r="K603">
        <v>0</v>
      </c>
      <c r="L603" t="s">
        <v>98</v>
      </c>
      <c r="M603">
        <v>9</v>
      </c>
      <c r="N603" t="s">
        <v>91</v>
      </c>
      <c r="O603" t="s">
        <v>89</v>
      </c>
      <c r="P603" t="s">
        <v>226</v>
      </c>
      <c r="Q603" t="s">
        <v>225</v>
      </c>
      <c r="R603" t="s">
        <v>111</v>
      </c>
      <c r="S603" t="s">
        <v>98</v>
      </c>
      <c r="T603">
        <v>1</v>
      </c>
      <c r="U603" t="s">
        <v>1328</v>
      </c>
      <c r="V603" t="s">
        <v>1247</v>
      </c>
      <c r="W603" t="s">
        <v>1237</v>
      </c>
      <c r="X603" t="s">
        <v>1194</v>
      </c>
      <c r="Y603" t="s">
        <v>1193</v>
      </c>
      <c r="Z603">
        <v>127.21</v>
      </c>
      <c r="AA603">
        <v>215.08</v>
      </c>
      <c r="AB603">
        <v>0</v>
      </c>
      <c r="AC603">
        <v>215.08</v>
      </c>
      <c r="AD603">
        <v>127.21</v>
      </c>
      <c r="AE603">
        <v>87.870000000000019</v>
      </c>
      <c r="AF603">
        <v>0.40854565742979365</v>
      </c>
      <c r="AG603">
        <v>2025</v>
      </c>
      <c r="AH603">
        <v>3</v>
      </c>
      <c r="AI603" t="s">
        <v>1423</v>
      </c>
      <c r="AJ603" t="s">
        <v>1424</v>
      </c>
      <c r="AK603" t="s">
        <v>1240</v>
      </c>
      <c r="AL603">
        <v>0</v>
      </c>
    </row>
    <row r="604" spans="1:38">
      <c r="A604" t="s">
        <v>234</v>
      </c>
      <c r="B604" s="13">
        <v>45861</v>
      </c>
      <c r="C604" t="s">
        <v>119</v>
      </c>
      <c r="D604" t="s">
        <v>139</v>
      </c>
      <c r="E604" t="s">
        <v>121</v>
      </c>
      <c r="F604" t="s">
        <v>103</v>
      </c>
      <c r="G604" t="s">
        <v>122</v>
      </c>
      <c r="H604" t="s">
        <v>97</v>
      </c>
      <c r="I604">
        <v>5</v>
      </c>
      <c r="J604">
        <v>82.85</v>
      </c>
      <c r="K604">
        <v>0.1</v>
      </c>
      <c r="L604" t="s">
        <v>106</v>
      </c>
      <c r="M604">
        <v>0</v>
      </c>
      <c r="N604" t="s">
        <v>91</v>
      </c>
      <c r="O604" t="s">
        <v>97</v>
      </c>
      <c r="P604" t="s">
        <v>139</v>
      </c>
      <c r="Q604" t="s">
        <v>119</v>
      </c>
      <c r="R604" t="s">
        <v>103</v>
      </c>
      <c r="S604" t="s">
        <v>106</v>
      </c>
      <c r="T604">
        <v>1</v>
      </c>
      <c r="U604" t="s">
        <v>1308</v>
      </c>
      <c r="V604" t="s">
        <v>1288</v>
      </c>
      <c r="W604" t="s">
        <v>1241</v>
      </c>
      <c r="X604" t="s">
        <v>1196</v>
      </c>
      <c r="Y604" t="s">
        <v>1193</v>
      </c>
      <c r="Z604">
        <v>45.17</v>
      </c>
      <c r="AA604">
        <v>414.25</v>
      </c>
      <c r="AB604">
        <v>41.425000000000004</v>
      </c>
      <c r="AC604">
        <v>372.82499999999999</v>
      </c>
      <c r="AD604">
        <v>225.85000000000002</v>
      </c>
      <c r="AE604">
        <v>146.97499999999997</v>
      </c>
      <c r="AF604">
        <v>0.39421980822101516</v>
      </c>
      <c r="AG604">
        <v>2025</v>
      </c>
      <c r="AH604">
        <v>7</v>
      </c>
      <c r="AI604" t="s">
        <v>1422</v>
      </c>
      <c r="AJ604" t="s">
        <v>1418</v>
      </c>
      <c r="AK604" t="s">
        <v>1250</v>
      </c>
      <c r="AL604">
        <v>0</v>
      </c>
    </row>
    <row r="605" spans="1:38">
      <c r="A605" t="s">
        <v>254</v>
      </c>
      <c r="B605" s="13">
        <v>45765</v>
      </c>
      <c r="C605" t="s">
        <v>84</v>
      </c>
      <c r="D605" t="s">
        <v>255</v>
      </c>
      <c r="E605" t="s">
        <v>86</v>
      </c>
      <c r="F605" t="s">
        <v>103</v>
      </c>
      <c r="G605" t="s">
        <v>88</v>
      </c>
      <c r="H605" t="s">
        <v>97</v>
      </c>
      <c r="I605">
        <v>5</v>
      </c>
      <c r="J605">
        <v>244.71</v>
      </c>
      <c r="K605">
        <v>0</v>
      </c>
      <c r="L605" t="s">
        <v>90</v>
      </c>
      <c r="M605">
        <v>2</v>
      </c>
      <c r="N605" t="s">
        <v>91</v>
      </c>
      <c r="O605" t="s">
        <v>97</v>
      </c>
      <c r="P605" t="s">
        <v>255</v>
      </c>
      <c r="Q605" t="s">
        <v>84</v>
      </c>
      <c r="R605" t="s">
        <v>103</v>
      </c>
      <c r="S605" t="s">
        <v>369</v>
      </c>
      <c r="T605">
        <v>1</v>
      </c>
      <c r="U605" t="s">
        <v>1354</v>
      </c>
      <c r="V605" t="s">
        <v>1275</v>
      </c>
      <c r="W605" t="s">
        <v>1237</v>
      </c>
      <c r="X605" t="s">
        <v>1198</v>
      </c>
      <c r="Y605" t="s">
        <v>1193</v>
      </c>
      <c r="Z605">
        <v>117.65</v>
      </c>
      <c r="AA605">
        <v>1223.55</v>
      </c>
      <c r="AB605">
        <v>0</v>
      </c>
      <c r="AC605">
        <v>1223.55</v>
      </c>
      <c r="AD605">
        <v>588.25</v>
      </c>
      <c r="AE605">
        <v>635.29999999999995</v>
      </c>
      <c r="AF605">
        <v>0.51922683993298191</v>
      </c>
      <c r="AG605">
        <v>2025</v>
      </c>
      <c r="AH605">
        <v>4</v>
      </c>
      <c r="AI605" t="s">
        <v>1421</v>
      </c>
      <c r="AJ605" t="s">
        <v>1420</v>
      </c>
      <c r="AK605" t="s">
        <v>1258</v>
      </c>
      <c r="AL605">
        <v>0</v>
      </c>
    </row>
    <row r="606" spans="1:38">
      <c r="A606" t="s">
        <v>256</v>
      </c>
      <c r="B606" s="13">
        <v>45731</v>
      </c>
      <c r="C606" t="s">
        <v>257</v>
      </c>
      <c r="D606" t="s">
        <v>139</v>
      </c>
      <c r="E606" t="s">
        <v>258</v>
      </c>
      <c r="F606" t="s">
        <v>103</v>
      </c>
      <c r="G606" t="s">
        <v>104</v>
      </c>
      <c r="H606" t="s">
        <v>89</v>
      </c>
      <c r="I606">
        <v>1</v>
      </c>
      <c r="J606">
        <v>83.33</v>
      </c>
      <c r="K606">
        <v>0</v>
      </c>
      <c r="L606" t="s">
        <v>98</v>
      </c>
      <c r="M606">
        <v>1</v>
      </c>
      <c r="N606" t="s">
        <v>147</v>
      </c>
      <c r="O606" t="s">
        <v>89</v>
      </c>
      <c r="P606" t="s">
        <v>139</v>
      </c>
      <c r="Q606" t="s">
        <v>257</v>
      </c>
      <c r="R606" t="s">
        <v>103</v>
      </c>
      <c r="S606" t="s">
        <v>98</v>
      </c>
      <c r="T606">
        <v>1</v>
      </c>
      <c r="U606" t="s">
        <v>1316</v>
      </c>
      <c r="V606" t="s">
        <v>1249</v>
      </c>
      <c r="W606" t="s">
        <v>1237</v>
      </c>
      <c r="X606" t="s">
        <v>1196</v>
      </c>
      <c r="Y606" t="s">
        <v>1193</v>
      </c>
      <c r="Z606">
        <v>45.17</v>
      </c>
      <c r="AA606">
        <v>83.33</v>
      </c>
      <c r="AB606">
        <v>0</v>
      </c>
      <c r="AC606">
        <v>83.33</v>
      </c>
      <c r="AD606">
        <v>45.17</v>
      </c>
      <c r="AE606">
        <v>38.159999999999997</v>
      </c>
      <c r="AF606">
        <v>0.45793831753270126</v>
      </c>
      <c r="AG606">
        <v>2025</v>
      </c>
      <c r="AH606">
        <v>3</v>
      </c>
      <c r="AI606" t="s">
        <v>1423</v>
      </c>
      <c r="AJ606" t="s">
        <v>1424</v>
      </c>
      <c r="AK606" t="s">
        <v>1250</v>
      </c>
      <c r="AL606">
        <v>1</v>
      </c>
    </row>
    <row r="607" spans="1:38">
      <c r="A607" t="s">
        <v>263</v>
      </c>
      <c r="B607" s="13">
        <v>45855</v>
      </c>
      <c r="C607" t="s">
        <v>128</v>
      </c>
      <c r="D607" t="s">
        <v>157</v>
      </c>
      <c r="E607" t="s">
        <v>129</v>
      </c>
      <c r="F607" t="s">
        <v>116</v>
      </c>
      <c r="G607" t="s">
        <v>96</v>
      </c>
      <c r="H607" t="s">
        <v>97</v>
      </c>
      <c r="I607">
        <v>1</v>
      </c>
      <c r="J607">
        <v>299.83</v>
      </c>
      <c r="K607">
        <v>0</v>
      </c>
      <c r="L607" t="s">
        <v>90</v>
      </c>
      <c r="M607">
        <v>3</v>
      </c>
      <c r="N607" t="s">
        <v>91</v>
      </c>
      <c r="O607" t="s">
        <v>97</v>
      </c>
      <c r="P607" t="s">
        <v>157</v>
      </c>
      <c r="Q607" t="s">
        <v>128</v>
      </c>
      <c r="R607" t="s">
        <v>116</v>
      </c>
      <c r="S607" t="s">
        <v>369</v>
      </c>
      <c r="T607">
        <v>1</v>
      </c>
      <c r="U607" t="s">
        <v>1264</v>
      </c>
      <c r="V607" t="s">
        <v>1235</v>
      </c>
      <c r="W607" t="s">
        <v>1237</v>
      </c>
      <c r="X607" t="s">
        <v>1192</v>
      </c>
      <c r="Y607" t="s">
        <v>1193</v>
      </c>
      <c r="Z607">
        <v>176.13</v>
      </c>
      <c r="AA607">
        <v>299.83</v>
      </c>
      <c r="AB607">
        <v>0</v>
      </c>
      <c r="AC607">
        <v>299.83</v>
      </c>
      <c r="AD607">
        <v>176.13</v>
      </c>
      <c r="AE607">
        <v>123.69999999999999</v>
      </c>
      <c r="AF607">
        <v>0.4125671213687756</v>
      </c>
      <c r="AG607">
        <v>2025</v>
      </c>
      <c r="AH607">
        <v>7</v>
      </c>
      <c r="AI607" t="s">
        <v>1422</v>
      </c>
      <c r="AJ607" t="s">
        <v>1418</v>
      </c>
      <c r="AK607" t="s">
        <v>1236</v>
      </c>
      <c r="AL607">
        <v>0</v>
      </c>
    </row>
    <row r="608" spans="1:38">
      <c r="A608" t="s">
        <v>285</v>
      </c>
      <c r="B608" s="13">
        <v>45971</v>
      </c>
      <c r="C608" t="s">
        <v>286</v>
      </c>
      <c r="D608" t="s">
        <v>157</v>
      </c>
      <c r="E608" t="s">
        <v>287</v>
      </c>
      <c r="F608" t="s">
        <v>116</v>
      </c>
      <c r="G608" t="s">
        <v>117</v>
      </c>
      <c r="H608" t="s">
        <v>97</v>
      </c>
      <c r="I608">
        <v>1</v>
      </c>
      <c r="J608">
        <v>294.95</v>
      </c>
      <c r="K608">
        <v>0.05</v>
      </c>
      <c r="L608" t="s">
        <v>106</v>
      </c>
      <c r="M608">
        <v>2</v>
      </c>
      <c r="N608" t="s">
        <v>91</v>
      </c>
      <c r="O608" t="s">
        <v>97</v>
      </c>
      <c r="P608" t="s">
        <v>157</v>
      </c>
      <c r="Q608" t="s">
        <v>286</v>
      </c>
      <c r="R608" t="s">
        <v>116</v>
      </c>
      <c r="S608" t="s">
        <v>106</v>
      </c>
      <c r="T608">
        <v>1</v>
      </c>
      <c r="U608" t="s">
        <v>1296</v>
      </c>
      <c r="V608" t="s">
        <v>1284</v>
      </c>
      <c r="W608" t="s">
        <v>1237</v>
      </c>
      <c r="X608" t="s">
        <v>1192</v>
      </c>
      <c r="Y608" t="s">
        <v>1193</v>
      </c>
      <c r="Z608">
        <v>176.13</v>
      </c>
      <c r="AA608">
        <v>294.95</v>
      </c>
      <c r="AB608">
        <v>14.7475</v>
      </c>
      <c r="AC608">
        <v>280.20249999999999</v>
      </c>
      <c r="AD608">
        <v>176.13</v>
      </c>
      <c r="AE608">
        <v>104.07249999999999</v>
      </c>
      <c r="AF608">
        <v>0.37141888455670452</v>
      </c>
      <c r="AG608">
        <v>2025</v>
      </c>
      <c r="AH608">
        <v>11</v>
      </c>
      <c r="AI608" t="s">
        <v>1426</v>
      </c>
      <c r="AJ608" t="s">
        <v>1427</v>
      </c>
      <c r="AK608" t="s">
        <v>1285</v>
      </c>
      <c r="AL608">
        <v>0</v>
      </c>
    </row>
    <row r="609" spans="1:38">
      <c r="A609" t="s">
        <v>292</v>
      </c>
      <c r="B609" s="13">
        <v>45718</v>
      </c>
      <c r="C609" t="s">
        <v>293</v>
      </c>
      <c r="D609" t="s">
        <v>255</v>
      </c>
      <c r="E609" t="s">
        <v>294</v>
      </c>
      <c r="F609" t="s">
        <v>103</v>
      </c>
      <c r="G609" t="s">
        <v>117</v>
      </c>
      <c r="H609" t="s">
        <v>89</v>
      </c>
      <c r="I609">
        <v>1</v>
      </c>
      <c r="J609">
        <v>226.51</v>
      </c>
      <c r="K609">
        <v>0.15</v>
      </c>
      <c r="L609" t="s">
        <v>253</v>
      </c>
      <c r="M609">
        <v>8</v>
      </c>
      <c r="N609" t="s">
        <v>91</v>
      </c>
      <c r="O609" t="s">
        <v>89</v>
      </c>
      <c r="P609" t="s">
        <v>255</v>
      </c>
      <c r="Q609" t="s">
        <v>293</v>
      </c>
      <c r="R609" t="s">
        <v>103</v>
      </c>
      <c r="S609" t="s">
        <v>106</v>
      </c>
      <c r="T609">
        <v>1</v>
      </c>
      <c r="U609" t="s">
        <v>1252</v>
      </c>
      <c r="V609" t="s">
        <v>1243</v>
      </c>
      <c r="W609" t="s">
        <v>1237</v>
      </c>
      <c r="X609" t="s">
        <v>1198</v>
      </c>
      <c r="Y609" t="s">
        <v>1193</v>
      </c>
      <c r="Z609">
        <v>117.65</v>
      </c>
      <c r="AA609">
        <v>226.51</v>
      </c>
      <c r="AB609">
        <v>33.976499999999994</v>
      </c>
      <c r="AC609">
        <v>192.5335</v>
      </c>
      <c r="AD609">
        <v>117.65</v>
      </c>
      <c r="AE609">
        <v>74.883499999999998</v>
      </c>
      <c r="AF609">
        <v>0.38893750957625556</v>
      </c>
      <c r="AG609">
        <v>2025</v>
      </c>
      <c r="AH609">
        <v>3</v>
      </c>
      <c r="AI609" t="s">
        <v>1423</v>
      </c>
      <c r="AJ609" t="s">
        <v>1424</v>
      </c>
      <c r="AK609" t="s">
        <v>1244</v>
      </c>
      <c r="AL609">
        <v>0</v>
      </c>
    </row>
    <row r="610" spans="1:38">
      <c r="A610" t="s">
        <v>295</v>
      </c>
      <c r="B610" s="13">
        <v>45929</v>
      </c>
      <c r="C610" t="s">
        <v>296</v>
      </c>
      <c r="D610" t="s">
        <v>157</v>
      </c>
      <c r="E610" t="s">
        <v>297</v>
      </c>
      <c r="F610" t="s">
        <v>103</v>
      </c>
      <c r="G610" t="s">
        <v>122</v>
      </c>
      <c r="H610" t="s">
        <v>97</v>
      </c>
      <c r="I610">
        <v>3</v>
      </c>
      <c r="J610">
        <v>307.64999999999998</v>
      </c>
      <c r="K610">
        <v>0</v>
      </c>
      <c r="L610" t="s">
        <v>106</v>
      </c>
      <c r="M610">
        <v>4</v>
      </c>
      <c r="N610" t="s">
        <v>91</v>
      </c>
      <c r="O610" t="s">
        <v>97</v>
      </c>
      <c r="P610" t="s">
        <v>157</v>
      </c>
      <c r="Q610" t="s">
        <v>296</v>
      </c>
      <c r="R610" t="s">
        <v>103</v>
      </c>
      <c r="S610" t="s">
        <v>106</v>
      </c>
      <c r="T610">
        <v>1</v>
      </c>
      <c r="U610" t="s">
        <v>1292</v>
      </c>
      <c r="V610" t="s">
        <v>1275</v>
      </c>
      <c r="W610" t="s">
        <v>1237</v>
      </c>
      <c r="X610" t="s">
        <v>1192</v>
      </c>
      <c r="Y610" t="s">
        <v>1193</v>
      </c>
      <c r="Z610">
        <v>176.13</v>
      </c>
      <c r="AA610">
        <v>922.94999999999993</v>
      </c>
      <c r="AB610">
        <v>0</v>
      </c>
      <c r="AC610">
        <v>922.94999999999993</v>
      </c>
      <c r="AD610">
        <v>528.39</v>
      </c>
      <c r="AE610">
        <v>394.55999999999995</v>
      </c>
      <c r="AF610">
        <v>0.4274987810823988</v>
      </c>
      <c r="AG610">
        <v>2025</v>
      </c>
      <c r="AH610">
        <v>9</v>
      </c>
      <c r="AI610" t="s">
        <v>1432</v>
      </c>
      <c r="AJ610" t="s">
        <v>1418</v>
      </c>
      <c r="AK610" t="s">
        <v>1258</v>
      </c>
      <c r="AL610">
        <v>0</v>
      </c>
    </row>
    <row r="611" spans="1:38">
      <c r="A611" t="s">
        <v>304</v>
      </c>
      <c r="B611" s="13">
        <v>45910</v>
      </c>
      <c r="C611" t="s">
        <v>305</v>
      </c>
      <c r="D611" t="s">
        <v>226</v>
      </c>
      <c r="E611" t="s">
        <v>306</v>
      </c>
      <c r="F611" t="s">
        <v>87</v>
      </c>
      <c r="G611" t="s">
        <v>117</v>
      </c>
      <c r="H611" t="s">
        <v>89</v>
      </c>
      <c r="I611">
        <v>5</v>
      </c>
      <c r="J611">
        <v>216.55</v>
      </c>
      <c r="K611">
        <v>0.05</v>
      </c>
      <c r="L611" t="s">
        <v>90</v>
      </c>
      <c r="M611">
        <v>8</v>
      </c>
      <c r="N611" t="s">
        <v>91</v>
      </c>
      <c r="O611" t="s">
        <v>89</v>
      </c>
      <c r="P611" t="s">
        <v>226</v>
      </c>
      <c r="Q611" t="s">
        <v>305</v>
      </c>
      <c r="R611" t="s">
        <v>87</v>
      </c>
      <c r="S611" t="s">
        <v>369</v>
      </c>
      <c r="T611">
        <v>1</v>
      </c>
      <c r="U611" t="s">
        <v>1307</v>
      </c>
      <c r="V611" t="s">
        <v>1275</v>
      </c>
      <c r="W611" t="s">
        <v>1237</v>
      </c>
      <c r="X611" t="s">
        <v>1194</v>
      </c>
      <c r="Y611" t="s">
        <v>1193</v>
      </c>
      <c r="Z611">
        <v>127.21</v>
      </c>
      <c r="AA611">
        <v>1082.75</v>
      </c>
      <c r="AB611">
        <v>54.137500000000003</v>
      </c>
      <c r="AC611">
        <v>1028.6125</v>
      </c>
      <c r="AD611">
        <v>636.04999999999995</v>
      </c>
      <c r="AE611">
        <v>392.5625</v>
      </c>
      <c r="AF611">
        <v>0.38164274690420352</v>
      </c>
      <c r="AG611">
        <v>2025</v>
      </c>
      <c r="AH611">
        <v>9</v>
      </c>
      <c r="AI611" t="s">
        <v>1432</v>
      </c>
      <c r="AJ611" t="s">
        <v>1418</v>
      </c>
      <c r="AK611" t="s">
        <v>1258</v>
      </c>
      <c r="AL611">
        <v>0</v>
      </c>
    </row>
    <row r="612" spans="1:38">
      <c r="A612" t="s">
        <v>315</v>
      </c>
      <c r="B612" s="13">
        <v>45999</v>
      </c>
      <c r="C612" t="s">
        <v>316</v>
      </c>
      <c r="D612" t="s">
        <v>139</v>
      </c>
      <c r="E612" t="s">
        <v>317</v>
      </c>
      <c r="F612" t="s">
        <v>103</v>
      </c>
      <c r="G612" t="s">
        <v>122</v>
      </c>
      <c r="H612" t="s">
        <v>97</v>
      </c>
      <c r="I612">
        <v>2</v>
      </c>
      <c r="J612">
        <v>84.65</v>
      </c>
      <c r="K612">
        <v>0</v>
      </c>
      <c r="M612">
        <v>1</v>
      </c>
      <c r="N612" t="s">
        <v>91</v>
      </c>
      <c r="O612" t="s">
        <v>97</v>
      </c>
      <c r="P612" t="s">
        <v>139</v>
      </c>
      <c r="Q612" t="s">
        <v>316</v>
      </c>
      <c r="R612" t="s">
        <v>103</v>
      </c>
      <c r="S612" t="s">
        <v>1413</v>
      </c>
      <c r="T612">
        <v>1</v>
      </c>
      <c r="U612" t="s">
        <v>1323</v>
      </c>
      <c r="V612" t="s">
        <v>1297</v>
      </c>
      <c r="W612" t="s">
        <v>1237</v>
      </c>
      <c r="X612" t="s">
        <v>1196</v>
      </c>
      <c r="Y612" t="s">
        <v>1193</v>
      </c>
      <c r="Z612">
        <v>45.17</v>
      </c>
      <c r="AA612">
        <v>169.3</v>
      </c>
      <c r="AB612">
        <v>0</v>
      </c>
      <c r="AC612">
        <v>169.3</v>
      </c>
      <c r="AD612">
        <v>90.34</v>
      </c>
      <c r="AE612">
        <v>78.960000000000008</v>
      </c>
      <c r="AF612">
        <v>0.46639102185469583</v>
      </c>
      <c r="AG612">
        <v>2025</v>
      </c>
      <c r="AH612">
        <v>12</v>
      </c>
      <c r="AI612" t="s">
        <v>1428</v>
      </c>
      <c r="AJ612" t="s">
        <v>1427</v>
      </c>
      <c r="AK612" t="s">
        <v>1258</v>
      </c>
      <c r="AL612">
        <v>0</v>
      </c>
    </row>
    <row r="613" spans="1:38">
      <c r="A613" t="s">
        <v>332</v>
      </c>
      <c r="B613" s="13">
        <v>45706</v>
      </c>
      <c r="C613" t="s">
        <v>160</v>
      </c>
      <c r="D613" t="s">
        <v>226</v>
      </c>
      <c r="E613" t="s">
        <v>161</v>
      </c>
      <c r="F613" t="s">
        <v>116</v>
      </c>
      <c r="G613" t="s">
        <v>96</v>
      </c>
      <c r="H613" t="s">
        <v>89</v>
      </c>
      <c r="I613">
        <v>2</v>
      </c>
      <c r="J613">
        <v>221.42</v>
      </c>
      <c r="K613">
        <v>0</v>
      </c>
      <c r="L613" t="s">
        <v>106</v>
      </c>
      <c r="M613">
        <v>8</v>
      </c>
      <c r="N613" t="s">
        <v>147</v>
      </c>
      <c r="O613" t="s">
        <v>89</v>
      </c>
      <c r="P613" t="s">
        <v>226</v>
      </c>
      <c r="Q613" t="s">
        <v>160</v>
      </c>
      <c r="R613" t="s">
        <v>116</v>
      </c>
      <c r="S613" t="s">
        <v>106</v>
      </c>
      <c r="T613">
        <v>1</v>
      </c>
      <c r="U613" t="s">
        <v>1321</v>
      </c>
      <c r="V613" t="s">
        <v>1255</v>
      </c>
      <c r="W613" t="s">
        <v>1237</v>
      </c>
      <c r="X613" t="s">
        <v>1194</v>
      </c>
      <c r="Y613" t="s">
        <v>1193</v>
      </c>
      <c r="Z613">
        <v>127.21</v>
      </c>
      <c r="AA613">
        <v>442.84</v>
      </c>
      <c r="AB613">
        <v>0</v>
      </c>
      <c r="AC613">
        <v>442.84</v>
      </c>
      <c r="AD613">
        <v>254.42</v>
      </c>
      <c r="AE613">
        <v>188.42</v>
      </c>
      <c r="AF613">
        <v>0.42548098636076237</v>
      </c>
      <c r="AG613">
        <v>2025</v>
      </c>
      <c r="AH613">
        <v>2</v>
      </c>
      <c r="AI613" t="s">
        <v>1430</v>
      </c>
      <c r="AJ613" t="s">
        <v>1424</v>
      </c>
      <c r="AK613" t="s">
        <v>1244</v>
      </c>
      <c r="AL613">
        <v>1</v>
      </c>
    </row>
    <row r="614" spans="1:38">
      <c r="A614" t="s">
        <v>340</v>
      </c>
      <c r="B614" s="13">
        <v>46001</v>
      </c>
      <c r="C614" t="s">
        <v>100</v>
      </c>
      <c r="D614" t="s">
        <v>255</v>
      </c>
      <c r="E614" t="s">
        <v>102</v>
      </c>
      <c r="F614" t="s">
        <v>103</v>
      </c>
      <c r="G614" t="s">
        <v>122</v>
      </c>
      <c r="H614" t="s">
        <v>89</v>
      </c>
      <c r="I614">
        <v>1</v>
      </c>
      <c r="J614">
        <v>235.55</v>
      </c>
      <c r="K614">
        <v>0</v>
      </c>
      <c r="L614" t="s">
        <v>98</v>
      </c>
      <c r="M614">
        <v>5</v>
      </c>
      <c r="N614" t="s">
        <v>91</v>
      </c>
      <c r="O614" t="s">
        <v>89</v>
      </c>
      <c r="P614" t="s">
        <v>255</v>
      </c>
      <c r="Q614" t="s">
        <v>100</v>
      </c>
      <c r="R614" t="s">
        <v>103</v>
      </c>
      <c r="S614" t="s">
        <v>98</v>
      </c>
      <c r="T614">
        <v>1</v>
      </c>
      <c r="U614" t="s">
        <v>1242</v>
      </c>
      <c r="V614" t="s">
        <v>1243</v>
      </c>
      <c r="W614" t="s">
        <v>1245</v>
      </c>
      <c r="X614" t="s">
        <v>1198</v>
      </c>
      <c r="Y614" t="s">
        <v>1193</v>
      </c>
      <c r="Z614">
        <v>117.65</v>
      </c>
      <c r="AA614">
        <v>235.55</v>
      </c>
      <c r="AB614">
        <v>0</v>
      </c>
      <c r="AC614">
        <v>235.55</v>
      </c>
      <c r="AD614">
        <v>117.65</v>
      </c>
      <c r="AE614">
        <v>117.9</v>
      </c>
      <c r="AF614">
        <v>0.50053067289322861</v>
      </c>
      <c r="AG614">
        <v>2025</v>
      </c>
      <c r="AH614">
        <v>12</v>
      </c>
      <c r="AI614" t="s">
        <v>1428</v>
      </c>
      <c r="AJ614" t="s">
        <v>1427</v>
      </c>
      <c r="AK614" t="s">
        <v>1244</v>
      </c>
      <c r="AL614">
        <v>0</v>
      </c>
    </row>
    <row r="615" spans="1:38">
      <c r="A615" t="s">
        <v>347</v>
      </c>
      <c r="B615" s="13">
        <v>45863</v>
      </c>
      <c r="C615" t="s">
        <v>206</v>
      </c>
      <c r="D615" t="s">
        <v>226</v>
      </c>
      <c r="E615" t="s">
        <v>207</v>
      </c>
      <c r="F615" t="s">
        <v>111</v>
      </c>
      <c r="G615" t="s">
        <v>104</v>
      </c>
      <c r="H615" t="s">
        <v>97</v>
      </c>
      <c r="I615">
        <v>1</v>
      </c>
      <c r="J615">
        <v>203.94</v>
      </c>
      <c r="K615">
        <v>0</v>
      </c>
      <c r="L615" t="s">
        <v>98</v>
      </c>
      <c r="M615">
        <v>2</v>
      </c>
      <c r="N615" t="s">
        <v>91</v>
      </c>
      <c r="O615" t="s">
        <v>97</v>
      </c>
      <c r="P615" t="s">
        <v>226</v>
      </c>
      <c r="Q615" t="s">
        <v>206</v>
      </c>
      <c r="R615" t="s">
        <v>111</v>
      </c>
      <c r="S615" t="s">
        <v>98</v>
      </c>
      <c r="T615">
        <v>1</v>
      </c>
      <c r="U615" t="s">
        <v>1310</v>
      </c>
      <c r="V615" t="s">
        <v>1297</v>
      </c>
      <c r="W615" t="s">
        <v>1237</v>
      </c>
      <c r="X615" t="s">
        <v>1194</v>
      </c>
      <c r="Y615" t="s">
        <v>1193</v>
      </c>
      <c r="Z615">
        <v>127.21</v>
      </c>
      <c r="AA615">
        <v>203.94</v>
      </c>
      <c r="AB615">
        <v>0</v>
      </c>
      <c r="AC615">
        <v>203.94</v>
      </c>
      <c r="AD615">
        <v>127.21</v>
      </c>
      <c r="AE615">
        <v>76.73</v>
      </c>
      <c r="AF615">
        <v>0.37623810924781803</v>
      </c>
      <c r="AG615">
        <v>2025</v>
      </c>
      <c r="AH615">
        <v>7</v>
      </c>
      <c r="AI615" t="s">
        <v>1422</v>
      </c>
      <c r="AJ615" t="s">
        <v>1418</v>
      </c>
      <c r="AK615" t="s">
        <v>1258</v>
      </c>
      <c r="AL615">
        <v>0</v>
      </c>
    </row>
    <row r="616" spans="1:38">
      <c r="A616" t="s">
        <v>365</v>
      </c>
      <c r="B616" s="13">
        <v>45867</v>
      </c>
      <c r="C616" t="s">
        <v>366</v>
      </c>
      <c r="D616" t="s">
        <v>120</v>
      </c>
      <c r="E616" t="s">
        <v>367</v>
      </c>
      <c r="F616" t="s">
        <v>116</v>
      </c>
      <c r="G616" t="s">
        <v>96</v>
      </c>
      <c r="H616" t="s">
        <v>105</v>
      </c>
      <c r="I616">
        <v>1</v>
      </c>
      <c r="J616">
        <v>379.66</v>
      </c>
      <c r="K616">
        <v>0.1</v>
      </c>
      <c r="L616" t="s">
        <v>106</v>
      </c>
      <c r="M616">
        <v>7</v>
      </c>
      <c r="N616" t="s">
        <v>91</v>
      </c>
      <c r="O616" t="s">
        <v>105</v>
      </c>
      <c r="P616" t="s">
        <v>120</v>
      </c>
      <c r="Q616" t="s">
        <v>366</v>
      </c>
      <c r="R616" t="s">
        <v>116</v>
      </c>
      <c r="S616" t="s">
        <v>106</v>
      </c>
      <c r="T616">
        <v>1</v>
      </c>
      <c r="U616" t="s">
        <v>1259</v>
      </c>
      <c r="V616" t="s">
        <v>1297</v>
      </c>
      <c r="W616" t="s">
        <v>1237</v>
      </c>
      <c r="X616" t="s">
        <v>1199</v>
      </c>
      <c r="Y616" t="s">
        <v>1193</v>
      </c>
      <c r="Z616">
        <v>235.76</v>
      </c>
      <c r="AA616">
        <v>379.66</v>
      </c>
      <c r="AB616">
        <v>37.966000000000001</v>
      </c>
      <c r="AC616">
        <v>341.69400000000002</v>
      </c>
      <c r="AD616">
        <v>235.76</v>
      </c>
      <c r="AE616">
        <v>105.93400000000003</v>
      </c>
      <c r="AF616">
        <v>0.31002592963294651</v>
      </c>
      <c r="AG616">
        <v>2025</v>
      </c>
      <c r="AH616">
        <v>7</v>
      </c>
      <c r="AI616" t="s">
        <v>1422</v>
      </c>
      <c r="AJ616" t="s">
        <v>1418</v>
      </c>
      <c r="AK616" t="s">
        <v>1258</v>
      </c>
      <c r="AL616">
        <v>0</v>
      </c>
    </row>
    <row r="617" spans="1:38">
      <c r="A617" t="s">
        <v>378</v>
      </c>
      <c r="B617" s="13">
        <v>45890</v>
      </c>
      <c r="C617" t="s">
        <v>379</v>
      </c>
      <c r="D617" t="s">
        <v>226</v>
      </c>
      <c r="E617" t="s">
        <v>380</v>
      </c>
      <c r="F617" t="s">
        <v>111</v>
      </c>
      <c r="G617" t="s">
        <v>88</v>
      </c>
      <c r="H617" t="s">
        <v>89</v>
      </c>
      <c r="I617">
        <v>1</v>
      </c>
      <c r="J617">
        <v>225.35</v>
      </c>
      <c r="K617">
        <v>0</v>
      </c>
      <c r="L617" t="s">
        <v>106</v>
      </c>
      <c r="M617">
        <v>2</v>
      </c>
      <c r="N617" t="s">
        <v>91</v>
      </c>
      <c r="O617" t="s">
        <v>89</v>
      </c>
      <c r="P617" t="s">
        <v>226</v>
      </c>
      <c r="Q617" t="s">
        <v>379</v>
      </c>
      <c r="R617" t="s">
        <v>111</v>
      </c>
      <c r="S617" t="s">
        <v>106</v>
      </c>
      <c r="T617">
        <v>1</v>
      </c>
      <c r="U617" t="s">
        <v>1320</v>
      </c>
      <c r="V617" t="s">
        <v>1239</v>
      </c>
      <c r="W617" t="s">
        <v>1245</v>
      </c>
      <c r="X617" t="s">
        <v>1194</v>
      </c>
      <c r="Y617" t="s">
        <v>1193</v>
      </c>
      <c r="Z617">
        <v>127.21</v>
      </c>
      <c r="AA617">
        <v>225.35</v>
      </c>
      <c r="AB617">
        <v>0</v>
      </c>
      <c r="AC617">
        <v>225.35</v>
      </c>
      <c r="AD617">
        <v>127.21</v>
      </c>
      <c r="AE617">
        <v>98.14</v>
      </c>
      <c r="AF617">
        <v>0.43550033281562017</v>
      </c>
      <c r="AG617">
        <v>2025</v>
      </c>
      <c r="AH617">
        <v>8</v>
      </c>
      <c r="AI617" t="s">
        <v>1417</v>
      </c>
      <c r="AJ617" t="s">
        <v>1418</v>
      </c>
      <c r="AK617" t="s">
        <v>1240</v>
      </c>
      <c r="AL617">
        <v>0</v>
      </c>
    </row>
    <row r="618" spans="1:38">
      <c r="A618" t="s">
        <v>388</v>
      </c>
      <c r="B618" s="13">
        <v>45843</v>
      </c>
      <c r="C618" t="s">
        <v>389</v>
      </c>
      <c r="D618" t="s">
        <v>226</v>
      </c>
      <c r="E618" t="s">
        <v>390</v>
      </c>
      <c r="F618" t="s">
        <v>87</v>
      </c>
      <c r="G618" t="s">
        <v>183</v>
      </c>
      <c r="H618" t="s">
        <v>89</v>
      </c>
      <c r="I618">
        <v>1</v>
      </c>
      <c r="J618">
        <v>212.87</v>
      </c>
      <c r="K618">
        <v>0.05</v>
      </c>
      <c r="L618" t="s">
        <v>90</v>
      </c>
      <c r="M618">
        <v>6</v>
      </c>
      <c r="N618" t="s">
        <v>91</v>
      </c>
      <c r="O618" t="s">
        <v>89</v>
      </c>
      <c r="P618" t="s">
        <v>226</v>
      </c>
      <c r="Q618" t="s">
        <v>389</v>
      </c>
      <c r="R618" t="s">
        <v>87</v>
      </c>
      <c r="S618" t="s">
        <v>369</v>
      </c>
      <c r="T618">
        <v>1</v>
      </c>
      <c r="U618" t="s">
        <v>1264</v>
      </c>
      <c r="V618" t="s">
        <v>1325</v>
      </c>
      <c r="W618" t="s">
        <v>1245</v>
      </c>
      <c r="X618" t="s">
        <v>1194</v>
      </c>
      <c r="Y618" t="s">
        <v>1193</v>
      </c>
      <c r="Z618">
        <v>127.21</v>
      </c>
      <c r="AA618">
        <v>212.87</v>
      </c>
      <c r="AB618">
        <v>10.643500000000001</v>
      </c>
      <c r="AC618">
        <v>202.22650000000002</v>
      </c>
      <c r="AD618">
        <v>127.21</v>
      </c>
      <c r="AE618">
        <v>75.016500000000022</v>
      </c>
      <c r="AF618">
        <v>0.37095286720583115</v>
      </c>
      <c r="AG618">
        <v>2025</v>
      </c>
      <c r="AH618">
        <v>7</v>
      </c>
      <c r="AI618" t="s">
        <v>1422</v>
      </c>
      <c r="AJ618" t="s">
        <v>1418</v>
      </c>
      <c r="AK618" t="s">
        <v>1326</v>
      </c>
      <c r="AL618">
        <v>0</v>
      </c>
    </row>
    <row r="619" spans="1:38">
      <c r="A619" t="s">
        <v>393</v>
      </c>
      <c r="B619" s="13">
        <v>45976</v>
      </c>
      <c r="C619" t="s">
        <v>293</v>
      </c>
      <c r="D619" t="s">
        <v>157</v>
      </c>
      <c r="E619" t="s">
        <v>394</v>
      </c>
      <c r="F619" t="s">
        <v>145</v>
      </c>
      <c r="G619" t="s">
        <v>183</v>
      </c>
      <c r="H619" t="s">
        <v>97</v>
      </c>
      <c r="I619">
        <v>1</v>
      </c>
      <c r="J619">
        <v>286.02999999999997</v>
      </c>
      <c r="K619">
        <v>0.1</v>
      </c>
      <c r="L619" t="s">
        <v>90</v>
      </c>
      <c r="M619">
        <v>2</v>
      </c>
      <c r="N619" t="s">
        <v>91</v>
      </c>
      <c r="O619" t="s">
        <v>97</v>
      </c>
      <c r="P619" t="s">
        <v>157</v>
      </c>
      <c r="Q619" t="s">
        <v>293</v>
      </c>
      <c r="R619" t="s">
        <v>145</v>
      </c>
      <c r="S619" t="s">
        <v>369</v>
      </c>
      <c r="T619">
        <v>1</v>
      </c>
      <c r="U619" t="s">
        <v>1252</v>
      </c>
      <c r="V619" t="s">
        <v>1243</v>
      </c>
      <c r="W619" t="s">
        <v>1237</v>
      </c>
      <c r="X619" t="s">
        <v>1192</v>
      </c>
      <c r="Y619" t="s">
        <v>1193</v>
      </c>
      <c r="Z619">
        <v>176.13</v>
      </c>
      <c r="AA619">
        <v>286.02999999999997</v>
      </c>
      <c r="AB619">
        <v>28.602999999999998</v>
      </c>
      <c r="AC619">
        <v>257.42699999999996</v>
      </c>
      <c r="AD619">
        <v>176.13</v>
      </c>
      <c r="AE619">
        <v>81.296999999999969</v>
      </c>
      <c r="AF619">
        <v>0.315806034332063</v>
      </c>
      <c r="AG619">
        <v>2025</v>
      </c>
      <c r="AH619">
        <v>11</v>
      </c>
      <c r="AI619" t="s">
        <v>1426</v>
      </c>
      <c r="AJ619" t="s">
        <v>1427</v>
      </c>
      <c r="AK619" t="s">
        <v>1244</v>
      </c>
      <c r="AL619">
        <v>0</v>
      </c>
    </row>
    <row r="620" spans="1:38">
      <c r="A620" t="s">
        <v>398</v>
      </c>
      <c r="B620" s="13">
        <v>45971</v>
      </c>
      <c r="C620" t="s">
        <v>399</v>
      </c>
      <c r="D620" t="s">
        <v>139</v>
      </c>
      <c r="E620" t="s">
        <v>400</v>
      </c>
      <c r="F620" t="s">
        <v>116</v>
      </c>
      <c r="G620" t="s">
        <v>104</v>
      </c>
      <c r="H620" t="s">
        <v>97</v>
      </c>
      <c r="I620">
        <v>1</v>
      </c>
      <c r="J620">
        <v>79.47</v>
      </c>
      <c r="K620">
        <v>0</v>
      </c>
      <c r="L620" t="s">
        <v>106</v>
      </c>
      <c r="M620">
        <v>1</v>
      </c>
      <c r="N620" t="s">
        <v>91</v>
      </c>
      <c r="O620" t="s">
        <v>97</v>
      </c>
      <c r="P620" t="s">
        <v>139</v>
      </c>
      <c r="Q620" t="s">
        <v>399</v>
      </c>
      <c r="R620" t="s">
        <v>116</v>
      </c>
      <c r="S620" t="s">
        <v>106</v>
      </c>
      <c r="T620">
        <v>1</v>
      </c>
      <c r="U620" t="s">
        <v>1296</v>
      </c>
      <c r="V620" t="s">
        <v>1239</v>
      </c>
      <c r="W620" t="s">
        <v>1241</v>
      </c>
      <c r="X620" t="s">
        <v>1196</v>
      </c>
      <c r="Y620" t="s">
        <v>1193</v>
      </c>
      <c r="Z620">
        <v>45.17</v>
      </c>
      <c r="AA620">
        <v>79.47</v>
      </c>
      <c r="AB620">
        <v>0</v>
      </c>
      <c r="AC620">
        <v>79.47</v>
      </c>
      <c r="AD620">
        <v>45.17</v>
      </c>
      <c r="AE620">
        <v>34.299999999999997</v>
      </c>
      <c r="AF620">
        <v>0.43160941235686417</v>
      </c>
      <c r="AG620">
        <v>2025</v>
      </c>
      <c r="AH620">
        <v>11</v>
      </c>
      <c r="AI620" t="s">
        <v>1426</v>
      </c>
      <c r="AJ620" t="s">
        <v>1427</v>
      </c>
      <c r="AK620" t="s">
        <v>1240</v>
      </c>
      <c r="AL620">
        <v>0</v>
      </c>
    </row>
    <row r="621" spans="1:38">
      <c r="A621" t="s">
        <v>404</v>
      </c>
      <c r="B621" s="13">
        <v>45931</v>
      </c>
      <c r="C621" t="s">
        <v>313</v>
      </c>
      <c r="D621" t="s">
        <v>255</v>
      </c>
      <c r="E621" t="s">
        <v>314</v>
      </c>
      <c r="F621" t="s">
        <v>145</v>
      </c>
      <c r="G621" t="s">
        <v>88</v>
      </c>
      <c r="H621" t="s">
        <v>89</v>
      </c>
      <c r="I621">
        <v>1</v>
      </c>
      <c r="J621">
        <v>243.7</v>
      </c>
      <c r="K621">
        <v>0</v>
      </c>
      <c r="L621" t="s">
        <v>98</v>
      </c>
      <c r="M621">
        <v>2</v>
      </c>
      <c r="N621" t="s">
        <v>91</v>
      </c>
      <c r="O621" t="s">
        <v>89</v>
      </c>
      <c r="P621" t="s">
        <v>255</v>
      </c>
      <c r="Q621" t="s">
        <v>313</v>
      </c>
      <c r="R621" t="s">
        <v>145</v>
      </c>
      <c r="S621" t="s">
        <v>98</v>
      </c>
      <c r="T621">
        <v>1</v>
      </c>
      <c r="U621" t="s">
        <v>1328</v>
      </c>
      <c r="V621" t="s">
        <v>1255</v>
      </c>
      <c r="W621" t="s">
        <v>1245</v>
      </c>
      <c r="X621" t="s">
        <v>1198</v>
      </c>
      <c r="Y621" t="s">
        <v>1193</v>
      </c>
      <c r="Z621">
        <v>117.65</v>
      </c>
      <c r="AA621">
        <v>243.7</v>
      </c>
      <c r="AB621">
        <v>0</v>
      </c>
      <c r="AC621">
        <v>243.7</v>
      </c>
      <c r="AD621">
        <v>117.65</v>
      </c>
      <c r="AE621">
        <v>126.04999999999998</v>
      </c>
      <c r="AF621">
        <v>0.51723430447271235</v>
      </c>
      <c r="AG621">
        <v>2025</v>
      </c>
      <c r="AH621">
        <v>10</v>
      </c>
      <c r="AI621" t="s">
        <v>1431</v>
      </c>
      <c r="AJ621" t="s">
        <v>1427</v>
      </c>
      <c r="AK621" t="s">
        <v>1244</v>
      </c>
      <c r="AL621">
        <v>0</v>
      </c>
    </row>
    <row r="622" spans="1:38">
      <c r="A622" t="s">
        <v>409</v>
      </c>
      <c r="B622" s="13">
        <v>45708</v>
      </c>
      <c r="C622" t="s">
        <v>410</v>
      </c>
      <c r="D622" t="s">
        <v>255</v>
      </c>
      <c r="E622" t="s">
        <v>411</v>
      </c>
      <c r="F622" t="s">
        <v>87</v>
      </c>
      <c r="G622" t="s">
        <v>122</v>
      </c>
      <c r="H622" t="s">
        <v>105</v>
      </c>
      <c r="I622">
        <v>2</v>
      </c>
      <c r="J622">
        <v>243.99</v>
      </c>
      <c r="K622">
        <v>0.2</v>
      </c>
      <c r="L622" t="s">
        <v>154</v>
      </c>
      <c r="M622">
        <v>7</v>
      </c>
      <c r="N622" t="s">
        <v>91</v>
      </c>
      <c r="O622" t="s">
        <v>105</v>
      </c>
      <c r="P622" t="s">
        <v>255</v>
      </c>
      <c r="Q622" t="s">
        <v>410</v>
      </c>
      <c r="R622" t="s">
        <v>87</v>
      </c>
      <c r="S622" t="s">
        <v>154</v>
      </c>
      <c r="T622">
        <v>1</v>
      </c>
      <c r="U622" t="s">
        <v>1234</v>
      </c>
      <c r="V622" t="s">
        <v>1284</v>
      </c>
      <c r="W622" t="s">
        <v>1237</v>
      </c>
      <c r="X622" t="s">
        <v>1198</v>
      </c>
      <c r="Y622" t="s">
        <v>1193</v>
      </c>
      <c r="Z622">
        <v>117.65</v>
      </c>
      <c r="AA622">
        <v>487.98</v>
      </c>
      <c r="AB622">
        <v>97.596000000000004</v>
      </c>
      <c r="AC622">
        <v>390.38400000000001</v>
      </c>
      <c r="AD622">
        <v>235.3</v>
      </c>
      <c r="AE622">
        <v>155.084</v>
      </c>
      <c r="AF622">
        <v>0.39726013361203327</v>
      </c>
      <c r="AG622">
        <v>2025</v>
      </c>
      <c r="AH622">
        <v>2</v>
      </c>
      <c r="AI622" t="s">
        <v>1430</v>
      </c>
      <c r="AJ622" t="s">
        <v>1424</v>
      </c>
      <c r="AK622" t="s">
        <v>1285</v>
      </c>
      <c r="AL622">
        <v>0</v>
      </c>
    </row>
    <row r="623" spans="1:38">
      <c r="A623" t="s">
        <v>426</v>
      </c>
      <c r="B623" s="13">
        <v>45857</v>
      </c>
      <c r="C623" t="s">
        <v>427</v>
      </c>
      <c r="D623" t="s">
        <v>139</v>
      </c>
      <c r="E623" t="s">
        <v>428</v>
      </c>
      <c r="F623" t="s">
        <v>87</v>
      </c>
      <c r="G623" t="s">
        <v>104</v>
      </c>
      <c r="H623" t="s">
        <v>89</v>
      </c>
      <c r="I623">
        <v>2</v>
      </c>
      <c r="J623">
        <v>83.33</v>
      </c>
      <c r="K623">
        <v>0.15</v>
      </c>
      <c r="L623" t="s">
        <v>98</v>
      </c>
      <c r="M623">
        <v>2</v>
      </c>
      <c r="N623" t="s">
        <v>91</v>
      </c>
      <c r="O623" t="s">
        <v>89</v>
      </c>
      <c r="P623" t="s">
        <v>139</v>
      </c>
      <c r="Q623" t="s">
        <v>427</v>
      </c>
      <c r="R623" t="s">
        <v>87</v>
      </c>
      <c r="S623" t="s">
        <v>98</v>
      </c>
      <c r="T623">
        <v>1</v>
      </c>
      <c r="U623" t="s">
        <v>1311</v>
      </c>
      <c r="V623" t="s">
        <v>1277</v>
      </c>
      <c r="W623" t="s">
        <v>1237</v>
      </c>
      <c r="X623" t="s">
        <v>1196</v>
      </c>
      <c r="Y623" t="s">
        <v>1193</v>
      </c>
      <c r="Z623">
        <v>45.17</v>
      </c>
      <c r="AA623">
        <v>166.66</v>
      </c>
      <c r="AB623">
        <v>24.998999999999999</v>
      </c>
      <c r="AC623">
        <v>141.661</v>
      </c>
      <c r="AD623">
        <v>90.34</v>
      </c>
      <c r="AE623">
        <v>51.320999999999998</v>
      </c>
      <c r="AF623">
        <v>0.3622803735678839</v>
      </c>
      <c r="AG623">
        <v>2025</v>
      </c>
      <c r="AH623">
        <v>7</v>
      </c>
      <c r="AI623" t="s">
        <v>1422</v>
      </c>
      <c r="AJ623" t="s">
        <v>1418</v>
      </c>
      <c r="AK623" t="s">
        <v>1244</v>
      </c>
      <c r="AL623">
        <v>0</v>
      </c>
    </row>
    <row r="624" spans="1:38">
      <c r="A624" t="s">
        <v>483</v>
      </c>
      <c r="B624" s="13">
        <v>45768</v>
      </c>
      <c r="C624" t="s">
        <v>330</v>
      </c>
      <c r="D624" t="s">
        <v>255</v>
      </c>
      <c r="E624" t="s">
        <v>424</v>
      </c>
      <c r="F624" t="s">
        <v>111</v>
      </c>
      <c r="G624" t="s">
        <v>88</v>
      </c>
      <c r="H624" t="s">
        <v>89</v>
      </c>
      <c r="I624">
        <v>2</v>
      </c>
      <c r="J624">
        <v>233.12</v>
      </c>
      <c r="K624">
        <v>0</v>
      </c>
      <c r="L624" t="s">
        <v>90</v>
      </c>
      <c r="M624">
        <v>3</v>
      </c>
      <c r="N624" t="s">
        <v>147</v>
      </c>
      <c r="O624" t="s">
        <v>89</v>
      </c>
      <c r="P624" t="s">
        <v>255</v>
      </c>
      <c r="Q624" t="s">
        <v>330</v>
      </c>
      <c r="R624" t="s">
        <v>111</v>
      </c>
      <c r="S624" t="s">
        <v>369</v>
      </c>
      <c r="T624">
        <v>1</v>
      </c>
      <c r="U624" t="s">
        <v>1350</v>
      </c>
      <c r="V624" t="s">
        <v>1275</v>
      </c>
      <c r="W624" t="s">
        <v>1237</v>
      </c>
      <c r="X624" t="s">
        <v>1198</v>
      </c>
      <c r="Y624" t="s">
        <v>1193</v>
      </c>
      <c r="Z624">
        <v>117.65</v>
      </c>
      <c r="AA624">
        <v>466.24</v>
      </c>
      <c r="AB624">
        <v>0</v>
      </c>
      <c r="AC624">
        <v>466.24</v>
      </c>
      <c r="AD624">
        <v>235.3</v>
      </c>
      <c r="AE624">
        <v>230.94</v>
      </c>
      <c r="AF624">
        <v>0.49532429649965681</v>
      </c>
      <c r="AG624">
        <v>2025</v>
      </c>
      <c r="AH624">
        <v>4</v>
      </c>
      <c r="AI624" t="s">
        <v>1421</v>
      </c>
      <c r="AJ624" t="s">
        <v>1420</v>
      </c>
      <c r="AK624" t="s">
        <v>1258</v>
      </c>
      <c r="AL624">
        <v>1</v>
      </c>
    </row>
    <row r="625" spans="1:38">
      <c r="A625" t="s">
        <v>502</v>
      </c>
      <c r="B625" s="13">
        <v>45955</v>
      </c>
      <c r="C625" t="s">
        <v>173</v>
      </c>
      <c r="D625" t="s">
        <v>503</v>
      </c>
      <c r="E625" t="s">
        <v>175</v>
      </c>
      <c r="F625" t="s">
        <v>116</v>
      </c>
      <c r="G625" t="s">
        <v>96</v>
      </c>
      <c r="H625" t="s">
        <v>97</v>
      </c>
      <c r="I625">
        <v>1</v>
      </c>
      <c r="J625">
        <v>129.55000000000001</v>
      </c>
      <c r="K625">
        <v>0.15</v>
      </c>
      <c r="L625" t="s">
        <v>504</v>
      </c>
      <c r="M625">
        <v>2</v>
      </c>
      <c r="N625" t="s">
        <v>91</v>
      </c>
      <c r="O625" t="s">
        <v>97</v>
      </c>
      <c r="P625" t="s">
        <v>503</v>
      </c>
      <c r="Q625" t="s">
        <v>173</v>
      </c>
      <c r="R625" t="s">
        <v>116</v>
      </c>
      <c r="S625" t="s">
        <v>98</v>
      </c>
      <c r="T625">
        <v>1</v>
      </c>
      <c r="U625" t="s">
        <v>1327</v>
      </c>
      <c r="V625" t="s">
        <v>1275</v>
      </c>
      <c r="W625" t="s">
        <v>1241</v>
      </c>
      <c r="X625" t="s">
        <v>1197</v>
      </c>
      <c r="Y625" t="s">
        <v>1193</v>
      </c>
      <c r="Z625">
        <v>85.73</v>
      </c>
      <c r="AA625">
        <v>129.55000000000001</v>
      </c>
      <c r="AB625">
        <v>19.432500000000001</v>
      </c>
      <c r="AC625">
        <v>110.11750000000001</v>
      </c>
      <c r="AD625">
        <v>85.73</v>
      </c>
      <c r="AE625">
        <v>24.387500000000003</v>
      </c>
      <c r="AF625">
        <v>0.22146797738779034</v>
      </c>
      <c r="AG625">
        <v>2025</v>
      </c>
      <c r="AH625">
        <v>10</v>
      </c>
      <c r="AI625" t="s">
        <v>1431</v>
      </c>
      <c r="AJ625" t="s">
        <v>1427</v>
      </c>
      <c r="AK625" t="s">
        <v>1258</v>
      </c>
      <c r="AL625">
        <v>0</v>
      </c>
    </row>
    <row r="626" spans="1:38">
      <c r="A626" t="s">
        <v>505</v>
      </c>
      <c r="B626" s="13">
        <v>45685</v>
      </c>
      <c r="C626" t="s">
        <v>220</v>
      </c>
      <c r="D626" t="s">
        <v>139</v>
      </c>
      <c r="E626" t="s">
        <v>222</v>
      </c>
      <c r="F626" t="s">
        <v>145</v>
      </c>
      <c r="G626" t="s">
        <v>122</v>
      </c>
      <c r="H626" t="s">
        <v>89</v>
      </c>
      <c r="I626">
        <v>1</v>
      </c>
      <c r="J626">
        <v>82.85</v>
      </c>
      <c r="K626">
        <v>0</v>
      </c>
      <c r="L626" t="s">
        <v>98</v>
      </c>
      <c r="M626">
        <v>2</v>
      </c>
      <c r="N626" t="s">
        <v>91</v>
      </c>
      <c r="O626" t="s">
        <v>89</v>
      </c>
      <c r="P626" t="s">
        <v>139</v>
      </c>
      <c r="Q626" t="s">
        <v>220</v>
      </c>
      <c r="R626" t="s">
        <v>145</v>
      </c>
      <c r="S626" t="s">
        <v>98</v>
      </c>
      <c r="T626">
        <v>1</v>
      </c>
      <c r="U626" t="s">
        <v>1315</v>
      </c>
      <c r="V626" t="s">
        <v>1255</v>
      </c>
      <c r="W626" t="s">
        <v>1237</v>
      </c>
      <c r="X626" t="s">
        <v>1196</v>
      </c>
      <c r="Y626" t="s">
        <v>1193</v>
      </c>
      <c r="Z626">
        <v>45.17</v>
      </c>
      <c r="AA626">
        <v>82.85</v>
      </c>
      <c r="AB626">
        <v>0</v>
      </c>
      <c r="AC626">
        <v>82.85</v>
      </c>
      <c r="AD626">
        <v>45.17</v>
      </c>
      <c r="AE626">
        <v>37.679999999999993</v>
      </c>
      <c r="AF626">
        <v>0.45479782739891367</v>
      </c>
      <c r="AG626">
        <v>2025</v>
      </c>
      <c r="AH626">
        <v>1</v>
      </c>
      <c r="AI626" t="s">
        <v>1425</v>
      </c>
      <c r="AJ626" t="s">
        <v>1424</v>
      </c>
      <c r="AK626" t="s">
        <v>1244</v>
      </c>
      <c r="AL626">
        <v>0</v>
      </c>
    </row>
    <row r="627" spans="1:38">
      <c r="A627" t="s">
        <v>514</v>
      </c>
      <c r="B627" s="13">
        <v>45913</v>
      </c>
      <c r="C627" t="s">
        <v>138</v>
      </c>
      <c r="D627" t="s">
        <v>157</v>
      </c>
      <c r="E627" t="s">
        <v>140</v>
      </c>
      <c r="F627" t="s">
        <v>103</v>
      </c>
      <c r="G627" t="s">
        <v>130</v>
      </c>
      <c r="H627" t="s">
        <v>97</v>
      </c>
      <c r="I627">
        <v>3</v>
      </c>
      <c r="J627">
        <v>305.98</v>
      </c>
      <c r="K627">
        <v>0.15</v>
      </c>
      <c r="L627" t="s">
        <v>106</v>
      </c>
      <c r="M627">
        <v>0</v>
      </c>
      <c r="N627" t="s">
        <v>91</v>
      </c>
      <c r="O627" t="s">
        <v>97</v>
      </c>
      <c r="P627" t="s">
        <v>157</v>
      </c>
      <c r="Q627" t="s">
        <v>138</v>
      </c>
      <c r="R627" t="s">
        <v>103</v>
      </c>
      <c r="S627" t="s">
        <v>106</v>
      </c>
      <c r="T627">
        <v>1</v>
      </c>
      <c r="U627" t="s">
        <v>1348</v>
      </c>
      <c r="V627" t="s">
        <v>1243</v>
      </c>
      <c r="W627" t="s">
        <v>1241</v>
      </c>
      <c r="X627" t="s">
        <v>1192</v>
      </c>
      <c r="Y627" t="s">
        <v>1193</v>
      </c>
      <c r="Z627">
        <v>176.13</v>
      </c>
      <c r="AA627">
        <v>917.94</v>
      </c>
      <c r="AB627">
        <v>137.691</v>
      </c>
      <c r="AC627">
        <v>780.24900000000002</v>
      </c>
      <c r="AD627">
        <v>528.39</v>
      </c>
      <c r="AE627">
        <v>251.85900000000004</v>
      </c>
      <c r="AF627">
        <v>0.3227931083538717</v>
      </c>
      <c r="AG627">
        <v>2025</v>
      </c>
      <c r="AH627">
        <v>9</v>
      </c>
      <c r="AI627" t="s">
        <v>1432</v>
      </c>
      <c r="AJ627" t="s">
        <v>1418</v>
      </c>
      <c r="AK627" t="s">
        <v>1244</v>
      </c>
      <c r="AL627">
        <v>0</v>
      </c>
    </row>
    <row r="628" spans="1:38">
      <c r="A628" t="s">
        <v>527</v>
      </c>
      <c r="B628" s="13">
        <v>45992</v>
      </c>
      <c r="C628" t="s">
        <v>236</v>
      </c>
      <c r="D628" t="s">
        <v>120</v>
      </c>
      <c r="E628" t="s">
        <v>237</v>
      </c>
      <c r="F628" t="s">
        <v>116</v>
      </c>
      <c r="G628" t="s">
        <v>122</v>
      </c>
      <c r="H628" t="s">
        <v>105</v>
      </c>
      <c r="I628">
        <v>1</v>
      </c>
      <c r="J628">
        <v>389.99</v>
      </c>
      <c r="K628">
        <v>0</v>
      </c>
      <c r="L628" t="s">
        <v>90</v>
      </c>
      <c r="M628">
        <v>8</v>
      </c>
      <c r="N628" t="s">
        <v>91</v>
      </c>
      <c r="O628" t="s">
        <v>105</v>
      </c>
      <c r="P628" t="s">
        <v>120</v>
      </c>
      <c r="Q628" t="s">
        <v>236</v>
      </c>
      <c r="R628" t="s">
        <v>116</v>
      </c>
      <c r="S628" t="s">
        <v>369</v>
      </c>
      <c r="T628">
        <v>1</v>
      </c>
      <c r="U628" t="s">
        <v>1345</v>
      </c>
      <c r="V628" t="s">
        <v>1288</v>
      </c>
      <c r="W628" t="s">
        <v>1245</v>
      </c>
      <c r="X628" t="s">
        <v>1199</v>
      </c>
      <c r="Y628" t="s">
        <v>1193</v>
      </c>
      <c r="Z628">
        <v>235.76</v>
      </c>
      <c r="AA628">
        <v>389.99</v>
      </c>
      <c r="AB628">
        <v>0</v>
      </c>
      <c r="AC628">
        <v>389.99</v>
      </c>
      <c r="AD628">
        <v>235.76</v>
      </c>
      <c r="AE628">
        <v>154.23000000000002</v>
      </c>
      <c r="AF628">
        <v>0.39547167876099393</v>
      </c>
      <c r="AG628">
        <v>2025</v>
      </c>
      <c r="AH628">
        <v>12</v>
      </c>
      <c r="AI628" t="s">
        <v>1428</v>
      </c>
      <c r="AJ628" t="s">
        <v>1427</v>
      </c>
      <c r="AK628" t="s">
        <v>1250</v>
      </c>
      <c r="AL628">
        <v>0</v>
      </c>
    </row>
    <row r="629" spans="1:38">
      <c r="A629" t="s">
        <v>540</v>
      </c>
      <c r="B629" s="13">
        <v>45875</v>
      </c>
      <c r="C629" t="s">
        <v>410</v>
      </c>
      <c r="D629" t="s">
        <v>503</v>
      </c>
      <c r="E629" t="s">
        <v>411</v>
      </c>
      <c r="F629" t="s">
        <v>87</v>
      </c>
      <c r="G629" t="s">
        <v>130</v>
      </c>
      <c r="H629" t="s">
        <v>89</v>
      </c>
      <c r="I629">
        <v>1</v>
      </c>
      <c r="J629">
        <v>128.6</v>
      </c>
      <c r="K629">
        <v>0.05</v>
      </c>
      <c r="L629" t="s">
        <v>90</v>
      </c>
      <c r="M629">
        <v>3</v>
      </c>
      <c r="N629" t="s">
        <v>91</v>
      </c>
      <c r="O629" t="s">
        <v>89</v>
      </c>
      <c r="P629" t="s">
        <v>503</v>
      </c>
      <c r="Q629" t="s">
        <v>410</v>
      </c>
      <c r="R629" t="s">
        <v>87</v>
      </c>
      <c r="S629" t="s">
        <v>369</v>
      </c>
      <c r="T629">
        <v>1</v>
      </c>
      <c r="U629" t="s">
        <v>1234</v>
      </c>
      <c r="V629" t="s">
        <v>1284</v>
      </c>
      <c r="W629" t="s">
        <v>1237</v>
      </c>
      <c r="X629" t="s">
        <v>1197</v>
      </c>
      <c r="Y629" t="s">
        <v>1193</v>
      </c>
      <c r="Z629">
        <v>85.73</v>
      </c>
      <c r="AA629">
        <v>128.6</v>
      </c>
      <c r="AB629">
        <v>6.43</v>
      </c>
      <c r="AC629">
        <v>122.16999999999999</v>
      </c>
      <c r="AD629">
        <v>85.73</v>
      </c>
      <c r="AE629">
        <v>36.439999999999984</v>
      </c>
      <c r="AF629">
        <v>0.29827289842023402</v>
      </c>
      <c r="AG629">
        <v>2025</v>
      </c>
      <c r="AH629">
        <v>8</v>
      </c>
      <c r="AI629" t="s">
        <v>1417</v>
      </c>
      <c r="AJ629" t="s">
        <v>1418</v>
      </c>
      <c r="AK629" t="s">
        <v>1285</v>
      </c>
      <c r="AL629">
        <v>0</v>
      </c>
    </row>
    <row r="630" spans="1:38">
      <c r="A630" t="s">
        <v>556</v>
      </c>
      <c r="B630" s="13">
        <v>45772</v>
      </c>
      <c r="C630" t="s">
        <v>305</v>
      </c>
      <c r="D630" t="s">
        <v>226</v>
      </c>
      <c r="E630" t="s">
        <v>306</v>
      </c>
      <c r="F630" t="s">
        <v>103</v>
      </c>
      <c r="G630" t="s">
        <v>183</v>
      </c>
      <c r="H630" t="s">
        <v>89</v>
      </c>
      <c r="I630">
        <v>2</v>
      </c>
      <c r="J630">
        <v>216.07</v>
      </c>
      <c r="K630">
        <v>0.1</v>
      </c>
      <c r="L630" t="s">
        <v>90</v>
      </c>
      <c r="M630">
        <v>9</v>
      </c>
      <c r="N630" t="s">
        <v>91</v>
      </c>
      <c r="O630" t="s">
        <v>89</v>
      </c>
      <c r="P630" t="s">
        <v>226</v>
      </c>
      <c r="Q630" t="s">
        <v>305</v>
      </c>
      <c r="R630" t="s">
        <v>103</v>
      </c>
      <c r="S630" t="s">
        <v>369</v>
      </c>
      <c r="T630">
        <v>1</v>
      </c>
      <c r="U630" t="s">
        <v>1307</v>
      </c>
      <c r="V630" t="s">
        <v>1275</v>
      </c>
      <c r="W630" t="s">
        <v>1237</v>
      </c>
      <c r="X630" t="s">
        <v>1194</v>
      </c>
      <c r="Y630" t="s">
        <v>1193</v>
      </c>
      <c r="Z630">
        <v>127.21</v>
      </c>
      <c r="AA630">
        <v>432.14</v>
      </c>
      <c r="AB630">
        <v>43.213999999999999</v>
      </c>
      <c r="AC630">
        <v>388.92599999999999</v>
      </c>
      <c r="AD630">
        <v>254.42</v>
      </c>
      <c r="AE630">
        <v>134.506</v>
      </c>
      <c r="AF630">
        <v>0.34583956845261055</v>
      </c>
      <c r="AG630">
        <v>2025</v>
      </c>
      <c r="AH630">
        <v>4</v>
      </c>
      <c r="AI630" t="s">
        <v>1421</v>
      </c>
      <c r="AJ630" t="s">
        <v>1420</v>
      </c>
      <c r="AK630" t="s">
        <v>1258</v>
      </c>
      <c r="AL630">
        <v>0</v>
      </c>
    </row>
    <row r="631" spans="1:38">
      <c r="A631" t="s">
        <v>568</v>
      </c>
      <c r="B631" s="13">
        <v>45812</v>
      </c>
      <c r="C631" t="s">
        <v>569</v>
      </c>
      <c r="D631" t="s">
        <v>120</v>
      </c>
      <c r="E631" t="s">
        <v>570</v>
      </c>
      <c r="F631" t="s">
        <v>116</v>
      </c>
      <c r="G631" t="s">
        <v>88</v>
      </c>
      <c r="H631" t="s">
        <v>89</v>
      </c>
      <c r="I631">
        <v>2</v>
      </c>
      <c r="J631">
        <v>388.34</v>
      </c>
      <c r="K631">
        <v>0.05</v>
      </c>
      <c r="L631" t="s">
        <v>90</v>
      </c>
      <c r="M631">
        <v>5</v>
      </c>
      <c r="N631" t="s">
        <v>147</v>
      </c>
      <c r="O631" t="s">
        <v>89</v>
      </c>
      <c r="P631" t="s">
        <v>120</v>
      </c>
      <c r="Q631" t="s">
        <v>569</v>
      </c>
      <c r="R631" t="s">
        <v>116</v>
      </c>
      <c r="S631" t="s">
        <v>369</v>
      </c>
      <c r="T631">
        <v>1</v>
      </c>
      <c r="U631" t="s">
        <v>1334</v>
      </c>
      <c r="V631" t="s">
        <v>1235</v>
      </c>
      <c r="W631" t="s">
        <v>1237</v>
      </c>
      <c r="X631" t="s">
        <v>1199</v>
      </c>
      <c r="Y631" t="s">
        <v>1193</v>
      </c>
      <c r="Z631">
        <v>235.76</v>
      </c>
      <c r="AA631">
        <v>776.68</v>
      </c>
      <c r="AB631">
        <v>38.834000000000003</v>
      </c>
      <c r="AC631">
        <v>737.846</v>
      </c>
      <c r="AD631">
        <v>471.52</v>
      </c>
      <c r="AE631">
        <v>266.32600000000002</v>
      </c>
      <c r="AF631">
        <v>0.36095065908062118</v>
      </c>
      <c r="AG631">
        <v>2025</v>
      </c>
      <c r="AH631">
        <v>6</v>
      </c>
      <c r="AI631" t="s">
        <v>1429</v>
      </c>
      <c r="AJ631" t="s">
        <v>1420</v>
      </c>
      <c r="AK631" t="s">
        <v>1236</v>
      </c>
      <c r="AL631">
        <v>1</v>
      </c>
    </row>
    <row r="632" spans="1:38">
      <c r="A632" t="s">
        <v>572</v>
      </c>
      <c r="B632" s="13">
        <v>45675</v>
      </c>
      <c r="C632" t="s">
        <v>203</v>
      </c>
      <c r="D632" t="s">
        <v>226</v>
      </c>
      <c r="E632" t="s">
        <v>573</v>
      </c>
      <c r="F632" t="s">
        <v>145</v>
      </c>
      <c r="G632" t="s">
        <v>88</v>
      </c>
      <c r="H632" t="s">
        <v>89</v>
      </c>
      <c r="I632">
        <v>1</v>
      </c>
      <c r="J632">
        <v>211.08</v>
      </c>
      <c r="K632">
        <v>0.05</v>
      </c>
      <c r="L632" t="s">
        <v>106</v>
      </c>
      <c r="M632">
        <v>4</v>
      </c>
      <c r="N632" t="s">
        <v>91</v>
      </c>
      <c r="O632" t="s">
        <v>89</v>
      </c>
      <c r="P632" t="s">
        <v>226</v>
      </c>
      <c r="Q632" t="s">
        <v>203</v>
      </c>
      <c r="R632" t="s">
        <v>145</v>
      </c>
      <c r="S632" t="s">
        <v>106</v>
      </c>
      <c r="T632">
        <v>1</v>
      </c>
      <c r="U632" t="s">
        <v>1279</v>
      </c>
      <c r="V632" t="s">
        <v>1257</v>
      </c>
      <c r="W632" t="s">
        <v>1237</v>
      </c>
      <c r="X632" t="s">
        <v>1194</v>
      </c>
      <c r="Y632" t="s">
        <v>1193</v>
      </c>
      <c r="Z632">
        <v>127.21</v>
      </c>
      <c r="AA632">
        <v>211.08</v>
      </c>
      <c r="AB632">
        <v>10.554000000000002</v>
      </c>
      <c r="AC632">
        <v>200.52600000000001</v>
      </c>
      <c r="AD632">
        <v>127.21</v>
      </c>
      <c r="AE632">
        <v>73.316000000000017</v>
      </c>
      <c r="AF632">
        <v>0.36561842354607388</v>
      </c>
      <c r="AG632">
        <v>2025</v>
      </c>
      <c r="AH632">
        <v>1</v>
      </c>
      <c r="AI632" t="s">
        <v>1425</v>
      </c>
      <c r="AJ632" t="s">
        <v>1424</v>
      </c>
      <c r="AK632" t="s">
        <v>1258</v>
      </c>
      <c r="AL632">
        <v>0</v>
      </c>
    </row>
    <row r="633" spans="1:38">
      <c r="A633" t="s">
        <v>574</v>
      </c>
      <c r="B633" s="13">
        <v>45724</v>
      </c>
      <c r="C633" t="s">
        <v>516</v>
      </c>
      <c r="D633" t="s">
        <v>139</v>
      </c>
      <c r="E633" t="s">
        <v>517</v>
      </c>
      <c r="F633" t="s">
        <v>116</v>
      </c>
      <c r="G633" t="s">
        <v>96</v>
      </c>
      <c r="H633" t="s">
        <v>105</v>
      </c>
      <c r="I633">
        <v>3</v>
      </c>
      <c r="J633">
        <v>79.849999999999994</v>
      </c>
      <c r="K633">
        <v>0.05</v>
      </c>
      <c r="L633" t="s">
        <v>98</v>
      </c>
      <c r="M633">
        <v>7</v>
      </c>
      <c r="N633" t="s">
        <v>91</v>
      </c>
      <c r="O633" t="s">
        <v>105</v>
      </c>
      <c r="P633" t="s">
        <v>139</v>
      </c>
      <c r="Q633" t="s">
        <v>516</v>
      </c>
      <c r="R633" t="s">
        <v>116</v>
      </c>
      <c r="S633" t="s">
        <v>98</v>
      </c>
      <c r="T633">
        <v>1</v>
      </c>
      <c r="U633" t="s">
        <v>1359</v>
      </c>
      <c r="V633" t="s">
        <v>1255</v>
      </c>
      <c r="W633" t="s">
        <v>1241</v>
      </c>
      <c r="X633" t="s">
        <v>1196</v>
      </c>
      <c r="Y633" t="s">
        <v>1193</v>
      </c>
      <c r="Z633">
        <v>45.17</v>
      </c>
      <c r="AA633">
        <v>239.54999999999998</v>
      </c>
      <c r="AB633">
        <v>11.977499999999999</v>
      </c>
      <c r="AC633">
        <v>227.57249999999999</v>
      </c>
      <c r="AD633">
        <v>135.51</v>
      </c>
      <c r="AE633">
        <v>92.0625</v>
      </c>
      <c r="AF633">
        <v>0.4045414098803678</v>
      </c>
      <c r="AG633">
        <v>2025</v>
      </c>
      <c r="AH633">
        <v>3</v>
      </c>
      <c r="AI633" t="s">
        <v>1423</v>
      </c>
      <c r="AJ633" t="s">
        <v>1424</v>
      </c>
      <c r="AK633" t="s">
        <v>1244</v>
      </c>
      <c r="AL633">
        <v>0</v>
      </c>
    </row>
    <row r="634" spans="1:38">
      <c r="A634" t="s">
        <v>579</v>
      </c>
      <c r="B634" s="13">
        <v>45666</v>
      </c>
      <c r="C634" t="s">
        <v>453</v>
      </c>
      <c r="D634" t="s">
        <v>226</v>
      </c>
      <c r="E634" t="s">
        <v>454</v>
      </c>
      <c r="F634" t="s">
        <v>103</v>
      </c>
      <c r="G634" t="s">
        <v>171</v>
      </c>
      <c r="H634" t="s">
        <v>89</v>
      </c>
      <c r="I634">
        <v>4</v>
      </c>
      <c r="J634">
        <v>215.38</v>
      </c>
      <c r="K634">
        <v>0</v>
      </c>
      <c r="L634" t="s">
        <v>106</v>
      </c>
      <c r="M634">
        <v>3</v>
      </c>
      <c r="N634" t="s">
        <v>147</v>
      </c>
      <c r="O634" t="s">
        <v>89</v>
      </c>
      <c r="P634" t="s">
        <v>226</v>
      </c>
      <c r="Q634" t="s">
        <v>453</v>
      </c>
      <c r="R634" t="s">
        <v>103</v>
      </c>
      <c r="S634" t="s">
        <v>106</v>
      </c>
      <c r="T634">
        <v>1</v>
      </c>
      <c r="U634" t="s">
        <v>1318</v>
      </c>
      <c r="V634" t="s">
        <v>1235</v>
      </c>
      <c r="W634" t="s">
        <v>1245</v>
      </c>
      <c r="X634" t="s">
        <v>1194</v>
      </c>
      <c r="Y634" t="s">
        <v>1193</v>
      </c>
      <c r="Z634">
        <v>127.21</v>
      </c>
      <c r="AA634">
        <v>861.52</v>
      </c>
      <c r="AB634">
        <v>0</v>
      </c>
      <c r="AC634">
        <v>861.52</v>
      </c>
      <c r="AD634">
        <v>508.84</v>
      </c>
      <c r="AE634">
        <v>352.68</v>
      </c>
      <c r="AF634">
        <v>0.40936948648899624</v>
      </c>
      <c r="AG634">
        <v>2025</v>
      </c>
      <c r="AH634">
        <v>1</v>
      </c>
      <c r="AI634" t="s">
        <v>1425</v>
      </c>
      <c r="AJ634" t="s">
        <v>1424</v>
      </c>
      <c r="AK634" t="s">
        <v>1236</v>
      </c>
      <c r="AL634">
        <v>1</v>
      </c>
    </row>
    <row r="635" spans="1:38">
      <c r="A635" t="s">
        <v>639</v>
      </c>
      <c r="B635" s="13">
        <v>45842</v>
      </c>
      <c r="C635" t="s">
        <v>132</v>
      </c>
      <c r="D635" t="s">
        <v>120</v>
      </c>
      <c r="E635" t="s">
        <v>134</v>
      </c>
      <c r="F635" t="s">
        <v>116</v>
      </c>
      <c r="G635" t="s">
        <v>117</v>
      </c>
      <c r="H635" t="s">
        <v>105</v>
      </c>
      <c r="I635">
        <v>1</v>
      </c>
      <c r="J635">
        <v>385.1</v>
      </c>
      <c r="K635">
        <v>0.1</v>
      </c>
      <c r="L635" t="s">
        <v>106</v>
      </c>
      <c r="M635">
        <v>3</v>
      </c>
      <c r="N635" t="s">
        <v>91</v>
      </c>
      <c r="O635" t="s">
        <v>105</v>
      </c>
      <c r="P635" t="s">
        <v>120</v>
      </c>
      <c r="Q635" t="s">
        <v>132</v>
      </c>
      <c r="R635" t="s">
        <v>116</v>
      </c>
      <c r="S635" t="s">
        <v>106</v>
      </c>
      <c r="T635">
        <v>1</v>
      </c>
      <c r="U635" t="s">
        <v>1346</v>
      </c>
      <c r="V635" t="s">
        <v>1288</v>
      </c>
      <c r="W635" t="s">
        <v>1245</v>
      </c>
      <c r="X635" t="s">
        <v>1199</v>
      </c>
      <c r="Y635" t="s">
        <v>1193</v>
      </c>
      <c r="Z635">
        <v>235.76</v>
      </c>
      <c r="AA635">
        <v>385.1</v>
      </c>
      <c r="AB635">
        <v>38.510000000000005</v>
      </c>
      <c r="AC635">
        <v>346.59000000000003</v>
      </c>
      <c r="AD635">
        <v>235.76</v>
      </c>
      <c r="AE635">
        <v>110.83000000000004</v>
      </c>
      <c r="AF635">
        <v>0.31977264202660211</v>
      </c>
      <c r="AG635">
        <v>2025</v>
      </c>
      <c r="AH635">
        <v>7</v>
      </c>
      <c r="AI635" t="s">
        <v>1422</v>
      </c>
      <c r="AJ635" t="s">
        <v>1418</v>
      </c>
      <c r="AK635" t="s">
        <v>1250</v>
      </c>
      <c r="AL635">
        <v>0</v>
      </c>
    </row>
    <row r="636" spans="1:38">
      <c r="A636" t="s">
        <v>651</v>
      </c>
      <c r="B636" s="13">
        <v>45817</v>
      </c>
      <c r="C636" t="s">
        <v>343</v>
      </c>
      <c r="D636" t="s">
        <v>157</v>
      </c>
      <c r="E636" t="s">
        <v>344</v>
      </c>
      <c r="F636" t="s">
        <v>87</v>
      </c>
      <c r="G636" t="s">
        <v>130</v>
      </c>
      <c r="H636" t="s">
        <v>89</v>
      </c>
      <c r="I636">
        <v>2</v>
      </c>
      <c r="J636">
        <v>278.27</v>
      </c>
      <c r="K636">
        <v>0.2</v>
      </c>
      <c r="L636" t="s">
        <v>98</v>
      </c>
      <c r="M636">
        <v>5</v>
      </c>
      <c r="N636" t="s">
        <v>91</v>
      </c>
      <c r="O636" t="s">
        <v>89</v>
      </c>
      <c r="P636" t="s">
        <v>157</v>
      </c>
      <c r="Q636" t="s">
        <v>343</v>
      </c>
      <c r="R636" t="s">
        <v>87</v>
      </c>
      <c r="S636" t="s">
        <v>98</v>
      </c>
      <c r="T636">
        <v>1</v>
      </c>
      <c r="U636" t="s">
        <v>1354</v>
      </c>
      <c r="V636" t="s">
        <v>1243</v>
      </c>
      <c r="W636" t="s">
        <v>1237</v>
      </c>
      <c r="X636" t="s">
        <v>1192</v>
      </c>
      <c r="Y636" t="s">
        <v>1193</v>
      </c>
      <c r="Z636">
        <v>176.13</v>
      </c>
      <c r="AA636">
        <v>556.54</v>
      </c>
      <c r="AB636">
        <v>111.30799999999999</v>
      </c>
      <c r="AC636">
        <v>445.23199999999997</v>
      </c>
      <c r="AD636">
        <v>352.26</v>
      </c>
      <c r="AE636">
        <v>92.97199999999998</v>
      </c>
      <c r="AF636">
        <v>0.20881697631796453</v>
      </c>
      <c r="AG636">
        <v>2025</v>
      </c>
      <c r="AH636">
        <v>6</v>
      </c>
      <c r="AI636" t="s">
        <v>1429</v>
      </c>
      <c r="AJ636" t="s">
        <v>1420</v>
      </c>
      <c r="AK636" t="s">
        <v>1244</v>
      </c>
      <c r="AL636">
        <v>0</v>
      </c>
    </row>
    <row r="637" spans="1:38">
      <c r="A637" t="s">
        <v>669</v>
      </c>
      <c r="B637" s="13">
        <v>45755</v>
      </c>
      <c r="C637" t="s">
        <v>670</v>
      </c>
      <c r="D637" t="s">
        <v>157</v>
      </c>
      <c r="E637" t="s">
        <v>671</v>
      </c>
      <c r="F637" t="s">
        <v>87</v>
      </c>
      <c r="G637" t="s">
        <v>130</v>
      </c>
      <c r="H637" t="s">
        <v>89</v>
      </c>
      <c r="I637">
        <v>2</v>
      </c>
      <c r="J637">
        <v>285.47000000000003</v>
      </c>
      <c r="K637">
        <v>0</v>
      </c>
      <c r="L637" t="s">
        <v>106</v>
      </c>
      <c r="M637">
        <v>1</v>
      </c>
      <c r="N637" t="s">
        <v>91</v>
      </c>
      <c r="O637" t="s">
        <v>89</v>
      </c>
      <c r="P637" t="s">
        <v>157</v>
      </c>
      <c r="Q637" t="s">
        <v>670</v>
      </c>
      <c r="R637" t="s">
        <v>87</v>
      </c>
      <c r="S637" t="s">
        <v>106</v>
      </c>
      <c r="T637">
        <v>1</v>
      </c>
      <c r="U637" t="s">
        <v>1349</v>
      </c>
      <c r="V637" t="s">
        <v>1249</v>
      </c>
      <c r="W637" t="s">
        <v>1241</v>
      </c>
      <c r="X637" t="s">
        <v>1192</v>
      </c>
      <c r="Y637" t="s">
        <v>1193</v>
      </c>
      <c r="Z637">
        <v>176.13</v>
      </c>
      <c r="AA637">
        <v>570.94000000000005</v>
      </c>
      <c r="AB637">
        <v>0</v>
      </c>
      <c r="AC637">
        <v>570.94000000000005</v>
      </c>
      <c r="AD637">
        <v>352.26</v>
      </c>
      <c r="AE637">
        <v>218.68000000000006</v>
      </c>
      <c r="AF637">
        <v>0.38301747994535335</v>
      </c>
      <c r="AG637">
        <v>2025</v>
      </c>
      <c r="AH637">
        <v>4</v>
      </c>
      <c r="AI637" t="s">
        <v>1421</v>
      </c>
      <c r="AJ637" t="s">
        <v>1420</v>
      </c>
      <c r="AK637" t="s">
        <v>1250</v>
      </c>
      <c r="AL637">
        <v>0</v>
      </c>
    </row>
    <row r="638" spans="1:38">
      <c r="A638" t="s">
        <v>674</v>
      </c>
      <c r="B638" s="13">
        <v>45858</v>
      </c>
      <c r="C638" t="s">
        <v>675</v>
      </c>
      <c r="D638" t="s">
        <v>120</v>
      </c>
      <c r="E638" t="s">
        <v>676</v>
      </c>
      <c r="F638" t="s">
        <v>111</v>
      </c>
      <c r="G638" t="s">
        <v>104</v>
      </c>
      <c r="H638" t="s">
        <v>97</v>
      </c>
      <c r="I638">
        <v>1</v>
      </c>
      <c r="J638">
        <v>402.61</v>
      </c>
      <c r="K638">
        <v>0.05</v>
      </c>
      <c r="L638" t="s">
        <v>106</v>
      </c>
      <c r="M638">
        <v>4</v>
      </c>
      <c r="N638" t="s">
        <v>91</v>
      </c>
      <c r="O638" t="s">
        <v>97</v>
      </c>
      <c r="P638" t="s">
        <v>120</v>
      </c>
      <c r="Q638" t="s">
        <v>675</v>
      </c>
      <c r="R638" t="s">
        <v>111</v>
      </c>
      <c r="S638" t="s">
        <v>106</v>
      </c>
      <c r="T638">
        <v>1</v>
      </c>
      <c r="U638" t="s">
        <v>1344</v>
      </c>
      <c r="V638" t="s">
        <v>1325</v>
      </c>
      <c r="W638" t="s">
        <v>1241</v>
      </c>
      <c r="X638" t="s">
        <v>1199</v>
      </c>
      <c r="Y638" t="s">
        <v>1193</v>
      </c>
      <c r="Z638">
        <v>235.76</v>
      </c>
      <c r="AA638">
        <v>402.61</v>
      </c>
      <c r="AB638">
        <v>20.130500000000001</v>
      </c>
      <c r="AC638">
        <v>382.47950000000003</v>
      </c>
      <c r="AD638">
        <v>235.76</v>
      </c>
      <c r="AE638">
        <v>146.71950000000004</v>
      </c>
      <c r="AF638">
        <v>0.38360095116208848</v>
      </c>
      <c r="AG638">
        <v>2025</v>
      </c>
      <c r="AH638">
        <v>7</v>
      </c>
      <c r="AI638" t="s">
        <v>1422</v>
      </c>
      <c r="AJ638" t="s">
        <v>1418</v>
      </c>
      <c r="AK638" t="s">
        <v>1326</v>
      </c>
      <c r="AL638">
        <v>0</v>
      </c>
    </row>
    <row r="639" spans="1:38">
      <c r="A639" t="s">
        <v>677</v>
      </c>
      <c r="B639" s="13">
        <v>45955</v>
      </c>
      <c r="C639" t="s">
        <v>248</v>
      </c>
      <c r="D639" t="s">
        <v>149</v>
      </c>
      <c r="E639" t="s">
        <v>678</v>
      </c>
      <c r="F639" t="s">
        <v>116</v>
      </c>
      <c r="G639" t="s">
        <v>122</v>
      </c>
      <c r="H639" t="s">
        <v>89</v>
      </c>
      <c r="I639">
        <v>3</v>
      </c>
      <c r="J639">
        <v>84.93</v>
      </c>
      <c r="K639">
        <v>0</v>
      </c>
      <c r="L639" t="s">
        <v>90</v>
      </c>
      <c r="M639">
        <v>6</v>
      </c>
      <c r="N639" t="s">
        <v>91</v>
      </c>
      <c r="O639" t="s">
        <v>89</v>
      </c>
      <c r="P639" t="s">
        <v>149</v>
      </c>
      <c r="Q639" t="s">
        <v>248</v>
      </c>
      <c r="R639" t="s">
        <v>116</v>
      </c>
      <c r="S639" t="s">
        <v>369</v>
      </c>
      <c r="T639">
        <v>1</v>
      </c>
      <c r="U639" t="s">
        <v>1261</v>
      </c>
      <c r="V639" t="s">
        <v>1257</v>
      </c>
      <c r="W639" t="s">
        <v>1245</v>
      </c>
      <c r="X639" t="s">
        <v>1195</v>
      </c>
      <c r="Y639" t="s">
        <v>1193</v>
      </c>
      <c r="Z639">
        <v>39.26</v>
      </c>
      <c r="AA639">
        <v>254.79000000000002</v>
      </c>
      <c r="AB639">
        <v>0</v>
      </c>
      <c r="AC639">
        <v>254.79000000000002</v>
      </c>
      <c r="AD639">
        <v>117.78</v>
      </c>
      <c r="AE639">
        <v>137.01000000000002</v>
      </c>
      <c r="AF639">
        <v>0.53773695984928771</v>
      </c>
      <c r="AG639">
        <v>2025</v>
      </c>
      <c r="AH639">
        <v>10</v>
      </c>
      <c r="AI639" t="s">
        <v>1431</v>
      </c>
      <c r="AJ639" t="s">
        <v>1427</v>
      </c>
      <c r="AK639" t="s">
        <v>1258</v>
      </c>
      <c r="AL639">
        <v>0</v>
      </c>
    </row>
    <row r="640" spans="1:38">
      <c r="A640" t="s">
        <v>685</v>
      </c>
      <c r="B640" s="13">
        <v>45708</v>
      </c>
      <c r="C640" t="s">
        <v>600</v>
      </c>
      <c r="D640" t="s">
        <v>255</v>
      </c>
      <c r="E640" t="s">
        <v>601</v>
      </c>
      <c r="F640" t="s">
        <v>116</v>
      </c>
      <c r="G640" t="s">
        <v>122</v>
      </c>
      <c r="H640" t="s">
        <v>89</v>
      </c>
      <c r="I640">
        <v>1</v>
      </c>
      <c r="J640">
        <v>234.76</v>
      </c>
      <c r="K640">
        <v>0.15</v>
      </c>
      <c r="L640" t="s">
        <v>90</v>
      </c>
      <c r="M640">
        <v>1</v>
      </c>
      <c r="N640" t="s">
        <v>147</v>
      </c>
      <c r="O640" t="s">
        <v>89</v>
      </c>
      <c r="P640" t="s">
        <v>255</v>
      </c>
      <c r="Q640" t="s">
        <v>600</v>
      </c>
      <c r="R640" t="s">
        <v>116</v>
      </c>
      <c r="S640" t="s">
        <v>369</v>
      </c>
      <c r="T640">
        <v>1</v>
      </c>
      <c r="U640" t="s">
        <v>1351</v>
      </c>
      <c r="V640" t="s">
        <v>1257</v>
      </c>
      <c r="W640" t="s">
        <v>1237</v>
      </c>
      <c r="X640" t="s">
        <v>1198</v>
      </c>
      <c r="Y640" t="s">
        <v>1193</v>
      </c>
      <c r="Z640">
        <v>117.65</v>
      </c>
      <c r="AA640">
        <v>234.76</v>
      </c>
      <c r="AB640">
        <v>35.213999999999999</v>
      </c>
      <c r="AC640">
        <v>199.54599999999999</v>
      </c>
      <c r="AD640">
        <v>117.65</v>
      </c>
      <c r="AE640">
        <v>81.895999999999987</v>
      </c>
      <c r="AF640">
        <v>0.41041163441011091</v>
      </c>
      <c r="AG640">
        <v>2025</v>
      </c>
      <c r="AH640">
        <v>2</v>
      </c>
      <c r="AI640" t="s">
        <v>1430</v>
      </c>
      <c r="AJ640" t="s">
        <v>1424</v>
      </c>
      <c r="AK640" t="s">
        <v>1258</v>
      </c>
      <c r="AL640">
        <v>1</v>
      </c>
    </row>
    <row r="641" spans="1:38">
      <c r="A641" t="s">
        <v>691</v>
      </c>
      <c r="B641" s="13">
        <v>45871</v>
      </c>
      <c r="C641" t="s">
        <v>594</v>
      </c>
      <c r="D641" t="s">
        <v>255</v>
      </c>
      <c r="E641" t="s">
        <v>595</v>
      </c>
      <c r="F641" t="s">
        <v>116</v>
      </c>
      <c r="G641" t="s">
        <v>117</v>
      </c>
      <c r="H641" t="s">
        <v>97</v>
      </c>
      <c r="I641">
        <v>2</v>
      </c>
      <c r="J641">
        <v>238.26</v>
      </c>
      <c r="K641">
        <v>0</v>
      </c>
      <c r="L641" t="s">
        <v>90</v>
      </c>
      <c r="M641">
        <v>3</v>
      </c>
      <c r="N641" t="s">
        <v>91</v>
      </c>
      <c r="O641" t="s">
        <v>97</v>
      </c>
      <c r="P641" t="s">
        <v>255</v>
      </c>
      <c r="Q641" t="s">
        <v>594</v>
      </c>
      <c r="R641" t="s">
        <v>116</v>
      </c>
      <c r="S641" t="s">
        <v>369</v>
      </c>
      <c r="T641">
        <v>1</v>
      </c>
      <c r="U641" t="s">
        <v>1251</v>
      </c>
      <c r="V641" t="s">
        <v>1277</v>
      </c>
      <c r="W641" t="s">
        <v>1241</v>
      </c>
      <c r="X641" t="s">
        <v>1198</v>
      </c>
      <c r="Y641" t="s">
        <v>1193</v>
      </c>
      <c r="Z641">
        <v>117.65</v>
      </c>
      <c r="AA641">
        <v>476.52</v>
      </c>
      <c r="AB641">
        <v>0</v>
      </c>
      <c r="AC641">
        <v>476.52</v>
      </c>
      <c r="AD641">
        <v>235.3</v>
      </c>
      <c r="AE641">
        <v>241.21999999999997</v>
      </c>
      <c r="AF641">
        <v>0.50621170150256023</v>
      </c>
      <c r="AG641">
        <v>2025</v>
      </c>
      <c r="AH641">
        <v>8</v>
      </c>
      <c r="AI641" t="s">
        <v>1417</v>
      </c>
      <c r="AJ641" t="s">
        <v>1418</v>
      </c>
      <c r="AK641" t="s">
        <v>1244</v>
      </c>
      <c r="AL641">
        <v>0</v>
      </c>
    </row>
    <row r="642" spans="1:38">
      <c r="A642" t="s">
        <v>692</v>
      </c>
      <c r="B642" s="13">
        <v>45912</v>
      </c>
      <c r="C642" t="s">
        <v>169</v>
      </c>
      <c r="D642" t="s">
        <v>157</v>
      </c>
      <c r="E642" t="s">
        <v>170</v>
      </c>
      <c r="F642" t="s">
        <v>145</v>
      </c>
      <c r="G642" t="s">
        <v>96</v>
      </c>
      <c r="H642" t="s">
        <v>89</v>
      </c>
      <c r="I642">
        <v>1</v>
      </c>
      <c r="J642">
        <v>293.91000000000003</v>
      </c>
      <c r="K642">
        <v>0.15</v>
      </c>
      <c r="L642" t="s">
        <v>106</v>
      </c>
      <c r="M642">
        <v>8</v>
      </c>
      <c r="N642" t="s">
        <v>91</v>
      </c>
      <c r="O642" t="s">
        <v>89</v>
      </c>
      <c r="P642" t="s">
        <v>157</v>
      </c>
      <c r="Q642" t="s">
        <v>169</v>
      </c>
      <c r="R642" t="s">
        <v>145</v>
      </c>
      <c r="S642" t="s">
        <v>106</v>
      </c>
      <c r="T642">
        <v>1</v>
      </c>
      <c r="U642" t="s">
        <v>1313</v>
      </c>
      <c r="V642" t="s">
        <v>1288</v>
      </c>
      <c r="W642" t="s">
        <v>1237</v>
      </c>
      <c r="X642" t="s">
        <v>1192</v>
      </c>
      <c r="Y642" t="s">
        <v>1193</v>
      </c>
      <c r="Z642">
        <v>176.13</v>
      </c>
      <c r="AA642">
        <v>293.91000000000003</v>
      </c>
      <c r="AB642">
        <v>44.086500000000001</v>
      </c>
      <c r="AC642">
        <v>249.82350000000002</v>
      </c>
      <c r="AD642">
        <v>176.13</v>
      </c>
      <c r="AE642">
        <v>73.693500000000029</v>
      </c>
      <c r="AF642">
        <v>0.2949822574737766</v>
      </c>
      <c r="AG642">
        <v>2025</v>
      </c>
      <c r="AH642">
        <v>9</v>
      </c>
      <c r="AI642" t="s">
        <v>1432</v>
      </c>
      <c r="AJ642" t="s">
        <v>1418</v>
      </c>
      <c r="AK642" t="s">
        <v>1250</v>
      </c>
      <c r="AL642">
        <v>0</v>
      </c>
    </row>
    <row r="643" spans="1:38">
      <c r="A643" t="s">
        <v>703</v>
      </c>
      <c r="B643" s="13">
        <v>45864</v>
      </c>
      <c r="C643" t="s">
        <v>414</v>
      </c>
      <c r="D643" t="s">
        <v>149</v>
      </c>
      <c r="E643" t="s">
        <v>415</v>
      </c>
      <c r="F643" t="s">
        <v>116</v>
      </c>
      <c r="G643" t="s">
        <v>171</v>
      </c>
      <c r="H643" t="s">
        <v>89</v>
      </c>
      <c r="I643">
        <v>1</v>
      </c>
      <c r="J643">
        <v>76.13</v>
      </c>
      <c r="K643">
        <v>0.15</v>
      </c>
      <c r="L643" t="s">
        <v>90</v>
      </c>
      <c r="M643">
        <v>2</v>
      </c>
      <c r="N643" t="s">
        <v>91</v>
      </c>
      <c r="O643" t="s">
        <v>89</v>
      </c>
      <c r="P643" t="s">
        <v>149</v>
      </c>
      <c r="Q643" t="s">
        <v>414</v>
      </c>
      <c r="R643" t="s">
        <v>116</v>
      </c>
      <c r="S643" t="s">
        <v>369</v>
      </c>
      <c r="T643">
        <v>1</v>
      </c>
      <c r="U643" t="s">
        <v>1305</v>
      </c>
      <c r="V643" t="s">
        <v>1288</v>
      </c>
      <c r="W643" t="s">
        <v>1245</v>
      </c>
      <c r="X643" t="s">
        <v>1195</v>
      </c>
      <c r="Y643" t="s">
        <v>1193</v>
      </c>
      <c r="Z643">
        <v>39.26</v>
      </c>
      <c r="AA643">
        <v>76.13</v>
      </c>
      <c r="AB643">
        <v>11.419499999999999</v>
      </c>
      <c r="AC643">
        <v>64.710499999999996</v>
      </c>
      <c r="AD643">
        <v>39.26</v>
      </c>
      <c r="AE643">
        <v>25.450499999999998</v>
      </c>
      <c r="AF643">
        <v>0.39329784192673523</v>
      </c>
      <c r="AG643">
        <v>2025</v>
      </c>
      <c r="AH643">
        <v>7</v>
      </c>
      <c r="AI643" t="s">
        <v>1422</v>
      </c>
      <c r="AJ643" t="s">
        <v>1418</v>
      </c>
      <c r="AK643" t="s">
        <v>1250</v>
      </c>
      <c r="AL643">
        <v>0</v>
      </c>
    </row>
    <row r="644" spans="1:38">
      <c r="A644" t="s">
        <v>713</v>
      </c>
      <c r="B644" s="13">
        <v>45696</v>
      </c>
      <c r="C644" t="s">
        <v>414</v>
      </c>
      <c r="D644" t="s">
        <v>226</v>
      </c>
      <c r="E644" t="s">
        <v>415</v>
      </c>
      <c r="F644" t="s">
        <v>145</v>
      </c>
      <c r="G644" t="s">
        <v>171</v>
      </c>
      <c r="H644" t="s">
        <v>89</v>
      </c>
      <c r="I644">
        <v>1</v>
      </c>
      <c r="J644">
        <v>218.34</v>
      </c>
      <c r="K644">
        <v>0.15</v>
      </c>
      <c r="L644" t="s">
        <v>106</v>
      </c>
      <c r="M644">
        <v>5</v>
      </c>
      <c r="N644" t="s">
        <v>91</v>
      </c>
      <c r="O644" t="s">
        <v>89</v>
      </c>
      <c r="P644" t="s">
        <v>226</v>
      </c>
      <c r="Q644" t="s">
        <v>414</v>
      </c>
      <c r="R644" t="s">
        <v>145</v>
      </c>
      <c r="S644" t="s">
        <v>106</v>
      </c>
      <c r="T644">
        <v>1</v>
      </c>
      <c r="U644" t="s">
        <v>1305</v>
      </c>
      <c r="V644" t="s">
        <v>1288</v>
      </c>
      <c r="W644" t="s">
        <v>1245</v>
      </c>
      <c r="X644" t="s">
        <v>1194</v>
      </c>
      <c r="Y644" t="s">
        <v>1193</v>
      </c>
      <c r="Z644">
        <v>127.21</v>
      </c>
      <c r="AA644">
        <v>218.34</v>
      </c>
      <c r="AB644">
        <v>32.750999999999998</v>
      </c>
      <c r="AC644">
        <v>185.589</v>
      </c>
      <c r="AD644">
        <v>127.21</v>
      </c>
      <c r="AE644">
        <v>58.379000000000005</v>
      </c>
      <c r="AF644">
        <v>0.31456066900516738</v>
      </c>
      <c r="AG644">
        <v>2025</v>
      </c>
      <c r="AH644">
        <v>2</v>
      </c>
      <c r="AI644" t="s">
        <v>1430</v>
      </c>
      <c r="AJ644" t="s">
        <v>1424</v>
      </c>
      <c r="AK644" t="s">
        <v>1250</v>
      </c>
      <c r="AL644">
        <v>0</v>
      </c>
    </row>
    <row r="645" spans="1:38">
      <c r="A645" t="s">
        <v>716</v>
      </c>
      <c r="B645" s="13">
        <v>45968</v>
      </c>
      <c r="C645" t="s">
        <v>507</v>
      </c>
      <c r="D645" t="s">
        <v>149</v>
      </c>
      <c r="E645" t="s">
        <v>508</v>
      </c>
      <c r="F645" t="s">
        <v>103</v>
      </c>
      <c r="G645" t="s">
        <v>130</v>
      </c>
      <c r="H645" t="s">
        <v>97</v>
      </c>
      <c r="I645">
        <v>1</v>
      </c>
      <c r="J645">
        <v>79.12</v>
      </c>
      <c r="K645">
        <v>0</v>
      </c>
      <c r="L645" t="s">
        <v>106</v>
      </c>
      <c r="M645">
        <v>3</v>
      </c>
      <c r="N645" t="s">
        <v>91</v>
      </c>
      <c r="O645" t="s">
        <v>97</v>
      </c>
      <c r="P645" t="s">
        <v>149</v>
      </c>
      <c r="Q645" t="s">
        <v>507</v>
      </c>
      <c r="R645" t="s">
        <v>103</v>
      </c>
      <c r="S645" t="s">
        <v>106</v>
      </c>
      <c r="T645">
        <v>1</v>
      </c>
      <c r="U645" t="s">
        <v>1328</v>
      </c>
      <c r="V645" t="s">
        <v>1288</v>
      </c>
      <c r="W645" t="s">
        <v>1245</v>
      </c>
      <c r="X645" t="s">
        <v>1195</v>
      </c>
      <c r="Y645" t="s">
        <v>1193</v>
      </c>
      <c r="Z645">
        <v>39.26</v>
      </c>
      <c r="AA645">
        <v>79.12</v>
      </c>
      <c r="AB645">
        <v>0</v>
      </c>
      <c r="AC645">
        <v>79.12</v>
      </c>
      <c r="AD645">
        <v>39.26</v>
      </c>
      <c r="AE645">
        <v>39.860000000000007</v>
      </c>
      <c r="AF645">
        <v>0.50379170879676449</v>
      </c>
      <c r="AG645">
        <v>2025</v>
      </c>
      <c r="AH645">
        <v>11</v>
      </c>
      <c r="AI645" t="s">
        <v>1426</v>
      </c>
      <c r="AJ645" t="s">
        <v>1427</v>
      </c>
      <c r="AK645" t="s">
        <v>1250</v>
      </c>
      <c r="AL645">
        <v>0</v>
      </c>
    </row>
    <row r="646" spans="1:38">
      <c r="A646" t="s">
        <v>726</v>
      </c>
      <c r="B646" s="13">
        <v>45761</v>
      </c>
      <c r="C646" t="s">
        <v>695</v>
      </c>
      <c r="D646" t="s">
        <v>503</v>
      </c>
      <c r="E646" t="s">
        <v>696</v>
      </c>
      <c r="F646" t="s">
        <v>145</v>
      </c>
      <c r="G646" t="s">
        <v>104</v>
      </c>
      <c r="H646" t="s">
        <v>89</v>
      </c>
      <c r="I646">
        <v>1</v>
      </c>
      <c r="J646">
        <v>127.63</v>
      </c>
      <c r="K646">
        <v>0.05</v>
      </c>
      <c r="L646" t="s">
        <v>98</v>
      </c>
      <c r="M646">
        <v>4</v>
      </c>
      <c r="N646" t="s">
        <v>91</v>
      </c>
      <c r="O646" t="s">
        <v>89</v>
      </c>
      <c r="P646" t="s">
        <v>503</v>
      </c>
      <c r="Q646" t="s">
        <v>695</v>
      </c>
      <c r="R646" t="s">
        <v>145</v>
      </c>
      <c r="S646" t="s">
        <v>98</v>
      </c>
      <c r="T646">
        <v>1</v>
      </c>
      <c r="U646" t="s">
        <v>1268</v>
      </c>
      <c r="V646" t="s">
        <v>1239</v>
      </c>
      <c r="W646" t="s">
        <v>1241</v>
      </c>
      <c r="X646" t="s">
        <v>1197</v>
      </c>
      <c r="Y646" t="s">
        <v>1193</v>
      </c>
      <c r="Z646">
        <v>85.73</v>
      </c>
      <c r="AA646">
        <v>127.63</v>
      </c>
      <c r="AB646">
        <v>6.3815</v>
      </c>
      <c r="AC646">
        <v>121.24849999999999</v>
      </c>
      <c r="AD646">
        <v>85.73</v>
      </c>
      <c r="AE646">
        <v>35.518499999999989</v>
      </c>
      <c r="AF646">
        <v>0.29293970647059542</v>
      </c>
      <c r="AG646">
        <v>2025</v>
      </c>
      <c r="AH646">
        <v>4</v>
      </c>
      <c r="AI646" t="s">
        <v>1421</v>
      </c>
      <c r="AJ646" t="s">
        <v>1420</v>
      </c>
      <c r="AK646" t="s">
        <v>1240</v>
      </c>
      <c r="AL646">
        <v>0</v>
      </c>
    </row>
    <row r="647" spans="1:38">
      <c r="A647" t="s">
        <v>729</v>
      </c>
      <c r="B647" s="13">
        <v>45795</v>
      </c>
      <c r="C647" t="s">
        <v>313</v>
      </c>
      <c r="D647" t="s">
        <v>120</v>
      </c>
      <c r="E647" t="s">
        <v>314</v>
      </c>
      <c r="F647" t="s">
        <v>87</v>
      </c>
      <c r="G647" t="s">
        <v>104</v>
      </c>
      <c r="H647" t="s">
        <v>89</v>
      </c>
      <c r="I647">
        <v>1</v>
      </c>
      <c r="J647">
        <v>390.94</v>
      </c>
      <c r="K647">
        <v>0.2</v>
      </c>
      <c r="L647" t="s">
        <v>253</v>
      </c>
      <c r="M647">
        <v>4</v>
      </c>
      <c r="N647" t="s">
        <v>91</v>
      </c>
      <c r="O647" t="s">
        <v>89</v>
      </c>
      <c r="P647" t="s">
        <v>120</v>
      </c>
      <c r="Q647" t="s">
        <v>313</v>
      </c>
      <c r="R647" t="s">
        <v>87</v>
      </c>
      <c r="S647" t="s">
        <v>106</v>
      </c>
      <c r="T647">
        <v>1</v>
      </c>
      <c r="U647" t="s">
        <v>1328</v>
      </c>
      <c r="V647" t="s">
        <v>1255</v>
      </c>
      <c r="W647" t="s">
        <v>1245</v>
      </c>
      <c r="X647" t="s">
        <v>1199</v>
      </c>
      <c r="Y647" t="s">
        <v>1193</v>
      </c>
      <c r="Z647">
        <v>235.76</v>
      </c>
      <c r="AA647">
        <v>390.94</v>
      </c>
      <c r="AB647">
        <v>78.188000000000002</v>
      </c>
      <c r="AC647">
        <v>312.75200000000001</v>
      </c>
      <c r="AD647">
        <v>235.76</v>
      </c>
      <c r="AE647">
        <v>76.992000000000019</v>
      </c>
      <c r="AF647">
        <v>0.24617588376733007</v>
      </c>
      <c r="AG647">
        <v>2025</v>
      </c>
      <c r="AH647">
        <v>5</v>
      </c>
      <c r="AI647" t="s">
        <v>1419</v>
      </c>
      <c r="AJ647" t="s">
        <v>1420</v>
      </c>
      <c r="AK647" t="s">
        <v>1244</v>
      </c>
      <c r="AL647">
        <v>0</v>
      </c>
    </row>
    <row r="648" spans="1:38">
      <c r="A648" t="s">
        <v>737</v>
      </c>
      <c r="B648" s="13">
        <v>45789</v>
      </c>
      <c r="C648" t="s">
        <v>197</v>
      </c>
      <c r="D648" t="s">
        <v>738</v>
      </c>
      <c r="E648" t="s">
        <v>198</v>
      </c>
      <c r="F648" t="s">
        <v>111</v>
      </c>
      <c r="G648" t="s">
        <v>122</v>
      </c>
      <c r="H648" t="s">
        <v>89</v>
      </c>
      <c r="I648">
        <v>3</v>
      </c>
      <c r="J648">
        <v>313.67</v>
      </c>
      <c r="K648">
        <v>0.25</v>
      </c>
      <c r="L648" t="s">
        <v>106</v>
      </c>
      <c r="M648">
        <v>7</v>
      </c>
      <c r="N648" t="s">
        <v>147</v>
      </c>
      <c r="O648" t="s">
        <v>89</v>
      </c>
      <c r="P648" t="s">
        <v>738</v>
      </c>
      <c r="Q648" t="s">
        <v>197</v>
      </c>
      <c r="R648" t="s">
        <v>111</v>
      </c>
      <c r="S648" t="s">
        <v>106</v>
      </c>
      <c r="T648">
        <v>1</v>
      </c>
      <c r="U648" t="s">
        <v>1337</v>
      </c>
      <c r="V648" t="s">
        <v>1257</v>
      </c>
      <c r="W648" t="s">
        <v>1241</v>
      </c>
      <c r="X648" t="s">
        <v>1201</v>
      </c>
      <c r="Y648" t="s">
        <v>1193</v>
      </c>
      <c r="Z648">
        <v>156.75</v>
      </c>
      <c r="AA648">
        <v>941.01</v>
      </c>
      <c r="AB648">
        <v>235.2525</v>
      </c>
      <c r="AC648">
        <v>705.75749999999994</v>
      </c>
      <c r="AD648">
        <v>470.25</v>
      </c>
      <c r="AE648">
        <v>235.50749999999994</v>
      </c>
      <c r="AF648">
        <v>0.33369464724073067</v>
      </c>
      <c r="AG648">
        <v>2025</v>
      </c>
      <c r="AH648">
        <v>5</v>
      </c>
      <c r="AI648" t="s">
        <v>1419</v>
      </c>
      <c r="AJ648" t="s">
        <v>1420</v>
      </c>
      <c r="AK648" t="s">
        <v>1258</v>
      </c>
      <c r="AL648">
        <v>1</v>
      </c>
    </row>
    <row r="649" spans="1:38">
      <c r="A649" t="s">
        <v>739</v>
      </c>
      <c r="B649" s="13">
        <v>46018</v>
      </c>
      <c r="C649" t="s">
        <v>326</v>
      </c>
      <c r="D649" t="s">
        <v>226</v>
      </c>
      <c r="E649" t="s">
        <v>327</v>
      </c>
      <c r="F649" t="s">
        <v>111</v>
      </c>
      <c r="G649" t="s">
        <v>183</v>
      </c>
      <c r="H649" t="s">
        <v>89</v>
      </c>
      <c r="I649">
        <v>1</v>
      </c>
      <c r="J649">
        <v>215.29</v>
      </c>
      <c r="K649">
        <v>0</v>
      </c>
      <c r="L649" t="s">
        <v>106</v>
      </c>
      <c r="M649">
        <v>3</v>
      </c>
      <c r="N649" t="s">
        <v>147</v>
      </c>
      <c r="O649" t="s">
        <v>89</v>
      </c>
      <c r="P649" t="s">
        <v>226</v>
      </c>
      <c r="Q649" t="s">
        <v>326</v>
      </c>
      <c r="R649" t="s">
        <v>111</v>
      </c>
      <c r="S649" t="s">
        <v>106</v>
      </c>
      <c r="T649">
        <v>1</v>
      </c>
      <c r="U649" t="s">
        <v>1338</v>
      </c>
      <c r="V649" t="s">
        <v>1325</v>
      </c>
      <c r="W649" t="s">
        <v>1237</v>
      </c>
      <c r="X649" t="s">
        <v>1194</v>
      </c>
      <c r="Y649" t="s">
        <v>1193</v>
      </c>
      <c r="Z649">
        <v>127.21</v>
      </c>
      <c r="AA649">
        <v>215.29</v>
      </c>
      <c r="AB649">
        <v>0</v>
      </c>
      <c r="AC649">
        <v>215.29</v>
      </c>
      <c r="AD649">
        <v>127.21</v>
      </c>
      <c r="AE649">
        <v>88.08</v>
      </c>
      <c r="AF649">
        <v>0.40912257884713643</v>
      </c>
      <c r="AG649">
        <v>2025</v>
      </c>
      <c r="AH649">
        <v>12</v>
      </c>
      <c r="AI649" t="s">
        <v>1428</v>
      </c>
      <c r="AJ649" t="s">
        <v>1427</v>
      </c>
      <c r="AK649" t="s">
        <v>1326</v>
      </c>
      <c r="AL649">
        <v>1</v>
      </c>
    </row>
    <row r="650" spans="1:38">
      <c r="A650" t="s">
        <v>746</v>
      </c>
      <c r="B650" s="13">
        <v>45749</v>
      </c>
      <c r="C650" t="s">
        <v>239</v>
      </c>
      <c r="D650" t="s">
        <v>738</v>
      </c>
      <c r="E650" t="s">
        <v>240</v>
      </c>
      <c r="F650" t="s">
        <v>116</v>
      </c>
      <c r="G650" t="s">
        <v>88</v>
      </c>
      <c r="H650" t="s">
        <v>89</v>
      </c>
      <c r="I650">
        <v>3</v>
      </c>
      <c r="J650">
        <v>319.5</v>
      </c>
      <c r="K650">
        <v>0</v>
      </c>
      <c r="L650" t="s">
        <v>98</v>
      </c>
      <c r="M650">
        <v>2</v>
      </c>
      <c r="N650" t="s">
        <v>91</v>
      </c>
      <c r="O650" t="s">
        <v>89</v>
      </c>
      <c r="P650" t="s">
        <v>738</v>
      </c>
      <c r="Q650" t="s">
        <v>239</v>
      </c>
      <c r="R650" t="s">
        <v>116</v>
      </c>
      <c r="S650" t="s">
        <v>98</v>
      </c>
      <c r="T650">
        <v>1</v>
      </c>
      <c r="U650" t="s">
        <v>1336</v>
      </c>
      <c r="V650" t="s">
        <v>1297</v>
      </c>
      <c r="W650" t="s">
        <v>1237</v>
      </c>
      <c r="X650" t="s">
        <v>1201</v>
      </c>
      <c r="Y650" t="s">
        <v>1193</v>
      </c>
      <c r="Z650">
        <v>156.75</v>
      </c>
      <c r="AA650">
        <v>958.5</v>
      </c>
      <c r="AB650">
        <v>0</v>
      </c>
      <c r="AC650">
        <v>958.5</v>
      </c>
      <c r="AD650">
        <v>470.25</v>
      </c>
      <c r="AE650">
        <v>488.25</v>
      </c>
      <c r="AF650">
        <v>0.50938967136150237</v>
      </c>
      <c r="AG650">
        <v>2025</v>
      </c>
      <c r="AH650">
        <v>4</v>
      </c>
      <c r="AI650" t="s">
        <v>1421</v>
      </c>
      <c r="AJ650" t="s">
        <v>1420</v>
      </c>
      <c r="AK650" t="s">
        <v>1258</v>
      </c>
      <c r="AL650">
        <v>0</v>
      </c>
    </row>
    <row r="651" spans="1:38">
      <c r="A651" t="s">
        <v>749</v>
      </c>
      <c r="B651" s="13">
        <v>45950</v>
      </c>
      <c r="C651" t="s">
        <v>239</v>
      </c>
      <c r="D651" t="s">
        <v>255</v>
      </c>
      <c r="E651" t="s">
        <v>240</v>
      </c>
      <c r="F651" t="s">
        <v>145</v>
      </c>
      <c r="G651" t="s">
        <v>122</v>
      </c>
      <c r="H651" t="s">
        <v>89</v>
      </c>
      <c r="I651">
        <v>1</v>
      </c>
      <c r="J651">
        <v>249.26</v>
      </c>
      <c r="K651">
        <v>0.2</v>
      </c>
      <c r="L651" t="s">
        <v>106</v>
      </c>
      <c r="M651">
        <v>7</v>
      </c>
      <c r="N651" t="s">
        <v>91</v>
      </c>
      <c r="O651" t="s">
        <v>89</v>
      </c>
      <c r="P651" t="s">
        <v>255</v>
      </c>
      <c r="Q651" t="s">
        <v>239</v>
      </c>
      <c r="R651" t="s">
        <v>145</v>
      </c>
      <c r="S651" t="s">
        <v>106</v>
      </c>
      <c r="T651">
        <v>1</v>
      </c>
      <c r="U651" t="s">
        <v>1336</v>
      </c>
      <c r="V651" t="s">
        <v>1297</v>
      </c>
      <c r="W651" t="s">
        <v>1237</v>
      </c>
      <c r="X651" t="s">
        <v>1198</v>
      </c>
      <c r="Y651" t="s">
        <v>1193</v>
      </c>
      <c r="Z651">
        <v>117.65</v>
      </c>
      <c r="AA651">
        <v>249.26</v>
      </c>
      <c r="AB651">
        <v>49.852000000000004</v>
      </c>
      <c r="AC651">
        <v>199.40799999999999</v>
      </c>
      <c r="AD651">
        <v>117.65</v>
      </c>
      <c r="AE651">
        <v>81.757999999999981</v>
      </c>
      <c r="AF651">
        <v>0.41000361068763536</v>
      </c>
      <c r="AG651">
        <v>2025</v>
      </c>
      <c r="AH651">
        <v>10</v>
      </c>
      <c r="AI651" t="s">
        <v>1431</v>
      </c>
      <c r="AJ651" t="s">
        <v>1427</v>
      </c>
      <c r="AK651" t="s">
        <v>1258</v>
      </c>
      <c r="AL651">
        <v>0</v>
      </c>
    </row>
    <row r="652" spans="1:38">
      <c r="A652" t="s">
        <v>751</v>
      </c>
      <c r="B652" s="13">
        <v>45918</v>
      </c>
      <c r="C652" t="s">
        <v>613</v>
      </c>
      <c r="D652" t="s">
        <v>157</v>
      </c>
      <c r="E652" t="s">
        <v>710</v>
      </c>
      <c r="F652" t="s">
        <v>103</v>
      </c>
      <c r="G652" t="s">
        <v>122</v>
      </c>
      <c r="H652" t="s">
        <v>97</v>
      </c>
      <c r="I652">
        <v>1</v>
      </c>
      <c r="J652">
        <v>280.99</v>
      </c>
      <c r="K652">
        <v>0</v>
      </c>
      <c r="L652" t="s">
        <v>98</v>
      </c>
      <c r="M652">
        <v>3</v>
      </c>
      <c r="N652" t="s">
        <v>91</v>
      </c>
      <c r="O652" t="s">
        <v>97</v>
      </c>
      <c r="P652" t="s">
        <v>157</v>
      </c>
      <c r="Q652" t="s">
        <v>613</v>
      </c>
      <c r="R652" t="s">
        <v>103</v>
      </c>
      <c r="S652" t="s">
        <v>98</v>
      </c>
      <c r="T652">
        <v>1</v>
      </c>
      <c r="U652" t="s">
        <v>1289</v>
      </c>
      <c r="V652" t="s">
        <v>1260</v>
      </c>
      <c r="W652" t="s">
        <v>1245</v>
      </c>
      <c r="X652" t="s">
        <v>1192</v>
      </c>
      <c r="Y652" t="s">
        <v>1193</v>
      </c>
      <c r="Z652">
        <v>176.13</v>
      </c>
      <c r="AA652">
        <v>280.99</v>
      </c>
      <c r="AB652">
        <v>0</v>
      </c>
      <c r="AC652">
        <v>280.99</v>
      </c>
      <c r="AD652">
        <v>176.13</v>
      </c>
      <c r="AE652">
        <v>104.86000000000001</v>
      </c>
      <c r="AF652">
        <v>0.37318054023274855</v>
      </c>
      <c r="AG652">
        <v>2025</v>
      </c>
      <c r="AH652">
        <v>9</v>
      </c>
      <c r="AI652" t="s">
        <v>1432</v>
      </c>
      <c r="AJ652" t="s">
        <v>1418</v>
      </c>
      <c r="AK652" t="s">
        <v>1240</v>
      </c>
      <c r="AL652">
        <v>0</v>
      </c>
    </row>
    <row r="653" spans="1:38">
      <c r="A653" t="s">
        <v>756</v>
      </c>
      <c r="B653" s="13">
        <v>45786</v>
      </c>
      <c r="C653" t="s">
        <v>564</v>
      </c>
      <c r="D653" t="s">
        <v>157</v>
      </c>
      <c r="E653" t="s">
        <v>565</v>
      </c>
      <c r="F653" t="s">
        <v>111</v>
      </c>
      <c r="G653" t="s">
        <v>130</v>
      </c>
      <c r="H653" t="s">
        <v>89</v>
      </c>
      <c r="I653">
        <v>2</v>
      </c>
      <c r="J653">
        <v>309.99</v>
      </c>
      <c r="K653">
        <v>0.05</v>
      </c>
      <c r="M653">
        <v>2</v>
      </c>
      <c r="N653" t="s">
        <v>91</v>
      </c>
      <c r="O653" t="s">
        <v>89</v>
      </c>
      <c r="P653" t="s">
        <v>157</v>
      </c>
      <c r="Q653" t="s">
        <v>564</v>
      </c>
      <c r="R653" t="s">
        <v>111</v>
      </c>
      <c r="S653" t="s">
        <v>1413</v>
      </c>
      <c r="T653">
        <v>1</v>
      </c>
      <c r="U653" t="s">
        <v>1339</v>
      </c>
      <c r="V653" t="s">
        <v>1260</v>
      </c>
      <c r="W653" t="s">
        <v>1245</v>
      </c>
      <c r="X653" t="s">
        <v>1192</v>
      </c>
      <c r="Y653" t="s">
        <v>1193</v>
      </c>
      <c r="Z653">
        <v>176.13</v>
      </c>
      <c r="AA653">
        <v>619.98</v>
      </c>
      <c r="AB653">
        <v>30.999000000000002</v>
      </c>
      <c r="AC653">
        <v>588.98099999999999</v>
      </c>
      <c r="AD653">
        <v>352.26</v>
      </c>
      <c r="AE653">
        <v>236.721</v>
      </c>
      <c r="AF653">
        <v>0.40191619084486596</v>
      </c>
      <c r="AG653">
        <v>2025</v>
      </c>
      <c r="AH653">
        <v>5</v>
      </c>
      <c r="AI653" t="s">
        <v>1419</v>
      </c>
      <c r="AJ653" t="s">
        <v>1420</v>
      </c>
      <c r="AK653" t="s">
        <v>1240</v>
      </c>
      <c r="AL653">
        <v>0</v>
      </c>
    </row>
    <row r="654" spans="1:38">
      <c r="A654" t="s">
        <v>772</v>
      </c>
      <c r="B654" s="13">
        <v>46021</v>
      </c>
      <c r="C654" t="s">
        <v>480</v>
      </c>
      <c r="D654" t="s">
        <v>149</v>
      </c>
      <c r="E654" t="s">
        <v>773</v>
      </c>
      <c r="F654" t="s">
        <v>145</v>
      </c>
      <c r="G654" t="s">
        <v>104</v>
      </c>
      <c r="H654" t="s">
        <v>97</v>
      </c>
      <c r="I654">
        <v>3</v>
      </c>
      <c r="J654">
        <v>79.77</v>
      </c>
      <c r="K654">
        <v>0</v>
      </c>
      <c r="L654" t="s">
        <v>98</v>
      </c>
      <c r="M654">
        <v>3</v>
      </c>
      <c r="N654" t="s">
        <v>91</v>
      </c>
      <c r="O654" t="s">
        <v>97</v>
      </c>
      <c r="P654" t="s">
        <v>149</v>
      </c>
      <c r="Q654" t="s">
        <v>480</v>
      </c>
      <c r="R654" t="s">
        <v>145</v>
      </c>
      <c r="S654" t="s">
        <v>98</v>
      </c>
      <c r="T654">
        <v>1</v>
      </c>
      <c r="U654" t="s">
        <v>1306</v>
      </c>
      <c r="V654" t="s">
        <v>1247</v>
      </c>
      <c r="W654" t="s">
        <v>1237</v>
      </c>
      <c r="X654" t="s">
        <v>1195</v>
      </c>
      <c r="Y654" t="s">
        <v>1193</v>
      </c>
      <c r="Z654">
        <v>39.26</v>
      </c>
      <c r="AA654">
        <v>239.31</v>
      </c>
      <c r="AB654">
        <v>0</v>
      </c>
      <c r="AC654">
        <v>239.31</v>
      </c>
      <c r="AD654">
        <v>117.78</v>
      </c>
      <c r="AE654">
        <v>121.53</v>
      </c>
      <c r="AF654">
        <v>0.50783502569888428</v>
      </c>
      <c r="AG654">
        <v>2025</v>
      </c>
      <c r="AH654">
        <v>12</v>
      </c>
      <c r="AI654" t="s">
        <v>1428</v>
      </c>
      <c r="AJ654" t="s">
        <v>1427</v>
      </c>
      <c r="AK654" t="s">
        <v>1240</v>
      </c>
      <c r="AL654">
        <v>0</v>
      </c>
    </row>
    <row r="655" spans="1:38">
      <c r="A655" t="s">
        <v>775</v>
      </c>
      <c r="B655" s="13">
        <v>45878</v>
      </c>
      <c r="C655" t="s">
        <v>466</v>
      </c>
      <c r="D655" t="s">
        <v>139</v>
      </c>
      <c r="E655" t="s">
        <v>467</v>
      </c>
      <c r="F655" t="s">
        <v>111</v>
      </c>
      <c r="G655" t="s">
        <v>104</v>
      </c>
      <c r="H655" t="s">
        <v>89</v>
      </c>
      <c r="I655">
        <v>2</v>
      </c>
      <c r="J655">
        <v>85.44</v>
      </c>
      <c r="K655">
        <v>0.1</v>
      </c>
      <c r="L655" t="s">
        <v>106</v>
      </c>
      <c r="M655">
        <v>7</v>
      </c>
      <c r="N655" t="s">
        <v>147</v>
      </c>
      <c r="O655" t="s">
        <v>89</v>
      </c>
      <c r="P655" t="s">
        <v>139</v>
      </c>
      <c r="Q655" t="s">
        <v>466</v>
      </c>
      <c r="R655" t="s">
        <v>111</v>
      </c>
      <c r="S655" t="s">
        <v>106</v>
      </c>
      <c r="T655">
        <v>1</v>
      </c>
      <c r="U655" t="s">
        <v>1340</v>
      </c>
      <c r="V655" t="s">
        <v>1247</v>
      </c>
      <c r="W655" t="s">
        <v>1245</v>
      </c>
      <c r="X655" t="s">
        <v>1196</v>
      </c>
      <c r="Y655" t="s">
        <v>1193</v>
      </c>
      <c r="Z655">
        <v>45.17</v>
      </c>
      <c r="AA655">
        <v>170.88</v>
      </c>
      <c r="AB655">
        <v>17.088000000000001</v>
      </c>
      <c r="AC655">
        <v>153.792</v>
      </c>
      <c r="AD655">
        <v>90.34</v>
      </c>
      <c r="AE655">
        <v>63.451999999999998</v>
      </c>
      <c r="AF655">
        <v>0.41258322929671243</v>
      </c>
      <c r="AG655">
        <v>2025</v>
      </c>
      <c r="AH655">
        <v>8</v>
      </c>
      <c r="AI655" t="s">
        <v>1417</v>
      </c>
      <c r="AJ655" t="s">
        <v>1418</v>
      </c>
      <c r="AK655" t="s">
        <v>1240</v>
      </c>
      <c r="AL655">
        <v>1</v>
      </c>
    </row>
    <row r="656" spans="1:38">
      <c r="A656" t="s">
        <v>786</v>
      </c>
      <c r="B656" s="13">
        <v>45923</v>
      </c>
      <c r="C656" t="s">
        <v>647</v>
      </c>
      <c r="D656" t="s">
        <v>738</v>
      </c>
      <c r="E656" t="s">
        <v>648</v>
      </c>
      <c r="F656" t="s">
        <v>116</v>
      </c>
      <c r="G656" t="s">
        <v>88</v>
      </c>
      <c r="H656" t="s">
        <v>97</v>
      </c>
      <c r="I656">
        <v>1</v>
      </c>
      <c r="J656">
        <v>308.68</v>
      </c>
      <c r="K656">
        <v>0.2</v>
      </c>
      <c r="L656" t="s">
        <v>106</v>
      </c>
      <c r="M656">
        <v>2</v>
      </c>
      <c r="N656" t="s">
        <v>91</v>
      </c>
      <c r="O656" t="s">
        <v>97</v>
      </c>
      <c r="P656" t="s">
        <v>738</v>
      </c>
      <c r="Q656" t="s">
        <v>647</v>
      </c>
      <c r="R656" t="s">
        <v>116</v>
      </c>
      <c r="S656" t="s">
        <v>106</v>
      </c>
      <c r="T656">
        <v>1</v>
      </c>
      <c r="U656" t="s">
        <v>1303</v>
      </c>
      <c r="V656" t="s">
        <v>1255</v>
      </c>
      <c r="W656" t="s">
        <v>1237</v>
      </c>
      <c r="X656" t="s">
        <v>1201</v>
      </c>
      <c r="Y656" t="s">
        <v>1193</v>
      </c>
      <c r="Z656">
        <v>156.75</v>
      </c>
      <c r="AA656">
        <v>308.68</v>
      </c>
      <c r="AB656">
        <v>61.736000000000004</v>
      </c>
      <c r="AC656">
        <v>246.94400000000002</v>
      </c>
      <c r="AD656">
        <v>156.75</v>
      </c>
      <c r="AE656">
        <v>90.194000000000017</v>
      </c>
      <c r="AF656">
        <v>0.36524070234547107</v>
      </c>
      <c r="AG656">
        <v>2025</v>
      </c>
      <c r="AH656">
        <v>9</v>
      </c>
      <c r="AI656" t="s">
        <v>1432</v>
      </c>
      <c r="AJ656" t="s">
        <v>1418</v>
      </c>
      <c r="AK656" t="s">
        <v>1244</v>
      </c>
      <c r="AL656">
        <v>0</v>
      </c>
    </row>
    <row r="657" spans="1:38">
      <c r="A657" t="s">
        <v>787</v>
      </c>
      <c r="B657" s="13">
        <v>45887</v>
      </c>
      <c r="C657" t="s">
        <v>531</v>
      </c>
      <c r="D657" t="s">
        <v>226</v>
      </c>
      <c r="E657" t="s">
        <v>532</v>
      </c>
      <c r="F657" t="s">
        <v>116</v>
      </c>
      <c r="G657" t="s">
        <v>104</v>
      </c>
      <c r="H657" t="s">
        <v>97</v>
      </c>
      <c r="I657">
        <v>3</v>
      </c>
      <c r="J657">
        <v>215.17</v>
      </c>
      <c r="K657">
        <v>0.2</v>
      </c>
      <c r="L657" t="s">
        <v>106</v>
      </c>
      <c r="M657">
        <v>0</v>
      </c>
      <c r="N657" t="s">
        <v>91</v>
      </c>
      <c r="O657" t="s">
        <v>97</v>
      </c>
      <c r="P657" t="s">
        <v>226</v>
      </c>
      <c r="Q657" t="s">
        <v>531</v>
      </c>
      <c r="R657" t="s">
        <v>116</v>
      </c>
      <c r="S657" t="s">
        <v>106</v>
      </c>
      <c r="T657">
        <v>1</v>
      </c>
      <c r="U657" t="s">
        <v>1294</v>
      </c>
      <c r="V657" t="s">
        <v>1260</v>
      </c>
      <c r="W657" t="s">
        <v>1237</v>
      </c>
      <c r="X657" t="s">
        <v>1194</v>
      </c>
      <c r="Y657" t="s">
        <v>1193</v>
      </c>
      <c r="Z657">
        <v>127.21</v>
      </c>
      <c r="AA657">
        <v>645.51</v>
      </c>
      <c r="AB657">
        <v>129.102</v>
      </c>
      <c r="AC657">
        <v>516.40800000000002</v>
      </c>
      <c r="AD657">
        <v>381.63</v>
      </c>
      <c r="AE657">
        <v>134.77800000000002</v>
      </c>
      <c r="AF657">
        <v>0.26099130919737884</v>
      </c>
      <c r="AG657">
        <v>2025</v>
      </c>
      <c r="AH657">
        <v>8</v>
      </c>
      <c r="AI657" t="s">
        <v>1417</v>
      </c>
      <c r="AJ657" t="s">
        <v>1418</v>
      </c>
      <c r="AK657" t="s">
        <v>1240</v>
      </c>
      <c r="AL657">
        <v>0</v>
      </c>
    </row>
    <row r="658" spans="1:38">
      <c r="A658" t="s">
        <v>792</v>
      </c>
      <c r="B658" s="13">
        <v>46001</v>
      </c>
      <c r="C658" t="s">
        <v>203</v>
      </c>
      <c r="D658" t="s">
        <v>120</v>
      </c>
      <c r="E658" t="s">
        <v>204</v>
      </c>
      <c r="F658" t="s">
        <v>87</v>
      </c>
      <c r="G658" t="s">
        <v>104</v>
      </c>
      <c r="H658" t="s">
        <v>97</v>
      </c>
      <c r="I658">
        <v>1</v>
      </c>
      <c r="J658">
        <v>386.46</v>
      </c>
      <c r="K658">
        <v>0.2</v>
      </c>
      <c r="L658" t="s">
        <v>98</v>
      </c>
      <c r="M658">
        <v>0</v>
      </c>
      <c r="N658" t="s">
        <v>91</v>
      </c>
      <c r="O658" t="s">
        <v>97</v>
      </c>
      <c r="P658" t="s">
        <v>120</v>
      </c>
      <c r="Q658" t="s">
        <v>203</v>
      </c>
      <c r="R658" t="s">
        <v>87</v>
      </c>
      <c r="S658" t="s">
        <v>98</v>
      </c>
      <c r="T658">
        <v>1</v>
      </c>
      <c r="U658" t="s">
        <v>1279</v>
      </c>
      <c r="V658" t="s">
        <v>1257</v>
      </c>
      <c r="W658" t="s">
        <v>1237</v>
      </c>
      <c r="X658" t="s">
        <v>1199</v>
      </c>
      <c r="Y658" t="s">
        <v>1193</v>
      </c>
      <c r="Z658">
        <v>235.76</v>
      </c>
      <c r="AA658">
        <v>386.46</v>
      </c>
      <c r="AB658">
        <v>77.292000000000002</v>
      </c>
      <c r="AC658">
        <v>309.16800000000001</v>
      </c>
      <c r="AD658">
        <v>235.76</v>
      </c>
      <c r="AE658">
        <v>73.408000000000015</v>
      </c>
      <c r="AF658">
        <v>0.23743725094447035</v>
      </c>
      <c r="AG658">
        <v>2025</v>
      </c>
      <c r="AH658">
        <v>12</v>
      </c>
      <c r="AI658" t="s">
        <v>1428</v>
      </c>
      <c r="AJ658" t="s">
        <v>1427</v>
      </c>
      <c r="AK658" t="s">
        <v>1258</v>
      </c>
      <c r="AL658">
        <v>0</v>
      </c>
    </row>
    <row r="659" spans="1:38">
      <c r="A659" t="s">
        <v>793</v>
      </c>
      <c r="B659" s="13">
        <v>45805</v>
      </c>
      <c r="C659" t="s">
        <v>286</v>
      </c>
      <c r="D659" t="s">
        <v>738</v>
      </c>
      <c r="E659" t="s">
        <v>287</v>
      </c>
      <c r="F659" t="s">
        <v>103</v>
      </c>
      <c r="G659" t="s">
        <v>122</v>
      </c>
      <c r="H659" t="s">
        <v>89</v>
      </c>
      <c r="I659">
        <v>2</v>
      </c>
      <c r="J659">
        <v>334.82</v>
      </c>
      <c r="K659">
        <v>0.05</v>
      </c>
      <c r="L659" t="s">
        <v>106</v>
      </c>
      <c r="M659">
        <v>4</v>
      </c>
      <c r="N659" t="s">
        <v>91</v>
      </c>
      <c r="O659" t="s">
        <v>89</v>
      </c>
      <c r="P659" t="s">
        <v>738</v>
      </c>
      <c r="Q659" t="s">
        <v>286</v>
      </c>
      <c r="R659" t="s">
        <v>103</v>
      </c>
      <c r="S659" t="s">
        <v>106</v>
      </c>
      <c r="T659">
        <v>1</v>
      </c>
      <c r="U659" t="s">
        <v>1296</v>
      </c>
      <c r="V659" t="s">
        <v>1284</v>
      </c>
      <c r="W659" t="s">
        <v>1237</v>
      </c>
      <c r="X659" t="s">
        <v>1201</v>
      </c>
      <c r="Y659" t="s">
        <v>1193</v>
      </c>
      <c r="Z659">
        <v>156.75</v>
      </c>
      <c r="AA659">
        <v>669.64</v>
      </c>
      <c r="AB659">
        <v>33.481999999999999</v>
      </c>
      <c r="AC659">
        <v>636.15800000000002</v>
      </c>
      <c r="AD659">
        <v>313.5</v>
      </c>
      <c r="AE659">
        <v>322.65800000000002</v>
      </c>
      <c r="AF659">
        <v>0.50719789737769549</v>
      </c>
      <c r="AG659">
        <v>2025</v>
      </c>
      <c r="AH659">
        <v>5</v>
      </c>
      <c r="AI659" t="s">
        <v>1419</v>
      </c>
      <c r="AJ659" t="s">
        <v>1420</v>
      </c>
      <c r="AK659" t="s">
        <v>1285</v>
      </c>
      <c r="AL659">
        <v>0</v>
      </c>
    </row>
    <row r="660" spans="1:38">
      <c r="A660" t="s">
        <v>799</v>
      </c>
      <c r="B660" s="13">
        <v>45746</v>
      </c>
      <c r="C660" t="s">
        <v>512</v>
      </c>
      <c r="D660" t="s">
        <v>139</v>
      </c>
      <c r="E660" t="s">
        <v>513</v>
      </c>
      <c r="F660" t="s">
        <v>111</v>
      </c>
      <c r="G660" t="s">
        <v>171</v>
      </c>
      <c r="H660" t="s">
        <v>105</v>
      </c>
      <c r="I660">
        <v>3</v>
      </c>
      <c r="J660">
        <v>81.489999999999995</v>
      </c>
      <c r="K660">
        <v>0.05</v>
      </c>
      <c r="L660" t="s">
        <v>154</v>
      </c>
      <c r="M660">
        <v>2</v>
      </c>
      <c r="N660" t="s">
        <v>91</v>
      </c>
      <c r="O660" t="s">
        <v>105</v>
      </c>
      <c r="P660" t="s">
        <v>139</v>
      </c>
      <c r="Q660" t="s">
        <v>512</v>
      </c>
      <c r="R660" t="s">
        <v>111</v>
      </c>
      <c r="S660" t="s">
        <v>154</v>
      </c>
      <c r="T660">
        <v>1</v>
      </c>
      <c r="U660" t="s">
        <v>1273</v>
      </c>
      <c r="V660" t="s">
        <v>1284</v>
      </c>
      <c r="W660" t="s">
        <v>1241</v>
      </c>
      <c r="X660" t="s">
        <v>1196</v>
      </c>
      <c r="Y660" t="s">
        <v>1193</v>
      </c>
      <c r="Z660">
        <v>45.17</v>
      </c>
      <c r="AA660">
        <v>244.46999999999997</v>
      </c>
      <c r="AB660">
        <v>12.2235</v>
      </c>
      <c r="AC660">
        <v>232.24649999999997</v>
      </c>
      <c r="AD660">
        <v>135.51</v>
      </c>
      <c r="AE660">
        <v>96.736499999999978</v>
      </c>
      <c r="AF660">
        <v>0.41652511447965845</v>
      </c>
      <c r="AG660">
        <v>2025</v>
      </c>
      <c r="AH660">
        <v>3</v>
      </c>
      <c r="AI660" t="s">
        <v>1423</v>
      </c>
      <c r="AJ660" t="s">
        <v>1424</v>
      </c>
      <c r="AK660" t="s">
        <v>1285</v>
      </c>
      <c r="AL660">
        <v>0</v>
      </c>
    </row>
    <row r="661" spans="1:38">
      <c r="A661" t="s">
        <v>800</v>
      </c>
      <c r="B661" s="13">
        <v>45786</v>
      </c>
      <c r="C661" t="s">
        <v>386</v>
      </c>
      <c r="D661" t="s">
        <v>139</v>
      </c>
      <c r="E661" t="s">
        <v>576</v>
      </c>
      <c r="F661" t="s">
        <v>116</v>
      </c>
      <c r="G661" t="s">
        <v>104</v>
      </c>
      <c r="H661" t="s">
        <v>97</v>
      </c>
      <c r="I661">
        <v>4</v>
      </c>
      <c r="J661">
        <v>82.08</v>
      </c>
      <c r="K661">
        <v>0.2</v>
      </c>
      <c r="L661" t="s">
        <v>98</v>
      </c>
      <c r="M661">
        <v>1</v>
      </c>
      <c r="N661" t="s">
        <v>91</v>
      </c>
      <c r="O661" t="s">
        <v>97</v>
      </c>
      <c r="P661" t="s">
        <v>139</v>
      </c>
      <c r="Q661" t="s">
        <v>386</v>
      </c>
      <c r="R661" t="s">
        <v>116</v>
      </c>
      <c r="S661" t="s">
        <v>98</v>
      </c>
      <c r="T661">
        <v>1</v>
      </c>
      <c r="U661" t="s">
        <v>1254</v>
      </c>
      <c r="V661" t="s">
        <v>1255</v>
      </c>
      <c r="W661" t="s">
        <v>1245</v>
      </c>
      <c r="X661" t="s">
        <v>1196</v>
      </c>
      <c r="Y661" t="s">
        <v>1193</v>
      </c>
      <c r="Z661">
        <v>45.17</v>
      </c>
      <c r="AA661">
        <v>328.32</v>
      </c>
      <c r="AB661">
        <v>65.664000000000001</v>
      </c>
      <c r="AC661">
        <v>262.65600000000001</v>
      </c>
      <c r="AD661">
        <v>180.68</v>
      </c>
      <c r="AE661">
        <v>81.975999999999999</v>
      </c>
      <c r="AF661">
        <v>0.31210404483430798</v>
      </c>
      <c r="AG661">
        <v>2025</v>
      </c>
      <c r="AH661">
        <v>5</v>
      </c>
      <c r="AI661" t="s">
        <v>1419</v>
      </c>
      <c r="AJ661" t="s">
        <v>1420</v>
      </c>
      <c r="AK661" t="s">
        <v>1244</v>
      </c>
      <c r="AL661">
        <v>0</v>
      </c>
    </row>
    <row r="662" spans="1:38">
      <c r="A662" t="s">
        <v>815</v>
      </c>
      <c r="B662" s="13">
        <v>45740</v>
      </c>
      <c r="C662" t="s">
        <v>197</v>
      </c>
      <c r="D662" t="s">
        <v>157</v>
      </c>
      <c r="E662" t="s">
        <v>198</v>
      </c>
      <c r="F662" t="s">
        <v>116</v>
      </c>
      <c r="G662" t="s">
        <v>96</v>
      </c>
      <c r="H662" t="s">
        <v>97</v>
      </c>
      <c r="I662">
        <v>4</v>
      </c>
      <c r="J662">
        <v>285.99</v>
      </c>
      <c r="K662">
        <v>0</v>
      </c>
      <c r="L662" t="s">
        <v>106</v>
      </c>
      <c r="M662">
        <v>2</v>
      </c>
      <c r="N662" t="s">
        <v>91</v>
      </c>
      <c r="O662" t="s">
        <v>97</v>
      </c>
      <c r="P662" t="s">
        <v>157</v>
      </c>
      <c r="Q662" t="s">
        <v>197</v>
      </c>
      <c r="R662" t="s">
        <v>116</v>
      </c>
      <c r="S662" t="s">
        <v>106</v>
      </c>
      <c r="T662">
        <v>1</v>
      </c>
      <c r="U662" t="s">
        <v>1337</v>
      </c>
      <c r="V662" t="s">
        <v>1257</v>
      </c>
      <c r="W662" t="s">
        <v>1241</v>
      </c>
      <c r="X662" t="s">
        <v>1192</v>
      </c>
      <c r="Y662" t="s">
        <v>1193</v>
      </c>
      <c r="Z662">
        <v>176.13</v>
      </c>
      <c r="AA662">
        <v>1143.96</v>
      </c>
      <c r="AB662">
        <v>0</v>
      </c>
      <c r="AC662">
        <v>1143.96</v>
      </c>
      <c r="AD662">
        <v>704.52</v>
      </c>
      <c r="AE662">
        <v>439.44000000000005</v>
      </c>
      <c r="AF662">
        <v>0.38413930557012488</v>
      </c>
      <c r="AG662">
        <v>2025</v>
      </c>
      <c r="AH662">
        <v>3</v>
      </c>
      <c r="AI662" t="s">
        <v>1423</v>
      </c>
      <c r="AJ662" t="s">
        <v>1424</v>
      </c>
      <c r="AK662" t="s">
        <v>1258</v>
      </c>
      <c r="AL662">
        <v>0</v>
      </c>
    </row>
    <row r="663" spans="1:38">
      <c r="A663" t="s">
        <v>817</v>
      </c>
      <c r="B663" s="13">
        <v>45881</v>
      </c>
      <c r="C663" t="s">
        <v>396</v>
      </c>
      <c r="D663" t="s">
        <v>139</v>
      </c>
      <c r="E663" t="s">
        <v>397</v>
      </c>
      <c r="F663" t="s">
        <v>111</v>
      </c>
      <c r="G663" t="s">
        <v>171</v>
      </c>
      <c r="H663" t="s">
        <v>89</v>
      </c>
      <c r="I663">
        <v>1</v>
      </c>
      <c r="J663">
        <v>84.27</v>
      </c>
      <c r="K663">
        <v>0.1</v>
      </c>
      <c r="M663">
        <v>8</v>
      </c>
      <c r="N663" t="s">
        <v>91</v>
      </c>
      <c r="O663" t="s">
        <v>89</v>
      </c>
      <c r="P663" t="s">
        <v>139</v>
      </c>
      <c r="Q663" t="s">
        <v>396</v>
      </c>
      <c r="R663" t="s">
        <v>111</v>
      </c>
      <c r="S663" t="s">
        <v>1413</v>
      </c>
      <c r="T663">
        <v>1</v>
      </c>
      <c r="U663" t="s">
        <v>1309</v>
      </c>
      <c r="V663" t="s">
        <v>1247</v>
      </c>
      <c r="W663" t="s">
        <v>1237</v>
      </c>
      <c r="X663" t="s">
        <v>1196</v>
      </c>
      <c r="Y663" t="s">
        <v>1193</v>
      </c>
      <c r="Z663">
        <v>45.17</v>
      </c>
      <c r="AA663">
        <v>84.27</v>
      </c>
      <c r="AB663">
        <v>8.4269999999999996</v>
      </c>
      <c r="AC663">
        <v>75.842999999999989</v>
      </c>
      <c r="AD663">
        <v>45.17</v>
      </c>
      <c r="AE663">
        <v>30.672999999999988</v>
      </c>
      <c r="AF663">
        <v>0.40442756747491521</v>
      </c>
      <c r="AG663">
        <v>2025</v>
      </c>
      <c r="AH663">
        <v>8</v>
      </c>
      <c r="AI663" t="s">
        <v>1417</v>
      </c>
      <c r="AJ663" t="s">
        <v>1418</v>
      </c>
      <c r="AK663" t="s">
        <v>1240</v>
      </c>
      <c r="AL663">
        <v>0</v>
      </c>
    </row>
    <row r="664" spans="1:38">
      <c r="A664" t="s">
        <v>834</v>
      </c>
      <c r="B664" s="13">
        <v>46011</v>
      </c>
      <c r="C664" t="s">
        <v>84</v>
      </c>
      <c r="D664" t="s">
        <v>120</v>
      </c>
      <c r="E664" t="s">
        <v>86</v>
      </c>
      <c r="F664" t="s">
        <v>145</v>
      </c>
      <c r="G664" t="s">
        <v>96</v>
      </c>
      <c r="H664" t="s">
        <v>89</v>
      </c>
      <c r="I664">
        <v>4</v>
      </c>
      <c r="J664">
        <v>369.84</v>
      </c>
      <c r="K664">
        <v>0.15</v>
      </c>
      <c r="L664" t="s">
        <v>106</v>
      </c>
      <c r="M664">
        <v>9</v>
      </c>
      <c r="N664" t="s">
        <v>91</v>
      </c>
      <c r="O664" t="s">
        <v>89</v>
      </c>
      <c r="P664" t="s">
        <v>120</v>
      </c>
      <c r="Q664" t="s">
        <v>84</v>
      </c>
      <c r="R664" t="s">
        <v>145</v>
      </c>
      <c r="S664" t="s">
        <v>106</v>
      </c>
      <c r="T664">
        <v>1</v>
      </c>
      <c r="U664" t="s">
        <v>1354</v>
      </c>
      <c r="V664" t="s">
        <v>1275</v>
      </c>
      <c r="W664" t="s">
        <v>1237</v>
      </c>
      <c r="X664" t="s">
        <v>1199</v>
      </c>
      <c r="Y664" t="s">
        <v>1193</v>
      </c>
      <c r="Z664">
        <v>235.76</v>
      </c>
      <c r="AA664">
        <v>1479.36</v>
      </c>
      <c r="AB664">
        <v>221.90399999999997</v>
      </c>
      <c r="AC664">
        <v>1257.4559999999999</v>
      </c>
      <c r="AD664">
        <v>943.04</v>
      </c>
      <c r="AE664">
        <v>314.41599999999994</v>
      </c>
      <c r="AF664">
        <v>0.25004135333562366</v>
      </c>
      <c r="AG664">
        <v>2025</v>
      </c>
      <c r="AH664">
        <v>12</v>
      </c>
      <c r="AI664" t="s">
        <v>1428</v>
      </c>
      <c r="AJ664" t="s">
        <v>1427</v>
      </c>
      <c r="AK664" t="s">
        <v>1258</v>
      </c>
      <c r="AL664">
        <v>0</v>
      </c>
    </row>
    <row r="665" spans="1:38">
      <c r="A665" t="s">
        <v>839</v>
      </c>
      <c r="B665" s="13">
        <v>45972</v>
      </c>
      <c r="C665" t="s">
        <v>220</v>
      </c>
      <c r="D665" t="s">
        <v>139</v>
      </c>
      <c r="E665" t="s">
        <v>222</v>
      </c>
      <c r="F665" t="s">
        <v>87</v>
      </c>
      <c r="G665" t="s">
        <v>117</v>
      </c>
      <c r="H665" t="s">
        <v>105</v>
      </c>
      <c r="I665">
        <v>1</v>
      </c>
      <c r="J665">
        <v>85.38</v>
      </c>
      <c r="K665">
        <v>0</v>
      </c>
      <c r="L665" t="s">
        <v>106</v>
      </c>
      <c r="M665">
        <v>7</v>
      </c>
      <c r="N665" t="s">
        <v>91</v>
      </c>
      <c r="O665" t="s">
        <v>105</v>
      </c>
      <c r="P665" t="s">
        <v>139</v>
      </c>
      <c r="Q665" t="s">
        <v>220</v>
      </c>
      <c r="R665" t="s">
        <v>87</v>
      </c>
      <c r="S665" t="s">
        <v>106</v>
      </c>
      <c r="T665">
        <v>1</v>
      </c>
      <c r="U665" t="s">
        <v>1315</v>
      </c>
      <c r="V665" t="s">
        <v>1255</v>
      </c>
      <c r="W665" t="s">
        <v>1237</v>
      </c>
      <c r="X665" t="s">
        <v>1196</v>
      </c>
      <c r="Y665" t="s">
        <v>1193</v>
      </c>
      <c r="Z665">
        <v>45.17</v>
      </c>
      <c r="AA665">
        <v>85.38</v>
      </c>
      <c r="AB665">
        <v>0</v>
      </c>
      <c r="AC665">
        <v>85.38</v>
      </c>
      <c r="AD665">
        <v>45.17</v>
      </c>
      <c r="AE665">
        <v>40.209999999999994</v>
      </c>
      <c r="AF665">
        <v>0.47095338486765048</v>
      </c>
      <c r="AG665">
        <v>2025</v>
      </c>
      <c r="AH665">
        <v>11</v>
      </c>
      <c r="AI665" t="s">
        <v>1426</v>
      </c>
      <c r="AJ665" t="s">
        <v>1427</v>
      </c>
      <c r="AK665" t="s">
        <v>1244</v>
      </c>
      <c r="AL665">
        <v>0</v>
      </c>
    </row>
    <row r="666" spans="1:38">
      <c r="A666" t="s">
        <v>853</v>
      </c>
      <c r="B666" s="13">
        <v>45992</v>
      </c>
      <c r="C666" t="s">
        <v>661</v>
      </c>
      <c r="D666" t="s">
        <v>503</v>
      </c>
      <c r="E666" t="s">
        <v>662</v>
      </c>
      <c r="F666" t="s">
        <v>87</v>
      </c>
      <c r="G666" t="s">
        <v>104</v>
      </c>
      <c r="H666" t="s">
        <v>97</v>
      </c>
      <c r="I666">
        <v>1</v>
      </c>
      <c r="J666">
        <v>123.65</v>
      </c>
      <c r="K666">
        <v>0.2</v>
      </c>
      <c r="L666" t="s">
        <v>253</v>
      </c>
      <c r="M666">
        <v>3</v>
      </c>
      <c r="N666" t="s">
        <v>91</v>
      </c>
      <c r="O666" t="s">
        <v>97</v>
      </c>
      <c r="P666" t="s">
        <v>503</v>
      </c>
      <c r="Q666" t="s">
        <v>661</v>
      </c>
      <c r="R666" t="s">
        <v>87</v>
      </c>
      <c r="S666" t="s">
        <v>106</v>
      </c>
      <c r="T666">
        <v>1</v>
      </c>
      <c r="U666" t="s">
        <v>1352</v>
      </c>
      <c r="V666" t="s">
        <v>1235</v>
      </c>
      <c r="W666" t="s">
        <v>1237</v>
      </c>
      <c r="X666" t="s">
        <v>1197</v>
      </c>
      <c r="Y666" t="s">
        <v>1193</v>
      </c>
      <c r="Z666">
        <v>85.73</v>
      </c>
      <c r="AA666">
        <v>123.65</v>
      </c>
      <c r="AB666">
        <v>24.730000000000004</v>
      </c>
      <c r="AC666">
        <v>98.92</v>
      </c>
      <c r="AD666">
        <v>85.73</v>
      </c>
      <c r="AE666">
        <v>13.189999999999998</v>
      </c>
      <c r="AF666">
        <v>0.13334007278608975</v>
      </c>
      <c r="AG666">
        <v>2025</v>
      </c>
      <c r="AH666">
        <v>12</v>
      </c>
      <c r="AI666" t="s">
        <v>1428</v>
      </c>
      <c r="AJ666" t="s">
        <v>1427</v>
      </c>
      <c r="AK666" t="s">
        <v>1236</v>
      </c>
      <c r="AL666">
        <v>0</v>
      </c>
    </row>
    <row r="667" spans="1:38">
      <c r="A667" t="s">
        <v>857</v>
      </c>
      <c r="B667" s="13">
        <v>45924</v>
      </c>
      <c r="C667" t="s">
        <v>243</v>
      </c>
      <c r="D667" t="s">
        <v>738</v>
      </c>
      <c r="E667" t="s">
        <v>245</v>
      </c>
      <c r="F667" t="s">
        <v>145</v>
      </c>
      <c r="G667" t="s">
        <v>171</v>
      </c>
      <c r="H667" t="s">
        <v>89</v>
      </c>
      <c r="I667">
        <v>2</v>
      </c>
      <c r="J667">
        <v>336.2</v>
      </c>
      <c r="K667">
        <v>0.05</v>
      </c>
      <c r="L667" t="s">
        <v>90</v>
      </c>
      <c r="M667">
        <v>6</v>
      </c>
      <c r="N667" t="s">
        <v>91</v>
      </c>
      <c r="O667" t="s">
        <v>89</v>
      </c>
      <c r="P667" t="s">
        <v>738</v>
      </c>
      <c r="Q667" t="s">
        <v>243</v>
      </c>
      <c r="R667" t="s">
        <v>145</v>
      </c>
      <c r="S667" t="s">
        <v>369</v>
      </c>
      <c r="T667">
        <v>1</v>
      </c>
      <c r="U667" t="s">
        <v>1301</v>
      </c>
      <c r="V667" t="s">
        <v>1260</v>
      </c>
      <c r="W667" t="s">
        <v>1245</v>
      </c>
      <c r="X667" t="s">
        <v>1201</v>
      </c>
      <c r="Y667" t="s">
        <v>1193</v>
      </c>
      <c r="Z667">
        <v>156.75</v>
      </c>
      <c r="AA667">
        <v>672.4</v>
      </c>
      <c r="AB667">
        <v>33.619999999999997</v>
      </c>
      <c r="AC667">
        <v>638.78</v>
      </c>
      <c r="AD667">
        <v>313.5</v>
      </c>
      <c r="AE667">
        <v>325.27999999999997</v>
      </c>
      <c r="AF667">
        <v>0.50922070196311719</v>
      </c>
      <c r="AG667">
        <v>2025</v>
      </c>
      <c r="AH667">
        <v>9</v>
      </c>
      <c r="AI667" t="s">
        <v>1432</v>
      </c>
      <c r="AJ667" t="s">
        <v>1418</v>
      </c>
      <c r="AK667" t="s">
        <v>1240</v>
      </c>
      <c r="AL667">
        <v>0</v>
      </c>
    </row>
    <row r="668" spans="1:38">
      <c r="A668" t="s">
        <v>860</v>
      </c>
      <c r="B668" s="13">
        <v>45834</v>
      </c>
      <c r="C668" t="s">
        <v>507</v>
      </c>
      <c r="D668" t="s">
        <v>149</v>
      </c>
      <c r="E668" t="s">
        <v>508</v>
      </c>
      <c r="F668" t="s">
        <v>116</v>
      </c>
      <c r="G668" t="s">
        <v>88</v>
      </c>
      <c r="H668" t="s">
        <v>89</v>
      </c>
      <c r="I668">
        <v>1</v>
      </c>
      <c r="J668">
        <v>80.47</v>
      </c>
      <c r="K668">
        <v>0.25</v>
      </c>
      <c r="L668" t="s">
        <v>98</v>
      </c>
      <c r="M668">
        <v>4</v>
      </c>
      <c r="N668" t="s">
        <v>91</v>
      </c>
      <c r="O668" t="s">
        <v>89</v>
      </c>
      <c r="P668" t="s">
        <v>149</v>
      </c>
      <c r="Q668" t="s">
        <v>507</v>
      </c>
      <c r="R668" t="s">
        <v>116</v>
      </c>
      <c r="S668" t="s">
        <v>98</v>
      </c>
      <c r="T668">
        <v>1</v>
      </c>
      <c r="U668" t="s">
        <v>1328</v>
      </c>
      <c r="V668" t="s">
        <v>1288</v>
      </c>
      <c r="W668" t="s">
        <v>1245</v>
      </c>
      <c r="X668" t="s">
        <v>1195</v>
      </c>
      <c r="Y668" t="s">
        <v>1193</v>
      </c>
      <c r="Z668">
        <v>39.26</v>
      </c>
      <c r="AA668">
        <v>80.47</v>
      </c>
      <c r="AB668">
        <v>20.1175</v>
      </c>
      <c r="AC668">
        <v>60.352499999999999</v>
      </c>
      <c r="AD668">
        <v>39.26</v>
      </c>
      <c r="AE668">
        <v>21.092500000000001</v>
      </c>
      <c r="AF668">
        <v>0.34948842218632203</v>
      </c>
      <c r="AG668">
        <v>2025</v>
      </c>
      <c r="AH668">
        <v>6</v>
      </c>
      <c r="AI668" t="s">
        <v>1429</v>
      </c>
      <c r="AJ668" t="s">
        <v>1420</v>
      </c>
      <c r="AK668" t="s">
        <v>1250</v>
      </c>
      <c r="AL668">
        <v>0</v>
      </c>
    </row>
    <row r="669" spans="1:38">
      <c r="A669" t="s">
        <v>861</v>
      </c>
      <c r="B669" s="13">
        <v>45758</v>
      </c>
      <c r="C669" t="s">
        <v>349</v>
      </c>
      <c r="D669" t="s">
        <v>503</v>
      </c>
      <c r="E669" t="s">
        <v>350</v>
      </c>
      <c r="F669" t="s">
        <v>87</v>
      </c>
      <c r="G669" t="s">
        <v>104</v>
      </c>
      <c r="H669" t="s">
        <v>89</v>
      </c>
      <c r="I669">
        <v>1</v>
      </c>
      <c r="J669">
        <v>117.18</v>
      </c>
      <c r="K669">
        <v>0.05</v>
      </c>
      <c r="L669" t="s">
        <v>106</v>
      </c>
      <c r="M669">
        <v>7</v>
      </c>
      <c r="N669" t="s">
        <v>91</v>
      </c>
      <c r="O669" t="s">
        <v>89</v>
      </c>
      <c r="P669" t="s">
        <v>503</v>
      </c>
      <c r="Q669" t="s">
        <v>349</v>
      </c>
      <c r="R669" t="s">
        <v>87</v>
      </c>
      <c r="S669" t="s">
        <v>106</v>
      </c>
      <c r="T669">
        <v>1</v>
      </c>
      <c r="U669" t="s">
        <v>1335</v>
      </c>
      <c r="V669" t="s">
        <v>1297</v>
      </c>
      <c r="W669" t="s">
        <v>1241</v>
      </c>
      <c r="X669" t="s">
        <v>1197</v>
      </c>
      <c r="Y669" t="s">
        <v>1193</v>
      </c>
      <c r="Z669">
        <v>85.73</v>
      </c>
      <c r="AA669">
        <v>117.18</v>
      </c>
      <c r="AB669">
        <v>5.8590000000000009</v>
      </c>
      <c r="AC669">
        <v>111.32100000000001</v>
      </c>
      <c r="AD669">
        <v>85.73</v>
      </c>
      <c r="AE669">
        <v>25.591000000000008</v>
      </c>
      <c r="AF669">
        <v>0.22988474771157288</v>
      </c>
      <c r="AG669">
        <v>2025</v>
      </c>
      <c r="AH669">
        <v>4</v>
      </c>
      <c r="AI669" t="s">
        <v>1421</v>
      </c>
      <c r="AJ669" t="s">
        <v>1420</v>
      </c>
      <c r="AK669" t="s">
        <v>1258</v>
      </c>
      <c r="AL669">
        <v>0</v>
      </c>
    </row>
    <row r="670" spans="1:38">
      <c r="A670" t="s">
        <v>877</v>
      </c>
      <c r="B670" s="13">
        <v>45875</v>
      </c>
      <c r="C670" t="s">
        <v>151</v>
      </c>
      <c r="D670" t="s">
        <v>149</v>
      </c>
      <c r="E670" t="s">
        <v>827</v>
      </c>
      <c r="F670" t="s">
        <v>116</v>
      </c>
      <c r="G670" t="s">
        <v>122</v>
      </c>
      <c r="H670" t="s">
        <v>89</v>
      </c>
      <c r="I670">
        <v>1</v>
      </c>
      <c r="J670">
        <v>83.23</v>
      </c>
      <c r="K670">
        <v>0.05</v>
      </c>
      <c r="L670" t="s">
        <v>90</v>
      </c>
      <c r="M670">
        <v>6</v>
      </c>
      <c r="N670" t="s">
        <v>91</v>
      </c>
      <c r="O670" t="s">
        <v>89</v>
      </c>
      <c r="P670" t="s">
        <v>149</v>
      </c>
      <c r="Q670" t="s">
        <v>151</v>
      </c>
      <c r="R670" t="s">
        <v>116</v>
      </c>
      <c r="S670" t="s">
        <v>369</v>
      </c>
      <c r="T670">
        <v>1</v>
      </c>
      <c r="U670" t="s">
        <v>1263</v>
      </c>
      <c r="V670" t="s">
        <v>1239</v>
      </c>
      <c r="W670" t="s">
        <v>1241</v>
      </c>
      <c r="X670" t="s">
        <v>1195</v>
      </c>
      <c r="Y670" t="s">
        <v>1193</v>
      </c>
      <c r="Z670">
        <v>39.26</v>
      </c>
      <c r="AA670">
        <v>83.23</v>
      </c>
      <c r="AB670">
        <v>4.1615000000000002</v>
      </c>
      <c r="AC670">
        <v>79.0685</v>
      </c>
      <c r="AD670">
        <v>39.26</v>
      </c>
      <c r="AE670">
        <v>39.808500000000002</v>
      </c>
      <c r="AF670">
        <v>0.50346851148055172</v>
      </c>
      <c r="AG670">
        <v>2025</v>
      </c>
      <c r="AH670">
        <v>8</v>
      </c>
      <c r="AI670" t="s">
        <v>1417</v>
      </c>
      <c r="AJ670" t="s">
        <v>1418</v>
      </c>
      <c r="AK670" t="s">
        <v>1240</v>
      </c>
      <c r="AL670">
        <v>0</v>
      </c>
    </row>
    <row r="671" spans="1:38">
      <c r="A671" t="s">
        <v>886</v>
      </c>
      <c r="B671" s="13">
        <v>45852</v>
      </c>
      <c r="C671" t="s">
        <v>330</v>
      </c>
      <c r="D671" t="s">
        <v>226</v>
      </c>
      <c r="E671" t="s">
        <v>424</v>
      </c>
      <c r="F671" t="s">
        <v>87</v>
      </c>
      <c r="G671" t="s">
        <v>171</v>
      </c>
      <c r="H671" t="s">
        <v>97</v>
      </c>
      <c r="I671">
        <v>2</v>
      </c>
      <c r="J671">
        <v>210.56</v>
      </c>
      <c r="K671">
        <v>0.05</v>
      </c>
      <c r="L671" t="s">
        <v>106</v>
      </c>
      <c r="M671">
        <v>2</v>
      </c>
      <c r="N671" t="s">
        <v>91</v>
      </c>
      <c r="O671" t="s">
        <v>97</v>
      </c>
      <c r="P671" t="s">
        <v>226</v>
      </c>
      <c r="Q671" t="s">
        <v>330</v>
      </c>
      <c r="R671" t="s">
        <v>87</v>
      </c>
      <c r="S671" t="s">
        <v>106</v>
      </c>
      <c r="T671">
        <v>1</v>
      </c>
      <c r="U671" t="s">
        <v>1350</v>
      </c>
      <c r="V671" t="s">
        <v>1275</v>
      </c>
      <c r="W671" t="s">
        <v>1237</v>
      </c>
      <c r="X671" t="s">
        <v>1194</v>
      </c>
      <c r="Y671" t="s">
        <v>1193</v>
      </c>
      <c r="Z671">
        <v>127.21</v>
      </c>
      <c r="AA671">
        <v>421.12</v>
      </c>
      <c r="AB671">
        <v>21.056000000000001</v>
      </c>
      <c r="AC671">
        <v>400.06400000000002</v>
      </c>
      <c r="AD671">
        <v>254.42</v>
      </c>
      <c r="AE671">
        <v>145.64400000000003</v>
      </c>
      <c r="AF671">
        <v>0.36405175171972493</v>
      </c>
      <c r="AG671">
        <v>2025</v>
      </c>
      <c r="AH671">
        <v>7</v>
      </c>
      <c r="AI671" t="s">
        <v>1422</v>
      </c>
      <c r="AJ671" t="s">
        <v>1418</v>
      </c>
      <c r="AK671" t="s">
        <v>1258</v>
      </c>
      <c r="AL671">
        <v>0</v>
      </c>
    </row>
    <row r="672" spans="1:38">
      <c r="A672" t="s">
        <v>890</v>
      </c>
      <c r="B672" s="13">
        <v>45734</v>
      </c>
      <c r="C672" t="s">
        <v>406</v>
      </c>
      <c r="D672" t="s">
        <v>157</v>
      </c>
      <c r="E672" t="s">
        <v>407</v>
      </c>
      <c r="F672" t="s">
        <v>116</v>
      </c>
      <c r="G672" t="s">
        <v>104</v>
      </c>
      <c r="H672" t="s">
        <v>233</v>
      </c>
      <c r="I672">
        <v>3</v>
      </c>
      <c r="J672">
        <v>277.63</v>
      </c>
      <c r="K672">
        <v>0.1</v>
      </c>
      <c r="L672" t="s">
        <v>90</v>
      </c>
      <c r="M672">
        <v>3</v>
      </c>
      <c r="N672" t="s">
        <v>91</v>
      </c>
      <c r="O672" t="s">
        <v>97</v>
      </c>
      <c r="P672" t="s">
        <v>157</v>
      </c>
      <c r="Q672" t="s">
        <v>406</v>
      </c>
      <c r="R672" t="s">
        <v>116</v>
      </c>
      <c r="S672" t="s">
        <v>369</v>
      </c>
      <c r="T672">
        <v>1</v>
      </c>
      <c r="U672" t="s">
        <v>1291</v>
      </c>
      <c r="V672" t="s">
        <v>1239</v>
      </c>
      <c r="W672" t="s">
        <v>1237</v>
      </c>
      <c r="X672" t="s">
        <v>1192</v>
      </c>
      <c r="Y672" t="s">
        <v>1193</v>
      </c>
      <c r="Z672">
        <v>176.13</v>
      </c>
      <c r="AA672">
        <v>832.89</v>
      </c>
      <c r="AB672">
        <v>83.289000000000001</v>
      </c>
      <c r="AC672">
        <v>749.601</v>
      </c>
      <c r="AD672">
        <v>528.39</v>
      </c>
      <c r="AE672">
        <v>221.21100000000001</v>
      </c>
      <c r="AF672">
        <v>0.29510499585779637</v>
      </c>
      <c r="AG672">
        <v>2025</v>
      </c>
      <c r="AH672">
        <v>3</v>
      </c>
      <c r="AI672" t="s">
        <v>1423</v>
      </c>
      <c r="AJ672" t="s">
        <v>1424</v>
      </c>
      <c r="AK672" t="s">
        <v>1240</v>
      </c>
      <c r="AL672">
        <v>0</v>
      </c>
    </row>
    <row r="673" spans="1:38">
      <c r="A673" t="s">
        <v>896</v>
      </c>
      <c r="B673" s="13">
        <v>45685</v>
      </c>
      <c r="C673" t="s">
        <v>516</v>
      </c>
      <c r="D673" t="s">
        <v>255</v>
      </c>
      <c r="E673" t="s">
        <v>517</v>
      </c>
      <c r="F673" t="s">
        <v>87</v>
      </c>
      <c r="G673" t="s">
        <v>130</v>
      </c>
      <c r="H673" t="s">
        <v>105</v>
      </c>
      <c r="I673">
        <v>1</v>
      </c>
      <c r="J673">
        <v>252.23</v>
      </c>
      <c r="K673">
        <v>0</v>
      </c>
      <c r="L673" t="s">
        <v>98</v>
      </c>
      <c r="M673">
        <v>2</v>
      </c>
      <c r="N673" t="s">
        <v>91</v>
      </c>
      <c r="O673" t="s">
        <v>105</v>
      </c>
      <c r="P673" t="s">
        <v>255</v>
      </c>
      <c r="Q673" t="s">
        <v>516</v>
      </c>
      <c r="R673" t="s">
        <v>87</v>
      </c>
      <c r="S673" t="s">
        <v>98</v>
      </c>
      <c r="T673">
        <v>1</v>
      </c>
      <c r="U673" t="s">
        <v>1359</v>
      </c>
      <c r="V673" t="s">
        <v>1255</v>
      </c>
      <c r="W673" t="s">
        <v>1241</v>
      </c>
      <c r="X673" t="s">
        <v>1198</v>
      </c>
      <c r="Y673" t="s">
        <v>1193</v>
      </c>
      <c r="Z673">
        <v>117.65</v>
      </c>
      <c r="AA673">
        <v>252.23</v>
      </c>
      <c r="AB673">
        <v>0</v>
      </c>
      <c r="AC673">
        <v>252.23</v>
      </c>
      <c r="AD673">
        <v>117.65</v>
      </c>
      <c r="AE673">
        <v>134.57999999999998</v>
      </c>
      <c r="AF673">
        <v>0.53356063909923479</v>
      </c>
      <c r="AG673">
        <v>2025</v>
      </c>
      <c r="AH673">
        <v>1</v>
      </c>
      <c r="AI673" t="s">
        <v>1425</v>
      </c>
      <c r="AJ673" t="s">
        <v>1424</v>
      </c>
      <c r="AK673" t="s">
        <v>1244</v>
      </c>
      <c r="AL673">
        <v>0</v>
      </c>
    </row>
    <row r="674" spans="1:38">
      <c r="A674" t="s">
        <v>908</v>
      </c>
      <c r="B674" s="13">
        <v>45773</v>
      </c>
      <c r="C674" t="s">
        <v>230</v>
      </c>
      <c r="D674" t="s">
        <v>738</v>
      </c>
      <c r="E674" t="s">
        <v>909</v>
      </c>
      <c r="F674" t="s">
        <v>87</v>
      </c>
      <c r="G674" t="s">
        <v>88</v>
      </c>
      <c r="H674" t="s">
        <v>89</v>
      </c>
      <c r="I674">
        <v>3</v>
      </c>
      <c r="J674">
        <v>329.79</v>
      </c>
      <c r="K674">
        <v>0.1</v>
      </c>
      <c r="L674" t="s">
        <v>90</v>
      </c>
      <c r="M674">
        <v>3</v>
      </c>
      <c r="N674" t="s">
        <v>91</v>
      </c>
      <c r="O674" t="s">
        <v>89</v>
      </c>
      <c r="P674" t="s">
        <v>738</v>
      </c>
      <c r="Q674" t="s">
        <v>230</v>
      </c>
      <c r="R674" t="s">
        <v>87</v>
      </c>
      <c r="S674" t="s">
        <v>369</v>
      </c>
      <c r="T674">
        <v>1</v>
      </c>
      <c r="U674" t="s">
        <v>1312</v>
      </c>
      <c r="V674" t="s">
        <v>1247</v>
      </c>
      <c r="W674" t="s">
        <v>1241</v>
      </c>
      <c r="X674" t="s">
        <v>1201</v>
      </c>
      <c r="Y674" t="s">
        <v>1193</v>
      </c>
      <c r="Z674">
        <v>156.75</v>
      </c>
      <c r="AA674">
        <v>989.37000000000012</v>
      </c>
      <c r="AB674">
        <v>98.937000000000012</v>
      </c>
      <c r="AC674">
        <v>890.43300000000011</v>
      </c>
      <c r="AD674">
        <v>470.25</v>
      </c>
      <c r="AE674">
        <v>420.18300000000011</v>
      </c>
      <c r="AF674">
        <v>0.47188614977207727</v>
      </c>
      <c r="AG674">
        <v>2025</v>
      </c>
      <c r="AH674">
        <v>4</v>
      </c>
      <c r="AI674" t="s">
        <v>1421</v>
      </c>
      <c r="AJ674" t="s">
        <v>1420</v>
      </c>
      <c r="AK674" t="s">
        <v>1240</v>
      </c>
      <c r="AL674">
        <v>0</v>
      </c>
    </row>
    <row r="675" spans="1:38">
      <c r="A675" t="s">
        <v>916</v>
      </c>
      <c r="B675" s="13">
        <v>45785</v>
      </c>
      <c r="C675" t="s">
        <v>169</v>
      </c>
      <c r="D675" t="s">
        <v>255</v>
      </c>
      <c r="E675" t="s">
        <v>170</v>
      </c>
      <c r="F675" t="s">
        <v>145</v>
      </c>
      <c r="G675" t="s">
        <v>117</v>
      </c>
      <c r="H675" t="s">
        <v>105</v>
      </c>
      <c r="I675">
        <v>1</v>
      </c>
      <c r="J675">
        <v>229.48</v>
      </c>
      <c r="K675">
        <v>0.1</v>
      </c>
      <c r="L675" t="s">
        <v>154</v>
      </c>
      <c r="M675">
        <v>3</v>
      </c>
      <c r="N675" t="s">
        <v>91</v>
      </c>
      <c r="O675" t="s">
        <v>105</v>
      </c>
      <c r="P675" t="s">
        <v>255</v>
      </c>
      <c r="Q675" t="s">
        <v>169</v>
      </c>
      <c r="R675" t="s">
        <v>145</v>
      </c>
      <c r="S675" t="s">
        <v>154</v>
      </c>
      <c r="T675">
        <v>1</v>
      </c>
      <c r="U675" t="s">
        <v>1313</v>
      </c>
      <c r="V675" t="s">
        <v>1288</v>
      </c>
      <c r="W675" t="s">
        <v>1237</v>
      </c>
      <c r="X675" t="s">
        <v>1198</v>
      </c>
      <c r="Y675" t="s">
        <v>1193</v>
      </c>
      <c r="Z675">
        <v>117.65</v>
      </c>
      <c r="AA675">
        <v>229.48</v>
      </c>
      <c r="AB675">
        <v>22.948</v>
      </c>
      <c r="AC675">
        <v>206.53199999999998</v>
      </c>
      <c r="AD675">
        <v>117.65</v>
      </c>
      <c r="AE675">
        <v>88.881999999999977</v>
      </c>
      <c r="AF675">
        <v>0.43035461817054976</v>
      </c>
      <c r="AG675">
        <v>2025</v>
      </c>
      <c r="AH675">
        <v>5</v>
      </c>
      <c r="AI675" t="s">
        <v>1419</v>
      </c>
      <c r="AJ675" t="s">
        <v>1420</v>
      </c>
      <c r="AK675" t="s">
        <v>1250</v>
      </c>
      <c r="AL675">
        <v>0</v>
      </c>
    </row>
    <row r="676" spans="1:38">
      <c r="A676" t="s">
        <v>918</v>
      </c>
      <c r="B676" s="13">
        <v>45841</v>
      </c>
      <c r="C676" t="s">
        <v>500</v>
      </c>
      <c r="D676" t="s">
        <v>503</v>
      </c>
      <c r="E676" t="s">
        <v>501</v>
      </c>
      <c r="F676" t="s">
        <v>87</v>
      </c>
      <c r="G676" t="s">
        <v>96</v>
      </c>
      <c r="H676" t="s">
        <v>89</v>
      </c>
      <c r="I676">
        <v>2</v>
      </c>
      <c r="J676">
        <v>121.51</v>
      </c>
      <c r="K676">
        <v>0.1</v>
      </c>
      <c r="M676">
        <v>7</v>
      </c>
      <c r="N676" t="s">
        <v>91</v>
      </c>
      <c r="O676" t="s">
        <v>89</v>
      </c>
      <c r="P676" t="s">
        <v>503</v>
      </c>
      <c r="Q676" t="s">
        <v>500</v>
      </c>
      <c r="R676" t="s">
        <v>87</v>
      </c>
      <c r="S676" t="s">
        <v>1413</v>
      </c>
      <c r="T676">
        <v>1</v>
      </c>
      <c r="U676" t="s">
        <v>1298</v>
      </c>
      <c r="V676" t="s">
        <v>1297</v>
      </c>
      <c r="W676" t="s">
        <v>1245</v>
      </c>
      <c r="X676" t="s">
        <v>1197</v>
      </c>
      <c r="Y676" t="s">
        <v>1193</v>
      </c>
      <c r="Z676">
        <v>85.73</v>
      </c>
      <c r="AA676">
        <v>243.02</v>
      </c>
      <c r="AB676">
        <v>24.302000000000003</v>
      </c>
      <c r="AC676">
        <v>218.71800000000002</v>
      </c>
      <c r="AD676">
        <v>171.46</v>
      </c>
      <c r="AE676">
        <v>47.25800000000001</v>
      </c>
      <c r="AF676">
        <v>0.21606817911648793</v>
      </c>
      <c r="AG676">
        <v>2025</v>
      </c>
      <c r="AH676">
        <v>7</v>
      </c>
      <c r="AI676" t="s">
        <v>1422</v>
      </c>
      <c r="AJ676" t="s">
        <v>1418</v>
      </c>
      <c r="AK676" t="s">
        <v>1258</v>
      </c>
      <c r="AL676">
        <v>0</v>
      </c>
    </row>
    <row r="677" spans="1:38">
      <c r="A677" t="s">
        <v>919</v>
      </c>
      <c r="B677" s="13">
        <v>45800</v>
      </c>
      <c r="C677" t="s">
        <v>661</v>
      </c>
      <c r="D677" t="s">
        <v>157</v>
      </c>
      <c r="E677" t="s">
        <v>662</v>
      </c>
      <c r="F677" t="s">
        <v>103</v>
      </c>
      <c r="G677" t="s">
        <v>171</v>
      </c>
      <c r="H677" t="s">
        <v>89</v>
      </c>
      <c r="I677">
        <v>1</v>
      </c>
      <c r="J677">
        <v>296.25</v>
      </c>
      <c r="K677">
        <v>0.2</v>
      </c>
      <c r="L677" t="s">
        <v>106</v>
      </c>
      <c r="M677">
        <v>3</v>
      </c>
      <c r="N677" t="s">
        <v>91</v>
      </c>
      <c r="O677" t="s">
        <v>89</v>
      </c>
      <c r="P677" t="s">
        <v>157</v>
      </c>
      <c r="Q677" t="s">
        <v>661</v>
      </c>
      <c r="R677" t="s">
        <v>103</v>
      </c>
      <c r="S677" t="s">
        <v>106</v>
      </c>
      <c r="T677">
        <v>1</v>
      </c>
      <c r="U677" t="s">
        <v>1352</v>
      </c>
      <c r="V677" t="s">
        <v>1235</v>
      </c>
      <c r="W677" t="s">
        <v>1237</v>
      </c>
      <c r="X677" t="s">
        <v>1192</v>
      </c>
      <c r="Y677" t="s">
        <v>1193</v>
      </c>
      <c r="Z677">
        <v>176.13</v>
      </c>
      <c r="AA677">
        <v>296.25</v>
      </c>
      <c r="AB677">
        <v>59.25</v>
      </c>
      <c r="AC677">
        <v>237</v>
      </c>
      <c r="AD677">
        <v>176.13</v>
      </c>
      <c r="AE677">
        <v>60.870000000000005</v>
      </c>
      <c r="AF677">
        <v>0.25683544303797468</v>
      </c>
      <c r="AG677">
        <v>2025</v>
      </c>
      <c r="AH677">
        <v>5</v>
      </c>
      <c r="AI677" t="s">
        <v>1419</v>
      </c>
      <c r="AJ677" t="s">
        <v>1420</v>
      </c>
      <c r="AK677" t="s">
        <v>1236</v>
      </c>
      <c r="AL677">
        <v>0</v>
      </c>
    </row>
    <row r="678" spans="1:38">
      <c r="A678" t="s">
        <v>935</v>
      </c>
      <c r="B678" s="13">
        <v>45798</v>
      </c>
      <c r="C678" t="s">
        <v>543</v>
      </c>
      <c r="D678" t="s">
        <v>255</v>
      </c>
      <c r="E678" t="s">
        <v>544</v>
      </c>
      <c r="F678" t="s">
        <v>103</v>
      </c>
      <c r="G678" t="s">
        <v>122</v>
      </c>
      <c r="H678" t="s">
        <v>105</v>
      </c>
      <c r="I678">
        <v>1</v>
      </c>
      <c r="J678">
        <v>230.73</v>
      </c>
      <c r="K678">
        <v>0.1</v>
      </c>
      <c r="L678" t="s">
        <v>90</v>
      </c>
      <c r="M678">
        <v>5</v>
      </c>
      <c r="N678" t="s">
        <v>91</v>
      </c>
      <c r="O678" t="s">
        <v>105</v>
      </c>
      <c r="P678" t="s">
        <v>255</v>
      </c>
      <c r="Q678" t="s">
        <v>543</v>
      </c>
      <c r="R678" t="s">
        <v>103</v>
      </c>
      <c r="S678" t="s">
        <v>369</v>
      </c>
      <c r="T678">
        <v>1</v>
      </c>
      <c r="U678" t="s">
        <v>1281</v>
      </c>
      <c r="V678" t="s">
        <v>1275</v>
      </c>
      <c r="W678" t="s">
        <v>1241</v>
      </c>
      <c r="X678" t="s">
        <v>1198</v>
      </c>
      <c r="Y678" t="s">
        <v>1193</v>
      </c>
      <c r="Z678">
        <v>117.65</v>
      </c>
      <c r="AA678">
        <v>230.73</v>
      </c>
      <c r="AB678">
        <v>23.073</v>
      </c>
      <c r="AC678">
        <v>207.65699999999998</v>
      </c>
      <c r="AD678">
        <v>117.65</v>
      </c>
      <c r="AE678">
        <v>90.006999999999977</v>
      </c>
      <c r="AF678">
        <v>0.43344072195977013</v>
      </c>
      <c r="AG678">
        <v>2025</v>
      </c>
      <c r="AH678">
        <v>5</v>
      </c>
      <c r="AI678" t="s">
        <v>1419</v>
      </c>
      <c r="AJ678" t="s">
        <v>1420</v>
      </c>
      <c r="AK678" t="s">
        <v>1258</v>
      </c>
      <c r="AL678">
        <v>0</v>
      </c>
    </row>
    <row r="679" spans="1:38">
      <c r="A679" t="s">
        <v>942</v>
      </c>
      <c r="B679" s="13">
        <v>46008</v>
      </c>
      <c r="C679" t="s">
        <v>430</v>
      </c>
      <c r="D679" t="s">
        <v>738</v>
      </c>
      <c r="E679" t="s">
        <v>431</v>
      </c>
      <c r="F679" t="s">
        <v>116</v>
      </c>
      <c r="G679" t="s">
        <v>117</v>
      </c>
      <c r="H679" t="s">
        <v>89</v>
      </c>
      <c r="I679">
        <v>2</v>
      </c>
      <c r="J679">
        <v>337.92</v>
      </c>
      <c r="K679">
        <v>0.1</v>
      </c>
      <c r="L679" t="s">
        <v>90</v>
      </c>
      <c r="M679">
        <v>6</v>
      </c>
      <c r="N679" t="s">
        <v>91</v>
      </c>
      <c r="O679" t="s">
        <v>89</v>
      </c>
      <c r="P679" t="s">
        <v>738</v>
      </c>
      <c r="Q679" t="s">
        <v>430</v>
      </c>
      <c r="R679" t="s">
        <v>116</v>
      </c>
      <c r="S679" t="s">
        <v>369</v>
      </c>
      <c r="T679">
        <v>1</v>
      </c>
      <c r="U679" t="s">
        <v>1289</v>
      </c>
      <c r="V679" t="s">
        <v>1235</v>
      </c>
      <c r="W679" t="s">
        <v>1237</v>
      </c>
      <c r="X679" t="s">
        <v>1201</v>
      </c>
      <c r="Y679" t="s">
        <v>1193</v>
      </c>
      <c r="Z679">
        <v>156.75</v>
      </c>
      <c r="AA679">
        <v>675.84</v>
      </c>
      <c r="AB679">
        <v>67.584000000000003</v>
      </c>
      <c r="AC679">
        <v>608.25600000000009</v>
      </c>
      <c r="AD679">
        <v>313.5</v>
      </c>
      <c r="AE679">
        <v>294.75600000000009</v>
      </c>
      <c r="AF679">
        <v>0.48459201388888895</v>
      </c>
      <c r="AG679">
        <v>2025</v>
      </c>
      <c r="AH679">
        <v>12</v>
      </c>
      <c r="AI679" t="s">
        <v>1428</v>
      </c>
      <c r="AJ679" t="s">
        <v>1427</v>
      </c>
      <c r="AK679" t="s">
        <v>1236</v>
      </c>
      <c r="AL679">
        <v>0</v>
      </c>
    </row>
    <row r="680" spans="1:38">
      <c r="A680" t="s">
        <v>949</v>
      </c>
      <c r="B680" s="13">
        <v>45687</v>
      </c>
      <c r="C680" t="s">
        <v>257</v>
      </c>
      <c r="D680" t="s">
        <v>226</v>
      </c>
      <c r="E680" t="s">
        <v>950</v>
      </c>
      <c r="F680" t="s">
        <v>145</v>
      </c>
      <c r="G680" t="s">
        <v>88</v>
      </c>
      <c r="H680" t="s">
        <v>97</v>
      </c>
      <c r="I680">
        <v>1</v>
      </c>
      <c r="J680">
        <v>226.49</v>
      </c>
      <c r="K680">
        <v>0.1</v>
      </c>
      <c r="L680" t="s">
        <v>106</v>
      </c>
      <c r="M680">
        <v>0</v>
      </c>
      <c r="N680" t="s">
        <v>91</v>
      </c>
      <c r="O680" t="s">
        <v>97</v>
      </c>
      <c r="P680" t="s">
        <v>226</v>
      </c>
      <c r="Q680" t="s">
        <v>257</v>
      </c>
      <c r="R680" t="s">
        <v>145</v>
      </c>
      <c r="S680" t="s">
        <v>106</v>
      </c>
      <c r="T680">
        <v>1</v>
      </c>
      <c r="U680" t="s">
        <v>1316</v>
      </c>
      <c r="V680" t="s">
        <v>1249</v>
      </c>
      <c r="W680" t="s">
        <v>1237</v>
      </c>
      <c r="X680" t="s">
        <v>1194</v>
      </c>
      <c r="Y680" t="s">
        <v>1193</v>
      </c>
      <c r="Z680">
        <v>127.21</v>
      </c>
      <c r="AA680">
        <v>226.49</v>
      </c>
      <c r="AB680">
        <v>22.649000000000001</v>
      </c>
      <c r="AC680">
        <v>203.84100000000001</v>
      </c>
      <c r="AD680">
        <v>127.21</v>
      </c>
      <c r="AE680">
        <v>76.631000000000014</v>
      </c>
      <c r="AF680">
        <v>0.37593516515323222</v>
      </c>
      <c r="AG680">
        <v>2025</v>
      </c>
      <c r="AH680">
        <v>1</v>
      </c>
      <c r="AI680" t="s">
        <v>1425</v>
      </c>
      <c r="AJ680" t="s">
        <v>1424</v>
      </c>
      <c r="AK680" t="s">
        <v>1250</v>
      </c>
      <c r="AL680">
        <v>0</v>
      </c>
    </row>
    <row r="681" spans="1:38">
      <c r="A681" t="s">
        <v>955</v>
      </c>
      <c r="B681" s="13">
        <v>45661</v>
      </c>
      <c r="C681" t="s">
        <v>448</v>
      </c>
      <c r="D681" t="s">
        <v>139</v>
      </c>
      <c r="E681" t="s">
        <v>790</v>
      </c>
      <c r="F681" t="s">
        <v>111</v>
      </c>
      <c r="G681" t="s">
        <v>130</v>
      </c>
      <c r="H681" t="s">
        <v>97</v>
      </c>
      <c r="I681">
        <v>4</v>
      </c>
      <c r="J681">
        <v>86.59</v>
      </c>
      <c r="K681">
        <v>0.05</v>
      </c>
      <c r="L681" t="s">
        <v>106</v>
      </c>
      <c r="M681">
        <v>0</v>
      </c>
      <c r="N681" t="s">
        <v>91</v>
      </c>
      <c r="O681" t="s">
        <v>97</v>
      </c>
      <c r="P681" t="s">
        <v>139</v>
      </c>
      <c r="Q681" t="s">
        <v>448</v>
      </c>
      <c r="R681" t="s">
        <v>111</v>
      </c>
      <c r="S681" t="s">
        <v>106</v>
      </c>
      <c r="T681">
        <v>1</v>
      </c>
      <c r="U681" t="s">
        <v>1322</v>
      </c>
      <c r="V681" t="s">
        <v>1297</v>
      </c>
      <c r="W681" t="s">
        <v>1245</v>
      </c>
      <c r="X681" t="s">
        <v>1196</v>
      </c>
      <c r="Y681" t="s">
        <v>1193</v>
      </c>
      <c r="Z681">
        <v>45.17</v>
      </c>
      <c r="AA681">
        <v>346.36</v>
      </c>
      <c r="AB681">
        <v>17.318000000000001</v>
      </c>
      <c r="AC681">
        <v>329.04200000000003</v>
      </c>
      <c r="AD681">
        <v>180.68</v>
      </c>
      <c r="AE681">
        <v>148.36200000000002</v>
      </c>
      <c r="AF681">
        <v>0.45089076774393544</v>
      </c>
      <c r="AG681">
        <v>2025</v>
      </c>
      <c r="AH681">
        <v>1</v>
      </c>
      <c r="AI681" t="s">
        <v>1425</v>
      </c>
      <c r="AJ681" t="s">
        <v>1424</v>
      </c>
      <c r="AK681" t="s">
        <v>1258</v>
      </c>
      <c r="AL681">
        <v>0</v>
      </c>
    </row>
    <row r="682" spans="1:38">
      <c r="A682" t="s">
        <v>963</v>
      </c>
      <c r="B682" s="13">
        <v>45886</v>
      </c>
      <c r="C682" t="s">
        <v>84</v>
      </c>
      <c r="D682" t="s">
        <v>503</v>
      </c>
      <c r="E682" t="s">
        <v>86</v>
      </c>
      <c r="F682" t="s">
        <v>87</v>
      </c>
      <c r="G682" t="s">
        <v>104</v>
      </c>
      <c r="H682" t="s">
        <v>105</v>
      </c>
      <c r="I682">
        <v>2</v>
      </c>
      <c r="J682">
        <v>117.72</v>
      </c>
      <c r="K682">
        <v>0.05</v>
      </c>
      <c r="L682" t="s">
        <v>106</v>
      </c>
      <c r="M682">
        <v>5</v>
      </c>
      <c r="N682" t="s">
        <v>91</v>
      </c>
      <c r="O682" t="s">
        <v>105</v>
      </c>
      <c r="P682" t="s">
        <v>503</v>
      </c>
      <c r="Q682" t="s">
        <v>84</v>
      </c>
      <c r="R682" t="s">
        <v>87</v>
      </c>
      <c r="S682" t="s">
        <v>106</v>
      </c>
      <c r="T682">
        <v>1</v>
      </c>
      <c r="U682" t="s">
        <v>1354</v>
      </c>
      <c r="V682" t="s">
        <v>1275</v>
      </c>
      <c r="W682" t="s">
        <v>1237</v>
      </c>
      <c r="X682" t="s">
        <v>1197</v>
      </c>
      <c r="Y682" t="s">
        <v>1193</v>
      </c>
      <c r="Z682">
        <v>85.73</v>
      </c>
      <c r="AA682">
        <v>235.44</v>
      </c>
      <c r="AB682">
        <v>11.772</v>
      </c>
      <c r="AC682">
        <v>223.66800000000001</v>
      </c>
      <c r="AD682">
        <v>171.46</v>
      </c>
      <c r="AE682">
        <v>52.207999999999998</v>
      </c>
      <c r="AF682">
        <v>0.23341738648353808</v>
      </c>
      <c r="AG682">
        <v>2025</v>
      </c>
      <c r="AH682">
        <v>8</v>
      </c>
      <c r="AI682" t="s">
        <v>1417</v>
      </c>
      <c r="AJ682" t="s">
        <v>1418</v>
      </c>
      <c r="AK682" t="s">
        <v>1258</v>
      </c>
      <c r="AL682">
        <v>0</v>
      </c>
    </row>
    <row r="683" spans="1:38">
      <c r="A683" t="s">
        <v>965</v>
      </c>
      <c r="B683" s="13">
        <v>45662</v>
      </c>
      <c r="C683" t="s">
        <v>531</v>
      </c>
      <c r="D683" t="s">
        <v>120</v>
      </c>
      <c r="E683" t="s">
        <v>532</v>
      </c>
      <c r="F683" t="s">
        <v>111</v>
      </c>
      <c r="G683" t="s">
        <v>122</v>
      </c>
      <c r="H683" t="s">
        <v>89</v>
      </c>
      <c r="I683">
        <v>1</v>
      </c>
      <c r="J683">
        <v>400.01</v>
      </c>
      <c r="K683">
        <v>0</v>
      </c>
      <c r="L683" t="s">
        <v>106</v>
      </c>
      <c r="M683">
        <v>6</v>
      </c>
      <c r="N683" t="s">
        <v>91</v>
      </c>
      <c r="O683" t="s">
        <v>89</v>
      </c>
      <c r="P683" t="s">
        <v>120</v>
      </c>
      <c r="Q683" t="s">
        <v>531</v>
      </c>
      <c r="R683" t="s">
        <v>111</v>
      </c>
      <c r="S683" t="s">
        <v>106</v>
      </c>
      <c r="T683">
        <v>1</v>
      </c>
      <c r="U683" t="s">
        <v>1294</v>
      </c>
      <c r="V683" t="s">
        <v>1260</v>
      </c>
      <c r="W683" t="s">
        <v>1237</v>
      </c>
      <c r="X683" t="s">
        <v>1199</v>
      </c>
      <c r="Y683" t="s">
        <v>1193</v>
      </c>
      <c r="Z683">
        <v>235.76</v>
      </c>
      <c r="AA683">
        <v>400.01</v>
      </c>
      <c r="AB683">
        <v>0</v>
      </c>
      <c r="AC683">
        <v>400.01</v>
      </c>
      <c r="AD683">
        <v>235.76</v>
      </c>
      <c r="AE683">
        <v>164.25</v>
      </c>
      <c r="AF683">
        <v>0.41061473463163423</v>
      </c>
      <c r="AG683">
        <v>2025</v>
      </c>
      <c r="AH683">
        <v>1</v>
      </c>
      <c r="AI683" t="s">
        <v>1425</v>
      </c>
      <c r="AJ683" t="s">
        <v>1424</v>
      </c>
      <c r="AK683" t="s">
        <v>1240</v>
      </c>
      <c r="AL683">
        <v>0</v>
      </c>
    </row>
    <row r="684" spans="1:38">
      <c r="A684" t="s">
        <v>967</v>
      </c>
      <c r="B684" s="13">
        <v>45998</v>
      </c>
      <c r="C684" t="s">
        <v>610</v>
      </c>
      <c r="D684" t="s">
        <v>120</v>
      </c>
      <c r="E684" t="s">
        <v>611</v>
      </c>
      <c r="F684" t="s">
        <v>145</v>
      </c>
      <c r="G684" t="s">
        <v>183</v>
      </c>
      <c r="H684" t="s">
        <v>89</v>
      </c>
      <c r="I684">
        <v>1</v>
      </c>
      <c r="J684">
        <v>358.44</v>
      </c>
      <c r="K684">
        <v>0.05</v>
      </c>
      <c r="L684" t="s">
        <v>98</v>
      </c>
      <c r="M684">
        <v>6</v>
      </c>
      <c r="N684" t="s">
        <v>91</v>
      </c>
      <c r="O684" t="s">
        <v>89</v>
      </c>
      <c r="P684" t="s">
        <v>120</v>
      </c>
      <c r="Q684" t="s">
        <v>610</v>
      </c>
      <c r="R684" t="s">
        <v>145</v>
      </c>
      <c r="S684" t="s">
        <v>98</v>
      </c>
      <c r="T684">
        <v>1</v>
      </c>
      <c r="U684" t="s">
        <v>1304</v>
      </c>
      <c r="V684" t="s">
        <v>1297</v>
      </c>
      <c r="W684" t="s">
        <v>1241</v>
      </c>
      <c r="X684" t="s">
        <v>1199</v>
      </c>
      <c r="Y684" t="s">
        <v>1193</v>
      </c>
      <c r="Z684">
        <v>235.76</v>
      </c>
      <c r="AA684">
        <v>358.44</v>
      </c>
      <c r="AB684">
        <v>17.922000000000001</v>
      </c>
      <c r="AC684">
        <v>340.51799999999997</v>
      </c>
      <c r="AD684">
        <v>235.76</v>
      </c>
      <c r="AE684">
        <v>104.75799999999998</v>
      </c>
      <c r="AF684">
        <v>0.30764306145343268</v>
      </c>
      <c r="AG684">
        <v>2025</v>
      </c>
      <c r="AH684">
        <v>12</v>
      </c>
      <c r="AI684" t="s">
        <v>1428</v>
      </c>
      <c r="AJ684" t="s">
        <v>1427</v>
      </c>
      <c r="AK684" t="s">
        <v>1258</v>
      </c>
      <c r="AL684">
        <v>0</v>
      </c>
    </row>
    <row r="685" spans="1:38">
      <c r="A685" t="s">
        <v>970</v>
      </c>
      <c r="B685" s="13">
        <v>45970</v>
      </c>
      <c r="C685" t="s">
        <v>758</v>
      </c>
      <c r="D685" t="s">
        <v>157</v>
      </c>
      <c r="E685" t="s">
        <v>759</v>
      </c>
      <c r="F685" t="s">
        <v>655</v>
      </c>
      <c r="G685" t="s">
        <v>88</v>
      </c>
      <c r="H685" t="s">
        <v>97</v>
      </c>
      <c r="I685">
        <v>3</v>
      </c>
      <c r="J685">
        <v>299.64</v>
      </c>
      <c r="K685">
        <v>0</v>
      </c>
      <c r="L685" t="s">
        <v>106</v>
      </c>
      <c r="M685">
        <v>3</v>
      </c>
      <c r="N685" t="s">
        <v>91</v>
      </c>
      <c r="O685" t="s">
        <v>97</v>
      </c>
      <c r="P685" t="s">
        <v>157</v>
      </c>
      <c r="Q685" t="s">
        <v>758</v>
      </c>
      <c r="R685" t="s">
        <v>87</v>
      </c>
      <c r="S685" t="s">
        <v>106</v>
      </c>
      <c r="T685">
        <v>1</v>
      </c>
      <c r="U685" t="s">
        <v>1286</v>
      </c>
      <c r="V685" t="s">
        <v>1277</v>
      </c>
      <c r="W685" t="s">
        <v>1245</v>
      </c>
      <c r="X685" t="s">
        <v>1192</v>
      </c>
      <c r="Y685" t="s">
        <v>1193</v>
      </c>
      <c r="Z685">
        <v>176.13</v>
      </c>
      <c r="AA685">
        <v>898.92</v>
      </c>
      <c r="AB685">
        <v>0</v>
      </c>
      <c r="AC685">
        <v>898.92</v>
      </c>
      <c r="AD685">
        <v>528.39</v>
      </c>
      <c r="AE685">
        <v>370.53</v>
      </c>
      <c r="AF685">
        <v>0.41219463356027231</v>
      </c>
      <c r="AG685">
        <v>2025</v>
      </c>
      <c r="AH685">
        <v>11</v>
      </c>
      <c r="AI685" t="s">
        <v>1426</v>
      </c>
      <c r="AJ685" t="s">
        <v>1427</v>
      </c>
      <c r="AK685" t="s">
        <v>1244</v>
      </c>
      <c r="AL685">
        <v>0</v>
      </c>
    </row>
    <row r="686" spans="1:38">
      <c r="A686" t="s">
        <v>975</v>
      </c>
      <c r="B686" s="13">
        <v>45721</v>
      </c>
      <c r="C686" t="s">
        <v>119</v>
      </c>
      <c r="D686" t="s">
        <v>139</v>
      </c>
      <c r="E686" t="s">
        <v>976</v>
      </c>
      <c r="F686" t="s">
        <v>103</v>
      </c>
      <c r="G686" t="s">
        <v>88</v>
      </c>
      <c r="H686" t="s">
        <v>89</v>
      </c>
      <c r="I686">
        <v>1</v>
      </c>
      <c r="J686">
        <v>82.59</v>
      </c>
      <c r="K686">
        <v>0.2</v>
      </c>
      <c r="L686" t="s">
        <v>90</v>
      </c>
      <c r="M686">
        <v>6</v>
      </c>
      <c r="N686" t="s">
        <v>91</v>
      </c>
      <c r="O686" t="s">
        <v>89</v>
      </c>
      <c r="P686" t="s">
        <v>139</v>
      </c>
      <c r="Q686" t="s">
        <v>119</v>
      </c>
      <c r="R686" t="s">
        <v>103</v>
      </c>
      <c r="S686" t="s">
        <v>369</v>
      </c>
      <c r="T686">
        <v>1</v>
      </c>
      <c r="U686" t="s">
        <v>1308</v>
      </c>
      <c r="V686" t="s">
        <v>1288</v>
      </c>
      <c r="W686" t="s">
        <v>1241</v>
      </c>
      <c r="X686" t="s">
        <v>1196</v>
      </c>
      <c r="Y686" t="s">
        <v>1193</v>
      </c>
      <c r="Z686">
        <v>45.17</v>
      </c>
      <c r="AA686">
        <v>82.59</v>
      </c>
      <c r="AB686">
        <v>16.518000000000001</v>
      </c>
      <c r="AC686">
        <v>66.072000000000003</v>
      </c>
      <c r="AD686">
        <v>45.17</v>
      </c>
      <c r="AE686">
        <v>20.902000000000001</v>
      </c>
      <c r="AF686">
        <v>0.31635185857852038</v>
      </c>
      <c r="AG686">
        <v>2025</v>
      </c>
      <c r="AH686">
        <v>3</v>
      </c>
      <c r="AI686" t="s">
        <v>1423</v>
      </c>
      <c r="AJ686" t="s">
        <v>1424</v>
      </c>
      <c r="AK686" t="s">
        <v>1250</v>
      </c>
      <c r="AL686">
        <v>0</v>
      </c>
    </row>
    <row r="687" spans="1:38">
      <c r="A687" t="s">
        <v>977</v>
      </c>
      <c r="B687" s="13">
        <v>45928</v>
      </c>
      <c r="C687" t="s">
        <v>93</v>
      </c>
      <c r="D687" t="s">
        <v>139</v>
      </c>
      <c r="E687" t="s">
        <v>95</v>
      </c>
      <c r="F687" t="s">
        <v>145</v>
      </c>
      <c r="G687" t="s">
        <v>171</v>
      </c>
      <c r="H687" t="s">
        <v>89</v>
      </c>
      <c r="I687">
        <v>2</v>
      </c>
      <c r="J687">
        <v>82.4</v>
      </c>
      <c r="K687">
        <v>0.05</v>
      </c>
      <c r="L687" t="s">
        <v>106</v>
      </c>
      <c r="M687">
        <v>7</v>
      </c>
      <c r="N687" t="s">
        <v>91</v>
      </c>
      <c r="O687" t="s">
        <v>89</v>
      </c>
      <c r="P687" t="s">
        <v>139</v>
      </c>
      <c r="Q687" t="s">
        <v>93</v>
      </c>
      <c r="R687" t="s">
        <v>145</v>
      </c>
      <c r="S687" t="s">
        <v>106</v>
      </c>
      <c r="T687">
        <v>1</v>
      </c>
      <c r="U687" t="s">
        <v>1331</v>
      </c>
      <c r="V687" t="s">
        <v>1239</v>
      </c>
      <c r="W687" t="s">
        <v>1245</v>
      </c>
      <c r="X687" t="s">
        <v>1196</v>
      </c>
      <c r="Y687" t="s">
        <v>1193</v>
      </c>
      <c r="Z687">
        <v>45.17</v>
      </c>
      <c r="AA687">
        <v>164.8</v>
      </c>
      <c r="AB687">
        <v>8.24</v>
      </c>
      <c r="AC687">
        <v>156.56</v>
      </c>
      <c r="AD687">
        <v>90.34</v>
      </c>
      <c r="AE687">
        <v>66.22</v>
      </c>
      <c r="AF687">
        <v>0.42296882984159428</v>
      </c>
      <c r="AG687">
        <v>2025</v>
      </c>
      <c r="AH687">
        <v>9</v>
      </c>
      <c r="AI687" t="s">
        <v>1432</v>
      </c>
      <c r="AJ687" t="s">
        <v>1418</v>
      </c>
      <c r="AK687" t="s">
        <v>1240</v>
      </c>
      <c r="AL687">
        <v>0</v>
      </c>
    </row>
    <row r="688" spans="1:38">
      <c r="A688" t="s">
        <v>980</v>
      </c>
      <c r="B688" s="13">
        <v>45828</v>
      </c>
      <c r="C688" t="s">
        <v>359</v>
      </c>
      <c r="D688" t="s">
        <v>503</v>
      </c>
      <c r="E688" t="s">
        <v>981</v>
      </c>
      <c r="F688" t="s">
        <v>145</v>
      </c>
      <c r="G688" t="s">
        <v>88</v>
      </c>
      <c r="H688" t="s">
        <v>89</v>
      </c>
      <c r="I688">
        <v>1</v>
      </c>
      <c r="J688">
        <v>124.54</v>
      </c>
      <c r="K688">
        <v>0.05</v>
      </c>
      <c r="L688" t="s">
        <v>98</v>
      </c>
      <c r="M688">
        <v>4</v>
      </c>
      <c r="N688" t="s">
        <v>91</v>
      </c>
      <c r="O688" t="s">
        <v>89</v>
      </c>
      <c r="P688" t="s">
        <v>503</v>
      </c>
      <c r="Q688" t="s">
        <v>359</v>
      </c>
      <c r="R688" t="s">
        <v>145</v>
      </c>
      <c r="S688" t="s">
        <v>98</v>
      </c>
      <c r="T688">
        <v>1</v>
      </c>
      <c r="U688" t="s">
        <v>1296</v>
      </c>
      <c r="V688" t="s">
        <v>1297</v>
      </c>
      <c r="W688" t="s">
        <v>1245</v>
      </c>
      <c r="X688" t="s">
        <v>1197</v>
      </c>
      <c r="Y688" t="s">
        <v>1193</v>
      </c>
      <c r="Z688">
        <v>85.73</v>
      </c>
      <c r="AA688">
        <v>124.54</v>
      </c>
      <c r="AB688">
        <v>6.2270000000000003</v>
      </c>
      <c r="AC688">
        <v>118.313</v>
      </c>
      <c r="AD688">
        <v>85.73</v>
      </c>
      <c r="AE688">
        <v>32.582999999999998</v>
      </c>
      <c r="AF688">
        <v>0.27539661744694155</v>
      </c>
      <c r="AG688">
        <v>2025</v>
      </c>
      <c r="AH688">
        <v>6</v>
      </c>
      <c r="AI688" t="s">
        <v>1429</v>
      </c>
      <c r="AJ688" t="s">
        <v>1420</v>
      </c>
      <c r="AK688" t="s">
        <v>1258</v>
      </c>
      <c r="AL688">
        <v>0</v>
      </c>
    </row>
    <row r="689" spans="1:38">
      <c r="A689" t="s">
        <v>989</v>
      </c>
      <c r="B689" s="13">
        <v>45706</v>
      </c>
      <c r="C689" t="s">
        <v>93</v>
      </c>
      <c r="D689" t="s">
        <v>738</v>
      </c>
      <c r="E689" t="s">
        <v>95</v>
      </c>
      <c r="F689" t="s">
        <v>87</v>
      </c>
      <c r="G689" t="s">
        <v>104</v>
      </c>
      <c r="H689" t="s">
        <v>89</v>
      </c>
      <c r="I689">
        <v>1</v>
      </c>
      <c r="J689">
        <v>314.67</v>
      </c>
      <c r="K689">
        <v>0</v>
      </c>
      <c r="L689" t="s">
        <v>106</v>
      </c>
      <c r="M689">
        <v>9</v>
      </c>
      <c r="N689" t="s">
        <v>91</v>
      </c>
      <c r="O689" t="s">
        <v>89</v>
      </c>
      <c r="P689" t="s">
        <v>738</v>
      </c>
      <c r="Q689" t="s">
        <v>93</v>
      </c>
      <c r="R689" t="s">
        <v>87</v>
      </c>
      <c r="S689" t="s">
        <v>106</v>
      </c>
      <c r="T689">
        <v>1</v>
      </c>
      <c r="U689" t="s">
        <v>1331</v>
      </c>
      <c r="V689" t="s">
        <v>1239</v>
      </c>
      <c r="W689" t="s">
        <v>1245</v>
      </c>
      <c r="X689" t="s">
        <v>1201</v>
      </c>
      <c r="Y689" t="s">
        <v>1193</v>
      </c>
      <c r="Z689">
        <v>156.75</v>
      </c>
      <c r="AA689">
        <v>314.67</v>
      </c>
      <c r="AB689">
        <v>0</v>
      </c>
      <c r="AC689">
        <v>314.67</v>
      </c>
      <c r="AD689">
        <v>156.75</v>
      </c>
      <c r="AE689">
        <v>157.92000000000002</v>
      </c>
      <c r="AF689">
        <v>0.50185909047573651</v>
      </c>
      <c r="AG689">
        <v>2025</v>
      </c>
      <c r="AH689">
        <v>2</v>
      </c>
      <c r="AI689" t="s">
        <v>1430</v>
      </c>
      <c r="AJ689" t="s">
        <v>1424</v>
      </c>
      <c r="AK689" t="s">
        <v>1240</v>
      </c>
      <c r="AL689">
        <v>0</v>
      </c>
    </row>
    <row r="690" spans="1:38">
      <c r="A690" t="s">
        <v>994</v>
      </c>
      <c r="B690" s="13">
        <v>45996</v>
      </c>
      <c r="C690" t="s">
        <v>330</v>
      </c>
      <c r="D690" t="s">
        <v>738</v>
      </c>
      <c r="E690" t="s">
        <v>424</v>
      </c>
      <c r="F690" t="s">
        <v>116</v>
      </c>
      <c r="G690" t="s">
        <v>117</v>
      </c>
      <c r="H690" t="s">
        <v>89</v>
      </c>
      <c r="I690">
        <v>3</v>
      </c>
      <c r="J690">
        <v>316.8</v>
      </c>
      <c r="K690">
        <v>0.25</v>
      </c>
      <c r="L690" t="s">
        <v>106</v>
      </c>
      <c r="M690">
        <v>5</v>
      </c>
      <c r="N690" t="s">
        <v>91</v>
      </c>
      <c r="O690" t="s">
        <v>89</v>
      </c>
      <c r="P690" t="s">
        <v>738</v>
      </c>
      <c r="Q690" t="s">
        <v>330</v>
      </c>
      <c r="R690" t="s">
        <v>116</v>
      </c>
      <c r="S690" t="s">
        <v>106</v>
      </c>
      <c r="T690">
        <v>1</v>
      </c>
      <c r="U690" t="s">
        <v>1350</v>
      </c>
      <c r="V690" t="s">
        <v>1275</v>
      </c>
      <c r="W690" t="s">
        <v>1237</v>
      </c>
      <c r="X690" t="s">
        <v>1201</v>
      </c>
      <c r="Y690" t="s">
        <v>1193</v>
      </c>
      <c r="Z690">
        <v>156.75</v>
      </c>
      <c r="AA690">
        <v>950.40000000000009</v>
      </c>
      <c r="AB690">
        <v>237.60000000000002</v>
      </c>
      <c r="AC690">
        <v>712.80000000000007</v>
      </c>
      <c r="AD690">
        <v>470.25</v>
      </c>
      <c r="AE690">
        <v>242.55000000000007</v>
      </c>
      <c r="AF690">
        <v>0.34027777777777785</v>
      </c>
      <c r="AG690">
        <v>2025</v>
      </c>
      <c r="AH690">
        <v>12</v>
      </c>
      <c r="AI690" t="s">
        <v>1428</v>
      </c>
      <c r="AJ690" t="s">
        <v>1427</v>
      </c>
      <c r="AK690" t="s">
        <v>1258</v>
      </c>
      <c r="AL690">
        <v>0</v>
      </c>
    </row>
    <row r="691" spans="1:38">
      <c r="A691" t="s">
        <v>997</v>
      </c>
      <c r="B691" s="13">
        <v>45727</v>
      </c>
      <c r="C691" t="s">
        <v>200</v>
      </c>
      <c r="D691" t="s">
        <v>139</v>
      </c>
      <c r="E691" t="s">
        <v>201</v>
      </c>
      <c r="F691" t="s">
        <v>116</v>
      </c>
      <c r="G691" t="s">
        <v>183</v>
      </c>
      <c r="H691" t="s">
        <v>105</v>
      </c>
      <c r="I691">
        <v>1</v>
      </c>
      <c r="J691">
        <v>83.97</v>
      </c>
      <c r="K691">
        <v>0.1</v>
      </c>
      <c r="L691" t="s">
        <v>106</v>
      </c>
      <c r="M691">
        <v>5</v>
      </c>
      <c r="N691" t="s">
        <v>91</v>
      </c>
      <c r="O691" t="s">
        <v>105</v>
      </c>
      <c r="P691" t="s">
        <v>139</v>
      </c>
      <c r="Q691" t="s">
        <v>200</v>
      </c>
      <c r="R691" t="s">
        <v>116</v>
      </c>
      <c r="S691" t="s">
        <v>106</v>
      </c>
      <c r="T691">
        <v>1</v>
      </c>
      <c r="U691" t="s">
        <v>1357</v>
      </c>
      <c r="V691" t="s">
        <v>1257</v>
      </c>
      <c r="W691" t="s">
        <v>1241</v>
      </c>
      <c r="X691" t="s">
        <v>1196</v>
      </c>
      <c r="Y691" t="s">
        <v>1193</v>
      </c>
      <c r="Z691">
        <v>45.17</v>
      </c>
      <c r="AA691">
        <v>83.97</v>
      </c>
      <c r="AB691">
        <v>8.3970000000000002</v>
      </c>
      <c r="AC691">
        <v>75.572999999999993</v>
      </c>
      <c r="AD691">
        <v>45.17</v>
      </c>
      <c r="AE691">
        <v>30.402999999999992</v>
      </c>
      <c r="AF691">
        <v>0.40229976314292132</v>
      </c>
      <c r="AG691">
        <v>2025</v>
      </c>
      <c r="AH691">
        <v>3</v>
      </c>
      <c r="AI691" t="s">
        <v>1423</v>
      </c>
      <c r="AJ691" t="s">
        <v>1424</v>
      </c>
      <c r="AK691" t="s">
        <v>1258</v>
      </c>
      <c r="AL691">
        <v>0</v>
      </c>
    </row>
    <row r="692" spans="1:38">
      <c r="A692" t="s">
        <v>999</v>
      </c>
      <c r="B692" s="13">
        <v>46004</v>
      </c>
      <c r="C692" t="s">
        <v>290</v>
      </c>
      <c r="D692" t="s">
        <v>139</v>
      </c>
      <c r="E692" t="s">
        <v>291</v>
      </c>
      <c r="F692" t="s">
        <v>116</v>
      </c>
      <c r="G692" t="s">
        <v>117</v>
      </c>
      <c r="H692" t="s">
        <v>105</v>
      </c>
      <c r="I692">
        <v>3</v>
      </c>
      <c r="J692">
        <v>81.14</v>
      </c>
      <c r="K692">
        <v>0</v>
      </c>
      <c r="L692" t="s">
        <v>90</v>
      </c>
      <c r="M692">
        <v>6</v>
      </c>
      <c r="N692" t="s">
        <v>91</v>
      </c>
      <c r="O692" t="s">
        <v>105</v>
      </c>
      <c r="P692" t="s">
        <v>139</v>
      </c>
      <c r="Q692" t="s">
        <v>290</v>
      </c>
      <c r="R692" t="s">
        <v>116</v>
      </c>
      <c r="S692" t="s">
        <v>369</v>
      </c>
      <c r="T692">
        <v>1</v>
      </c>
      <c r="U692" t="s">
        <v>1356</v>
      </c>
      <c r="V692" t="s">
        <v>1255</v>
      </c>
      <c r="W692" t="s">
        <v>1245</v>
      </c>
      <c r="X692" t="s">
        <v>1196</v>
      </c>
      <c r="Y692" t="s">
        <v>1193</v>
      </c>
      <c r="Z692">
        <v>45.17</v>
      </c>
      <c r="AA692">
        <v>243.42000000000002</v>
      </c>
      <c r="AB692">
        <v>0</v>
      </c>
      <c r="AC692">
        <v>243.42000000000002</v>
      </c>
      <c r="AD692">
        <v>135.51</v>
      </c>
      <c r="AE692">
        <v>107.91000000000003</v>
      </c>
      <c r="AF692">
        <v>0.44330786295292096</v>
      </c>
      <c r="AG692">
        <v>2025</v>
      </c>
      <c r="AH692">
        <v>12</v>
      </c>
      <c r="AI692" t="s">
        <v>1428</v>
      </c>
      <c r="AJ692" t="s">
        <v>1427</v>
      </c>
      <c r="AK692" t="s">
        <v>1244</v>
      </c>
      <c r="AL692">
        <v>0</v>
      </c>
    </row>
    <row r="693" spans="1:38">
      <c r="A693" t="s">
        <v>1004</v>
      </c>
      <c r="B693" s="13">
        <v>46009</v>
      </c>
      <c r="C693" t="s">
        <v>500</v>
      </c>
      <c r="D693" t="s">
        <v>149</v>
      </c>
      <c r="E693" t="s">
        <v>501</v>
      </c>
      <c r="F693" t="s">
        <v>103</v>
      </c>
      <c r="G693" t="s">
        <v>104</v>
      </c>
      <c r="H693" t="s">
        <v>105</v>
      </c>
      <c r="I693">
        <v>1</v>
      </c>
      <c r="J693">
        <v>83.93</v>
      </c>
      <c r="K693">
        <v>0.15</v>
      </c>
      <c r="L693" t="s">
        <v>106</v>
      </c>
      <c r="M693">
        <v>1</v>
      </c>
      <c r="N693" t="s">
        <v>91</v>
      </c>
      <c r="O693" t="s">
        <v>105</v>
      </c>
      <c r="P693" t="s">
        <v>149</v>
      </c>
      <c r="Q693" t="s">
        <v>500</v>
      </c>
      <c r="R693" t="s">
        <v>103</v>
      </c>
      <c r="S693" t="s">
        <v>106</v>
      </c>
      <c r="T693">
        <v>1</v>
      </c>
      <c r="U693" t="s">
        <v>1298</v>
      </c>
      <c r="V693" t="s">
        <v>1297</v>
      </c>
      <c r="W693" t="s">
        <v>1245</v>
      </c>
      <c r="X693" t="s">
        <v>1195</v>
      </c>
      <c r="Y693" t="s">
        <v>1193</v>
      </c>
      <c r="Z693">
        <v>39.26</v>
      </c>
      <c r="AA693">
        <v>83.93</v>
      </c>
      <c r="AB693">
        <v>12.589500000000001</v>
      </c>
      <c r="AC693">
        <v>71.340500000000006</v>
      </c>
      <c r="AD693">
        <v>39.26</v>
      </c>
      <c r="AE693">
        <v>32.080500000000008</v>
      </c>
      <c r="AF693">
        <v>0.449681457236773</v>
      </c>
      <c r="AG693">
        <v>2025</v>
      </c>
      <c r="AH693">
        <v>12</v>
      </c>
      <c r="AI693" t="s">
        <v>1428</v>
      </c>
      <c r="AJ693" t="s">
        <v>1427</v>
      </c>
      <c r="AK693" t="s">
        <v>1258</v>
      </c>
      <c r="AL693">
        <v>0</v>
      </c>
    </row>
    <row r="694" spans="1:38">
      <c r="A694" t="s">
        <v>1010</v>
      </c>
      <c r="B694" s="13">
        <v>45719</v>
      </c>
      <c r="C694" t="s">
        <v>438</v>
      </c>
      <c r="D694" t="s">
        <v>503</v>
      </c>
      <c r="E694" t="s">
        <v>439</v>
      </c>
      <c r="F694" t="s">
        <v>116</v>
      </c>
      <c r="G694" t="s">
        <v>96</v>
      </c>
      <c r="H694" t="s">
        <v>89</v>
      </c>
      <c r="I694">
        <v>3</v>
      </c>
      <c r="J694">
        <v>119.26</v>
      </c>
      <c r="K694">
        <v>0</v>
      </c>
      <c r="L694" t="s">
        <v>106</v>
      </c>
      <c r="M694">
        <v>2</v>
      </c>
      <c r="N694" t="s">
        <v>91</v>
      </c>
      <c r="O694" t="s">
        <v>89</v>
      </c>
      <c r="P694" t="s">
        <v>503</v>
      </c>
      <c r="Q694" t="s">
        <v>438</v>
      </c>
      <c r="R694" t="s">
        <v>116</v>
      </c>
      <c r="S694" t="s">
        <v>106</v>
      </c>
      <c r="T694">
        <v>1</v>
      </c>
      <c r="U694" t="s">
        <v>1278</v>
      </c>
      <c r="V694" t="s">
        <v>1257</v>
      </c>
      <c r="W694" t="s">
        <v>1237</v>
      </c>
      <c r="X694" t="s">
        <v>1197</v>
      </c>
      <c r="Y694" t="s">
        <v>1193</v>
      </c>
      <c r="Z694">
        <v>85.73</v>
      </c>
      <c r="AA694">
        <v>357.78000000000003</v>
      </c>
      <c r="AB694">
        <v>0</v>
      </c>
      <c r="AC694">
        <v>357.78000000000003</v>
      </c>
      <c r="AD694">
        <v>257.19</v>
      </c>
      <c r="AE694">
        <v>100.59000000000003</v>
      </c>
      <c r="AF694">
        <v>0.28115042763709547</v>
      </c>
      <c r="AG694">
        <v>2025</v>
      </c>
      <c r="AH694">
        <v>3</v>
      </c>
      <c r="AI694" t="s">
        <v>1423</v>
      </c>
      <c r="AJ694" t="s">
        <v>1424</v>
      </c>
      <c r="AK694" t="s">
        <v>1258</v>
      </c>
      <c r="AL694">
        <v>0</v>
      </c>
    </row>
    <row r="695" spans="1:38">
      <c r="A695" t="s">
        <v>1019</v>
      </c>
      <c r="B695" s="13">
        <v>45771</v>
      </c>
      <c r="C695" t="s">
        <v>851</v>
      </c>
      <c r="D695" t="s">
        <v>255</v>
      </c>
      <c r="E695" t="s">
        <v>852</v>
      </c>
      <c r="F695" t="s">
        <v>103</v>
      </c>
      <c r="G695" t="s">
        <v>183</v>
      </c>
      <c r="H695" t="s">
        <v>89</v>
      </c>
      <c r="I695">
        <v>3</v>
      </c>
      <c r="J695">
        <v>236.49</v>
      </c>
      <c r="K695">
        <v>0.1</v>
      </c>
      <c r="L695" t="s">
        <v>106</v>
      </c>
      <c r="M695">
        <v>8</v>
      </c>
      <c r="N695" t="s">
        <v>147</v>
      </c>
      <c r="O695" t="s">
        <v>89</v>
      </c>
      <c r="P695" t="s">
        <v>255</v>
      </c>
      <c r="Q695" t="s">
        <v>851</v>
      </c>
      <c r="R695" t="s">
        <v>103</v>
      </c>
      <c r="S695" t="s">
        <v>106</v>
      </c>
      <c r="T695">
        <v>1</v>
      </c>
      <c r="U695" t="s">
        <v>1276</v>
      </c>
      <c r="V695" t="s">
        <v>1275</v>
      </c>
      <c r="W695" t="s">
        <v>1245</v>
      </c>
      <c r="X695" t="s">
        <v>1198</v>
      </c>
      <c r="Y695" t="s">
        <v>1193</v>
      </c>
      <c r="Z695">
        <v>117.65</v>
      </c>
      <c r="AA695">
        <v>709.47</v>
      </c>
      <c r="AB695">
        <v>70.947000000000003</v>
      </c>
      <c r="AC695">
        <v>638.52300000000002</v>
      </c>
      <c r="AD695">
        <v>352.95000000000005</v>
      </c>
      <c r="AE695">
        <v>285.57299999999998</v>
      </c>
      <c r="AF695">
        <v>0.44723995846664877</v>
      </c>
      <c r="AG695">
        <v>2025</v>
      </c>
      <c r="AH695">
        <v>4</v>
      </c>
      <c r="AI695" t="s">
        <v>1421</v>
      </c>
      <c r="AJ695" t="s">
        <v>1420</v>
      </c>
      <c r="AK695" t="s">
        <v>1258</v>
      </c>
      <c r="AL695">
        <v>1</v>
      </c>
    </row>
    <row r="696" spans="1:38">
      <c r="A696" t="s">
        <v>1031</v>
      </c>
      <c r="B696" s="13">
        <v>45775</v>
      </c>
      <c r="C696" t="s">
        <v>497</v>
      </c>
      <c r="D696" t="s">
        <v>738</v>
      </c>
      <c r="E696" t="s">
        <v>1032</v>
      </c>
      <c r="F696" t="s">
        <v>116</v>
      </c>
      <c r="G696" t="s">
        <v>88</v>
      </c>
      <c r="H696" t="s">
        <v>97</v>
      </c>
      <c r="I696">
        <v>2</v>
      </c>
      <c r="J696">
        <v>334.51</v>
      </c>
      <c r="K696">
        <v>0.15</v>
      </c>
      <c r="L696" t="s">
        <v>253</v>
      </c>
      <c r="M696">
        <v>1</v>
      </c>
      <c r="N696" t="s">
        <v>91</v>
      </c>
      <c r="O696" t="s">
        <v>97</v>
      </c>
      <c r="P696" t="s">
        <v>738</v>
      </c>
      <c r="Q696" t="s">
        <v>497</v>
      </c>
      <c r="R696" t="s">
        <v>116</v>
      </c>
      <c r="S696" t="s">
        <v>106</v>
      </c>
      <c r="T696">
        <v>1</v>
      </c>
      <c r="U696" t="s">
        <v>1271</v>
      </c>
      <c r="V696" t="s">
        <v>1257</v>
      </c>
      <c r="W696" t="s">
        <v>1237</v>
      </c>
      <c r="X696" t="s">
        <v>1201</v>
      </c>
      <c r="Y696" t="s">
        <v>1193</v>
      </c>
      <c r="Z696">
        <v>156.75</v>
      </c>
      <c r="AA696">
        <v>669.02</v>
      </c>
      <c r="AB696">
        <v>100.35299999999999</v>
      </c>
      <c r="AC696">
        <v>568.66700000000003</v>
      </c>
      <c r="AD696">
        <v>313.5</v>
      </c>
      <c r="AE696">
        <v>255.16700000000003</v>
      </c>
      <c r="AF696">
        <v>0.44871075691045903</v>
      </c>
      <c r="AG696">
        <v>2025</v>
      </c>
      <c r="AH696">
        <v>4</v>
      </c>
      <c r="AI696" t="s">
        <v>1421</v>
      </c>
      <c r="AJ696" t="s">
        <v>1420</v>
      </c>
      <c r="AK696" t="s">
        <v>1258</v>
      </c>
      <c r="AL696">
        <v>0</v>
      </c>
    </row>
    <row r="697" spans="1:38">
      <c r="A697" t="s">
        <v>1034</v>
      </c>
      <c r="B697" s="13">
        <v>45747</v>
      </c>
      <c r="C697" t="s">
        <v>265</v>
      </c>
      <c r="D697" t="s">
        <v>255</v>
      </c>
      <c r="E697" t="s">
        <v>266</v>
      </c>
      <c r="F697" t="s">
        <v>87</v>
      </c>
      <c r="G697" t="s">
        <v>88</v>
      </c>
      <c r="H697" t="s">
        <v>89</v>
      </c>
      <c r="I697">
        <v>1</v>
      </c>
      <c r="J697">
        <v>227.24</v>
      </c>
      <c r="K697">
        <v>0.1</v>
      </c>
      <c r="L697" t="s">
        <v>98</v>
      </c>
      <c r="M697">
        <v>5</v>
      </c>
      <c r="N697" t="s">
        <v>91</v>
      </c>
      <c r="O697" t="s">
        <v>89</v>
      </c>
      <c r="P697" t="s">
        <v>255</v>
      </c>
      <c r="Q697" t="s">
        <v>265</v>
      </c>
      <c r="R697" t="s">
        <v>87</v>
      </c>
      <c r="S697" t="s">
        <v>98</v>
      </c>
      <c r="T697">
        <v>1</v>
      </c>
      <c r="U697" t="s">
        <v>1269</v>
      </c>
      <c r="V697" t="s">
        <v>1255</v>
      </c>
      <c r="W697" t="s">
        <v>1237</v>
      </c>
      <c r="X697" t="s">
        <v>1198</v>
      </c>
      <c r="Y697" t="s">
        <v>1193</v>
      </c>
      <c r="Z697">
        <v>117.65</v>
      </c>
      <c r="AA697">
        <v>227.24</v>
      </c>
      <c r="AB697">
        <v>22.724000000000004</v>
      </c>
      <c r="AC697">
        <v>204.51600000000002</v>
      </c>
      <c r="AD697">
        <v>117.65</v>
      </c>
      <c r="AE697">
        <v>86.866000000000014</v>
      </c>
      <c r="AF697">
        <v>0.4247393846936181</v>
      </c>
      <c r="AG697">
        <v>2025</v>
      </c>
      <c r="AH697">
        <v>3</v>
      </c>
      <c r="AI697" t="s">
        <v>1423</v>
      </c>
      <c r="AJ697" t="s">
        <v>1424</v>
      </c>
      <c r="AK697" t="s">
        <v>1244</v>
      </c>
      <c r="AL697">
        <v>0</v>
      </c>
    </row>
    <row r="698" spans="1:38">
      <c r="A698" t="s">
        <v>1041</v>
      </c>
      <c r="B698" s="13">
        <v>45949</v>
      </c>
      <c r="C698" t="s">
        <v>523</v>
      </c>
      <c r="D698" t="s">
        <v>255</v>
      </c>
      <c r="E698" t="s">
        <v>524</v>
      </c>
      <c r="F698" t="s">
        <v>116</v>
      </c>
      <c r="G698" t="s">
        <v>88</v>
      </c>
      <c r="H698" t="s">
        <v>89</v>
      </c>
      <c r="I698">
        <v>1</v>
      </c>
      <c r="J698">
        <v>228.4</v>
      </c>
      <c r="K698">
        <v>0.05</v>
      </c>
      <c r="L698" t="s">
        <v>98</v>
      </c>
      <c r="M698">
        <v>7</v>
      </c>
      <c r="N698" t="s">
        <v>91</v>
      </c>
      <c r="O698" t="s">
        <v>89</v>
      </c>
      <c r="P698" t="s">
        <v>255</v>
      </c>
      <c r="Q698" t="s">
        <v>523</v>
      </c>
      <c r="R698" t="s">
        <v>116</v>
      </c>
      <c r="S698" t="s">
        <v>98</v>
      </c>
      <c r="T698">
        <v>1</v>
      </c>
      <c r="U698" t="s">
        <v>1355</v>
      </c>
      <c r="V698" t="s">
        <v>1249</v>
      </c>
      <c r="W698" t="s">
        <v>1237</v>
      </c>
      <c r="X698" t="s">
        <v>1198</v>
      </c>
      <c r="Y698" t="s">
        <v>1193</v>
      </c>
      <c r="Z698">
        <v>117.65</v>
      </c>
      <c r="AA698">
        <v>228.4</v>
      </c>
      <c r="AB698">
        <v>11.420000000000002</v>
      </c>
      <c r="AC698">
        <v>216.98000000000002</v>
      </c>
      <c r="AD698">
        <v>117.65</v>
      </c>
      <c r="AE698">
        <v>99.330000000000013</v>
      </c>
      <c r="AF698">
        <v>0.45778412756936127</v>
      </c>
      <c r="AG698">
        <v>2025</v>
      </c>
      <c r="AH698">
        <v>10</v>
      </c>
      <c r="AI698" t="s">
        <v>1431</v>
      </c>
      <c r="AJ698" t="s">
        <v>1427</v>
      </c>
      <c r="AK698" t="s">
        <v>1250</v>
      </c>
      <c r="AL698">
        <v>0</v>
      </c>
    </row>
    <row r="699" spans="1:38">
      <c r="A699" t="s">
        <v>1056</v>
      </c>
      <c r="B699" s="13">
        <v>45918</v>
      </c>
      <c r="C699" t="s">
        <v>216</v>
      </c>
      <c r="D699" t="s">
        <v>503</v>
      </c>
      <c r="E699" t="s">
        <v>218</v>
      </c>
      <c r="F699" t="s">
        <v>111</v>
      </c>
      <c r="G699" t="s">
        <v>96</v>
      </c>
      <c r="H699" t="s">
        <v>89</v>
      </c>
      <c r="I699">
        <v>1</v>
      </c>
      <c r="J699">
        <v>126.75</v>
      </c>
      <c r="K699">
        <v>0</v>
      </c>
      <c r="L699" t="s">
        <v>90</v>
      </c>
      <c r="M699">
        <v>6</v>
      </c>
      <c r="N699" t="s">
        <v>91</v>
      </c>
      <c r="O699" t="s">
        <v>89</v>
      </c>
      <c r="P699" t="s">
        <v>503</v>
      </c>
      <c r="Q699" t="s">
        <v>216</v>
      </c>
      <c r="R699" t="s">
        <v>111</v>
      </c>
      <c r="S699" t="s">
        <v>369</v>
      </c>
      <c r="T699">
        <v>1</v>
      </c>
      <c r="U699" t="s">
        <v>1253</v>
      </c>
      <c r="V699" t="s">
        <v>1260</v>
      </c>
      <c r="W699" t="s">
        <v>1237</v>
      </c>
      <c r="X699" t="s">
        <v>1197</v>
      </c>
      <c r="Y699" t="s">
        <v>1193</v>
      </c>
      <c r="Z699">
        <v>85.73</v>
      </c>
      <c r="AA699">
        <v>126.75</v>
      </c>
      <c r="AB699">
        <v>0</v>
      </c>
      <c r="AC699">
        <v>126.75</v>
      </c>
      <c r="AD699">
        <v>85.73</v>
      </c>
      <c r="AE699">
        <v>41.019999999999996</v>
      </c>
      <c r="AF699">
        <v>0.32362919132149898</v>
      </c>
      <c r="AG699">
        <v>2025</v>
      </c>
      <c r="AH699">
        <v>9</v>
      </c>
      <c r="AI699" t="s">
        <v>1432</v>
      </c>
      <c r="AJ699" t="s">
        <v>1418</v>
      </c>
      <c r="AK699" t="s">
        <v>1240</v>
      </c>
      <c r="AL699">
        <v>0</v>
      </c>
    </row>
    <row r="700" spans="1:38">
      <c r="A700" t="s">
        <v>1067</v>
      </c>
      <c r="B700" s="13">
        <v>45786</v>
      </c>
      <c r="C700" t="s">
        <v>466</v>
      </c>
      <c r="D700" t="s">
        <v>738</v>
      </c>
      <c r="E700" t="s">
        <v>467</v>
      </c>
      <c r="F700" t="s">
        <v>111</v>
      </c>
      <c r="G700" t="s">
        <v>130</v>
      </c>
      <c r="H700" t="s">
        <v>89</v>
      </c>
      <c r="I700">
        <v>4</v>
      </c>
      <c r="J700">
        <v>319.06</v>
      </c>
      <c r="K700">
        <v>0.1</v>
      </c>
      <c r="L700" t="s">
        <v>106</v>
      </c>
      <c r="M700">
        <v>2</v>
      </c>
      <c r="N700" t="s">
        <v>91</v>
      </c>
      <c r="O700" t="s">
        <v>89</v>
      </c>
      <c r="P700" t="s">
        <v>738</v>
      </c>
      <c r="Q700" t="s">
        <v>466</v>
      </c>
      <c r="R700" t="s">
        <v>111</v>
      </c>
      <c r="S700" t="s">
        <v>106</v>
      </c>
      <c r="T700">
        <v>1</v>
      </c>
      <c r="U700" t="s">
        <v>1340</v>
      </c>
      <c r="V700" t="s">
        <v>1247</v>
      </c>
      <c r="W700" t="s">
        <v>1245</v>
      </c>
      <c r="X700" t="s">
        <v>1201</v>
      </c>
      <c r="Y700" t="s">
        <v>1193</v>
      </c>
      <c r="Z700">
        <v>156.75</v>
      </c>
      <c r="AA700">
        <v>1276.24</v>
      </c>
      <c r="AB700">
        <v>127.62400000000001</v>
      </c>
      <c r="AC700">
        <v>1148.616</v>
      </c>
      <c r="AD700">
        <v>627</v>
      </c>
      <c r="AE700">
        <v>521.61599999999999</v>
      </c>
      <c r="AF700">
        <v>0.45412566079525274</v>
      </c>
      <c r="AG700">
        <v>2025</v>
      </c>
      <c r="AH700">
        <v>5</v>
      </c>
      <c r="AI700" t="s">
        <v>1419</v>
      </c>
      <c r="AJ700" t="s">
        <v>1420</v>
      </c>
      <c r="AK700" t="s">
        <v>1240</v>
      </c>
      <c r="AL700">
        <v>0</v>
      </c>
    </row>
    <row r="701" spans="1:38">
      <c r="A701" t="s">
        <v>1072</v>
      </c>
      <c r="B701" s="13">
        <v>45749</v>
      </c>
      <c r="C701" t="s">
        <v>113</v>
      </c>
      <c r="D701" t="s">
        <v>157</v>
      </c>
      <c r="E701" t="s">
        <v>1073</v>
      </c>
      <c r="F701" t="s">
        <v>145</v>
      </c>
      <c r="G701" t="s">
        <v>104</v>
      </c>
      <c r="H701" t="s">
        <v>89</v>
      </c>
      <c r="I701">
        <v>2</v>
      </c>
      <c r="J701">
        <v>309.31</v>
      </c>
      <c r="K701">
        <v>0.2</v>
      </c>
      <c r="L701" t="s">
        <v>90</v>
      </c>
      <c r="M701">
        <v>1</v>
      </c>
      <c r="N701" t="s">
        <v>91</v>
      </c>
      <c r="O701" t="s">
        <v>89</v>
      </c>
      <c r="P701" t="s">
        <v>157</v>
      </c>
      <c r="Q701" t="s">
        <v>113</v>
      </c>
      <c r="R701" t="s">
        <v>145</v>
      </c>
      <c r="S701" t="s">
        <v>369</v>
      </c>
      <c r="T701">
        <v>1</v>
      </c>
      <c r="U701" t="s">
        <v>1300</v>
      </c>
      <c r="V701" t="s">
        <v>1288</v>
      </c>
      <c r="W701" t="s">
        <v>1237</v>
      </c>
      <c r="X701" t="s">
        <v>1192</v>
      </c>
      <c r="Y701" t="s">
        <v>1193</v>
      </c>
      <c r="Z701">
        <v>176.13</v>
      </c>
      <c r="AA701">
        <v>618.62</v>
      </c>
      <c r="AB701">
        <v>123.724</v>
      </c>
      <c r="AC701">
        <v>494.89600000000002</v>
      </c>
      <c r="AD701">
        <v>352.26</v>
      </c>
      <c r="AE701">
        <v>142.63600000000002</v>
      </c>
      <c r="AF701">
        <v>0.28821408942484888</v>
      </c>
      <c r="AG701">
        <v>2025</v>
      </c>
      <c r="AH701">
        <v>4</v>
      </c>
      <c r="AI701" t="s">
        <v>1421</v>
      </c>
      <c r="AJ701" t="s">
        <v>1420</v>
      </c>
      <c r="AK701" t="s">
        <v>1250</v>
      </c>
      <c r="AL701">
        <v>0</v>
      </c>
    </row>
    <row r="702" spans="1:38">
      <c r="A702" t="s">
        <v>1075</v>
      </c>
      <c r="B702" s="13">
        <v>45698</v>
      </c>
      <c r="C702" t="s">
        <v>142</v>
      </c>
      <c r="D702" t="s">
        <v>157</v>
      </c>
      <c r="E702" t="s">
        <v>144</v>
      </c>
      <c r="F702" t="s">
        <v>87</v>
      </c>
      <c r="G702" t="s">
        <v>122</v>
      </c>
      <c r="H702" t="s">
        <v>97</v>
      </c>
      <c r="I702">
        <v>1</v>
      </c>
      <c r="J702">
        <v>295.52</v>
      </c>
      <c r="K702">
        <v>0</v>
      </c>
      <c r="L702" t="s">
        <v>98</v>
      </c>
      <c r="M702">
        <v>3</v>
      </c>
      <c r="N702" t="s">
        <v>91</v>
      </c>
      <c r="O702" t="s">
        <v>97</v>
      </c>
      <c r="P702" t="s">
        <v>157</v>
      </c>
      <c r="Q702" t="s">
        <v>142</v>
      </c>
      <c r="R702" t="s">
        <v>87</v>
      </c>
      <c r="S702" t="s">
        <v>98</v>
      </c>
      <c r="T702">
        <v>1</v>
      </c>
      <c r="U702" t="s">
        <v>1238</v>
      </c>
      <c r="V702" t="s">
        <v>1239</v>
      </c>
      <c r="W702" t="s">
        <v>1241</v>
      </c>
      <c r="X702" t="s">
        <v>1192</v>
      </c>
      <c r="Y702" t="s">
        <v>1193</v>
      </c>
      <c r="Z702">
        <v>176.13</v>
      </c>
      <c r="AA702">
        <v>295.52</v>
      </c>
      <c r="AB702">
        <v>0</v>
      </c>
      <c r="AC702">
        <v>295.52</v>
      </c>
      <c r="AD702">
        <v>176.13</v>
      </c>
      <c r="AE702">
        <v>119.38999999999999</v>
      </c>
      <c r="AF702">
        <v>0.40399972929074174</v>
      </c>
      <c r="AG702">
        <v>2025</v>
      </c>
      <c r="AH702">
        <v>2</v>
      </c>
      <c r="AI702" t="s">
        <v>1430</v>
      </c>
      <c r="AJ702" t="s">
        <v>1424</v>
      </c>
      <c r="AK702" t="s">
        <v>1240</v>
      </c>
      <c r="AL702">
        <v>0</v>
      </c>
    </row>
    <row r="703" spans="1:38">
      <c r="A703" t="s">
        <v>1076</v>
      </c>
      <c r="B703" s="13">
        <v>45955</v>
      </c>
      <c r="C703" t="s">
        <v>313</v>
      </c>
      <c r="D703" t="s">
        <v>149</v>
      </c>
      <c r="E703" t="s">
        <v>314</v>
      </c>
      <c r="F703" t="s">
        <v>103</v>
      </c>
      <c r="G703" t="s">
        <v>122</v>
      </c>
      <c r="H703" t="s">
        <v>97</v>
      </c>
      <c r="I703">
        <v>2</v>
      </c>
      <c r="J703">
        <v>83.8</v>
      </c>
      <c r="K703">
        <v>0.05</v>
      </c>
      <c r="L703" t="s">
        <v>106</v>
      </c>
      <c r="M703">
        <v>3</v>
      </c>
      <c r="N703" t="s">
        <v>91</v>
      </c>
      <c r="O703" t="s">
        <v>97</v>
      </c>
      <c r="P703" t="s">
        <v>149</v>
      </c>
      <c r="Q703" t="s">
        <v>313</v>
      </c>
      <c r="R703" t="s">
        <v>103</v>
      </c>
      <c r="S703" t="s">
        <v>106</v>
      </c>
      <c r="T703">
        <v>1</v>
      </c>
      <c r="U703" t="s">
        <v>1328</v>
      </c>
      <c r="V703" t="s">
        <v>1255</v>
      </c>
      <c r="W703" t="s">
        <v>1245</v>
      </c>
      <c r="X703" t="s">
        <v>1195</v>
      </c>
      <c r="Y703" t="s">
        <v>1193</v>
      </c>
      <c r="Z703">
        <v>39.26</v>
      </c>
      <c r="AA703">
        <v>167.6</v>
      </c>
      <c r="AB703">
        <v>8.3800000000000008</v>
      </c>
      <c r="AC703">
        <v>159.22</v>
      </c>
      <c r="AD703">
        <v>78.52</v>
      </c>
      <c r="AE703">
        <v>80.7</v>
      </c>
      <c r="AF703">
        <v>0.5068458736339656</v>
      </c>
      <c r="AG703">
        <v>2025</v>
      </c>
      <c r="AH703">
        <v>10</v>
      </c>
      <c r="AI703" t="s">
        <v>1431</v>
      </c>
      <c r="AJ703" t="s">
        <v>1427</v>
      </c>
      <c r="AK703" t="s">
        <v>1244</v>
      </c>
      <c r="AL703">
        <v>0</v>
      </c>
    </row>
    <row r="704" spans="1:38">
      <c r="A704" t="s">
        <v>1086</v>
      </c>
      <c r="B704" s="13">
        <v>45754</v>
      </c>
      <c r="C704" t="s">
        <v>151</v>
      </c>
      <c r="D704" t="s">
        <v>226</v>
      </c>
      <c r="E704" t="s">
        <v>153</v>
      </c>
      <c r="F704" t="s">
        <v>87</v>
      </c>
      <c r="G704" t="s">
        <v>88</v>
      </c>
      <c r="H704" t="s">
        <v>97</v>
      </c>
      <c r="I704">
        <v>2</v>
      </c>
      <c r="J704">
        <v>215.98</v>
      </c>
      <c r="K704">
        <v>0.05</v>
      </c>
      <c r="L704" t="s">
        <v>90</v>
      </c>
      <c r="M704">
        <v>4</v>
      </c>
      <c r="N704" t="s">
        <v>91</v>
      </c>
      <c r="O704" t="s">
        <v>97</v>
      </c>
      <c r="P704" t="s">
        <v>226</v>
      </c>
      <c r="Q704" t="s">
        <v>151</v>
      </c>
      <c r="R704" t="s">
        <v>87</v>
      </c>
      <c r="S704" t="s">
        <v>369</v>
      </c>
      <c r="T704">
        <v>1</v>
      </c>
      <c r="U704" t="s">
        <v>1263</v>
      </c>
      <c r="V704" t="s">
        <v>1239</v>
      </c>
      <c r="W704" t="s">
        <v>1241</v>
      </c>
      <c r="X704" t="s">
        <v>1194</v>
      </c>
      <c r="Y704" t="s">
        <v>1193</v>
      </c>
      <c r="Z704">
        <v>127.21</v>
      </c>
      <c r="AA704">
        <v>431.96</v>
      </c>
      <c r="AB704">
        <v>21.597999999999999</v>
      </c>
      <c r="AC704">
        <v>410.36199999999997</v>
      </c>
      <c r="AD704">
        <v>254.42</v>
      </c>
      <c r="AE704">
        <v>155.94199999999998</v>
      </c>
      <c r="AF704">
        <v>0.38001081971527578</v>
      </c>
      <c r="AG704">
        <v>2025</v>
      </c>
      <c r="AH704">
        <v>4</v>
      </c>
      <c r="AI704" t="s">
        <v>1421</v>
      </c>
      <c r="AJ704" t="s">
        <v>1420</v>
      </c>
      <c r="AK704" t="s">
        <v>1240</v>
      </c>
      <c r="AL704">
        <v>0</v>
      </c>
    </row>
    <row r="705" spans="1:38">
      <c r="A705" t="s">
        <v>1088</v>
      </c>
      <c r="B705" s="13">
        <v>45703</v>
      </c>
      <c r="C705" t="s">
        <v>487</v>
      </c>
      <c r="D705" t="s">
        <v>503</v>
      </c>
      <c r="E705" t="s">
        <v>806</v>
      </c>
      <c r="F705" t="s">
        <v>116</v>
      </c>
      <c r="G705" t="s">
        <v>117</v>
      </c>
      <c r="H705" t="s">
        <v>97</v>
      </c>
      <c r="I705">
        <v>1</v>
      </c>
      <c r="J705">
        <v>122.63</v>
      </c>
      <c r="K705">
        <v>0</v>
      </c>
      <c r="L705" t="s">
        <v>106</v>
      </c>
      <c r="M705">
        <v>4</v>
      </c>
      <c r="N705" t="s">
        <v>91</v>
      </c>
      <c r="O705" t="s">
        <v>97</v>
      </c>
      <c r="P705" t="s">
        <v>503</v>
      </c>
      <c r="Q705" t="s">
        <v>487</v>
      </c>
      <c r="R705" t="s">
        <v>116</v>
      </c>
      <c r="S705" t="s">
        <v>106</v>
      </c>
      <c r="T705">
        <v>1</v>
      </c>
      <c r="U705" t="s">
        <v>1347</v>
      </c>
      <c r="V705" t="s">
        <v>1249</v>
      </c>
      <c r="W705" t="s">
        <v>1237</v>
      </c>
      <c r="X705" t="s">
        <v>1197</v>
      </c>
      <c r="Y705" t="s">
        <v>1193</v>
      </c>
      <c r="Z705">
        <v>85.73</v>
      </c>
      <c r="AA705">
        <v>122.63</v>
      </c>
      <c r="AB705">
        <v>0</v>
      </c>
      <c r="AC705">
        <v>122.63</v>
      </c>
      <c r="AD705">
        <v>85.73</v>
      </c>
      <c r="AE705">
        <v>36.899999999999991</v>
      </c>
      <c r="AF705">
        <v>0.30090516186903687</v>
      </c>
      <c r="AG705">
        <v>2025</v>
      </c>
      <c r="AH705">
        <v>2</v>
      </c>
      <c r="AI705" t="s">
        <v>1430</v>
      </c>
      <c r="AJ705" t="s">
        <v>1424</v>
      </c>
      <c r="AK705" t="s">
        <v>1250</v>
      </c>
      <c r="AL705">
        <v>0</v>
      </c>
    </row>
    <row r="706" spans="1:38">
      <c r="A706" t="s">
        <v>1098</v>
      </c>
      <c r="B706" s="13">
        <v>45753</v>
      </c>
      <c r="C706" t="s">
        <v>538</v>
      </c>
      <c r="D706" t="s">
        <v>503</v>
      </c>
      <c r="E706" t="s">
        <v>1099</v>
      </c>
      <c r="F706" t="s">
        <v>87</v>
      </c>
      <c r="G706" t="s">
        <v>171</v>
      </c>
      <c r="H706" t="s">
        <v>89</v>
      </c>
      <c r="I706">
        <v>1</v>
      </c>
      <c r="J706">
        <v>117.96</v>
      </c>
      <c r="K706">
        <v>0</v>
      </c>
      <c r="L706" t="s">
        <v>106</v>
      </c>
      <c r="M706">
        <v>4</v>
      </c>
      <c r="N706" t="s">
        <v>91</v>
      </c>
      <c r="O706" t="s">
        <v>89</v>
      </c>
      <c r="P706" t="s">
        <v>503</v>
      </c>
      <c r="Q706" t="s">
        <v>538</v>
      </c>
      <c r="R706" t="s">
        <v>87</v>
      </c>
      <c r="S706" t="s">
        <v>106</v>
      </c>
      <c r="T706">
        <v>1</v>
      </c>
      <c r="U706" t="s">
        <v>1333</v>
      </c>
      <c r="V706" t="s">
        <v>1284</v>
      </c>
      <c r="W706" t="s">
        <v>1237</v>
      </c>
      <c r="X706" t="s">
        <v>1197</v>
      </c>
      <c r="Y706" t="s">
        <v>1193</v>
      </c>
      <c r="Z706">
        <v>85.73</v>
      </c>
      <c r="AA706">
        <v>117.96</v>
      </c>
      <c r="AB706">
        <v>0</v>
      </c>
      <c r="AC706">
        <v>117.96</v>
      </c>
      <c r="AD706">
        <v>85.73</v>
      </c>
      <c r="AE706">
        <v>32.22999999999999</v>
      </c>
      <c r="AF706">
        <v>0.27322821295354349</v>
      </c>
      <c r="AG706">
        <v>2025</v>
      </c>
      <c r="AH706">
        <v>4</v>
      </c>
      <c r="AI706" t="s">
        <v>1421</v>
      </c>
      <c r="AJ706" t="s">
        <v>1420</v>
      </c>
      <c r="AK706" t="s">
        <v>1285</v>
      </c>
      <c r="AL706">
        <v>0</v>
      </c>
    </row>
    <row r="707" spans="1:38">
      <c r="A707" t="s">
        <v>1100</v>
      </c>
      <c r="B707" s="13">
        <v>45694</v>
      </c>
      <c r="C707" t="s">
        <v>675</v>
      </c>
      <c r="D707" t="s">
        <v>255</v>
      </c>
      <c r="E707" t="s">
        <v>676</v>
      </c>
      <c r="F707" t="s">
        <v>223</v>
      </c>
      <c r="G707" t="s">
        <v>130</v>
      </c>
      <c r="H707" t="s">
        <v>89</v>
      </c>
      <c r="I707">
        <v>1</v>
      </c>
      <c r="J707">
        <v>246.22</v>
      </c>
      <c r="K707">
        <v>0.25</v>
      </c>
      <c r="L707" t="s">
        <v>98</v>
      </c>
      <c r="M707">
        <v>2</v>
      </c>
      <c r="N707" t="s">
        <v>91</v>
      </c>
      <c r="O707" t="s">
        <v>89</v>
      </c>
      <c r="P707" t="s">
        <v>255</v>
      </c>
      <c r="Q707" t="s">
        <v>675</v>
      </c>
      <c r="R707" t="s">
        <v>111</v>
      </c>
      <c r="S707" t="s">
        <v>98</v>
      </c>
      <c r="T707">
        <v>1</v>
      </c>
      <c r="U707" t="s">
        <v>1344</v>
      </c>
      <c r="V707" t="s">
        <v>1325</v>
      </c>
      <c r="W707" t="s">
        <v>1241</v>
      </c>
      <c r="X707" t="s">
        <v>1198</v>
      </c>
      <c r="Y707" t="s">
        <v>1193</v>
      </c>
      <c r="Z707">
        <v>117.65</v>
      </c>
      <c r="AA707">
        <v>246.22</v>
      </c>
      <c r="AB707">
        <v>61.555</v>
      </c>
      <c r="AC707">
        <v>184.66499999999999</v>
      </c>
      <c r="AD707">
        <v>117.65</v>
      </c>
      <c r="AE707">
        <v>67.014999999999986</v>
      </c>
      <c r="AF707">
        <v>0.36290038718760992</v>
      </c>
      <c r="AG707">
        <v>2025</v>
      </c>
      <c r="AH707">
        <v>2</v>
      </c>
      <c r="AI707" t="s">
        <v>1430</v>
      </c>
      <c r="AJ707" t="s">
        <v>1424</v>
      </c>
      <c r="AK707" t="s">
        <v>1326</v>
      </c>
      <c r="AL707">
        <v>0</v>
      </c>
    </row>
    <row r="708" spans="1:38">
      <c r="A708" t="s">
        <v>1105</v>
      </c>
      <c r="B708" s="13">
        <v>45962</v>
      </c>
      <c r="C708" t="s">
        <v>538</v>
      </c>
      <c r="D708" t="s">
        <v>120</v>
      </c>
      <c r="E708" t="s">
        <v>539</v>
      </c>
      <c r="F708" t="s">
        <v>87</v>
      </c>
      <c r="G708" t="s">
        <v>117</v>
      </c>
      <c r="H708" t="s">
        <v>89</v>
      </c>
      <c r="I708">
        <v>4</v>
      </c>
      <c r="J708">
        <v>380.79</v>
      </c>
      <c r="K708">
        <v>0.15</v>
      </c>
      <c r="L708" t="s">
        <v>106</v>
      </c>
      <c r="M708">
        <v>5</v>
      </c>
      <c r="N708" t="s">
        <v>91</v>
      </c>
      <c r="O708" t="s">
        <v>89</v>
      </c>
      <c r="P708" t="s">
        <v>120</v>
      </c>
      <c r="Q708" t="s">
        <v>538</v>
      </c>
      <c r="R708" t="s">
        <v>87</v>
      </c>
      <c r="S708" t="s">
        <v>106</v>
      </c>
      <c r="T708">
        <v>1</v>
      </c>
      <c r="U708" t="s">
        <v>1333</v>
      </c>
      <c r="V708" t="s">
        <v>1284</v>
      </c>
      <c r="W708" t="s">
        <v>1237</v>
      </c>
      <c r="X708" t="s">
        <v>1199</v>
      </c>
      <c r="Y708" t="s">
        <v>1193</v>
      </c>
      <c r="Z708">
        <v>235.76</v>
      </c>
      <c r="AA708">
        <v>1523.16</v>
      </c>
      <c r="AB708">
        <v>228.47400000000002</v>
      </c>
      <c r="AC708">
        <v>1294.6860000000001</v>
      </c>
      <c r="AD708">
        <v>943.04</v>
      </c>
      <c r="AE708">
        <v>351.64600000000019</v>
      </c>
      <c r="AF708">
        <v>0.27160716961487197</v>
      </c>
      <c r="AG708">
        <v>2025</v>
      </c>
      <c r="AH708">
        <v>11</v>
      </c>
      <c r="AI708" t="s">
        <v>1426</v>
      </c>
      <c r="AJ708" t="s">
        <v>1427</v>
      </c>
      <c r="AK708" t="s">
        <v>1285</v>
      </c>
      <c r="AL708">
        <v>0</v>
      </c>
    </row>
    <row r="709" spans="1:38">
      <c r="A709" t="s">
        <v>1108</v>
      </c>
      <c r="B709" s="13">
        <v>45938</v>
      </c>
      <c r="C709" t="s">
        <v>613</v>
      </c>
      <c r="D709" t="s">
        <v>149</v>
      </c>
      <c r="E709" t="s">
        <v>710</v>
      </c>
      <c r="F709" t="s">
        <v>116</v>
      </c>
      <c r="G709" t="s">
        <v>104</v>
      </c>
      <c r="H709" t="s">
        <v>89</v>
      </c>
      <c r="I709">
        <v>1</v>
      </c>
      <c r="J709">
        <v>80.88</v>
      </c>
      <c r="K709">
        <v>0.05</v>
      </c>
      <c r="L709" t="s">
        <v>106</v>
      </c>
      <c r="M709">
        <v>6</v>
      </c>
      <c r="N709" t="s">
        <v>147</v>
      </c>
      <c r="O709" t="s">
        <v>89</v>
      </c>
      <c r="P709" t="s">
        <v>149</v>
      </c>
      <c r="Q709" t="s">
        <v>613</v>
      </c>
      <c r="R709" t="s">
        <v>116</v>
      </c>
      <c r="S709" t="s">
        <v>106</v>
      </c>
      <c r="T709">
        <v>1</v>
      </c>
      <c r="U709" t="s">
        <v>1289</v>
      </c>
      <c r="V709" t="s">
        <v>1260</v>
      </c>
      <c r="W709" t="s">
        <v>1245</v>
      </c>
      <c r="X709" t="s">
        <v>1195</v>
      </c>
      <c r="Y709" t="s">
        <v>1193</v>
      </c>
      <c r="Z709">
        <v>39.26</v>
      </c>
      <c r="AA709">
        <v>80.88</v>
      </c>
      <c r="AB709">
        <v>4.0439999999999996</v>
      </c>
      <c r="AC709">
        <v>76.835999999999999</v>
      </c>
      <c r="AD709">
        <v>39.26</v>
      </c>
      <c r="AE709">
        <v>37.576000000000001</v>
      </c>
      <c r="AF709">
        <v>0.48904159508563694</v>
      </c>
      <c r="AG709">
        <v>2025</v>
      </c>
      <c r="AH709">
        <v>10</v>
      </c>
      <c r="AI709" t="s">
        <v>1431</v>
      </c>
      <c r="AJ709" t="s">
        <v>1427</v>
      </c>
      <c r="AK709" t="s">
        <v>1240</v>
      </c>
      <c r="AL709">
        <v>1</v>
      </c>
    </row>
    <row r="710" spans="1:38">
      <c r="A710" t="s">
        <v>1119</v>
      </c>
      <c r="B710" s="13">
        <v>45951</v>
      </c>
      <c r="C710" t="s">
        <v>363</v>
      </c>
      <c r="D710" t="s">
        <v>139</v>
      </c>
      <c r="E710" t="s">
        <v>364</v>
      </c>
      <c r="F710" t="s">
        <v>116</v>
      </c>
      <c r="G710" t="s">
        <v>104</v>
      </c>
      <c r="H710" t="s">
        <v>105</v>
      </c>
      <c r="I710">
        <v>1</v>
      </c>
      <c r="J710">
        <v>83.34</v>
      </c>
      <c r="K710">
        <v>0.15</v>
      </c>
      <c r="L710" t="s">
        <v>90</v>
      </c>
      <c r="M710">
        <v>2</v>
      </c>
      <c r="N710" t="s">
        <v>91</v>
      </c>
      <c r="O710" t="s">
        <v>105</v>
      </c>
      <c r="P710" t="s">
        <v>139</v>
      </c>
      <c r="Q710" t="s">
        <v>363</v>
      </c>
      <c r="R710" t="s">
        <v>116</v>
      </c>
      <c r="S710" t="s">
        <v>369</v>
      </c>
      <c r="T710">
        <v>1</v>
      </c>
      <c r="U710" t="s">
        <v>1274</v>
      </c>
      <c r="V710" t="s">
        <v>1275</v>
      </c>
      <c r="W710" t="s">
        <v>1245</v>
      </c>
      <c r="X710" t="s">
        <v>1196</v>
      </c>
      <c r="Y710" t="s">
        <v>1193</v>
      </c>
      <c r="Z710">
        <v>45.17</v>
      </c>
      <c r="AA710">
        <v>83.34</v>
      </c>
      <c r="AB710">
        <v>12.500999999999999</v>
      </c>
      <c r="AC710">
        <v>70.838999999999999</v>
      </c>
      <c r="AD710">
        <v>45.17</v>
      </c>
      <c r="AE710">
        <v>25.668999999999997</v>
      </c>
      <c r="AF710">
        <v>0.36235689380143704</v>
      </c>
      <c r="AG710">
        <v>2025</v>
      </c>
      <c r="AH710">
        <v>10</v>
      </c>
      <c r="AI710" t="s">
        <v>1431</v>
      </c>
      <c r="AJ710" t="s">
        <v>1427</v>
      </c>
      <c r="AK710" t="s">
        <v>1258</v>
      </c>
      <c r="AL710">
        <v>0</v>
      </c>
    </row>
    <row r="711" spans="1:38">
      <c r="A711" t="s">
        <v>1123</v>
      </c>
      <c r="B711" s="13">
        <v>45795</v>
      </c>
      <c r="C711" t="s">
        <v>248</v>
      </c>
      <c r="D711" t="s">
        <v>738</v>
      </c>
      <c r="E711" t="s">
        <v>250</v>
      </c>
      <c r="F711" t="s">
        <v>111</v>
      </c>
      <c r="G711" t="s">
        <v>96</v>
      </c>
      <c r="H711" t="s">
        <v>89</v>
      </c>
      <c r="I711">
        <v>1</v>
      </c>
      <c r="J711">
        <v>333.13</v>
      </c>
      <c r="K711">
        <v>0</v>
      </c>
      <c r="L711" t="s">
        <v>106</v>
      </c>
      <c r="M711">
        <v>9</v>
      </c>
      <c r="N711" t="s">
        <v>91</v>
      </c>
      <c r="O711" t="s">
        <v>89</v>
      </c>
      <c r="P711" t="s">
        <v>738</v>
      </c>
      <c r="Q711" t="s">
        <v>248</v>
      </c>
      <c r="R711" t="s">
        <v>111</v>
      </c>
      <c r="S711" t="s">
        <v>106</v>
      </c>
      <c r="T711">
        <v>1</v>
      </c>
      <c r="U711" t="s">
        <v>1261</v>
      </c>
      <c r="V711" t="s">
        <v>1257</v>
      </c>
      <c r="W711" t="s">
        <v>1245</v>
      </c>
      <c r="X711" t="s">
        <v>1201</v>
      </c>
      <c r="Y711" t="s">
        <v>1193</v>
      </c>
      <c r="Z711">
        <v>156.75</v>
      </c>
      <c r="AA711">
        <v>333.13</v>
      </c>
      <c r="AB711">
        <v>0</v>
      </c>
      <c r="AC711">
        <v>333.13</v>
      </c>
      <c r="AD711">
        <v>156.75</v>
      </c>
      <c r="AE711">
        <v>176.38</v>
      </c>
      <c r="AF711">
        <v>0.52946297241317208</v>
      </c>
      <c r="AG711">
        <v>2025</v>
      </c>
      <c r="AH711">
        <v>5</v>
      </c>
      <c r="AI711" t="s">
        <v>1419</v>
      </c>
      <c r="AJ711" t="s">
        <v>1420</v>
      </c>
      <c r="AK711" t="s">
        <v>1258</v>
      </c>
      <c r="AL711">
        <v>0</v>
      </c>
    </row>
    <row r="712" spans="1:38">
      <c r="A712" t="s">
        <v>1125</v>
      </c>
      <c r="B712" s="13">
        <v>45969</v>
      </c>
      <c r="C712" t="s">
        <v>463</v>
      </c>
      <c r="D712" t="s">
        <v>226</v>
      </c>
      <c r="E712" t="s">
        <v>464</v>
      </c>
      <c r="F712" t="s">
        <v>87</v>
      </c>
      <c r="G712" t="s">
        <v>104</v>
      </c>
      <c r="H712" t="s">
        <v>89</v>
      </c>
      <c r="I712">
        <v>3</v>
      </c>
      <c r="J712">
        <v>211.4</v>
      </c>
      <c r="K712">
        <v>0.15</v>
      </c>
      <c r="M712">
        <v>2</v>
      </c>
      <c r="N712" t="s">
        <v>91</v>
      </c>
      <c r="O712" t="s">
        <v>89</v>
      </c>
      <c r="P712" t="s">
        <v>226</v>
      </c>
      <c r="Q712" t="s">
        <v>463</v>
      </c>
      <c r="R712" t="s">
        <v>87</v>
      </c>
      <c r="S712" t="s">
        <v>1413</v>
      </c>
      <c r="T712">
        <v>1</v>
      </c>
      <c r="U712" t="s">
        <v>1280</v>
      </c>
      <c r="V712" t="s">
        <v>1249</v>
      </c>
      <c r="W712" t="s">
        <v>1245</v>
      </c>
      <c r="X712" t="s">
        <v>1194</v>
      </c>
      <c r="Y712" t="s">
        <v>1193</v>
      </c>
      <c r="Z712">
        <v>127.21</v>
      </c>
      <c r="AA712">
        <v>634.20000000000005</v>
      </c>
      <c r="AB712">
        <v>95.13000000000001</v>
      </c>
      <c r="AC712">
        <v>539.07000000000005</v>
      </c>
      <c r="AD712">
        <v>381.63</v>
      </c>
      <c r="AE712">
        <v>157.44000000000005</v>
      </c>
      <c r="AF712">
        <v>0.29205854527241365</v>
      </c>
      <c r="AG712">
        <v>2025</v>
      </c>
      <c r="AH712">
        <v>11</v>
      </c>
      <c r="AI712" t="s">
        <v>1426</v>
      </c>
      <c r="AJ712" t="s">
        <v>1427</v>
      </c>
      <c r="AK712" t="s">
        <v>1250</v>
      </c>
      <c r="AL712">
        <v>0</v>
      </c>
    </row>
    <row r="713" spans="1:38">
      <c r="A713" t="s">
        <v>1132</v>
      </c>
      <c r="B713" s="13">
        <v>45859</v>
      </c>
      <c r="C713" t="s">
        <v>414</v>
      </c>
      <c r="D713" t="s">
        <v>120</v>
      </c>
      <c r="E713" t="s">
        <v>415</v>
      </c>
      <c r="F713" t="s">
        <v>87</v>
      </c>
      <c r="G713" t="s">
        <v>183</v>
      </c>
      <c r="H713" t="s">
        <v>89</v>
      </c>
      <c r="I713">
        <v>2</v>
      </c>
      <c r="J713">
        <v>399.06</v>
      </c>
      <c r="K713">
        <v>0</v>
      </c>
      <c r="L713" t="s">
        <v>106</v>
      </c>
      <c r="M713">
        <v>7</v>
      </c>
      <c r="N713" t="s">
        <v>91</v>
      </c>
      <c r="O713" t="s">
        <v>89</v>
      </c>
      <c r="P713" t="s">
        <v>120</v>
      </c>
      <c r="Q713" t="s">
        <v>414</v>
      </c>
      <c r="R713" t="s">
        <v>87</v>
      </c>
      <c r="S713" t="s">
        <v>106</v>
      </c>
      <c r="T713">
        <v>1</v>
      </c>
      <c r="U713" t="s">
        <v>1305</v>
      </c>
      <c r="V713" t="s">
        <v>1288</v>
      </c>
      <c r="W713" t="s">
        <v>1245</v>
      </c>
      <c r="X713" t="s">
        <v>1199</v>
      </c>
      <c r="Y713" t="s">
        <v>1193</v>
      </c>
      <c r="Z713">
        <v>235.76</v>
      </c>
      <c r="AA713">
        <v>798.12</v>
      </c>
      <c r="AB713">
        <v>0</v>
      </c>
      <c r="AC713">
        <v>798.12</v>
      </c>
      <c r="AD713">
        <v>471.52</v>
      </c>
      <c r="AE713">
        <v>326.60000000000002</v>
      </c>
      <c r="AF713">
        <v>0.40921164737132265</v>
      </c>
      <c r="AG713">
        <v>2025</v>
      </c>
      <c r="AH713">
        <v>7</v>
      </c>
      <c r="AI713" t="s">
        <v>1422</v>
      </c>
      <c r="AJ713" t="s">
        <v>1418</v>
      </c>
      <c r="AK713" t="s">
        <v>1250</v>
      </c>
      <c r="AL713">
        <v>0</v>
      </c>
    </row>
    <row r="714" spans="1:38">
      <c r="A714" t="s">
        <v>1135</v>
      </c>
      <c r="B714" s="13">
        <v>45984</v>
      </c>
      <c r="C714" t="s">
        <v>248</v>
      </c>
      <c r="D714" t="s">
        <v>255</v>
      </c>
      <c r="E714" t="s">
        <v>250</v>
      </c>
      <c r="F714" t="s">
        <v>103</v>
      </c>
      <c r="G714" t="s">
        <v>183</v>
      </c>
      <c r="H714" t="s">
        <v>97</v>
      </c>
      <c r="I714">
        <v>1</v>
      </c>
      <c r="J714">
        <v>229.18</v>
      </c>
      <c r="K714">
        <v>0.25</v>
      </c>
      <c r="L714" t="s">
        <v>106</v>
      </c>
      <c r="M714">
        <v>0</v>
      </c>
      <c r="N714" t="s">
        <v>91</v>
      </c>
      <c r="O714" t="s">
        <v>97</v>
      </c>
      <c r="P714" t="s">
        <v>255</v>
      </c>
      <c r="Q714" t="s">
        <v>248</v>
      </c>
      <c r="R714" t="s">
        <v>103</v>
      </c>
      <c r="S714" t="s">
        <v>106</v>
      </c>
      <c r="T714">
        <v>1</v>
      </c>
      <c r="U714" t="s">
        <v>1261</v>
      </c>
      <c r="V714" t="s">
        <v>1257</v>
      </c>
      <c r="W714" t="s">
        <v>1245</v>
      </c>
      <c r="X714" t="s">
        <v>1198</v>
      </c>
      <c r="Y714" t="s">
        <v>1193</v>
      </c>
      <c r="Z714">
        <v>117.65</v>
      </c>
      <c r="AA714">
        <v>229.18</v>
      </c>
      <c r="AB714">
        <v>57.295000000000002</v>
      </c>
      <c r="AC714">
        <v>171.88499999999999</v>
      </c>
      <c r="AD714">
        <v>117.65</v>
      </c>
      <c r="AE714">
        <v>54.234999999999985</v>
      </c>
      <c r="AF714">
        <v>0.31553073275736676</v>
      </c>
      <c r="AG714">
        <v>2025</v>
      </c>
      <c r="AH714">
        <v>11</v>
      </c>
      <c r="AI714" t="s">
        <v>1426</v>
      </c>
      <c r="AJ714" t="s">
        <v>1427</v>
      </c>
      <c r="AK714" t="s">
        <v>1258</v>
      </c>
      <c r="AL714">
        <v>0</v>
      </c>
    </row>
    <row r="715" spans="1:38">
      <c r="A715" t="s">
        <v>1142</v>
      </c>
      <c r="B715" s="13">
        <v>45756</v>
      </c>
      <c r="C715" t="s">
        <v>414</v>
      </c>
      <c r="D715" t="s">
        <v>503</v>
      </c>
      <c r="E715" t="s">
        <v>415</v>
      </c>
      <c r="F715" t="s">
        <v>87</v>
      </c>
      <c r="G715" t="s">
        <v>183</v>
      </c>
      <c r="H715" t="s">
        <v>89</v>
      </c>
      <c r="I715">
        <v>2</v>
      </c>
      <c r="J715">
        <v>128.16</v>
      </c>
      <c r="K715">
        <v>0.15</v>
      </c>
      <c r="L715" t="s">
        <v>106</v>
      </c>
      <c r="M715">
        <v>1</v>
      </c>
      <c r="N715" t="s">
        <v>91</v>
      </c>
      <c r="O715" t="s">
        <v>89</v>
      </c>
      <c r="P715" t="s">
        <v>503</v>
      </c>
      <c r="Q715" t="s">
        <v>414</v>
      </c>
      <c r="R715" t="s">
        <v>87</v>
      </c>
      <c r="S715" t="s">
        <v>106</v>
      </c>
      <c r="T715">
        <v>1</v>
      </c>
      <c r="U715" t="s">
        <v>1305</v>
      </c>
      <c r="V715" t="s">
        <v>1288</v>
      </c>
      <c r="W715" t="s">
        <v>1245</v>
      </c>
      <c r="X715" t="s">
        <v>1197</v>
      </c>
      <c r="Y715" t="s">
        <v>1193</v>
      </c>
      <c r="Z715">
        <v>85.73</v>
      </c>
      <c r="AA715">
        <v>256.32</v>
      </c>
      <c r="AB715">
        <v>38.448</v>
      </c>
      <c r="AC715">
        <v>217.87199999999999</v>
      </c>
      <c r="AD715">
        <v>171.46</v>
      </c>
      <c r="AE715">
        <v>46.411999999999978</v>
      </c>
      <c r="AF715">
        <v>0.21302416097525143</v>
      </c>
      <c r="AG715">
        <v>2025</v>
      </c>
      <c r="AH715">
        <v>4</v>
      </c>
      <c r="AI715" t="s">
        <v>1421</v>
      </c>
      <c r="AJ715" t="s">
        <v>1420</v>
      </c>
      <c r="AK715" t="s">
        <v>1250</v>
      </c>
      <c r="AL715">
        <v>0</v>
      </c>
    </row>
    <row r="716" spans="1:38">
      <c r="A716" t="s">
        <v>1145</v>
      </c>
      <c r="B716" s="13">
        <v>45961</v>
      </c>
      <c r="C716" t="s">
        <v>675</v>
      </c>
      <c r="D716" t="s">
        <v>226</v>
      </c>
      <c r="E716" t="s">
        <v>676</v>
      </c>
      <c r="F716" t="s">
        <v>111</v>
      </c>
      <c r="G716" t="s">
        <v>96</v>
      </c>
      <c r="H716" t="s">
        <v>89</v>
      </c>
      <c r="I716">
        <v>4</v>
      </c>
      <c r="J716">
        <v>210.06</v>
      </c>
      <c r="K716">
        <v>0.05</v>
      </c>
      <c r="L716" t="s">
        <v>504</v>
      </c>
      <c r="M716">
        <v>1</v>
      </c>
      <c r="N716" t="s">
        <v>91</v>
      </c>
      <c r="O716" t="s">
        <v>89</v>
      </c>
      <c r="P716" t="s">
        <v>226</v>
      </c>
      <c r="Q716" t="s">
        <v>675</v>
      </c>
      <c r="R716" t="s">
        <v>111</v>
      </c>
      <c r="S716" t="s">
        <v>98</v>
      </c>
      <c r="T716">
        <v>1</v>
      </c>
      <c r="U716" t="s">
        <v>1344</v>
      </c>
      <c r="V716" t="s">
        <v>1325</v>
      </c>
      <c r="W716" t="s">
        <v>1241</v>
      </c>
      <c r="X716" t="s">
        <v>1194</v>
      </c>
      <c r="Y716" t="s">
        <v>1193</v>
      </c>
      <c r="Z716">
        <v>127.21</v>
      </c>
      <c r="AA716">
        <v>840.24</v>
      </c>
      <c r="AB716">
        <v>42.012</v>
      </c>
      <c r="AC716">
        <v>798.22800000000007</v>
      </c>
      <c r="AD716">
        <v>508.84</v>
      </c>
      <c r="AE716">
        <v>289.38800000000009</v>
      </c>
      <c r="AF716">
        <v>0.36253802171810567</v>
      </c>
      <c r="AG716">
        <v>2025</v>
      </c>
      <c r="AH716">
        <v>10</v>
      </c>
      <c r="AI716" t="s">
        <v>1431</v>
      </c>
      <c r="AJ716" t="s">
        <v>1427</v>
      </c>
      <c r="AK716" t="s">
        <v>1326</v>
      </c>
      <c r="AL716">
        <v>0</v>
      </c>
    </row>
    <row r="717" spans="1:38">
      <c r="A717" t="s">
        <v>1151</v>
      </c>
      <c r="B717" s="13">
        <v>45801</v>
      </c>
      <c r="C717" t="s">
        <v>706</v>
      </c>
      <c r="D717" t="s">
        <v>157</v>
      </c>
      <c r="E717" t="s">
        <v>707</v>
      </c>
      <c r="F717" t="s">
        <v>111</v>
      </c>
      <c r="G717" t="s">
        <v>104</v>
      </c>
      <c r="H717" t="s">
        <v>97</v>
      </c>
      <c r="I717">
        <v>1</v>
      </c>
      <c r="J717">
        <v>297.7</v>
      </c>
      <c r="K717">
        <v>0.15</v>
      </c>
      <c r="L717" t="s">
        <v>90</v>
      </c>
      <c r="M717">
        <v>0</v>
      </c>
      <c r="N717" t="s">
        <v>91</v>
      </c>
      <c r="O717" t="s">
        <v>97</v>
      </c>
      <c r="P717" t="s">
        <v>157</v>
      </c>
      <c r="Q717" t="s">
        <v>706</v>
      </c>
      <c r="R717" t="s">
        <v>111</v>
      </c>
      <c r="S717" t="s">
        <v>369</v>
      </c>
      <c r="T717">
        <v>1</v>
      </c>
      <c r="U717" t="s">
        <v>1251</v>
      </c>
      <c r="V717" t="s">
        <v>1247</v>
      </c>
      <c r="W717" t="s">
        <v>1237</v>
      </c>
      <c r="X717" t="s">
        <v>1192</v>
      </c>
      <c r="Y717" t="s">
        <v>1193</v>
      </c>
      <c r="Z717">
        <v>176.13</v>
      </c>
      <c r="AA717">
        <v>297.7</v>
      </c>
      <c r="AB717">
        <v>44.654999999999994</v>
      </c>
      <c r="AC717">
        <v>253.04499999999999</v>
      </c>
      <c r="AD717">
        <v>176.13</v>
      </c>
      <c r="AE717">
        <v>76.914999999999992</v>
      </c>
      <c r="AF717">
        <v>0.30395779406824869</v>
      </c>
      <c r="AG717">
        <v>2025</v>
      </c>
      <c r="AH717">
        <v>5</v>
      </c>
      <c r="AI717" t="s">
        <v>1419</v>
      </c>
      <c r="AJ717" t="s">
        <v>1420</v>
      </c>
      <c r="AK717" t="s">
        <v>1240</v>
      </c>
      <c r="AL717">
        <v>0</v>
      </c>
    </row>
    <row r="718" spans="1:38">
      <c r="A718" t="s">
        <v>1153</v>
      </c>
      <c r="B718" s="13">
        <v>45695</v>
      </c>
      <c r="C718" t="s">
        <v>220</v>
      </c>
      <c r="D718" t="s">
        <v>738</v>
      </c>
      <c r="E718" t="s">
        <v>222</v>
      </c>
      <c r="F718" t="s">
        <v>116</v>
      </c>
      <c r="G718" t="s">
        <v>130</v>
      </c>
      <c r="H718" t="s">
        <v>97</v>
      </c>
      <c r="I718">
        <v>2</v>
      </c>
      <c r="J718">
        <v>328.35</v>
      </c>
      <c r="K718">
        <v>0.05</v>
      </c>
      <c r="L718" t="s">
        <v>106</v>
      </c>
      <c r="M718">
        <v>3</v>
      </c>
      <c r="N718" t="s">
        <v>91</v>
      </c>
      <c r="O718" t="s">
        <v>97</v>
      </c>
      <c r="P718" t="s">
        <v>738</v>
      </c>
      <c r="Q718" t="s">
        <v>220</v>
      </c>
      <c r="R718" t="s">
        <v>116</v>
      </c>
      <c r="S718" t="s">
        <v>106</v>
      </c>
      <c r="T718">
        <v>1</v>
      </c>
      <c r="U718" t="s">
        <v>1315</v>
      </c>
      <c r="V718" t="s">
        <v>1255</v>
      </c>
      <c r="W718" t="s">
        <v>1237</v>
      </c>
      <c r="X718" t="s">
        <v>1201</v>
      </c>
      <c r="Y718" t="s">
        <v>1193</v>
      </c>
      <c r="Z718">
        <v>156.75</v>
      </c>
      <c r="AA718">
        <v>656.7</v>
      </c>
      <c r="AB718">
        <v>32.835000000000001</v>
      </c>
      <c r="AC718">
        <v>623.86500000000001</v>
      </c>
      <c r="AD718">
        <v>313.5</v>
      </c>
      <c r="AE718">
        <v>310.36500000000001</v>
      </c>
      <c r="AF718">
        <v>0.49748743718592964</v>
      </c>
      <c r="AG718">
        <v>2025</v>
      </c>
      <c r="AH718">
        <v>2</v>
      </c>
      <c r="AI718" t="s">
        <v>1430</v>
      </c>
      <c r="AJ718" t="s">
        <v>1424</v>
      </c>
      <c r="AK718" t="s">
        <v>1244</v>
      </c>
      <c r="AL718">
        <v>0</v>
      </c>
    </row>
    <row r="719" spans="1:38">
      <c r="A719" t="s">
        <v>1154</v>
      </c>
      <c r="B719" s="13">
        <v>46014</v>
      </c>
      <c r="C719" t="s">
        <v>290</v>
      </c>
      <c r="D719" t="s">
        <v>120</v>
      </c>
      <c r="E719" t="s">
        <v>732</v>
      </c>
      <c r="F719" t="s">
        <v>87</v>
      </c>
      <c r="G719" t="s">
        <v>117</v>
      </c>
      <c r="H719" t="s">
        <v>89</v>
      </c>
      <c r="I719">
        <v>2</v>
      </c>
      <c r="J719">
        <v>377.86</v>
      </c>
      <c r="K719">
        <v>0.25</v>
      </c>
      <c r="L719" t="s">
        <v>98</v>
      </c>
      <c r="M719">
        <v>6</v>
      </c>
      <c r="N719" t="s">
        <v>91</v>
      </c>
      <c r="O719" t="s">
        <v>89</v>
      </c>
      <c r="P719" t="s">
        <v>120</v>
      </c>
      <c r="Q719" t="s">
        <v>290</v>
      </c>
      <c r="R719" t="s">
        <v>87</v>
      </c>
      <c r="S719" t="s">
        <v>98</v>
      </c>
      <c r="T719">
        <v>1</v>
      </c>
      <c r="U719" t="s">
        <v>1356</v>
      </c>
      <c r="V719" t="s">
        <v>1255</v>
      </c>
      <c r="W719" t="s">
        <v>1245</v>
      </c>
      <c r="X719" t="s">
        <v>1199</v>
      </c>
      <c r="Y719" t="s">
        <v>1193</v>
      </c>
      <c r="Z719">
        <v>235.76</v>
      </c>
      <c r="AA719">
        <v>755.72</v>
      </c>
      <c r="AB719">
        <v>188.93</v>
      </c>
      <c r="AC719">
        <v>566.79</v>
      </c>
      <c r="AD719">
        <v>471.52</v>
      </c>
      <c r="AE719">
        <v>95.269999999999982</v>
      </c>
      <c r="AF719">
        <v>0.16808694578238853</v>
      </c>
      <c r="AG719">
        <v>2025</v>
      </c>
      <c r="AH719">
        <v>12</v>
      </c>
      <c r="AI719" t="s">
        <v>1428</v>
      </c>
      <c r="AJ719" t="s">
        <v>1427</v>
      </c>
      <c r="AK719" t="s">
        <v>1244</v>
      </c>
      <c r="AL719">
        <v>0</v>
      </c>
    </row>
    <row r="720" spans="1:38">
      <c r="A720" t="s">
        <v>1157</v>
      </c>
      <c r="B720" s="13">
        <v>45954</v>
      </c>
      <c r="C720" t="s">
        <v>512</v>
      </c>
      <c r="D720" t="s">
        <v>738</v>
      </c>
      <c r="E720" t="s">
        <v>513</v>
      </c>
      <c r="F720" t="s">
        <v>103</v>
      </c>
      <c r="G720" t="s">
        <v>96</v>
      </c>
      <c r="H720" t="s">
        <v>233</v>
      </c>
      <c r="I720">
        <v>4</v>
      </c>
      <c r="J720">
        <v>328.67</v>
      </c>
      <c r="K720">
        <v>0</v>
      </c>
      <c r="L720" t="s">
        <v>90</v>
      </c>
      <c r="M720">
        <v>1</v>
      </c>
      <c r="N720" t="s">
        <v>91</v>
      </c>
      <c r="O720" t="s">
        <v>97</v>
      </c>
      <c r="P720" t="s">
        <v>738</v>
      </c>
      <c r="Q720" t="s">
        <v>512</v>
      </c>
      <c r="R720" t="s">
        <v>103</v>
      </c>
      <c r="S720" t="s">
        <v>369</v>
      </c>
      <c r="T720">
        <v>1</v>
      </c>
      <c r="U720" t="s">
        <v>1273</v>
      </c>
      <c r="V720" t="s">
        <v>1284</v>
      </c>
      <c r="W720" t="s">
        <v>1241</v>
      </c>
      <c r="X720" t="s">
        <v>1201</v>
      </c>
      <c r="Y720" t="s">
        <v>1193</v>
      </c>
      <c r="Z720">
        <v>156.75</v>
      </c>
      <c r="AA720">
        <v>1314.68</v>
      </c>
      <c r="AB720">
        <v>0</v>
      </c>
      <c r="AC720">
        <v>1314.68</v>
      </c>
      <c r="AD720">
        <v>627</v>
      </c>
      <c r="AE720">
        <v>687.68000000000006</v>
      </c>
      <c r="AF720">
        <v>0.52307785925092043</v>
      </c>
      <c r="AG720">
        <v>2025</v>
      </c>
      <c r="AH720">
        <v>10</v>
      </c>
      <c r="AI720" t="s">
        <v>1431</v>
      </c>
      <c r="AJ720" t="s">
        <v>1427</v>
      </c>
      <c r="AK720" t="s">
        <v>1285</v>
      </c>
      <c r="AL720">
        <v>0</v>
      </c>
    </row>
    <row r="721" spans="1:38">
      <c r="A721" t="s">
        <v>1168</v>
      </c>
      <c r="B721" s="13">
        <v>45918</v>
      </c>
      <c r="C721" t="s">
        <v>128</v>
      </c>
      <c r="D721" t="s">
        <v>503</v>
      </c>
      <c r="E721" t="s">
        <v>129</v>
      </c>
      <c r="F721" t="s">
        <v>145</v>
      </c>
      <c r="G721" t="s">
        <v>130</v>
      </c>
      <c r="H721" t="s">
        <v>97</v>
      </c>
      <c r="I721">
        <v>4</v>
      </c>
      <c r="J721">
        <v>123.21</v>
      </c>
      <c r="K721">
        <v>0</v>
      </c>
      <c r="L721" t="s">
        <v>353</v>
      </c>
      <c r="M721">
        <v>2</v>
      </c>
      <c r="N721" t="s">
        <v>91</v>
      </c>
      <c r="O721" t="s">
        <v>97</v>
      </c>
      <c r="P721" t="s">
        <v>503</v>
      </c>
      <c r="Q721" t="s">
        <v>128</v>
      </c>
      <c r="R721" t="s">
        <v>145</v>
      </c>
      <c r="S721" t="s">
        <v>106</v>
      </c>
      <c r="T721">
        <v>1</v>
      </c>
      <c r="U721" t="s">
        <v>1264</v>
      </c>
      <c r="V721" t="s">
        <v>1235</v>
      </c>
      <c r="W721" t="s">
        <v>1237</v>
      </c>
      <c r="X721" t="s">
        <v>1197</v>
      </c>
      <c r="Y721" t="s">
        <v>1193</v>
      </c>
      <c r="Z721">
        <v>85.73</v>
      </c>
      <c r="AA721">
        <v>492.84</v>
      </c>
      <c r="AB721">
        <v>0</v>
      </c>
      <c r="AC721">
        <v>492.84</v>
      </c>
      <c r="AD721">
        <v>342.92</v>
      </c>
      <c r="AE721">
        <v>149.91999999999996</v>
      </c>
      <c r="AF721">
        <v>0.30419608797987169</v>
      </c>
      <c r="AG721">
        <v>2025</v>
      </c>
      <c r="AH721">
        <v>9</v>
      </c>
      <c r="AI721" t="s">
        <v>1432</v>
      </c>
      <c r="AJ721" t="s">
        <v>1418</v>
      </c>
      <c r="AK721" t="s">
        <v>1236</v>
      </c>
      <c r="AL721">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8"/>
  <sheetViews>
    <sheetView workbookViewId="0">
      <selection activeCell="F32" sqref="F32"/>
    </sheetView>
  </sheetViews>
  <sheetFormatPr baseColWidth="10" defaultRowHeight="13.8"/>
  <cols>
    <col min="1" max="1" width="20.3984375" bestFit="1" customWidth="1"/>
    <col min="2" max="2" width="19.796875" customWidth="1"/>
    <col min="3" max="3" width="15.59765625" customWidth="1"/>
    <col min="4" max="4" width="5.8984375" customWidth="1"/>
    <col min="5" max="5" width="20.3984375" customWidth="1"/>
    <col min="6" max="6" width="23" customWidth="1"/>
    <col min="7" max="8" width="19" customWidth="1"/>
    <col min="9" max="9" width="12.19921875" bestFit="1" customWidth="1"/>
    <col min="10" max="10" width="11.69921875" bestFit="1" customWidth="1"/>
    <col min="11" max="11" width="15" style="14" bestFit="1" customWidth="1"/>
    <col min="12" max="12" width="19.09765625" bestFit="1" customWidth="1"/>
    <col min="13" max="13" width="20.3984375" bestFit="1" customWidth="1"/>
    <col min="14" max="14" width="19.796875" bestFit="1" customWidth="1"/>
    <col min="15" max="15" width="15.59765625" bestFit="1" customWidth="1"/>
    <col min="16" max="18" width="5.8984375" customWidth="1"/>
    <col min="19" max="23" width="6.8984375" customWidth="1"/>
    <col min="24" max="24" width="5.8984375" customWidth="1"/>
    <col min="25" max="25" width="6.8984375" customWidth="1"/>
    <col min="26" max="27" width="5.8984375" customWidth="1"/>
    <col min="28" max="30" width="6.8984375" customWidth="1"/>
    <col min="31" max="31" width="5.8984375" customWidth="1"/>
    <col min="32" max="32" width="7.8984375" customWidth="1"/>
    <col min="33" max="34" width="6.8984375" customWidth="1"/>
    <col min="35" max="35" width="5.8984375" customWidth="1"/>
    <col min="36" max="36" width="7.8984375" customWidth="1"/>
    <col min="37" max="37" width="5.8984375" customWidth="1"/>
    <col min="38" max="38" width="6.8984375" customWidth="1"/>
    <col min="39" max="39" width="7.8984375" customWidth="1"/>
    <col min="40" max="44" width="6.8984375" customWidth="1"/>
    <col min="45" max="45" width="7.8984375" customWidth="1"/>
    <col min="46" max="46" width="6.8984375" customWidth="1"/>
    <col min="47" max="47" width="7.8984375" customWidth="1"/>
    <col min="48" max="48" width="5.8984375" customWidth="1"/>
    <col min="49" max="49" width="7.8984375" customWidth="1"/>
    <col min="50" max="52" width="6.8984375" customWidth="1"/>
    <col min="53" max="53" width="5.8984375" customWidth="1"/>
    <col min="54" max="54" width="6.8984375" customWidth="1"/>
    <col min="55" max="56" width="7.8984375" customWidth="1"/>
    <col min="57" max="58" width="5.8984375" customWidth="1"/>
    <col min="59" max="59" width="6.8984375" customWidth="1"/>
    <col min="60" max="64" width="5.8984375" customWidth="1"/>
    <col min="65" max="65" width="7.8984375" customWidth="1"/>
    <col min="66" max="66" width="5.8984375" customWidth="1"/>
    <col min="67" max="68" width="6.8984375" customWidth="1"/>
    <col min="69" max="70" width="7.8984375" customWidth="1"/>
    <col min="71" max="78" width="6.8984375" customWidth="1"/>
    <col min="79" max="80" width="7.8984375" customWidth="1"/>
    <col min="81" max="83" width="5.8984375" customWidth="1"/>
    <col min="84" max="85" width="7.8984375" customWidth="1"/>
    <col min="86" max="86" width="8.8984375" customWidth="1"/>
    <col min="87" max="87" width="7.8984375" customWidth="1"/>
    <col min="88" max="88" width="6.8984375" customWidth="1"/>
    <col min="89" max="89" width="8.8984375" customWidth="1"/>
    <col min="90" max="90" width="7.8984375" customWidth="1"/>
    <col min="91" max="91" width="6.8984375" customWidth="1"/>
    <col min="92" max="92" width="5.8984375" customWidth="1"/>
    <col min="93" max="93" width="7.8984375" customWidth="1"/>
    <col min="94" max="94" width="8.8984375" customWidth="1"/>
    <col min="95" max="95" width="7.8984375" customWidth="1"/>
    <col min="96" max="96" width="6.8984375" customWidth="1"/>
    <col min="97" max="97" width="8.8984375" customWidth="1"/>
    <col min="98" max="98" width="7.8984375" customWidth="1"/>
    <col min="99" max="99" width="8.8984375" customWidth="1"/>
    <col min="100" max="100" width="7.8984375" customWidth="1"/>
    <col min="101" max="103" width="6.8984375" customWidth="1"/>
    <col min="104" max="104" width="7.8984375" customWidth="1"/>
    <col min="105" max="106" width="6.8984375" customWidth="1"/>
    <col min="107" max="107" width="7.8984375" customWidth="1"/>
    <col min="108" max="108" width="6.8984375" customWidth="1"/>
    <col min="109" max="109" width="8.8984375" customWidth="1"/>
    <col min="110" max="110" width="6.8984375" customWidth="1"/>
    <col min="111" max="111" width="8.8984375" customWidth="1"/>
    <col min="112" max="112" width="6.8984375" customWidth="1"/>
    <col min="113" max="113" width="7.8984375" customWidth="1"/>
    <col min="114" max="114" width="6.8984375" customWidth="1"/>
    <col min="115" max="115" width="8.8984375" customWidth="1"/>
    <col min="116" max="116" width="7.8984375" customWidth="1"/>
    <col min="117" max="117" width="6.8984375" customWidth="1"/>
    <col min="118" max="121" width="7.8984375" customWidth="1"/>
    <col min="122" max="123" width="8.8984375" customWidth="1"/>
    <col min="124" max="124" width="6.8984375" customWidth="1"/>
    <col min="125" max="127" width="7.8984375" customWidth="1"/>
    <col min="128" max="128" width="8.8984375" customWidth="1"/>
    <col min="129" max="130" width="7.8984375" customWidth="1"/>
    <col min="131" max="131" width="6.8984375" customWidth="1"/>
    <col min="132" max="132" width="8.8984375" customWidth="1"/>
    <col min="133" max="137" width="7.8984375" customWidth="1"/>
    <col min="138" max="138" width="6.8984375" customWidth="1"/>
    <col min="139" max="139" width="5.8984375" customWidth="1"/>
    <col min="140" max="140" width="6.8984375" customWidth="1"/>
    <col min="141" max="141" width="7.8984375" customWidth="1"/>
    <col min="142" max="142" width="5.3984375" customWidth="1"/>
    <col min="143" max="143" width="8.8984375" customWidth="1"/>
    <col min="144" max="145" width="7.8984375" customWidth="1"/>
    <col min="146" max="147" width="6.8984375" customWidth="1"/>
    <col min="148" max="148" width="7.8984375" customWidth="1"/>
    <col min="149" max="149" width="8.8984375" customWidth="1"/>
    <col min="150" max="154" width="6.8984375" customWidth="1"/>
    <col min="155" max="155" width="8.8984375" customWidth="1"/>
    <col min="156" max="156" width="6.8984375" customWidth="1"/>
    <col min="157" max="157" width="7.8984375" customWidth="1"/>
    <col min="158" max="158" width="6.8984375" customWidth="1"/>
    <col min="159" max="159" width="7.8984375" customWidth="1"/>
    <col min="160" max="160" width="6.8984375" customWidth="1"/>
    <col min="161" max="162" width="5.8984375" customWidth="1"/>
    <col min="163" max="163" width="7.8984375" customWidth="1"/>
    <col min="164" max="164" width="8.8984375" customWidth="1"/>
    <col min="165" max="165" width="7.8984375" customWidth="1"/>
    <col min="166" max="166" width="6.8984375" customWidth="1"/>
    <col min="167" max="167" width="7.8984375" customWidth="1"/>
    <col min="168" max="168" width="6.8984375" customWidth="1"/>
    <col min="169" max="170" width="7.8984375" customWidth="1"/>
    <col min="171" max="171" width="6.8984375" customWidth="1"/>
    <col min="172" max="173" width="7.8984375" customWidth="1"/>
    <col min="174" max="174" width="8.8984375" customWidth="1"/>
    <col min="175" max="176" width="7.8984375" customWidth="1"/>
    <col min="177" max="177" width="8.8984375" customWidth="1"/>
    <col min="178" max="178" width="7.8984375" customWidth="1"/>
    <col min="179" max="180" width="6.8984375" customWidth="1"/>
    <col min="181" max="181" width="7.8984375" customWidth="1"/>
    <col min="182" max="182" width="6.8984375" customWidth="1"/>
    <col min="183" max="184" width="7.8984375" customWidth="1"/>
    <col min="185" max="185" width="6.8984375" customWidth="1"/>
    <col min="186" max="187" width="7.8984375" customWidth="1"/>
    <col min="188" max="188" width="8.8984375" customWidth="1"/>
    <col min="189" max="189" width="6.8984375" customWidth="1"/>
    <col min="190" max="190" width="7.8984375" customWidth="1"/>
    <col min="191" max="191" width="6.8984375" customWidth="1"/>
    <col min="192" max="195" width="7.8984375" customWidth="1"/>
    <col min="196" max="196" width="6.8984375" customWidth="1"/>
    <col min="197" max="197" width="7.8984375" customWidth="1"/>
    <col min="198" max="198" width="8.8984375" customWidth="1"/>
    <col min="199" max="199" width="7.8984375" customWidth="1"/>
    <col min="200" max="202" width="6.8984375" customWidth="1"/>
    <col min="203" max="204" width="7.8984375" customWidth="1"/>
    <col min="205" max="205" width="6.8984375" customWidth="1"/>
    <col min="206" max="206" width="5.8984375" customWidth="1"/>
    <col min="207" max="216" width="7.8984375" customWidth="1"/>
    <col min="217" max="217" width="6.8984375" customWidth="1"/>
    <col min="218" max="218" width="7.8984375" customWidth="1"/>
    <col min="219" max="221" width="6.8984375" customWidth="1"/>
    <col min="222" max="222" width="7.8984375" customWidth="1"/>
    <col min="223" max="223" width="6.8984375" customWidth="1"/>
    <col min="224" max="228" width="7.8984375" customWidth="1"/>
    <col min="229" max="229" width="6.8984375" customWidth="1"/>
    <col min="230" max="230" width="8.8984375" customWidth="1"/>
    <col min="231" max="234" width="7.8984375" customWidth="1"/>
    <col min="235" max="235" width="6.8984375" customWidth="1"/>
    <col min="236" max="236" width="8.8984375" customWidth="1"/>
    <col min="237" max="237" width="6.8984375" customWidth="1"/>
    <col min="238" max="238" width="8.8984375" customWidth="1"/>
    <col min="239" max="239" width="6.8984375" customWidth="1"/>
    <col min="240" max="240" width="7.8984375" customWidth="1"/>
    <col min="241" max="242" width="8.8984375" customWidth="1"/>
    <col min="243" max="243" width="7.8984375" customWidth="1"/>
    <col min="244" max="245" width="6.8984375" customWidth="1"/>
    <col min="246" max="247" width="8.8984375" customWidth="1"/>
    <col min="248" max="248" width="7.8984375" customWidth="1"/>
    <col min="249" max="249" width="8.8984375" customWidth="1"/>
    <col min="250" max="251" width="7.8984375" customWidth="1"/>
    <col min="252" max="253" width="6.8984375" customWidth="1"/>
    <col min="254" max="254" width="5.8984375" customWidth="1"/>
    <col min="255" max="255" width="6.8984375" customWidth="1"/>
    <col min="256" max="257" width="7.8984375" customWidth="1"/>
    <col min="258" max="258" width="6.8984375" customWidth="1"/>
    <col min="259" max="259" width="7.8984375" customWidth="1"/>
    <col min="260" max="260" width="6.8984375" customWidth="1"/>
    <col min="261" max="261" width="7.8984375" customWidth="1"/>
    <col min="262" max="265" width="6.8984375" customWidth="1"/>
    <col min="266" max="268" width="7.8984375" customWidth="1"/>
    <col min="269" max="269" width="8.8984375" customWidth="1"/>
    <col min="270" max="270" width="7.8984375" customWidth="1"/>
    <col min="271" max="271" width="6.8984375" customWidth="1"/>
    <col min="272" max="272" width="8.8984375" customWidth="1"/>
    <col min="273" max="273" width="7.8984375" customWidth="1"/>
    <col min="274" max="276" width="6.8984375" customWidth="1"/>
    <col min="277" max="277" width="8.8984375" customWidth="1"/>
    <col min="278" max="278" width="7.8984375" customWidth="1"/>
    <col min="279" max="279" width="6.8984375" customWidth="1"/>
    <col min="280" max="280" width="8.8984375" customWidth="1"/>
    <col min="281" max="282" width="7.8984375" customWidth="1"/>
    <col min="283" max="283" width="6.8984375" customWidth="1"/>
    <col min="284" max="284" width="5.8984375" customWidth="1"/>
    <col min="285" max="287" width="7.8984375" customWidth="1"/>
    <col min="288" max="288" width="6.3984375" customWidth="1"/>
    <col min="289" max="290" width="6.8984375" customWidth="1"/>
    <col min="291" max="291" width="7.8984375" customWidth="1"/>
    <col min="292" max="292" width="6.8984375" customWidth="1"/>
    <col min="293" max="293" width="7.8984375" customWidth="1"/>
    <col min="294" max="295" width="6.8984375" customWidth="1"/>
    <col min="296" max="298" width="7.8984375" customWidth="1"/>
    <col min="299" max="299" width="8.8984375" customWidth="1"/>
    <col min="300" max="305" width="6.8984375" customWidth="1"/>
    <col min="306" max="306" width="8.8984375" customWidth="1"/>
    <col min="307" max="307" width="7.8984375" customWidth="1"/>
    <col min="308" max="308" width="6.8984375" customWidth="1"/>
    <col min="309" max="309" width="7.8984375" customWidth="1"/>
    <col min="310" max="310" width="8.8984375" customWidth="1"/>
    <col min="311" max="311" width="7.8984375" customWidth="1"/>
    <col min="312" max="312" width="6.8984375" customWidth="1"/>
    <col min="313" max="313" width="8.8984375" customWidth="1"/>
    <col min="314" max="314" width="6.8984375" customWidth="1"/>
    <col min="315" max="315" width="7.8984375" customWidth="1"/>
    <col min="316" max="316" width="5.8984375" customWidth="1"/>
    <col min="317" max="321" width="7.8984375" customWidth="1"/>
    <col min="322" max="323" width="6.8984375" customWidth="1"/>
    <col min="324" max="324" width="7.8984375" customWidth="1"/>
    <col min="325" max="325" width="6.8984375" customWidth="1"/>
    <col min="326" max="327" width="7.8984375" customWidth="1"/>
    <col min="328" max="330" width="6.8984375" customWidth="1"/>
    <col min="331" max="331" width="7.8984375" customWidth="1"/>
    <col min="332" max="332" width="8.8984375" customWidth="1"/>
    <col min="333" max="336" width="6.8984375" customWidth="1"/>
    <col min="337" max="339" width="7.8984375" customWidth="1"/>
    <col min="340" max="340" width="5.3984375" customWidth="1"/>
    <col min="341" max="341" width="6.8984375" customWidth="1"/>
    <col min="342" max="342" width="7.8984375" customWidth="1"/>
    <col min="343" max="343" width="6.8984375" customWidth="1"/>
    <col min="344" max="344" width="7.8984375" customWidth="1"/>
    <col min="345" max="345" width="6.8984375" customWidth="1"/>
    <col min="346" max="347" width="7.8984375" customWidth="1"/>
    <col min="348" max="349" width="8.8984375" customWidth="1"/>
    <col min="350" max="350" width="6.3984375" customWidth="1"/>
    <col min="351" max="351" width="7.8984375" customWidth="1"/>
    <col min="352" max="353" width="6.8984375" customWidth="1"/>
    <col min="354" max="354" width="7.8984375" customWidth="1"/>
    <col min="355" max="356" width="6.8984375" customWidth="1"/>
    <col min="357" max="357" width="7.8984375" customWidth="1"/>
    <col min="358" max="360" width="6.8984375" customWidth="1"/>
    <col min="361" max="361" width="7.8984375" customWidth="1"/>
    <col min="362" max="362" width="8.8984375" customWidth="1"/>
    <col min="363" max="364" width="6.8984375" customWidth="1"/>
    <col min="365" max="366" width="8.8984375" customWidth="1"/>
    <col min="367" max="367" width="7.8984375" customWidth="1"/>
    <col min="368" max="368" width="6.8984375" customWidth="1"/>
    <col min="369" max="369" width="7.8984375" customWidth="1"/>
    <col min="370" max="370" width="8.8984375" customWidth="1"/>
    <col min="371" max="373" width="6.8984375" customWidth="1"/>
    <col min="374" max="374" width="7.8984375" customWidth="1"/>
    <col min="375" max="375" width="6.8984375" customWidth="1"/>
    <col min="376" max="376" width="8.8984375" customWidth="1"/>
    <col min="377" max="377" width="7.8984375" customWidth="1"/>
    <col min="378" max="378" width="6.8984375" customWidth="1"/>
    <col min="379" max="379" width="8.8984375" customWidth="1"/>
    <col min="380" max="380" width="6.8984375" customWidth="1"/>
    <col min="381" max="381" width="8.8984375" customWidth="1"/>
    <col min="382" max="383" width="6.8984375" customWidth="1"/>
    <col min="384" max="384" width="6.3984375" customWidth="1"/>
    <col min="385" max="386" width="7.8984375" customWidth="1"/>
    <col min="387" max="388" width="6.8984375" customWidth="1"/>
    <col min="389" max="389" width="7.8984375" customWidth="1"/>
    <col min="390" max="391" width="6.8984375" customWidth="1"/>
    <col min="392" max="392" width="7.8984375" customWidth="1"/>
    <col min="393" max="393" width="8.8984375" customWidth="1"/>
    <col min="394" max="394" width="7.8984375" customWidth="1"/>
    <col min="395" max="396" width="6.8984375" customWidth="1"/>
    <col min="397" max="397" width="7.8984375" customWidth="1"/>
    <col min="398" max="398" width="6.8984375" customWidth="1"/>
    <col min="399" max="399" width="7.8984375" customWidth="1"/>
    <col min="400" max="401" width="6.8984375" customWidth="1"/>
    <col min="402" max="402" width="7.8984375" customWidth="1"/>
    <col min="403" max="404" width="6.8984375" customWidth="1"/>
    <col min="405" max="405" width="7.8984375" customWidth="1"/>
    <col min="406" max="408" width="6.8984375" customWidth="1"/>
    <col min="409" max="409" width="7.8984375" customWidth="1"/>
    <col min="410" max="410" width="6.8984375" customWidth="1"/>
    <col min="411" max="412" width="8.8984375" customWidth="1"/>
    <col min="413" max="413" width="6.8984375" customWidth="1"/>
    <col min="414" max="414" width="7.8984375" customWidth="1"/>
    <col min="415" max="417" width="6.8984375" customWidth="1"/>
    <col min="418" max="419" width="7.8984375" customWidth="1"/>
    <col min="420" max="420" width="6.8984375" customWidth="1"/>
    <col min="421" max="421" width="7.8984375" customWidth="1"/>
    <col min="422" max="425" width="6.8984375" customWidth="1"/>
    <col min="426" max="426" width="7.8984375" customWidth="1"/>
    <col min="427" max="429" width="6.8984375" customWidth="1"/>
    <col min="430" max="430" width="7.8984375" customWidth="1"/>
    <col min="431" max="431" width="6.8984375" customWidth="1"/>
    <col min="432" max="432" width="7.8984375" customWidth="1"/>
    <col min="433" max="433" width="6.8984375" customWidth="1"/>
    <col min="434" max="434" width="8.8984375" customWidth="1"/>
    <col min="435" max="436" width="7.8984375" customWidth="1"/>
    <col min="437" max="437" width="6.3984375" customWidth="1"/>
    <col min="438" max="438" width="7.8984375" customWidth="1"/>
    <col min="439" max="439" width="6.8984375" customWidth="1"/>
    <col min="440" max="442" width="7.8984375" customWidth="1"/>
    <col min="443" max="444" width="6.8984375" customWidth="1"/>
    <col min="445" max="446" width="7.8984375" customWidth="1"/>
    <col min="447" max="447" width="6.8984375" customWidth="1"/>
    <col min="448" max="448" width="7.8984375" customWidth="1"/>
    <col min="449" max="449" width="8.8984375" customWidth="1"/>
    <col min="450" max="450" width="6.8984375" customWidth="1"/>
    <col min="451" max="451" width="7.8984375" customWidth="1"/>
    <col min="452" max="452" width="6.8984375" customWidth="1"/>
    <col min="453" max="453" width="7.8984375" customWidth="1"/>
    <col min="454" max="454" width="8.8984375" customWidth="1"/>
    <col min="455" max="455" width="7.8984375" customWidth="1"/>
    <col min="456" max="457" width="6.8984375" customWidth="1"/>
    <col min="458" max="458" width="7.8984375" customWidth="1"/>
    <col min="459" max="459" width="6.8984375" customWidth="1"/>
    <col min="460" max="460" width="8.8984375" customWidth="1"/>
    <col min="461" max="461" width="7.8984375" customWidth="1"/>
    <col min="462" max="462" width="6.8984375" customWidth="1"/>
    <col min="463" max="464" width="7.8984375" customWidth="1"/>
    <col min="465" max="465" width="6.3984375" customWidth="1"/>
    <col min="466" max="467" width="7.8984375" customWidth="1"/>
    <col min="468" max="471" width="6.8984375" customWidth="1"/>
    <col min="472" max="472" width="7.8984375" customWidth="1"/>
    <col min="473" max="473" width="6.8984375" customWidth="1"/>
    <col min="474" max="478" width="7.8984375" customWidth="1"/>
    <col min="479" max="479" width="6.8984375" customWidth="1"/>
    <col min="480" max="482" width="7.8984375" customWidth="1"/>
    <col min="483" max="483" width="8.8984375" customWidth="1"/>
    <col min="484" max="484" width="7.8984375" customWidth="1"/>
    <col min="485" max="485" width="6.8984375" customWidth="1"/>
    <col min="486" max="488" width="7.8984375" customWidth="1"/>
    <col min="489" max="490" width="6.8984375" customWidth="1"/>
    <col min="491" max="493" width="7.8984375" customWidth="1"/>
    <col min="494" max="494" width="6.8984375" customWidth="1"/>
    <col min="495" max="498" width="7.8984375" customWidth="1"/>
    <col min="499" max="499" width="6.8984375" customWidth="1"/>
    <col min="500" max="500" width="7.8984375" customWidth="1"/>
    <col min="501" max="502" width="6.8984375" customWidth="1"/>
    <col min="503" max="504" width="7.8984375" customWidth="1"/>
    <col min="505" max="505" width="6.8984375" customWidth="1"/>
    <col min="506" max="513" width="7.8984375" customWidth="1"/>
    <col min="514" max="514" width="6.8984375" customWidth="1"/>
    <col min="515" max="518" width="7.8984375" customWidth="1"/>
    <col min="519" max="519" width="6.3984375" customWidth="1"/>
    <col min="520" max="520" width="7.8984375" customWidth="1"/>
    <col min="521" max="521" width="6.8984375" customWidth="1"/>
    <col min="522" max="525" width="7.8984375" customWidth="1"/>
    <col min="526" max="526" width="6.8984375" customWidth="1"/>
    <col min="527" max="527" width="7.8984375" customWidth="1"/>
    <col min="528" max="529" width="6.3984375" customWidth="1"/>
    <col min="530" max="530" width="6.8984375" customWidth="1"/>
    <col min="531" max="531" width="7.8984375" customWidth="1"/>
    <col min="532" max="532" width="6.8984375" customWidth="1"/>
    <col min="533" max="535" width="7.8984375" customWidth="1"/>
    <col min="536" max="538" width="6.8984375" customWidth="1"/>
    <col min="539" max="539" width="8.8984375" customWidth="1"/>
    <col min="540" max="540" width="6.8984375" customWidth="1"/>
    <col min="541" max="546" width="7.8984375" customWidth="1"/>
    <col min="547" max="548" width="6.8984375" customWidth="1"/>
    <col min="549" max="549" width="7.8984375" customWidth="1"/>
    <col min="550" max="550" width="6.8984375" customWidth="1"/>
    <col min="551" max="551" width="8.8984375" customWidth="1"/>
    <col min="552" max="553" width="6.8984375" customWidth="1"/>
    <col min="554" max="554" width="7.8984375" customWidth="1"/>
    <col min="555" max="555" width="6.8984375" customWidth="1"/>
    <col min="556" max="556" width="8.8984375" customWidth="1"/>
    <col min="557" max="558" width="7.8984375" customWidth="1"/>
    <col min="559" max="561" width="6.8984375" customWidth="1"/>
    <col min="562" max="565" width="7.8984375" customWidth="1"/>
    <col min="566" max="566" width="6.8984375" customWidth="1"/>
    <col min="567" max="567" width="7.8984375" customWidth="1"/>
    <col min="568" max="568" width="6.8984375" customWidth="1"/>
    <col min="569" max="569" width="7.8984375" customWidth="1"/>
    <col min="570" max="570" width="6.8984375" customWidth="1"/>
    <col min="571" max="571" width="8.8984375" customWidth="1"/>
    <col min="572" max="575" width="7.8984375" customWidth="1"/>
    <col min="576" max="576" width="6.8984375" customWidth="1"/>
    <col min="577" max="577" width="7.8984375" customWidth="1"/>
    <col min="578" max="579" width="6.8984375" customWidth="1"/>
    <col min="580" max="580" width="7.8984375" customWidth="1"/>
    <col min="581" max="582" width="6.8984375" customWidth="1"/>
    <col min="583" max="583" width="7.8984375" customWidth="1"/>
    <col min="584" max="586" width="6.8984375" customWidth="1"/>
    <col min="587" max="587" width="7.8984375" customWidth="1"/>
    <col min="588" max="588" width="6.8984375" customWidth="1"/>
    <col min="589" max="589" width="7.8984375" customWidth="1"/>
    <col min="590" max="590" width="8.8984375" customWidth="1"/>
    <col min="591" max="591" width="7.8984375" customWidth="1"/>
    <col min="592" max="593" width="6.8984375" customWidth="1"/>
    <col min="594" max="594" width="7.8984375" customWidth="1"/>
    <col min="595" max="595" width="6.8984375" customWidth="1"/>
    <col min="596" max="596" width="7.8984375" customWidth="1"/>
    <col min="597" max="597" width="8.8984375" customWidth="1"/>
    <col min="598" max="598" width="7.8984375" customWidth="1"/>
    <col min="599" max="599" width="6.8984375" customWidth="1"/>
    <col min="600" max="600" width="8.8984375" customWidth="1"/>
    <col min="601" max="603" width="7.8984375" customWidth="1"/>
    <col min="604" max="605" width="6.8984375" customWidth="1"/>
    <col min="606" max="608" width="7.8984375" customWidth="1"/>
    <col min="609" max="610" width="6.8984375" customWidth="1"/>
    <col min="611" max="613" width="7.8984375" customWidth="1"/>
    <col min="614" max="614" width="6.8984375" customWidth="1"/>
    <col min="615" max="615" width="7.8984375" customWidth="1"/>
    <col min="616" max="616" width="6.8984375" customWidth="1"/>
    <col min="617" max="618" width="8.8984375" customWidth="1"/>
    <col min="619" max="619" width="6.3984375" customWidth="1"/>
    <col min="620" max="621" width="6.8984375" customWidth="1"/>
    <col min="622" max="622" width="8.8984375" customWidth="1"/>
    <col min="623" max="626" width="7.8984375" customWidth="1"/>
    <col min="627" max="627" width="6.8984375" customWidth="1"/>
    <col min="628" max="628" width="8.8984375" customWidth="1"/>
    <col min="629" max="629" width="6.8984375" customWidth="1"/>
    <col min="630" max="630" width="7.8984375" customWidth="1"/>
    <col min="631" max="631" width="8.8984375" customWidth="1"/>
    <col min="632" max="632" width="7.8984375" customWidth="1"/>
    <col min="633" max="634" width="6.8984375" customWidth="1"/>
    <col min="635" max="636" width="8.8984375" customWidth="1"/>
    <col min="637" max="637" width="6.8984375" customWidth="1"/>
    <col min="638" max="639" width="7.8984375" customWidth="1"/>
    <col min="640" max="640" width="6.8984375" customWidth="1"/>
    <col min="641" max="641" width="7.8984375" customWidth="1"/>
    <col min="642" max="642" width="8.8984375" customWidth="1"/>
    <col min="643" max="644" width="7.8984375" customWidth="1"/>
    <col min="645" max="645" width="8.8984375" customWidth="1"/>
    <col min="646" max="646" width="6.8984375" customWidth="1"/>
    <col min="647" max="648" width="7.8984375" customWidth="1"/>
    <col min="649" max="649" width="8.8984375" customWidth="1"/>
    <col min="650" max="651" width="6.8984375" customWidth="1"/>
    <col min="652" max="652" width="7.8984375" customWidth="1"/>
    <col min="653" max="654" width="6.8984375" customWidth="1"/>
    <col min="655" max="657" width="7.8984375" customWidth="1"/>
    <col min="658" max="658" width="6.8984375" customWidth="1"/>
    <col min="659" max="659" width="7.8984375" customWidth="1"/>
    <col min="660" max="660" width="8.8984375" customWidth="1"/>
    <col min="661" max="661" width="6.8984375" customWidth="1"/>
    <col min="662" max="662" width="8.8984375" customWidth="1"/>
    <col min="663" max="664" width="6.8984375" customWidth="1"/>
    <col min="665" max="665" width="8.8984375" customWidth="1"/>
    <col min="666" max="666" width="6.8984375" customWidth="1"/>
    <col min="667" max="667" width="7.8984375" customWidth="1"/>
    <col min="668" max="669" width="6.8984375" customWidth="1"/>
    <col min="670" max="670" width="7.8984375" customWidth="1"/>
    <col min="671" max="671" width="8.8984375" customWidth="1"/>
    <col min="672" max="673" width="7.8984375" customWidth="1"/>
    <col min="674" max="675" width="9.8984375" customWidth="1"/>
    <col min="676" max="676" width="6.8984375" customWidth="1"/>
    <col min="677" max="678" width="7.8984375" customWidth="1"/>
    <col min="679" max="680" width="8.8984375" customWidth="1"/>
    <col min="681" max="681" width="7.8984375" customWidth="1"/>
    <col min="682" max="682" width="8.8984375" customWidth="1"/>
    <col min="683" max="684" width="7.8984375" customWidth="1"/>
    <col min="685" max="685" width="8.8984375" customWidth="1"/>
    <col min="686" max="690" width="7.8984375" customWidth="1"/>
    <col min="691" max="691" width="6.8984375" customWidth="1"/>
    <col min="692" max="693" width="8.8984375" customWidth="1"/>
    <col min="694" max="694" width="9.8984375" customWidth="1"/>
    <col min="695" max="695" width="8.8984375" customWidth="1"/>
    <col min="696" max="696" width="6.8984375" customWidth="1"/>
    <col min="697" max="698" width="7.8984375" customWidth="1"/>
    <col min="699" max="702" width="8.8984375" customWidth="1"/>
    <col min="703" max="703" width="7.8984375" customWidth="1"/>
    <col min="704" max="704" width="8.8984375" customWidth="1"/>
    <col min="705" max="708" width="7.8984375" customWidth="1"/>
    <col min="709" max="709" width="8.8984375" customWidth="1"/>
    <col min="710" max="710" width="7.8984375" customWidth="1"/>
    <col min="711" max="712" width="8.8984375" customWidth="1"/>
    <col min="713" max="713" width="7.8984375" customWidth="1"/>
    <col min="714" max="714" width="9.8984375" customWidth="1"/>
    <col min="715" max="715" width="8.8984375" customWidth="1"/>
    <col min="716" max="716" width="7.8984375" customWidth="1"/>
    <col min="717" max="717" width="8.8984375" customWidth="1"/>
    <col min="718" max="718" width="6.8984375" customWidth="1"/>
    <col min="719" max="720" width="7.8984375" customWidth="1"/>
    <col min="721" max="721" width="12.09765625" customWidth="1"/>
    <col min="722" max="722" width="12.19921875" bestFit="1" customWidth="1"/>
    <col min="723" max="723" width="10.59765625" customWidth="1"/>
    <col min="724" max="724" width="13.19921875" bestFit="1" customWidth="1"/>
    <col min="725" max="725" width="8.59765625" customWidth="1"/>
    <col min="727" max="727" width="7.59765625" customWidth="1"/>
    <col min="728" max="728" width="10.19921875" customWidth="1"/>
    <col min="729" max="729" width="10.59765625" customWidth="1"/>
    <col min="730" max="730" width="13.19921875" bestFit="1" customWidth="1"/>
    <col min="731" max="731" width="10.59765625" customWidth="1"/>
    <col min="732" max="732" width="13.19921875" bestFit="1" customWidth="1"/>
    <col min="733" max="733" width="9.59765625" customWidth="1"/>
    <col min="734" max="734" width="12.19921875" bestFit="1" customWidth="1"/>
    <col min="735" max="735" width="8.59765625" customWidth="1"/>
    <col min="737" max="737" width="9.59765625" customWidth="1"/>
    <col min="738" max="738" width="12.19921875" bestFit="1" customWidth="1"/>
    <col min="739" max="739" width="10.59765625" customWidth="1"/>
    <col min="740" max="740" width="13.19921875" bestFit="1" customWidth="1"/>
    <col min="741" max="741" width="8.59765625" customWidth="1"/>
    <col min="743" max="743" width="8.59765625" customWidth="1"/>
    <col min="745" max="745" width="8.59765625" customWidth="1"/>
    <col min="747" max="747" width="9.59765625" customWidth="1"/>
    <col min="748" max="748" width="12.19921875" bestFit="1" customWidth="1"/>
    <col min="749" max="749" width="8.59765625" customWidth="1"/>
    <col min="751" max="751" width="10.59765625" customWidth="1"/>
    <col min="752" max="752" width="13.19921875" bestFit="1" customWidth="1"/>
    <col min="753" max="753" width="9.59765625" customWidth="1"/>
    <col min="754" max="754" width="12.19921875" bestFit="1" customWidth="1"/>
    <col min="755" max="755" width="8.59765625" customWidth="1"/>
    <col min="757" max="757" width="10.59765625" customWidth="1"/>
    <col min="758" max="758" width="13.19921875" bestFit="1" customWidth="1"/>
    <col min="759" max="759" width="7.59765625" customWidth="1"/>
    <col min="760" max="760" width="10.19921875" customWidth="1"/>
    <col min="761" max="761" width="10.59765625" customWidth="1"/>
    <col min="762" max="762" width="13.19921875" bestFit="1" customWidth="1"/>
    <col min="763" max="763" width="8.59765625" customWidth="1"/>
    <col min="765" max="765" width="8.59765625" customWidth="1"/>
    <col min="767" max="767" width="5.8984375" customWidth="1"/>
    <col min="768" max="768" width="8.69921875" customWidth="1"/>
    <col min="769" max="769" width="9.59765625" customWidth="1"/>
    <col min="770" max="770" width="12.19921875" bestFit="1" customWidth="1"/>
    <col min="771" max="771" width="9.59765625" customWidth="1"/>
    <col min="772" max="772" width="12.19921875" bestFit="1" customWidth="1"/>
    <col min="773" max="773" width="8.59765625" customWidth="1"/>
    <col min="775" max="775" width="8.59765625" customWidth="1"/>
    <col min="777" max="777" width="9.59765625" customWidth="1"/>
    <col min="778" max="778" width="12.19921875" bestFit="1" customWidth="1"/>
    <col min="779" max="779" width="8.59765625" customWidth="1"/>
    <col min="781" max="781" width="8.59765625" customWidth="1"/>
    <col min="783" max="783" width="9.59765625" customWidth="1"/>
    <col min="784" max="784" width="12.19921875" bestFit="1" customWidth="1"/>
    <col min="785" max="785" width="10.59765625" customWidth="1"/>
    <col min="786" max="786" width="13.19921875" bestFit="1" customWidth="1"/>
    <col min="787" max="787" width="9.59765625" customWidth="1"/>
    <col min="788" max="788" width="12.19921875" bestFit="1" customWidth="1"/>
    <col min="789" max="789" width="8.59765625" customWidth="1"/>
    <col min="791" max="791" width="8.59765625" customWidth="1"/>
    <col min="793" max="793" width="9.59765625" customWidth="1"/>
    <col min="794" max="794" width="12.19921875" bestFit="1" customWidth="1"/>
    <col min="795" max="795" width="8.59765625" customWidth="1"/>
    <col min="797" max="797" width="9.59765625" customWidth="1"/>
    <col min="798" max="798" width="12.19921875" bestFit="1" customWidth="1"/>
    <col min="799" max="799" width="8.59765625" customWidth="1"/>
    <col min="801" max="801" width="8.59765625" customWidth="1"/>
    <col min="803" max="803" width="9.59765625" customWidth="1"/>
    <col min="804" max="804" width="12.19921875" bestFit="1" customWidth="1"/>
    <col min="805" max="805" width="8.59765625" customWidth="1"/>
    <col min="807" max="807" width="8.59765625" customWidth="1"/>
    <col min="809" max="809" width="9.59765625" customWidth="1"/>
    <col min="810" max="810" width="12.19921875" bestFit="1" customWidth="1"/>
    <col min="811" max="811" width="8.59765625" customWidth="1"/>
    <col min="813" max="813" width="8.59765625" customWidth="1"/>
    <col min="815" max="815" width="7.59765625" customWidth="1"/>
    <col min="816" max="816" width="10.19921875" customWidth="1"/>
    <col min="817" max="817" width="9.59765625" customWidth="1"/>
    <col min="818" max="818" width="12.19921875" bestFit="1" customWidth="1"/>
    <col min="819" max="819" width="8.59765625" customWidth="1"/>
    <col min="821" max="821" width="10.59765625" customWidth="1"/>
    <col min="822" max="822" width="13.19921875" bestFit="1" customWidth="1"/>
    <col min="823" max="823" width="10.59765625" customWidth="1"/>
    <col min="824" max="824" width="13.19921875" bestFit="1" customWidth="1"/>
    <col min="825" max="825" width="8.59765625" customWidth="1"/>
    <col min="827" max="827" width="9.59765625" customWidth="1"/>
    <col min="828" max="828" width="12.19921875" bestFit="1" customWidth="1"/>
    <col min="829" max="829" width="7.59765625" customWidth="1"/>
    <col min="830" max="830" width="10.19921875" customWidth="1"/>
    <col min="831" max="831" width="7.59765625" customWidth="1"/>
    <col min="832" max="832" width="10.19921875" customWidth="1"/>
    <col min="833" max="833" width="8.59765625" customWidth="1"/>
    <col min="835" max="835" width="9.59765625" customWidth="1"/>
    <col min="836" max="836" width="12.19921875" bestFit="1" customWidth="1"/>
    <col min="837" max="837" width="9.59765625" customWidth="1"/>
    <col min="838" max="838" width="12.19921875" bestFit="1" customWidth="1"/>
    <col min="839" max="839" width="8.59765625" customWidth="1"/>
    <col min="841" max="841" width="9.59765625" customWidth="1"/>
    <col min="842" max="842" width="12.19921875" bestFit="1" customWidth="1"/>
    <col min="843" max="843" width="8.59765625" customWidth="1"/>
    <col min="845" max="845" width="8.59765625" customWidth="1"/>
    <col min="847" max="847" width="8.59765625" customWidth="1"/>
    <col min="849" max="849" width="8.59765625" customWidth="1"/>
    <col min="851" max="851" width="9.59765625" customWidth="1"/>
    <col min="852" max="852" width="12.19921875" bestFit="1" customWidth="1"/>
    <col min="853" max="853" width="8.59765625" customWidth="1"/>
    <col min="855" max="855" width="8.59765625" customWidth="1"/>
    <col min="857" max="857" width="8.59765625" customWidth="1"/>
    <col min="859" max="859" width="9.59765625" customWidth="1"/>
    <col min="860" max="860" width="12.19921875" bestFit="1" customWidth="1"/>
    <col min="861" max="861" width="8.59765625" customWidth="1"/>
    <col min="863" max="863" width="9.59765625" customWidth="1"/>
    <col min="864" max="864" width="12.19921875" bestFit="1" customWidth="1"/>
    <col min="865" max="865" width="8.59765625" customWidth="1"/>
    <col min="867" max="867" width="10.59765625" customWidth="1"/>
    <col min="868" max="868" width="13.19921875" bestFit="1" customWidth="1"/>
    <col min="869" max="869" width="9.59765625" customWidth="1"/>
    <col min="870" max="870" width="12.19921875" bestFit="1" customWidth="1"/>
    <col min="871" max="871" width="9.59765625" customWidth="1"/>
    <col min="872" max="872" width="12.19921875" bestFit="1" customWidth="1"/>
    <col min="873" max="873" width="7.59765625" customWidth="1"/>
    <col min="874" max="874" width="10.19921875" customWidth="1"/>
    <col min="875" max="875" width="9.59765625" customWidth="1"/>
    <col min="876" max="876" width="12.19921875" bestFit="1" customWidth="1"/>
    <col min="877" max="877" width="8.59765625" customWidth="1"/>
    <col min="879" max="879" width="9.59765625" customWidth="1"/>
    <col min="880" max="880" width="12.19921875" bestFit="1" customWidth="1"/>
    <col min="881" max="881" width="9.59765625" customWidth="1"/>
    <col min="882" max="882" width="12.19921875" bestFit="1" customWidth="1"/>
    <col min="883" max="883" width="9.59765625" customWidth="1"/>
    <col min="884" max="884" width="12.19921875" bestFit="1" customWidth="1"/>
    <col min="885" max="885" width="8.59765625" customWidth="1"/>
    <col min="887" max="887" width="7.59765625" customWidth="1"/>
    <col min="888" max="888" width="10.19921875" customWidth="1"/>
    <col min="889" max="889" width="9.59765625" customWidth="1"/>
    <col min="890" max="890" width="12.19921875" bestFit="1" customWidth="1"/>
    <col min="891" max="891" width="9.59765625" customWidth="1"/>
    <col min="892" max="892" width="12.19921875" bestFit="1" customWidth="1"/>
    <col min="893" max="893" width="8.59765625" customWidth="1"/>
    <col min="895" max="895" width="9.59765625" customWidth="1"/>
    <col min="896" max="896" width="12.19921875" bestFit="1" customWidth="1"/>
    <col min="897" max="897" width="10.59765625" customWidth="1"/>
    <col min="898" max="898" width="13.19921875" bestFit="1" customWidth="1"/>
    <col min="899" max="899" width="8.59765625" customWidth="1"/>
    <col min="901" max="901" width="9.59765625" customWidth="1"/>
    <col min="902" max="902" width="12.19921875" bestFit="1" customWidth="1"/>
    <col min="903" max="903" width="8.59765625" customWidth="1"/>
    <col min="905" max="905" width="9.59765625" customWidth="1"/>
    <col min="906" max="906" width="12.19921875" bestFit="1" customWidth="1"/>
    <col min="907" max="907" width="10.59765625" customWidth="1"/>
    <col min="908" max="908" width="13.19921875" bestFit="1" customWidth="1"/>
    <col min="909" max="909" width="9.59765625" customWidth="1"/>
    <col min="910" max="910" width="12.19921875" bestFit="1" customWidth="1"/>
    <col min="911" max="911" width="8.59765625" customWidth="1"/>
    <col min="913" max="913" width="8.59765625" customWidth="1"/>
    <col min="915" max="915" width="9.59765625" customWidth="1"/>
    <col min="916" max="916" width="12.19921875" bestFit="1" customWidth="1"/>
    <col min="917" max="917" width="7.59765625" customWidth="1"/>
    <col min="918" max="918" width="10.19921875" customWidth="1"/>
    <col min="919" max="919" width="10.59765625" customWidth="1"/>
    <col min="920" max="920" width="13.19921875" bestFit="1" customWidth="1"/>
    <col min="921" max="921" width="9.59765625" customWidth="1"/>
    <col min="922" max="922" width="12.19921875" bestFit="1" customWidth="1"/>
    <col min="923" max="923" width="8.59765625" customWidth="1"/>
    <col min="925" max="925" width="9.59765625" customWidth="1"/>
    <col min="926" max="926" width="12.19921875" bestFit="1" customWidth="1"/>
    <col min="927" max="927" width="9.59765625" customWidth="1"/>
    <col min="928" max="928" width="12.19921875" bestFit="1" customWidth="1"/>
    <col min="929" max="929" width="7.59765625" customWidth="1"/>
    <col min="930" max="930" width="10.19921875" customWidth="1"/>
    <col min="931" max="931" width="9.59765625" customWidth="1"/>
    <col min="932" max="932" width="12.19921875" bestFit="1" customWidth="1"/>
    <col min="933" max="933" width="9.59765625" customWidth="1"/>
    <col min="934" max="934" width="12.19921875" bestFit="1" customWidth="1"/>
    <col min="935" max="935" width="8.59765625" customWidth="1"/>
    <col min="937" max="937" width="8.59765625" customWidth="1"/>
    <col min="939" max="939" width="8.59765625" customWidth="1"/>
    <col min="941" max="941" width="7.59765625" customWidth="1"/>
    <col min="942" max="942" width="10.19921875" customWidth="1"/>
    <col min="943" max="943" width="9.59765625" customWidth="1"/>
    <col min="944" max="944" width="12.19921875" bestFit="1" customWidth="1"/>
    <col min="945" max="945" width="8.59765625" customWidth="1"/>
    <col min="947" max="947" width="9.59765625" customWidth="1"/>
    <col min="948" max="948" width="12.19921875" bestFit="1" customWidth="1"/>
    <col min="949" max="949" width="9.59765625" customWidth="1"/>
    <col min="950" max="950" width="12.19921875" bestFit="1" customWidth="1"/>
    <col min="951" max="951" width="9.59765625" customWidth="1"/>
    <col min="952" max="952" width="12.19921875" bestFit="1" customWidth="1"/>
    <col min="953" max="953" width="9.59765625" customWidth="1"/>
    <col min="954" max="954" width="12.19921875" bestFit="1" customWidth="1"/>
    <col min="955" max="955" width="9.59765625" customWidth="1"/>
    <col min="956" max="956" width="12.19921875" bestFit="1" customWidth="1"/>
    <col min="957" max="957" width="8.59765625" customWidth="1"/>
    <col min="959" max="959" width="9.59765625" customWidth="1"/>
    <col min="960" max="960" width="12.19921875" bestFit="1" customWidth="1"/>
    <col min="961" max="961" width="9.59765625" customWidth="1"/>
    <col min="962" max="962" width="12.19921875" bestFit="1" customWidth="1"/>
    <col min="963" max="963" width="9.59765625" customWidth="1"/>
    <col min="964" max="964" width="12.19921875" bestFit="1" customWidth="1"/>
    <col min="965" max="965" width="10.59765625" customWidth="1"/>
    <col min="966" max="966" width="13.19921875" bestFit="1" customWidth="1"/>
    <col min="967" max="967" width="9.59765625" customWidth="1"/>
    <col min="968" max="968" width="12.19921875" bestFit="1" customWidth="1"/>
    <col min="969" max="969" width="8.59765625" customWidth="1"/>
    <col min="971" max="971" width="9.59765625" customWidth="1"/>
    <col min="972" max="972" width="12.19921875" bestFit="1" customWidth="1"/>
    <col min="973" max="973" width="9.59765625" customWidth="1"/>
    <col min="974" max="974" width="12.19921875" bestFit="1" customWidth="1"/>
    <col min="975" max="975" width="9.59765625" customWidth="1"/>
    <col min="976" max="976" width="12.19921875" bestFit="1" customWidth="1"/>
    <col min="977" max="977" width="8.59765625" customWidth="1"/>
    <col min="979" max="979" width="8.59765625" customWidth="1"/>
    <col min="981" max="981" width="9.59765625" customWidth="1"/>
    <col min="982" max="982" width="12.19921875" bestFit="1" customWidth="1"/>
    <col min="983" max="983" width="9.59765625" customWidth="1"/>
    <col min="984" max="984" width="12.19921875" bestFit="1" customWidth="1"/>
    <col min="985" max="985" width="9.59765625" customWidth="1"/>
    <col min="986" max="986" width="12.19921875" bestFit="1" customWidth="1"/>
    <col min="987" max="987" width="8.59765625" customWidth="1"/>
    <col min="989" max="989" width="9.59765625" customWidth="1"/>
    <col min="990" max="990" width="12.19921875" bestFit="1" customWidth="1"/>
    <col min="991" max="991" width="9.59765625" customWidth="1"/>
    <col min="992" max="992" width="12.19921875" bestFit="1" customWidth="1"/>
    <col min="993" max="993" width="9.59765625" customWidth="1"/>
    <col min="994" max="994" width="12.19921875" bestFit="1" customWidth="1"/>
    <col min="995" max="995" width="9.59765625" customWidth="1"/>
    <col min="996" max="996" width="12.19921875" bestFit="1" customWidth="1"/>
    <col min="997" max="997" width="8.59765625" customWidth="1"/>
    <col min="999" max="999" width="9.59765625" customWidth="1"/>
    <col min="1000" max="1000" width="12.19921875" bestFit="1" customWidth="1"/>
    <col min="1001" max="1001" width="8.59765625" customWidth="1"/>
    <col min="1003" max="1003" width="8.59765625" customWidth="1"/>
    <col min="1005" max="1005" width="9.59765625" customWidth="1"/>
    <col min="1006" max="1006" width="12.19921875" bestFit="1" customWidth="1"/>
    <col min="1007" max="1007" width="9.59765625" customWidth="1"/>
    <col min="1008" max="1008" width="12.19921875" bestFit="1" customWidth="1"/>
    <col min="1009" max="1009" width="8.59765625" customWidth="1"/>
    <col min="1011" max="1011" width="9.59765625" customWidth="1"/>
    <col min="1012" max="1012" width="12.19921875" bestFit="1" customWidth="1"/>
    <col min="1013" max="1013" width="9.59765625" customWidth="1"/>
    <col min="1014" max="1014" width="12.19921875" bestFit="1" customWidth="1"/>
    <col min="1015" max="1015" width="9.59765625" customWidth="1"/>
    <col min="1016" max="1016" width="12.19921875" bestFit="1" customWidth="1"/>
    <col min="1017" max="1017" width="9.59765625" customWidth="1"/>
    <col min="1018" max="1018" width="12.19921875" bestFit="1" customWidth="1"/>
    <col min="1019" max="1019" width="9.59765625" customWidth="1"/>
    <col min="1020" max="1020" width="12.19921875" bestFit="1" customWidth="1"/>
    <col min="1021" max="1021" width="9.59765625" customWidth="1"/>
    <col min="1022" max="1022" width="12.19921875" bestFit="1" customWidth="1"/>
    <col min="1023" max="1023" width="9.59765625" customWidth="1"/>
    <col min="1024" max="1024" width="12.19921875" bestFit="1" customWidth="1"/>
    <col min="1025" max="1025" width="9.59765625" customWidth="1"/>
    <col min="1026" max="1026" width="12.19921875" bestFit="1" customWidth="1"/>
    <col min="1027" max="1027" width="8.59765625" customWidth="1"/>
    <col min="1029" max="1029" width="9.59765625" customWidth="1"/>
    <col min="1030" max="1030" width="12.19921875" bestFit="1" customWidth="1"/>
    <col min="1031" max="1031" width="9.59765625" customWidth="1"/>
    <col min="1032" max="1032" width="12.19921875" bestFit="1" customWidth="1"/>
    <col min="1033" max="1033" width="9.59765625" customWidth="1"/>
    <col min="1034" max="1034" width="12.19921875" bestFit="1" customWidth="1"/>
    <col min="1035" max="1035" width="9.59765625" customWidth="1"/>
    <col min="1036" max="1036" width="12.19921875" bestFit="1" customWidth="1"/>
    <col min="1037" max="1037" width="7.59765625" customWidth="1"/>
    <col min="1038" max="1038" width="10.19921875" customWidth="1"/>
    <col min="1039" max="1039" width="9.59765625" customWidth="1"/>
    <col min="1040" max="1040" width="12.19921875" bestFit="1" customWidth="1"/>
    <col min="1041" max="1041" width="8.59765625" customWidth="1"/>
    <col min="1043" max="1043" width="9.59765625" customWidth="1"/>
    <col min="1044" max="1044" width="12.19921875" bestFit="1" customWidth="1"/>
    <col min="1045" max="1045" width="9.59765625" customWidth="1"/>
    <col min="1046" max="1046" width="12.19921875" bestFit="1" customWidth="1"/>
    <col min="1047" max="1047" width="9.59765625" customWidth="1"/>
    <col min="1048" max="1048" width="12.19921875" bestFit="1" customWidth="1"/>
    <col min="1049" max="1049" width="9.59765625" customWidth="1"/>
    <col min="1050" max="1050" width="12.19921875" bestFit="1" customWidth="1"/>
    <col min="1051" max="1051" width="8.59765625" customWidth="1"/>
    <col min="1053" max="1053" width="9.59765625" customWidth="1"/>
    <col min="1054" max="1054" width="12.19921875" bestFit="1" customWidth="1"/>
    <col min="1055" max="1055" width="7.59765625" customWidth="1"/>
    <col min="1056" max="1056" width="10.19921875" customWidth="1"/>
    <col min="1057" max="1057" width="7.59765625" customWidth="1"/>
    <col min="1058" max="1058" width="10.19921875" customWidth="1"/>
    <col min="1059" max="1059" width="8.59765625" customWidth="1"/>
    <col min="1061" max="1061" width="9.59765625" customWidth="1"/>
    <col min="1062" max="1062" width="12.19921875" bestFit="1" customWidth="1"/>
    <col min="1063" max="1063" width="8.59765625" customWidth="1"/>
    <col min="1065" max="1065" width="9.59765625" customWidth="1"/>
    <col min="1066" max="1066" width="12.19921875" bestFit="1" customWidth="1"/>
    <col min="1067" max="1067" width="9.59765625" customWidth="1"/>
    <col min="1068" max="1068" width="12.19921875" bestFit="1" customWidth="1"/>
    <col min="1069" max="1069" width="9.59765625" customWidth="1"/>
    <col min="1070" max="1070" width="12.19921875" bestFit="1" customWidth="1"/>
    <col min="1071" max="1071" width="8.59765625" customWidth="1"/>
    <col min="1073" max="1073" width="8.59765625" customWidth="1"/>
    <col min="1075" max="1075" width="8.59765625" customWidth="1"/>
    <col min="1077" max="1077" width="10.59765625" customWidth="1"/>
    <col min="1078" max="1078" width="13.19921875" bestFit="1" customWidth="1"/>
    <col min="1079" max="1079" width="8.59765625" customWidth="1"/>
    <col min="1081" max="1081" width="9.59765625" customWidth="1"/>
    <col min="1082" max="1082" width="12.19921875" bestFit="1" customWidth="1"/>
    <col min="1083" max="1083" width="9.59765625" customWidth="1"/>
    <col min="1084" max="1084" width="12.19921875" bestFit="1" customWidth="1"/>
    <col min="1085" max="1085" width="9.59765625" customWidth="1"/>
    <col min="1086" max="1086" width="12.19921875" bestFit="1" customWidth="1"/>
    <col min="1087" max="1087" width="9.59765625" customWidth="1"/>
    <col min="1088" max="1088" width="12.19921875" bestFit="1" customWidth="1"/>
    <col min="1089" max="1089" width="9.59765625" customWidth="1"/>
    <col min="1090" max="1090" width="12.19921875" bestFit="1" customWidth="1"/>
    <col min="1091" max="1091" width="9.59765625" customWidth="1"/>
    <col min="1092" max="1092" width="12.19921875" bestFit="1" customWidth="1"/>
    <col min="1093" max="1093" width="8.59765625" customWidth="1"/>
    <col min="1095" max="1095" width="8.59765625" customWidth="1"/>
    <col min="1097" max="1097" width="9.59765625" customWidth="1"/>
    <col min="1098" max="1098" width="12.19921875" bestFit="1" customWidth="1"/>
    <col min="1099" max="1099" width="8.59765625" customWidth="1"/>
    <col min="1101" max="1101" width="10.59765625" customWidth="1"/>
    <col min="1102" max="1102" width="13.19921875" bestFit="1" customWidth="1"/>
    <col min="1103" max="1103" width="8.59765625" customWidth="1"/>
    <col min="1105" max="1105" width="8.59765625" customWidth="1"/>
    <col min="1107" max="1107" width="9.59765625" customWidth="1"/>
    <col min="1108" max="1108" width="12.19921875" bestFit="1" customWidth="1"/>
    <col min="1109" max="1109" width="8.59765625" customWidth="1"/>
    <col min="1111" max="1111" width="10.59765625" customWidth="1"/>
    <col min="1112" max="1112" width="13.19921875" bestFit="1" customWidth="1"/>
    <col min="1113" max="1113" width="9.59765625" customWidth="1"/>
    <col min="1114" max="1114" width="12.19921875" bestFit="1" customWidth="1"/>
    <col min="1115" max="1115" width="9.59765625" customWidth="1"/>
    <col min="1116" max="1116" width="12.19921875" bestFit="1" customWidth="1"/>
    <col min="1117" max="1117" width="8.59765625" customWidth="1"/>
    <col min="1119" max="1119" width="8.59765625" customWidth="1"/>
    <col min="1121" max="1121" width="8.59765625" customWidth="1"/>
    <col min="1123" max="1123" width="9.59765625" customWidth="1"/>
    <col min="1124" max="1124" width="12.19921875" bestFit="1" customWidth="1"/>
    <col min="1125" max="1125" width="9.59765625" customWidth="1"/>
    <col min="1126" max="1126" width="12.19921875" bestFit="1" customWidth="1"/>
    <col min="1127" max="1127" width="9.59765625" customWidth="1"/>
    <col min="1128" max="1128" width="12.19921875" bestFit="1" customWidth="1"/>
    <col min="1129" max="1129" width="9.59765625" customWidth="1"/>
    <col min="1130" max="1130" width="12.19921875" bestFit="1" customWidth="1"/>
    <col min="1131" max="1131" width="8.59765625" customWidth="1"/>
    <col min="1133" max="1133" width="9.59765625" customWidth="1"/>
    <col min="1134" max="1134" width="12.19921875" bestFit="1" customWidth="1"/>
    <col min="1135" max="1135" width="8.59765625" customWidth="1"/>
    <col min="1137" max="1137" width="9.59765625" customWidth="1"/>
    <col min="1138" max="1138" width="12.19921875" bestFit="1" customWidth="1"/>
    <col min="1139" max="1139" width="8.59765625" customWidth="1"/>
    <col min="1141" max="1141" width="10.59765625" customWidth="1"/>
    <col min="1142" max="1142" width="13.19921875" bestFit="1" customWidth="1"/>
    <col min="1143" max="1143" width="9.59765625" customWidth="1"/>
    <col min="1144" max="1144" width="12.19921875" bestFit="1" customWidth="1"/>
    <col min="1145" max="1145" width="9.59765625" customWidth="1"/>
    <col min="1146" max="1146" width="12.19921875" bestFit="1" customWidth="1"/>
    <col min="1147" max="1147" width="9.59765625" customWidth="1"/>
    <col min="1148" max="1148" width="12.19921875" bestFit="1" customWidth="1"/>
    <col min="1149" max="1149" width="9.59765625" customWidth="1"/>
    <col min="1150" max="1150" width="12.19921875" bestFit="1" customWidth="1"/>
    <col min="1151" max="1151" width="8.59765625" customWidth="1"/>
    <col min="1153" max="1153" width="9.59765625" customWidth="1"/>
    <col min="1154" max="1154" width="12.19921875" bestFit="1" customWidth="1"/>
    <col min="1155" max="1155" width="8.59765625" customWidth="1"/>
    <col min="1157" max="1157" width="8.59765625" customWidth="1"/>
    <col min="1159" max="1159" width="9.59765625" customWidth="1"/>
    <col min="1160" max="1160" width="12.19921875" bestFit="1" customWidth="1"/>
    <col min="1161" max="1161" width="8.59765625" customWidth="1"/>
    <col min="1163" max="1163" width="8.59765625" customWidth="1"/>
    <col min="1165" max="1165" width="9.59765625" customWidth="1"/>
    <col min="1166" max="1166" width="12.19921875" bestFit="1" customWidth="1"/>
    <col min="1167" max="1167" width="8.59765625" customWidth="1"/>
    <col min="1169" max="1169" width="8.59765625" customWidth="1"/>
    <col min="1171" max="1171" width="8.59765625" customWidth="1"/>
    <col min="1173" max="1173" width="9.59765625" customWidth="1"/>
    <col min="1174" max="1174" width="12.19921875" bestFit="1" customWidth="1"/>
    <col min="1175" max="1175" width="8.59765625" customWidth="1"/>
    <col min="1177" max="1177" width="9.59765625" customWidth="1"/>
    <col min="1178" max="1178" width="12.19921875" bestFit="1" customWidth="1"/>
    <col min="1179" max="1179" width="10.59765625" customWidth="1"/>
    <col min="1180" max="1180" width="13.19921875" bestFit="1" customWidth="1"/>
    <col min="1181" max="1181" width="9.59765625" customWidth="1"/>
    <col min="1182" max="1182" width="12.19921875" bestFit="1" customWidth="1"/>
    <col min="1183" max="1183" width="8.59765625" customWidth="1"/>
    <col min="1185" max="1185" width="8.59765625" customWidth="1"/>
    <col min="1187" max="1187" width="9.59765625" customWidth="1"/>
    <col min="1188" max="1188" width="12.19921875" bestFit="1" customWidth="1"/>
    <col min="1189" max="1189" width="7.59765625" customWidth="1"/>
    <col min="1190" max="1190" width="10.19921875" customWidth="1"/>
    <col min="1191" max="1191" width="9.59765625" customWidth="1"/>
    <col min="1192" max="1192" width="12.19921875" bestFit="1" customWidth="1"/>
    <col min="1193" max="1193" width="10.59765625" customWidth="1"/>
    <col min="1194" max="1194" width="13.19921875" bestFit="1" customWidth="1"/>
    <col min="1195" max="1195" width="9.59765625" customWidth="1"/>
    <col min="1196" max="1196" width="12.19921875" bestFit="1" customWidth="1"/>
    <col min="1197" max="1197" width="8.59765625" customWidth="1"/>
    <col min="1199" max="1199" width="10.59765625" customWidth="1"/>
    <col min="1200" max="1200" width="13.19921875" bestFit="1" customWidth="1"/>
    <col min="1201" max="1201" width="9.59765625" customWidth="1"/>
    <col min="1202" max="1202" width="12.19921875" bestFit="1" customWidth="1"/>
    <col min="1203" max="1203" width="9.59765625" customWidth="1"/>
    <col min="1204" max="1204" width="12.19921875" bestFit="1" customWidth="1"/>
    <col min="1205" max="1205" width="9.59765625" customWidth="1"/>
    <col min="1206" max="1206" width="12.19921875" bestFit="1" customWidth="1"/>
    <col min="1207" max="1207" width="7.59765625" customWidth="1"/>
    <col min="1208" max="1208" width="10.19921875" customWidth="1"/>
    <col min="1209" max="1209" width="8.59765625" customWidth="1"/>
    <col min="1211" max="1211" width="9.59765625" customWidth="1"/>
    <col min="1212" max="1212" width="12.19921875" bestFit="1" customWidth="1"/>
    <col min="1213" max="1213" width="9.59765625" customWidth="1"/>
    <col min="1214" max="1214" width="12.19921875" bestFit="1" customWidth="1"/>
    <col min="1215" max="1215" width="9.59765625" customWidth="1"/>
    <col min="1216" max="1216" width="12.19921875" bestFit="1" customWidth="1"/>
    <col min="1217" max="1217" width="7.59765625" customWidth="1"/>
    <col min="1218" max="1218" width="10.19921875" customWidth="1"/>
    <col min="1219" max="1219" width="8.59765625" customWidth="1"/>
    <col min="1221" max="1221" width="9.59765625" customWidth="1"/>
    <col min="1222" max="1222" width="12.19921875" bestFit="1" customWidth="1"/>
    <col min="1223" max="1223" width="9.59765625" customWidth="1"/>
    <col min="1224" max="1224" width="12.19921875" bestFit="1" customWidth="1"/>
    <col min="1225" max="1225" width="9.59765625" customWidth="1"/>
    <col min="1226" max="1226" width="12.19921875" bestFit="1" customWidth="1"/>
    <col min="1227" max="1227" width="7.59765625" customWidth="1"/>
    <col min="1228" max="1228" width="10.19921875" customWidth="1"/>
    <col min="1229" max="1229" width="9.59765625" customWidth="1"/>
    <col min="1230" max="1230" width="12.19921875" bestFit="1" customWidth="1"/>
    <col min="1231" max="1231" width="8.59765625" customWidth="1"/>
    <col min="1233" max="1233" width="10.59765625" customWidth="1"/>
    <col min="1234" max="1234" width="13.19921875" bestFit="1" customWidth="1"/>
    <col min="1235" max="1235" width="10.59765625" customWidth="1"/>
    <col min="1236" max="1236" width="13.19921875" bestFit="1" customWidth="1"/>
    <col min="1237" max="1237" width="7.59765625" customWidth="1"/>
    <col min="1238" max="1238" width="10.19921875" customWidth="1"/>
    <col min="1239" max="1239" width="8.59765625" customWidth="1"/>
    <col min="1241" max="1241" width="6.8984375" customWidth="1"/>
    <col min="1242" max="1242" width="8.69921875" customWidth="1"/>
    <col min="1243" max="1243" width="10.59765625" customWidth="1"/>
    <col min="1244" max="1244" width="13.19921875" bestFit="1" customWidth="1"/>
    <col min="1245" max="1245" width="9.59765625" customWidth="1"/>
    <col min="1246" max="1246" width="12.19921875" bestFit="1" customWidth="1"/>
    <col min="1247" max="1247" width="9.59765625" customWidth="1"/>
    <col min="1248" max="1248" width="12.19921875" bestFit="1" customWidth="1"/>
    <col min="1249" max="1249" width="9.59765625" customWidth="1"/>
    <col min="1250" max="1250" width="12.19921875" bestFit="1" customWidth="1"/>
    <col min="1251" max="1251" width="9.59765625" customWidth="1"/>
    <col min="1252" max="1252" width="12.19921875" bestFit="1" customWidth="1"/>
    <col min="1253" max="1253" width="8.59765625" customWidth="1"/>
    <col min="1255" max="1255" width="10.59765625" customWidth="1"/>
    <col min="1256" max="1256" width="13.19921875" bestFit="1" customWidth="1"/>
    <col min="1257" max="1257" width="8.59765625" customWidth="1"/>
    <col min="1259" max="1259" width="9.59765625" customWidth="1"/>
    <col min="1260" max="1260" width="12.19921875" bestFit="1" customWidth="1"/>
    <col min="1261" max="1261" width="10.59765625" customWidth="1"/>
    <col min="1262" max="1262" width="13.19921875" bestFit="1" customWidth="1"/>
    <col min="1263" max="1263" width="9.59765625" customWidth="1"/>
    <col min="1264" max="1264" width="12.19921875" bestFit="1" customWidth="1"/>
    <col min="1265" max="1265" width="8.59765625" customWidth="1"/>
    <col min="1267" max="1267" width="8.59765625" customWidth="1"/>
    <col min="1269" max="1269" width="10.59765625" customWidth="1"/>
    <col min="1270" max="1270" width="13.19921875" bestFit="1" customWidth="1"/>
    <col min="1271" max="1271" width="10.59765625" customWidth="1"/>
    <col min="1272" max="1272" width="13.19921875" bestFit="1" customWidth="1"/>
    <col min="1273" max="1273" width="8.59765625" customWidth="1"/>
    <col min="1275" max="1275" width="9.59765625" customWidth="1"/>
    <col min="1276" max="1276" width="12.19921875" bestFit="1" customWidth="1"/>
    <col min="1277" max="1277" width="9.59765625" customWidth="1"/>
    <col min="1278" max="1278" width="12.19921875" bestFit="1" customWidth="1"/>
    <col min="1279" max="1279" width="8.59765625" customWidth="1"/>
    <col min="1281" max="1281" width="9.59765625" customWidth="1"/>
    <col min="1282" max="1282" width="12.19921875" bestFit="1" customWidth="1"/>
    <col min="1283" max="1283" width="10.59765625" customWidth="1"/>
    <col min="1284" max="1284" width="13.19921875" bestFit="1" customWidth="1"/>
    <col min="1285" max="1285" width="9.59765625" customWidth="1"/>
    <col min="1286" max="1286" width="12.19921875" bestFit="1" customWidth="1"/>
    <col min="1287" max="1287" width="9.59765625" customWidth="1"/>
    <col min="1288" max="1288" width="12.19921875" bestFit="1" customWidth="1"/>
    <col min="1289" max="1289" width="10.59765625" customWidth="1"/>
    <col min="1290" max="1290" width="13.19921875" bestFit="1" customWidth="1"/>
    <col min="1291" max="1291" width="8.59765625" customWidth="1"/>
    <col min="1293" max="1293" width="9.59765625" customWidth="1"/>
    <col min="1294" max="1294" width="12.19921875" bestFit="1" customWidth="1"/>
    <col min="1295" max="1295" width="9.59765625" customWidth="1"/>
    <col min="1296" max="1296" width="12.19921875" bestFit="1" customWidth="1"/>
    <col min="1297" max="1297" width="10.59765625" customWidth="1"/>
    <col min="1298" max="1298" width="13.19921875" bestFit="1" customWidth="1"/>
    <col min="1299" max="1299" width="7.59765625" customWidth="1"/>
    <col min="1300" max="1300" width="10.19921875" customWidth="1"/>
    <col min="1301" max="1301" width="7.59765625" customWidth="1"/>
    <col min="1302" max="1302" width="10.19921875" customWidth="1"/>
    <col min="1303" max="1303" width="9.59765625" customWidth="1"/>
    <col min="1304" max="1304" width="12.19921875" bestFit="1" customWidth="1"/>
    <col min="1305" max="1305" width="8.59765625" customWidth="1"/>
    <col min="1307" max="1307" width="8.59765625" customWidth="1"/>
    <col min="1309" max="1309" width="9.59765625" customWidth="1"/>
    <col min="1310" max="1310" width="12.19921875" bestFit="1" customWidth="1"/>
    <col min="1311" max="1311" width="9.59765625" customWidth="1"/>
    <col min="1312" max="1312" width="12.19921875" bestFit="1" customWidth="1"/>
    <col min="1313" max="1313" width="9.59765625" customWidth="1"/>
    <col min="1314" max="1314" width="12.19921875" bestFit="1" customWidth="1"/>
    <col min="1315" max="1315" width="8.59765625" customWidth="1"/>
    <col min="1317" max="1317" width="9.59765625" customWidth="1"/>
    <col min="1318" max="1318" width="12.19921875" bestFit="1" customWidth="1"/>
    <col min="1319" max="1319" width="10.59765625" customWidth="1"/>
    <col min="1320" max="1320" width="13.19921875" bestFit="1" customWidth="1"/>
    <col min="1321" max="1321" width="8.59765625" customWidth="1"/>
    <col min="1323" max="1323" width="10.59765625" customWidth="1"/>
    <col min="1324" max="1324" width="13.19921875" bestFit="1" customWidth="1"/>
    <col min="1325" max="1325" width="8.59765625" customWidth="1"/>
    <col min="1327" max="1327" width="8.59765625" customWidth="1"/>
    <col min="1329" max="1329" width="10.59765625" customWidth="1"/>
    <col min="1330" max="1330" width="13.19921875" bestFit="1" customWidth="1"/>
    <col min="1331" max="1331" width="8.59765625" customWidth="1"/>
    <col min="1333" max="1333" width="9.59765625" customWidth="1"/>
    <col min="1334" max="1334" width="12.19921875" bestFit="1" customWidth="1"/>
    <col min="1335" max="1335" width="7.59765625" customWidth="1"/>
    <col min="1336" max="1336" width="10.19921875" customWidth="1"/>
    <col min="1337" max="1337" width="8.59765625" customWidth="1"/>
    <col min="1339" max="1339" width="9.59765625" customWidth="1"/>
    <col min="1340" max="1340" width="12.19921875" bestFit="1" customWidth="1"/>
    <col min="1341" max="1341" width="10.59765625" customWidth="1"/>
    <col min="1342" max="1342" width="13.19921875" bestFit="1" customWidth="1"/>
    <col min="1343" max="1343" width="9.59765625" customWidth="1"/>
    <col min="1344" max="1344" width="12.19921875" bestFit="1" customWidth="1"/>
    <col min="1345" max="1345" width="9.59765625" customWidth="1"/>
    <col min="1346" max="1346" width="12.19921875" bestFit="1" customWidth="1"/>
    <col min="1347" max="1347" width="11.59765625" bestFit="1" customWidth="1"/>
    <col min="1348" max="1348" width="14.19921875" bestFit="1" customWidth="1"/>
    <col min="1349" max="1349" width="11.59765625" bestFit="1" customWidth="1"/>
    <col min="1350" max="1350" width="14.19921875" bestFit="1" customWidth="1"/>
    <col min="1351" max="1351" width="8.59765625" customWidth="1"/>
    <col min="1353" max="1353" width="9.59765625" customWidth="1"/>
    <col min="1354" max="1354" width="12.19921875" bestFit="1" customWidth="1"/>
    <col min="1355" max="1355" width="9.59765625" customWidth="1"/>
    <col min="1356" max="1356" width="12.19921875" bestFit="1" customWidth="1"/>
    <col min="1357" max="1357" width="10.59765625" customWidth="1"/>
    <col min="1358" max="1358" width="13.19921875" bestFit="1" customWidth="1"/>
    <col min="1359" max="1359" width="10.59765625" customWidth="1"/>
    <col min="1360" max="1360" width="13.19921875" bestFit="1" customWidth="1"/>
    <col min="1361" max="1361" width="9.59765625" customWidth="1"/>
    <col min="1362" max="1362" width="12.19921875" bestFit="1" customWidth="1"/>
    <col min="1363" max="1363" width="10.59765625" customWidth="1"/>
    <col min="1364" max="1364" width="13.19921875" bestFit="1" customWidth="1"/>
    <col min="1365" max="1365" width="9.59765625" customWidth="1"/>
    <col min="1366" max="1366" width="12.19921875" bestFit="1" customWidth="1"/>
    <col min="1367" max="1367" width="9.59765625" customWidth="1"/>
    <col min="1368" max="1368" width="12.19921875" bestFit="1" customWidth="1"/>
    <col min="1369" max="1369" width="10.59765625" customWidth="1"/>
    <col min="1370" max="1370" width="13.19921875" bestFit="1" customWidth="1"/>
    <col min="1371" max="1371" width="9.59765625" customWidth="1"/>
    <col min="1372" max="1372" width="12.19921875" bestFit="1" customWidth="1"/>
    <col min="1373" max="1373" width="9.59765625" customWidth="1"/>
    <col min="1374" max="1374" width="12.19921875" bestFit="1" customWidth="1"/>
    <col min="1375" max="1375" width="9.59765625" customWidth="1"/>
    <col min="1376" max="1376" width="12.19921875" bestFit="1" customWidth="1"/>
    <col min="1377" max="1377" width="9.59765625" customWidth="1"/>
    <col min="1378" max="1378" width="12.19921875" bestFit="1" customWidth="1"/>
    <col min="1379" max="1379" width="9.59765625" customWidth="1"/>
    <col min="1380" max="1380" width="12.19921875" bestFit="1" customWidth="1"/>
    <col min="1381" max="1381" width="8.59765625" customWidth="1"/>
    <col min="1383" max="1383" width="10.59765625" customWidth="1"/>
    <col min="1384" max="1384" width="13.19921875" bestFit="1" customWidth="1"/>
    <col min="1385" max="1385" width="10.59765625" customWidth="1"/>
    <col min="1386" max="1386" width="13.19921875" bestFit="1" customWidth="1"/>
    <col min="1387" max="1387" width="11.59765625" bestFit="1" customWidth="1"/>
    <col min="1388" max="1388" width="14.19921875" bestFit="1" customWidth="1"/>
    <col min="1389" max="1389" width="10.59765625" customWidth="1"/>
    <col min="1390" max="1390" width="13.19921875" bestFit="1" customWidth="1"/>
    <col min="1391" max="1391" width="8.59765625" customWidth="1"/>
    <col min="1393" max="1393" width="9.59765625" customWidth="1"/>
    <col min="1394" max="1394" width="12.19921875" bestFit="1" customWidth="1"/>
    <col min="1395" max="1395" width="9.59765625" customWidth="1"/>
    <col min="1396" max="1396" width="12.19921875" bestFit="1" customWidth="1"/>
    <col min="1397" max="1397" width="10.59765625" customWidth="1"/>
    <col min="1398" max="1398" width="13.19921875" bestFit="1" customWidth="1"/>
    <col min="1399" max="1399" width="10.59765625" customWidth="1"/>
    <col min="1400" max="1400" width="13.19921875" bestFit="1" customWidth="1"/>
    <col min="1401" max="1401" width="10.59765625" customWidth="1"/>
    <col min="1402" max="1402" width="13.19921875" bestFit="1" customWidth="1"/>
    <col min="1403" max="1403" width="10.59765625" customWidth="1"/>
    <col min="1404" max="1404" width="13.19921875" bestFit="1" customWidth="1"/>
    <col min="1405" max="1405" width="9.59765625" customWidth="1"/>
    <col min="1406" max="1406" width="12.19921875" bestFit="1" customWidth="1"/>
    <col min="1407" max="1407" width="10.59765625" customWidth="1"/>
    <col min="1408" max="1408" width="13.19921875" bestFit="1" customWidth="1"/>
    <col min="1409" max="1409" width="9.59765625" customWidth="1"/>
    <col min="1410" max="1410" width="12.19921875" bestFit="1" customWidth="1"/>
    <col min="1411" max="1411" width="9.59765625" customWidth="1"/>
    <col min="1412" max="1412" width="12.19921875" bestFit="1" customWidth="1"/>
    <col min="1413" max="1413" width="9.59765625" customWidth="1"/>
    <col min="1414" max="1414" width="12.19921875" bestFit="1" customWidth="1"/>
    <col min="1415" max="1415" width="9.59765625" customWidth="1"/>
    <col min="1416" max="1416" width="12.19921875" bestFit="1" customWidth="1"/>
    <col min="1417" max="1417" width="10.59765625" customWidth="1"/>
    <col min="1418" max="1418" width="13.19921875" bestFit="1" customWidth="1"/>
    <col min="1419" max="1419" width="9.59765625" customWidth="1"/>
    <col min="1420" max="1420" width="12.19921875" bestFit="1" customWidth="1"/>
    <col min="1421" max="1421" width="10.59765625" customWidth="1"/>
    <col min="1422" max="1422" width="13.19921875" bestFit="1" customWidth="1"/>
    <col min="1423" max="1423" width="10.59765625" customWidth="1"/>
    <col min="1424" max="1424" width="13.19921875" bestFit="1" customWidth="1"/>
    <col min="1425" max="1425" width="9.59765625" customWidth="1"/>
    <col min="1426" max="1426" width="12.19921875" bestFit="1" customWidth="1"/>
    <col min="1427" max="1427" width="11.59765625" bestFit="1" customWidth="1"/>
    <col min="1428" max="1428" width="14.19921875" bestFit="1" customWidth="1"/>
    <col min="1429" max="1429" width="10.59765625" customWidth="1"/>
    <col min="1430" max="1430" width="13.19921875" bestFit="1" customWidth="1"/>
    <col min="1431" max="1431" width="9.59765625" customWidth="1"/>
    <col min="1432" max="1432" width="12.19921875" bestFit="1" customWidth="1"/>
    <col min="1433" max="1433" width="10.59765625" customWidth="1"/>
    <col min="1434" max="1434" width="13.19921875" bestFit="1" customWidth="1"/>
    <col min="1435" max="1435" width="8.59765625" customWidth="1"/>
    <col min="1437" max="1437" width="9.59765625" customWidth="1"/>
    <col min="1438" max="1438" width="12.19921875" bestFit="1" customWidth="1"/>
    <col min="1439" max="1439" width="9.59765625" customWidth="1"/>
    <col min="1440" max="1440" width="12.19921875" bestFit="1" customWidth="1"/>
    <col min="1441" max="1441" width="12.09765625" bestFit="1" customWidth="1"/>
  </cols>
  <sheetData>
    <row r="3" spans="1:14">
      <c r="A3" s="10" t="s">
        <v>1409</v>
      </c>
      <c r="B3" t="s">
        <v>1410</v>
      </c>
      <c r="C3" t="s">
        <v>1412</v>
      </c>
      <c r="E3" s="10" t="s">
        <v>1409</v>
      </c>
      <c r="F3" t="s">
        <v>1412</v>
      </c>
      <c r="I3" t="s">
        <v>1414</v>
      </c>
      <c r="J3" s="14" t="s">
        <v>1361</v>
      </c>
      <c r="K3" s="14" t="s">
        <v>1415</v>
      </c>
      <c r="L3" t="s">
        <v>1416</v>
      </c>
      <c r="M3" s="10" t="s">
        <v>1409</v>
      </c>
      <c r="N3" t="s">
        <v>1412</v>
      </c>
    </row>
    <row r="4" spans="1:14">
      <c r="A4" s="11" t="s">
        <v>1203</v>
      </c>
      <c r="B4" s="12">
        <v>26127.162499999991</v>
      </c>
      <c r="C4" s="12">
        <v>63561.142500000002</v>
      </c>
      <c r="E4" s="11">
        <v>1</v>
      </c>
      <c r="F4" s="8">
        <v>31702.062999999998</v>
      </c>
      <c r="I4" s="13">
        <f>DATE(2025,E4,1)</f>
        <v>45658</v>
      </c>
      <c r="J4" s="14">
        <f>VLOOKUP(I4,TargetsTable[],2,FALSE)</f>
        <v>54900</v>
      </c>
      <c r="K4" s="14">
        <f>GETPIVOTDATA("Somme de Net_Sales",$E$3,"Month_Number",E4)-J4</f>
        <v>-23197.937000000002</v>
      </c>
      <c r="L4" s="9">
        <f>GETPIVOTDATA("Somme de Net_Sales",$E$3,"Month_Number",E4)/J4</f>
        <v>0.57745105646630235</v>
      </c>
      <c r="M4" s="11">
        <v>1</v>
      </c>
      <c r="N4" s="8">
        <v>31702.062999999998</v>
      </c>
    </row>
    <row r="5" spans="1:14">
      <c r="A5" s="11" t="s">
        <v>1221</v>
      </c>
      <c r="B5" s="12">
        <v>24988.742499999993</v>
      </c>
      <c r="C5" s="12">
        <v>64460.17250000003</v>
      </c>
      <c r="E5" s="11">
        <v>2</v>
      </c>
      <c r="F5" s="8">
        <v>27095.088500000002</v>
      </c>
      <c r="I5" s="13">
        <f t="shared" ref="I5:I15" si="0">DATE(2025,E5,1)</f>
        <v>45689</v>
      </c>
      <c r="J5" s="14">
        <f>VLOOKUP(I5,TargetsTable[],2,FALSE)</f>
        <v>52400</v>
      </c>
      <c r="K5" s="14">
        <f t="shared" ref="K5:K15" si="1">GETPIVOTDATA("Somme de Net_Sales",$E$3,"Month_Number",E5)-J5</f>
        <v>-25304.911499999998</v>
      </c>
      <c r="L5" s="9">
        <f t="shared" ref="L5:L15" si="2">GETPIVOTDATA("Somme de Net_Sales",$E$3,"Month_Number",E5)/J5</f>
        <v>0.51708184160305348</v>
      </c>
      <c r="M5" s="11">
        <v>2</v>
      </c>
      <c r="N5" s="8">
        <v>27095.088500000002</v>
      </c>
    </row>
    <row r="6" spans="1:14">
      <c r="A6" s="11" t="s">
        <v>1212</v>
      </c>
      <c r="B6" s="12">
        <v>24911.884499999986</v>
      </c>
      <c r="C6" s="12">
        <v>68067.384500000029</v>
      </c>
      <c r="E6" s="11">
        <v>3</v>
      </c>
      <c r="F6" s="8">
        <v>25880.701999999997</v>
      </c>
      <c r="I6" s="13">
        <f t="shared" si="0"/>
        <v>45717</v>
      </c>
      <c r="J6" s="14">
        <f>VLOOKUP(I6,TargetsTable[],2,FALSE)</f>
        <v>51000</v>
      </c>
      <c r="K6" s="14">
        <f t="shared" si="1"/>
        <v>-25119.298000000003</v>
      </c>
      <c r="L6" s="9">
        <f t="shared" si="2"/>
        <v>0.50746474509803918</v>
      </c>
      <c r="M6" s="11">
        <v>3</v>
      </c>
      <c r="N6" s="8">
        <v>25880.701999999997</v>
      </c>
    </row>
    <row r="7" spans="1:14">
      <c r="A7" s="11" t="s">
        <v>1193</v>
      </c>
      <c r="B7" s="12">
        <v>18881.978500000001</v>
      </c>
      <c r="C7" s="12">
        <v>48762.058500000006</v>
      </c>
      <c r="E7" s="11">
        <v>4</v>
      </c>
      <c r="F7" s="8">
        <v>22955.643500000002</v>
      </c>
      <c r="I7" s="13">
        <f t="shared" si="0"/>
        <v>45748</v>
      </c>
      <c r="J7" s="14">
        <f>VLOOKUP(I7,TargetsTable[],2,FALSE)</f>
        <v>50800</v>
      </c>
      <c r="K7" s="14">
        <f t="shared" si="1"/>
        <v>-27844.356499999998</v>
      </c>
      <c r="L7" s="9">
        <f t="shared" si="2"/>
        <v>0.45188274606299217</v>
      </c>
      <c r="M7" s="11">
        <v>4</v>
      </c>
      <c r="N7" s="8">
        <v>22955.643500000002</v>
      </c>
    </row>
    <row r="8" spans="1:14">
      <c r="A8" s="11" t="s">
        <v>1180</v>
      </c>
      <c r="B8" s="12">
        <v>18229.082999999999</v>
      </c>
      <c r="C8" s="12">
        <v>55300.503000000019</v>
      </c>
      <c r="E8" s="11">
        <v>5</v>
      </c>
      <c r="F8" s="8">
        <v>27801.915499999999</v>
      </c>
      <c r="I8" s="13">
        <f t="shared" si="0"/>
        <v>45778</v>
      </c>
      <c r="J8" s="14">
        <f>VLOOKUP(I8,TargetsTable[],2,FALSE)</f>
        <v>54400</v>
      </c>
      <c r="K8" s="14">
        <f t="shared" si="1"/>
        <v>-26598.084500000001</v>
      </c>
      <c r="L8" s="9">
        <f t="shared" si="2"/>
        <v>0.51106462316176471</v>
      </c>
      <c r="M8" s="11">
        <v>5</v>
      </c>
      <c r="N8" s="8">
        <v>27801.915499999999</v>
      </c>
    </row>
    <row r="9" spans="1:14">
      <c r="A9" s="11" t="s">
        <v>1411</v>
      </c>
      <c r="B9" s="8">
        <v>113138.85099999997</v>
      </c>
      <c r="C9" s="8">
        <v>300151.26100000006</v>
      </c>
      <c r="E9" s="11">
        <v>6</v>
      </c>
      <c r="F9" s="8">
        <v>19397.3995</v>
      </c>
      <c r="I9" s="13">
        <f t="shared" si="0"/>
        <v>45809</v>
      </c>
      <c r="J9" s="14">
        <f>VLOOKUP(I9,TargetsTable[],2,FALSE)</f>
        <v>55700</v>
      </c>
      <c r="K9" s="14">
        <f t="shared" si="1"/>
        <v>-36302.6005</v>
      </c>
      <c r="L9" s="9">
        <f t="shared" si="2"/>
        <v>0.34824774685816873</v>
      </c>
      <c r="M9" s="11">
        <v>6</v>
      </c>
      <c r="N9" s="8">
        <v>19397.3995</v>
      </c>
    </row>
    <row r="10" spans="1:14">
      <c r="E10" s="11">
        <v>7</v>
      </c>
      <c r="F10" s="8">
        <v>24262.9035</v>
      </c>
      <c r="I10" s="13">
        <f t="shared" si="0"/>
        <v>45839</v>
      </c>
      <c r="J10" s="14">
        <f>VLOOKUP(I10,TargetsTable[],2,FALSE)</f>
        <v>58200</v>
      </c>
      <c r="K10" s="14">
        <f t="shared" si="1"/>
        <v>-33937.0965</v>
      </c>
      <c r="L10" s="9">
        <f t="shared" si="2"/>
        <v>0.41688837628865982</v>
      </c>
      <c r="M10" s="11">
        <v>7</v>
      </c>
      <c r="N10" s="8">
        <v>24262.9035</v>
      </c>
    </row>
    <row r="11" spans="1:14">
      <c r="E11" s="11">
        <v>8</v>
      </c>
      <c r="F11" s="8">
        <v>24991.073499999999</v>
      </c>
      <c r="I11" s="13">
        <f t="shared" si="0"/>
        <v>45870</v>
      </c>
      <c r="J11" s="14">
        <f>VLOOKUP(I11,TargetsTable[],2,FALSE)</f>
        <v>57000</v>
      </c>
      <c r="K11" s="14">
        <f t="shared" si="1"/>
        <v>-32008.926500000001</v>
      </c>
      <c r="L11" s="9">
        <f t="shared" si="2"/>
        <v>0.43843988596491223</v>
      </c>
      <c r="M11" s="11">
        <v>8</v>
      </c>
      <c r="N11" s="8">
        <v>24991.073499999999</v>
      </c>
    </row>
    <row r="12" spans="1:14">
      <c r="E12" s="11">
        <v>9</v>
      </c>
      <c r="F12" s="8">
        <v>20135.739000000012</v>
      </c>
      <c r="I12" s="13">
        <f t="shared" si="0"/>
        <v>45901</v>
      </c>
      <c r="J12" s="14">
        <f>VLOOKUP(I12,TargetsTable[],2,FALSE)</f>
        <v>52100</v>
      </c>
      <c r="K12" s="14">
        <f t="shared" si="1"/>
        <v>-31964.260999999988</v>
      </c>
      <c r="L12" s="9">
        <f t="shared" si="2"/>
        <v>0.38648251439539372</v>
      </c>
      <c r="M12" s="11">
        <v>9</v>
      </c>
      <c r="N12" s="8">
        <v>20135.739000000012</v>
      </c>
    </row>
    <row r="13" spans="1:14">
      <c r="E13" s="11">
        <v>10</v>
      </c>
      <c r="F13" s="8">
        <v>25102.286</v>
      </c>
      <c r="I13" s="13">
        <f t="shared" si="0"/>
        <v>45931</v>
      </c>
      <c r="J13" s="14">
        <f>VLOOKUP(I13,TargetsTable[],2,FALSE)</f>
        <v>50200</v>
      </c>
      <c r="K13" s="14">
        <f t="shared" si="1"/>
        <v>-25097.714</v>
      </c>
      <c r="L13" s="9">
        <f t="shared" si="2"/>
        <v>0.50004553784860561</v>
      </c>
      <c r="M13" s="11">
        <v>10</v>
      </c>
      <c r="N13" s="8">
        <v>25102.286</v>
      </c>
    </row>
    <row r="14" spans="1:14">
      <c r="E14" s="11">
        <v>11</v>
      </c>
      <c r="F14" s="8">
        <v>27689.658999999996</v>
      </c>
      <c r="I14" s="13">
        <f t="shared" si="0"/>
        <v>45962</v>
      </c>
      <c r="J14" s="14">
        <f>VLOOKUP(I14,TargetsTable[],2,FALSE)</f>
        <v>60400</v>
      </c>
      <c r="K14" s="14">
        <f t="shared" si="1"/>
        <v>-32710.341000000004</v>
      </c>
      <c r="L14" s="9">
        <f t="shared" si="2"/>
        <v>0.45843806291390721</v>
      </c>
      <c r="M14" s="11">
        <v>11</v>
      </c>
      <c r="N14" s="8">
        <v>27689.658999999996</v>
      </c>
    </row>
    <row r="15" spans="1:14">
      <c r="E15" s="11">
        <v>12</v>
      </c>
      <c r="F15" s="8">
        <v>23136.78799999999</v>
      </c>
      <c r="I15" s="13">
        <f t="shared" si="0"/>
        <v>45992</v>
      </c>
      <c r="J15" s="14">
        <f>VLOOKUP(I15,TargetsTable[],2,FALSE)</f>
        <v>58800</v>
      </c>
      <c r="K15" s="14">
        <f t="shared" si="1"/>
        <v>-35663.212000000014</v>
      </c>
      <c r="L15" s="9">
        <f t="shared" si="2"/>
        <v>0.3934827891156461</v>
      </c>
      <c r="M15" s="11">
        <v>12</v>
      </c>
      <c r="N15" s="8">
        <v>23136.78799999999</v>
      </c>
    </row>
    <row r="16" spans="1:14">
      <c r="E16" s="11" t="s">
        <v>1411</v>
      </c>
      <c r="F16" s="8">
        <v>300151.261</v>
      </c>
      <c r="I16" s="13"/>
      <c r="J16" s="14">
        <f>SUM(J4:J15)</f>
        <v>655900</v>
      </c>
      <c r="K16" s="14">
        <f>GETPIVOTDATA("Somme de Net_Sales",$E$3)-J16</f>
        <v>-355748.739</v>
      </c>
      <c r="L16" s="16">
        <f>GETPIVOTDATA("Somme de Net_Sales",$E$3)/J16</f>
        <v>0.45761741271535294</v>
      </c>
      <c r="M16" s="11" t="s">
        <v>1411</v>
      </c>
      <c r="N16" s="8">
        <v>300151.261</v>
      </c>
    </row>
    <row r="20" spans="1:6">
      <c r="A20" s="10" t="s">
        <v>1409</v>
      </c>
      <c r="B20" t="s">
        <v>1412</v>
      </c>
      <c r="C20" t="s">
        <v>1410</v>
      </c>
      <c r="E20" s="10" t="s">
        <v>1409</v>
      </c>
      <c r="F20" t="s">
        <v>1433</v>
      </c>
    </row>
    <row r="21" spans="1:6">
      <c r="A21" s="11" t="s">
        <v>1258</v>
      </c>
      <c r="B21" s="8">
        <v>83660.343000000066</v>
      </c>
      <c r="C21" s="8">
        <v>32237.08300000001</v>
      </c>
      <c r="E21" s="11" t="s">
        <v>1221</v>
      </c>
      <c r="F21" s="15">
        <v>6.1224489795918366E-2</v>
      </c>
    </row>
    <row r="22" spans="1:6">
      <c r="A22" s="11" t="s">
        <v>1240</v>
      </c>
      <c r="B22" s="8">
        <v>76281.695499999987</v>
      </c>
      <c r="C22" s="8">
        <v>29358.895499999991</v>
      </c>
      <c r="E22" s="11" t="s">
        <v>1180</v>
      </c>
      <c r="F22" s="15">
        <v>0.10135135135135136</v>
      </c>
    </row>
    <row r="23" spans="1:6">
      <c r="A23" s="11" t="s">
        <v>1244</v>
      </c>
      <c r="B23" s="8">
        <v>55456.890000000021</v>
      </c>
      <c r="C23" s="8">
        <v>20293.149999999994</v>
      </c>
      <c r="E23" s="11" t="s">
        <v>1212</v>
      </c>
      <c r="F23" s="15">
        <v>5.2631578947368418E-2</v>
      </c>
    </row>
    <row r="24" spans="1:6">
      <c r="A24" s="11" t="s">
        <v>1250</v>
      </c>
      <c r="B24" s="8">
        <v>39540.695500000031</v>
      </c>
      <c r="C24" s="8">
        <v>14332.865500000002</v>
      </c>
      <c r="E24" s="11" t="s">
        <v>1203</v>
      </c>
      <c r="F24" s="15">
        <v>7.5342465753424653E-2</v>
      </c>
    </row>
    <row r="25" spans="1:6">
      <c r="A25" s="11" t="s">
        <v>1236</v>
      </c>
      <c r="B25" s="8">
        <v>21377.3295</v>
      </c>
      <c r="C25" s="8">
        <v>8279.1494999999995</v>
      </c>
      <c r="E25" s="11" t="s">
        <v>1193</v>
      </c>
      <c r="F25" s="15">
        <v>0.10236220472440945</v>
      </c>
    </row>
    <row r="26" spans="1:6">
      <c r="A26" s="11" t="s">
        <v>1285</v>
      </c>
      <c r="B26" s="8">
        <v>13613.973000000002</v>
      </c>
      <c r="C26" s="8">
        <v>5173.9830000000002</v>
      </c>
      <c r="E26" s="11" t="s">
        <v>1411</v>
      </c>
      <c r="F26" s="15">
        <v>7.7777777777777779E-2</v>
      </c>
    </row>
    <row r="27" spans="1:6">
      <c r="A27" s="11" t="s">
        <v>1326</v>
      </c>
      <c r="B27" s="8">
        <v>10220.334499999999</v>
      </c>
      <c r="C27" s="8">
        <v>3463.7244999999998</v>
      </c>
    </row>
    <row r="28" spans="1:6">
      <c r="A28" s="11" t="s">
        <v>1411</v>
      </c>
      <c r="B28" s="8">
        <v>300151.26100000012</v>
      </c>
      <c r="C28" s="8">
        <v>113138.85099999998</v>
      </c>
    </row>
  </sheetData>
  <pageMargins left="0.7" right="0.7" top="0.75" bottom="0.75" header="0.3" footer="0.3"/>
  <pageSetup orientation="portrait"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showGridLines="0" showRowColHeaders="0" tabSelected="1" zoomScale="70" zoomScaleNormal="70" workbookViewId="0">
      <selection activeCell="R28" sqref="R28"/>
    </sheetView>
  </sheetViews>
  <sheetFormatPr baseColWidth="10" defaultRowHeight="13.8"/>
  <sheetData>
    <row r="1" spans="1:12">
      <c r="A1" s="29" t="s">
        <v>1435</v>
      </c>
      <c r="B1" s="30"/>
      <c r="C1" s="30"/>
      <c r="D1" s="30"/>
      <c r="E1" s="30"/>
      <c r="F1" s="30"/>
      <c r="G1" s="30"/>
      <c r="H1" s="30"/>
      <c r="I1" s="30"/>
      <c r="J1" s="30"/>
      <c r="K1" s="30"/>
      <c r="L1" s="30"/>
    </row>
    <row r="2" spans="1:12">
      <c r="A2" s="30"/>
      <c r="B2" s="30"/>
      <c r="C2" s="30"/>
      <c r="D2" s="30"/>
      <c r="E2" s="30"/>
      <c r="F2" s="30"/>
      <c r="G2" s="30"/>
      <c r="H2" s="30"/>
      <c r="I2" s="30"/>
      <c r="J2" s="30"/>
      <c r="K2" s="30"/>
      <c r="L2" s="30"/>
    </row>
    <row r="3" spans="1:12">
      <c r="A3" s="38" t="s">
        <v>1434</v>
      </c>
      <c r="B3" s="39"/>
      <c r="C3" s="39"/>
      <c r="D3" s="39"/>
      <c r="E3" s="39"/>
    </row>
    <row r="5" spans="1:12">
      <c r="A5" s="31" t="s">
        <v>1436</v>
      </c>
      <c r="B5" s="31"/>
      <c r="C5" s="31"/>
      <c r="D5" s="32" t="s">
        <v>1437</v>
      </c>
      <c r="E5" s="32"/>
      <c r="F5" s="32"/>
      <c r="G5" s="33" t="s">
        <v>1438</v>
      </c>
      <c r="H5" s="33"/>
      <c r="I5" s="33"/>
      <c r="J5" s="34" t="s">
        <v>1439</v>
      </c>
      <c r="K5" s="34"/>
      <c r="L5" s="34"/>
    </row>
    <row r="6" spans="1:12">
      <c r="A6" s="35">
        <f>GETPIVOTDATA("Net_Sales",Analysis!$E$3)</f>
        <v>300151.261</v>
      </c>
      <c r="B6" s="35"/>
      <c r="C6" s="35"/>
      <c r="D6" s="35">
        <f>GETPIVOTDATA("Somme de Profit",Analysis!$A$3)</f>
        <v>113138.85099999997</v>
      </c>
      <c r="E6" s="35"/>
      <c r="F6" s="35"/>
      <c r="G6" s="36">
        <f>COUNTA(Cleaned_Data!A2:A721)</f>
        <v>720</v>
      </c>
      <c r="H6" s="36"/>
      <c r="I6" s="36"/>
      <c r="J6" s="37">
        <f>Analysis!L16</f>
        <v>0.45761741271535294</v>
      </c>
      <c r="K6" s="37"/>
      <c r="L6" s="37"/>
    </row>
    <row r="7" spans="1:12">
      <c r="A7" s="35"/>
      <c r="B7" s="35"/>
      <c r="C7" s="35"/>
      <c r="D7" s="35"/>
      <c r="E7" s="35"/>
      <c r="F7" s="35"/>
      <c r="G7" s="36"/>
      <c r="H7" s="36"/>
      <c r="I7" s="36"/>
      <c r="J7" s="37"/>
      <c r="K7" s="37"/>
      <c r="L7" s="37"/>
    </row>
    <row r="27" spans="8:13" ht="14.4" thickBot="1"/>
    <row r="28" spans="8:13" ht="13.8" customHeight="1">
      <c r="H28" s="40" t="s">
        <v>1440</v>
      </c>
      <c r="I28" s="21"/>
      <c r="J28" s="21"/>
      <c r="K28" s="21"/>
      <c r="L28" s="22"/>
      <c r="M28" s="17"/>
    </row>
    <row r="29" spans="8:13">
      <c r="H29" s="23"/>
      <c r="I29" s="24"/>
      <c r="J29" s="24"/>
      <c r="K29" s="24"/>
      <c r="L29" s="25"/>
      <c r="M29" s="17"/>
    </row>
    <row r="30" spans="8:13">
      <c r="H30" s="23"/>
      <c r="I30" s="24"/>
      <c r="J30" s="24"/>
      <c r="K30" s="24"/>
      <c r="L30" s="25"/>
      <c r="M30" s="17"/>
    </row>
    <row r="31" spans="8:13">
      <c r="H31" s="23"/>
      <c r="I31" s="24"/>
      <c r="J31" s="24"/>
      <c r="K31" s="24"/>
      <c r="L31" s="25"/>
      <c r="M31" s="17"/>
    </row>
    <row r="32" spans="8:13">
      <c r="H32" s="23"/>
      <c r="I32" s="24"/>
      <c r="J32" s="24"/>
      <c r="K32" s="24"/>
      <c r="L32" s="25"/>
      <c r="M32" s="17"/>
    </row>
    <row r="33" spans="8:13">
      <c r="H33" s="23"/>
      <c r="I33" s="24"/>
      <c r="J33" s="24"/>
      <c r="K33" s="24"/>
      <c r="L33" s="25"/>
      <c r="M33" s="17"/>
    </row>
    <row r="34" spans="8:13">
      <c r="H34" s="23"/>
      <c r="I34" s="24"/>
      <c r="J34" s="24"/>
      <c r="K34" s="24"/>
      <c r="L34" s="25"/>
      <c r="M34" s="17"/>
    </row>
    <row r="35" spans="8:13">
      <c r="H35" s="23"/>
      <c r="I35" s="24"/>
      <c r="J35" s="24"/>
      <c r="K35" s="24"/>
      <c r="L35" s="25"/>
      <c r="M35" s="17"/>
    </row>
    <row r="36" spans="8:13">
      <c r="H36" s="23"/>
      <c r="I36" s="24"/>
      <c r="J36" s="24"/>
      <c r="K36" s="24"/>
      <c r="L36" s="25"/>
      <c r="M36" s="17"/>
    </row>
    <row r="37" spans="8:13">
      <c r="H37" s="23"/>
      <c r="I37" s="24"/>
      <c r="J37" s="24"/>
      <c r="K37" s="24"/>
      <c r="L37" s="25"/>
      <c r="M37" s="17"/>
    </row>
    <row r="38" spans="8:13">
      <c r="H38" s="23"/>
      <c r="I38" s="24"/>
      <c r="J38" s="24"/>
      <c r="K38" s="24"/>
      <c r="L38" s="25"/>
      <c r="M38" s="17"/>
    </row>
    <row r="39" spans="8:13">
      <c r="H39" s="23"/>
      <c r="I39" s="24"/>
      <c r="J39" s="24"/>
      <c r="K39" s="24"/>
      <c r="L39" s="25"/>
      <c r="M39" s="17"/>
    </row>
    <row r="40" spans="8:13">
      <c r="H40" s="23"/>
      <c r="I40" s="24"/>
      <c r="J40" s="24"/>
      <c r="K40" s="24"/>
      <c r="L40" s="25"/>
      <c r="M40" s="17"/>
    </row>
    <row r="41" spans="8:13">
      <c r="H41" s="23"/>
      <c r="I41" s="24"/>
      <c r="J41" s="24"/>
      <c r="K41" s="24"/>
      <c r="L41" s="25"/>
      <c r="M41" s="17"/>
    </row>
    <row r="42" spans="8:13" ht="14.4" thickBot="1">
      <c r="H42" s="26"/>
      <c r="I42" s="27"/>
      <c r="J42" s="27"/>
      <c r="K42" s="27"/>
      <c r="L42" s="28"/>
      <c r="M42" s="17"/>
    </row>
    <row r="43" spans="8:13">
      <c r="H43" s="17"/>
      <c r="I43" s="17"/>
      <c r="J43" s="17"/>
      <c r="K43" s="17"/>
      <c r="L43" s="17"/>
      <c r="M43" s="17"/>
    </row>
  </sheetData>
  <mergeCells count="10">
    <mergeCell ref="H28:L42"/>
    <mergeCell ref="A1:L2"/>
    <mergeCell ref="A5:C5"/>
    <mergeCell ref="D5:F5"/>
    <mergeCell ref="G5:I5"/>
    <mergeCell ref="J5:L5"/>
    <mergeCell ref="A6:C7"/>
    <mergeCell ref="D6:F7"/>
    <mergeCell ref="G6:I7"/>
    <mergeCell ref="J6:L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Project_Brief</vt:lpstr>
      <vt:lpstr>Cleaned_Data</vt:lpstr>
      <vt:lpstr>Raw_Sales</vt:lpstr>
      <vt:lpstr>Products</vt:lpstr>
      <vt:lpstr>Customers</vt:lpstr>
      <vt:lpstr>Monthly_Targets</vt:lpstr>
      <vt:lpstr>Data_Dictionary</vt:lpstr>
      <vt:lpstr>Feuil3</vt:lpstr>
      <vt:lpstr>Feuil1</vt:lpstr>
      <vt:lpstr>Analysis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2026-09-25T07:51:06Z</dcterms:created>
  <dcterms:modified xsi:type="dcterms:W3CDTF">2026-09-28T10:04:45Z</dcterms:modified>
</cp:coreProperties>
</file>